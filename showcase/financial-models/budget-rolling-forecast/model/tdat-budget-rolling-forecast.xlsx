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f105f7a9b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57fa0c625d054dc2"/>
    <x:sheet xmlns:r="http://schemas.openxmlformats.org/officeDocument/2006/relationships" name="Inputs" sheetId="2" r:id="Rcff314afc75c4de6"/>
    <x:sheet xmlns:r="http://schemas.openxmlformats.org/officeDocument/2006/relationships" name="Model" sheetId="3" r:id="Raceab7c4ca614154"/>
    <x:sheet xmlns:r="http://schemas.openxmlformats.org/officeDocument/2006/relationships" name="Results" sheetId="4" r:id="Rf5facf89498a48d0"/>
    <x:sheet xmlns:r="http://schemas.openxmlformats.org/officeDocument/2006/relationships" name="Checks" sheetId="5" r:id="R60e44b5f9984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[Red](#,##0.0);-"/>
    <x:numFmt numFmtId="201" formatCode="0.0%;[Red](0.0%);-"/>
    <x:numFmt numFmtId="202" formatCode="#,##0;[Red](#,##0);-"/>
    <x:numFmt numFmtId="203" formatCode="0.00;[Red](0.00);-"/>
  </x:numFmts>
  <x:fonts count="15">
    <x:font>
      <x:sz val="11"/>
      <x:name val="Carlito"/>
    </x:font>
    <x:font>
      <x:sz val="11"/>
      <x:color rgb="FF202833"/>
      <x:name val="Carlito"/>
    </x:font>
    <x:font>
      <x:b/>
      <x:sz val="11"/>
      <x:color rgb="FFFFFFFF"/>
      <x:name val="Carlito"/>
    </x:font>
    <x:font>
      <x:b/>
      <x:sz val="11"/>
      <x:color rgb="FF202833"/>
      <x:name val="Carlito"/>
    </x:font>
    <x:font>
      <x:b/>
      <x:sz val="11"/>
      <x:color rgb="FF0000FF"/>
      <x:name val="Carlito"/>
    </x:font>
    <x:font>
      <x:sz val="11"/>
      <x:color rgb="FF68717C"/>
      <x:name val="Carlito"/>
    </x:font>
    <x:font>
      <x:sz val="11"/>
      <x:color rgb="FF805C19"/>
      <x:name val="Carlito"/>
    </x:font>
    <x:font>
      <x:b/>
      <x:sz val="11"/>
      <x:color rgb="FF008000"/>
      <x:name val="Carlito"/>
    </x:font>
    <x:font>
      <x:sz val="11"/>
      <x:color rgb="FF008000"/>
      <x:name val="Carlito"/>
    </x:font>
    <x:font>
      <x:sz val="11"/>
      <x:color rgb="FF202833"/>
      <x:name val="Carlito"/>
    </x:font>
    <x:font>
      <x:b/>
      <x:sz val="11"/>
      <x:color rgb="FFB5883A"/>
      <x:name val="Carlito"/>
    </x:font>
    <x:font>
      <x:b/>
      <x:sz val="11"/>
      <x:color rgb="FF805C19"/>
      <x:name val="Carlito"/>
    </x:font>
    <x:font>
      <x:b/>
      <x:sz val="11"/>
      <x:color rgb="FF68717C"/>
      <x:name val="Carlito"/>
    </x:font>
    <x:font>
      <x:b/>
      <x:sz val="11"/>
      <x:color rgb="FF247252"/>
      <x:name val="Carlito"/>
    </x:font>
    <x:font>
      <x:sz val="11"/>
      <x:color rgb="FFF5F6F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5F6F8"/>
      </x:patternFill>
    </x:fill>
    <x:fill>
      <x:patternFill patternType="solid">
        <x:fgColor rgb="FF1C2430"/>
      </x:patternFill>
    </x:fill>
    <x:fill>
      <x:patternFill patternType="solid">
        <x:fgColor rgb="FFB5883A"/>
      </x:patternFill>
    </x:fill>
    <x:fill>
      <x:patternFill patternType="solid">
        <x:fgColor rgb="FFF2E8D5"/>
      </x:patternFill>
    </x:fill>
    <x:fill>
      <x:patternFill patternType="solid">
        <x:fgColor rgb="FF303B49"/>
      </x:patternFill>
    </x:fill>
    <x:fill>
      <x:patternFill patternType="solid">
        <x:fgColor rgb="FFECEFF2"/>
      </x:patternFill>
    </x:fill>
    <x:fill>
      <x:patternFill patternType="solid">
        <x:fgColor rgb="FFFFFFFF"/>
      </x:patternFill>
    </x:fill>
    <x:fill>
      <x:patternFill patternType="solid">
        <x:fgColor rgb="FFF8EBCF"/>
      </x:patternFill>
    </x:fill>
  </x:fills>
  <x:borders count="29">
    <x:border/>
    <x:border>
      <x:left style="thin">
        <x:color rgb="FFD7DBE0"/>
      </x:left>
      <x:top style="thin">
        <x:color rgb="FFD7DBE0"/>
      </x:top>
    </x:border>
    <x:border>
      <x:top style="thin">
        <x:color rgb="FFD7DBE0"/>
      </x:top>
    </x:border>
    <x:border>
      <x:right style="thin">
        <x:color rgb="FFD7DBE0"/>
      </x:right>
      <x:top style="thin">
        <x:color rgb="FFD7DBE0"/>
      </x:top>
    </x:border>
    <x:border>
      <x:left style="thin">
        <x:color rgb="FFD7DBE0"/>
      </x:left>
      <x:bottom style="thin">
        <x:color rgb="FFD7DBE0"/>
      </x:bottom>
    </x:border>
    <x:border>
      <x:bottom style="thin">
        <x:color rgb="FFD7DBE0"/>
      </x:bottom>
    </x:border>
    <x:border>
      <x:right style="thin">
        <x:color rgb="FFD7DBE0"/>
      </x:right>
      <x:bottom style="thin">
        <x:color rgb="FFD7DBE0"/>
      </x:bottom>
    </x:border>
    <x:border>
      <x:bottom style="medium">
        <x:color rgb="FFB5883A"/>
      </x:bottom>
    </x:border>
    <x:border>
      <x:left style="thin">
        <x:color rgb="FFD3AE64"/>
      </x:left>
      <x:right style="thin">
        <x:color rgb="FFD3AE64"/>
      </x:right>
      <x:top style="thin">
        <x:color rgb="FFD3AE64"/>
      </x:top>
      <x:bottom style="thin">
        <x:color rgb="FFD3AE64"/>
      </x:bottom>
    </x:border>
    <x:border>
      <x:left style="thin">
        <x:color rgb="FFD3AE64"/>
      </x:left>
      <x:right style="thin">
        <x:color rgb="FFD3AE64"/>
      </x:right>
    </x:border>
    <x:border>
      <x:left style="thin">
        <x:color rgb="FFD3AE64"/>
      </x:left>
      <x:top style="thin">
        <x:color rgb="FFD3AE64"/>
      </x:top>
    </x:border>
    <x:border>
      <x:top style="thin">
        <x:color rgb="FFD3AE64"/>
      </x:top>
    </x:border>
    <x:border>
      <x:right style="thin">
        <x:color rgb="FFD3AE64"/>
      </x:right>
      <x:top style="thin">
        <x:color rgb="FFD3AE64"/>
      </x:top>
    </x:border>
    <x:border>
      <x:left style="thin">
        <x:color rgb="FFD3AE64"/>
      </x:left>
      <x:bottom style="thin">
        <x:color rgb="FFD3AE64"/>
      </x:bottom>
    </x:border>
    <x:border>
      <x:bottom style="thin">
        <x:color rgb="FFD3AE64"/>
      </x:bottom>
    </x:border>
    <x:border>
      <x:right style="thin">
        <x:color rgb="FFD3AE64"/>
      </x:right>
      <x:bottom style="thin">
        <x:color rgb="FFD3AE64"/>
      </x:bottom>
    </x:border>
    <x:border>
      <x:left style="thin">
        <x:color rgb="FF1C2430"/>
      </x:left>
      <x:top style="thin">
        <x:color rgb="FF1C2430"/>
      </x:top>
      <x:bottom style="thin">
        <x:color rgb="FF1C2430"/>
      </x:bottom>
    </x:border>
    <x:border>
      <x:right style="thin">
        <x:color rgb="FF1C2430"/>
      </x:right>
      <x:top style="thin">
        <x:color rgb="FF1C2430"/>
      </x:top>
      <x:bottom style="thin">
        <x:color rgb="FF1C2430"/>
      </x:bottom>
    </x:border>
    <x:border>
      <x:left style="thin">
        <x:color rgb="FFD7DBE0"/>
      </x:left>
    </x:border>
    <x:border>
      <x:right style="thin">
        <x:color rgb="FFD7DBE0"/>
      </x:right>
    </x:border>
    <x:border>
      <x:left style="thin">
        <x:color rgb="FFF2D58A"/>
      </x:left>
      <x:top style="thin">
        <x:color rgb="FFF2D58A"/>
      </x:top>
    </x:border>
    <x:border>
      <x:top style="thin">
        <x:color rgb="FFF2D58A"/>
      </x:top>
    </x:border>
    <x:border>
      <x:right style="thin">
        <x:color rgb="FFF2D58A"/>
      </x:right>
      <x:top style="thin">
        <x:color rgb="FFF2D58A"/>
      </x:top>
    </x:border>
    <x:border>
      <x:left style="thin">
        <x:color rgb="FFF2D58A"/>
      </x:left>
      <x:bottom style="thin">
        <x:color rgb="FFF2D58A"/>
      </x:bottom>
    </x:border>
    <x:border>
      <x:bottom style="thin">
        <x:color rgb="FFF2D58A"/>
      </x:bottom>
    </x:border>
    <x:border>
      <x:right style="thin">
        <x:color rgb="FFF2D58A"/>
      </x:right>
      <x:bottom style="thin">
        <x:color rgb="FFF2D58A"/>
      </x:bottom>
    </x:border>
    <x:border>
      <x:left style="thin">
        <x:color rgb="FFD7DBE0"/>
      </x:left>
      <x:top style="thin">
        <x:color rgb="FFD7DBE0"/>
      </x:top>
      <x:bottom style="thin">
        <x:color rgb="FFD7DBE0"/>
      </x:bottom>
    </x:border>
    <x:border>
      <x:right style="thin">
        <x:color rgb="FFD7DBE0"/>
      </x:right>
      <x:top style="thin">
        <x:color rgb="FFD7DBE0"/>
      </x:top>
      <x:bottom style="thin">
        <x:color rgb="FFD7DBE0"/>
      </x:bottom>
    </x:border>
    <x:border>
      <x:top style="thin">
        <x:color rgb="FFD7DBE0"/>
      </x:top>
      <x:bottom style="thin">
        <x:color rgb="FFD7DBE0"/>
      </x:bottom>
    </x:border>
  </x:borders>
  <x:cellStyleXfs count="1">
    <x:xf numFmtId="0" fontId="0" fillId="0" borderId="0"/>
  </x:cellStyleXfs>
  <x:cellXfs count="2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7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horizontal="right" vertical="center"/>
    </x:xf>
    <x:xf numFmtId="201" fontId="4" fillId="8" borderId="8" xfId="0" applyNumberFormat="1" applyFont="1" applyFill="1" applyBorder="1" applyAlignment="1">
      <x:alignment vertical="center"/>
    </x:xf>
    <x:xf numFmtId="201" fontId="4" fillId="8" borderId="8" xfId="0" applyNumberFormat="1" applyFont="1" applyFill="1" applyBorder="1" applyAlignment="1">
      <x:alignment horizontal="right" vertical="center"/>
    </x:xf>
    <x:xf numFmtId="201" fontId="4" fillId="8" borderId="9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vertical="center"/>
    </x:xf>
    <x:xf numFmtId="0" fontId="6" fillId="9" borderId="12" xfId="0" applyNumberFormat="1" applyFont="1" applyFill="1" applyBorder="1" applyAlignment="1">
      <x:alignment vertical="center"/>
    </x:xf>
    <x:xf numFmtId="0" fontId="6" fillId="9" borderId="13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5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 wrapText="1"/>
    </x:xf>
    <x:xf numFmtId="0" fontId="6" fillId="9" borderId="11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horizontal="left" vertical="center"/>
    </x:xf>
    <x:xf numFmtId="0" fontId="3" fillId="7" borderId="0" xfId="0" applyNumberFormat="1" applyFont="1" applyFill="1" applyBorder="1" applyAlignment="1">
      <x:alignment horizontal="right" vertical="center"/>
    </x:xf>
    <x:xf numFmtId="0" fontId="3" fillId="7" borderId="0" xfId="0" applyNumberFormat="1" applyFont="1" applyFill="1" applyBorder="1" applyAlignment="1">
      <x:alignment horizontal="left" vertical="center"/>
    </x:xf>
    <x:xf numFmtId="0" fontId="7" fillId="2" borderId="0" xfId="0" applyNumberFormat="1" applyFont="1" applyFill="1" applyBorder="1" applyAlignment="1">
      <x:alignment vertical="center"/>
    </x:xf>
    <x:xf numFmtId="200" fontId="7" fillId="2" borderId="0" xfId="0" applyNumberFormat="1" applyFont="1" applyFill="1" applyBorder="1" applyAlignment="1">
      <x:alignment vertical="center"/>
    </x:xf>
    <x:xf numFmtId="200" fontId="7" fillId="2" borderId="0" xfId="0" applyNumberFormat="1" applyFont="1" applyFill="1" applyBorder="1" applyAlignment="1">
      <x:alignment horizontal="right" vertical="center"/>
    </x:xf>
    <x:xf numFmtId="200" fontId="7" fillId="5" borderId="0" xfId="0" applyNumberFormat="1" applyFont="1" applyFill="1" applyBorder="1" applyAlignment="1">
      <x:alignment horizontal="right" vertical="center"/>
    </x:xf>
    <x:xf numFmtId="0" fontId="8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horizontal="right" vertical="center"/>
    </x:xf>
    <x:xf numFmtId="200" fontId="8" fillId="8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right" vertical="center"/>
    </x:xf>
    <x:xf numFmtId="200" fontId="3" fillId="5" borderId="0" xfId="0" applyNumberFormat="1" applyFont="1" applyFill="1" applyBorder="1" applyAlignment="1">
      <x:alignment horizontal="right" vertical="center"/>
    </x:xf>
    <x:xf numFmtId="0" fontId="3" fillId="7" borderId="4" xfId="0" applyNumberFormat="1" applyFont="1" applyFill="1" applyBorder="1" applyAlignment="1">
      <x:alignment vertical="center"/>
    </x:xf>
    <x:xf numFmtId="0" fontId="3" fillId="7" borderId="5" xfId="0" applyNumberFormat="1" applyFont="1" applyFill="1" applyBorder="1" applyAlignment="1">
      <x:alignment vertical="center"/>
    </x:xf>
    <x:xf numFmtId="200" fontId="3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200" fontId="9" fillId="8" borderId="0" xfId="0" applyNumberFormat="1" applyFont="1" applyFill="1" applyBorder="1" applyAlignment="1">
      <x:alignment vertical="center"/>
    </x:xf>
    <x:xf numFmtId="200" fontId="9" fillId="8" borderId="0" xfId="0" applyNumberFormat="1" applyFont="1" applyFill="1" applyBorder="1" applyAlignment="1">
      <x:alignment horizontal="right" vertical="center"/>
    </x:xf>
    <x:xf numFmtId="0" fontId="2" fillId="3" borderId="16" xfId="0" applyNumberFormat="1" applyFont="1" applyFill="1" applyBorder="1" applyAlignment="1">
      <x:alignment vertical="center"/>
    </x:xf>
    <x:xf numFmtId="0" fontId="2" fillId="3" borderId="17" xfId="0" applyNumberFormat="1" applyFont="1" applyFill="1" applyBorder="1" applyAlignment="1">
      <x:alignment vertical="center"/>
    </x:xf>
    <x:xf numFmtId="0" fontId="2" fillId="3" borderId="16" xfId="0" applyNumberFormat="1" applyFont="1" applyFill="1" applyBorder="1" applyAlignment="1">
      <x:alignment horizontal="center" vertical="center"/>
    </x:xf>
    <x:xf numFmtId="0" fontId="2" fillId="3" borderId="17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 applyAlignment="1">
      <x:alignment vertical="center"/>
    </x:xf>
    <x:xf numFmtId="0" fontId="10" fillId="8" borderId="3" xfId="0" applyNumberFormat="1" applyFont="1" applyFill="1" applyBorder="1" applyAlignment="1">
      <x:alignment vertical="center"/>
    </x:xf>
    <x:xf numFmtId="0" fontId="10" fillId="8" borderId="18" xfId="0" applyNumberFormat="1" applyFont="1" applyFill="1" applyBorder="1" applyAlignment="1">
      <x:alignment vertical="center"/>
    </x:xf>
    <x:xf numFmtId="0" fontId="10" fillId="8" borderId="19" xfId="0" applyNumberFormat="1" applyFont="1" applyFill="1" applyBorder="1" applyAlignment="1">
      <x:alignment vertical="center"/>
    </x:xf>
    <x:xf numFmtId="0" fontId="10" fillId="8" borderId="4" xfId="0" applyNumberFormat="1" applyFont="1" applyFill="1" applyBorder="1" applyAlignment="1">
      <x:alignment vertical="center"/>
    </x:xf>
    <x:xf numFmtId="0" fontId="10" fillId="8" borderId="6" xfId="0" applyNumberFormat="1" applyFont="1" applyFill="1" applyBorder="1" applyAlignment="1">
      <x:alignment vertical="center"/>
    </x:xf>
    <x:xf numFmtId="200" fontId="10" fillId="8" borderId="1" xfId="0" applyNumberFormat="1" applyFont="1" applyFill="1" applyBorder="1" applyAlignment="1">
      <x:alignment vertical="center"/>
    </x:xf>
    <x:xf numFmtId="200" fontId="10" fillId="8" borderId="3" xfId="0" applyNumberFormat="1" applyFont="1" applyFill="1" applyBorder="1" applyAlignment="1">
      <x:alignment vertical="center"/>
    </x:xf>
    <x:xf numFmtId="200" fontId="10" fillId="8" borderId="18" xfId="0" applyNumberFormat="1" applyFont="1" applyFill="1" applyBorder="1" applyAlignment="1">
      <x:alignment vertical="center"/>
    </x:xf>
    <x:xf numFmtId="200" fontId="10" fillId="8" borderId="19" xfId="0" applyNumberFormat="1" applyFont="1" applyFill="1" applyBorder="1" applyAlignment="1">
      <x:alignment vertical="center"/>
    </x:xf>
    <x:xf numFmtId="200" fontId="10" fillId="8" borderId="4" xfId="0" applyNumberFormat="1" applyFont="1" applyFill="1" applyBorder="1" applyAlignment="1">
      <x:alignment vertical="center"/>
    </x:xf>
    <x:xf numFmtId="200" fontId="10" fillId="8" borderId="6" xfId="0" applyNumberFormat="1" applyFont="1" applyFill="1" applyBorder="1" applyAlignment="1">
      <x:alignment vertical="center"/>
    </x:xf>
    <x:xf numFmtId="200" fontId="10" fillId="8" borderId="1" xfId="0" applyNumberFormat="1" applyFont="1" applyFill="1" applyBorder="1" applyAlignment="1">
      <x:alignment horizontal="center" vertical="center"/>
    </x:xf>
    <x:xf numFmtId="200" fontId="10" fillId="8" borderId="3" xfId="0" applyNumberFormat="1" applyFont="1" applyFill="1" applyBorder="1" applyAlignment="1">
      <x:alignment horizontal="center" vertical="center"/>
    </x:xf>
    <x:xf numFmtId="200" fontId="10" fillId="8" borderId="18" xfId="0" applyNumberFormat="1" applyFont="1" applyFill="1" applyBorder="1" applyAlignment="1">
      <x:alignment horizontal="center" vertical="center"/>
    </x:xf>
    <x:xf numFmtId="200" fontId="10" fillId="8" borderId="19" xfId="0" applyNumberFormat="1" applyFont="1" applyFill="1" applyBorder="1" applyAlignment="1">
      <x:alignment horizontal="center" vertical="center"/>
    </x:xf>
    <x:xf numFmtId="200" fontId="10" fillId="8" borderId="4" xfId="0" applyNumberFormat="1" applyFont="1" applyFill="1" applyBorder="1" applyAlignment="1">
      <x:alignment horizontal="center" vertical="center"/>
    </x:xf>
    <x:xf numFmtId="200" fontId="10" fillId="8" borderId="6" xfId="0" applyNumberFormat="1" applyFont="1" applyFill="1" applyBorder="1" applyAlignment="1">
      <x:alignment horizontal="center"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20" xfId="0" applyNumberFormat="1" applyFont="1" applyFill="1" applyBorder="1" applyAlignment="1">
      <x:alignment vertical="center"/>
    </x:xf>
    <x:xf numFmtId="0" fontId="11" fillId="9" borderId="21" xfId="0" applyNumberFormat="1" applyFont="1" applyFill="1" applyBorder="1" applyAlignment="1">
      <x:alignment vertical="center"/>
    </x:xf>
    <x:xf numFmtId="0" fontId="11" fillId="9" borderId="22" xfId="0" applyNumberFormat="1" applyFont="1" applyFill="1" applyBorder="1" applyAlignment="1">
      <x:alignment vertical="center"/>
    </x:xf>
    <x:xf numFmtId="0" fontId="11" fillId="9" borderId="23" xfId="0" applyNumberFormat="1" applyFont="1" applyFill="1" applyBorder="1" applyAlignment="1">
      <x:alignment vertical="center"/>
    </x:xf>
    <x:xf numFmtId="0" fontId="11" fillId="9" borderId="24" xfId="0" applyNumberFormat="1" applyFont="1" applyFill="1" applyBorder="1" applyAlignment="1">
      <x:alignment vertical="center"/>
    </x:xf>
    <x:xf numFmtId="0" fontId="11" fillId="9" borderId="25" xfId="0" applyNumberFormat="1" applyFont="1" applyFill="1" applyBorder="1" applyAlignment="1">
      <x:alignment vertical="center"/>
    </x:xf>
    <x:xf numFmtId="0" fontId="11" fillId="9" borderId="20" xfId="0" applyNumberFormat="1" applyFont="1" applyFill="1" applyBorder="1" applyAlignment="1">
      <x:alignment vertical="center" wrapText="1"/>
    </x:xf>
    <x:xf numFmtId="0" fontId="11" fillId="9" borderId="21" xfId="0" applyNumberFormat="1" applyFont="1" applyFill="1" applyBorder="1" applyAlignment="1">
      <x:alignment vertical="center" wrapText="1"/>
    </x:xf>
    <x:xf numFmtId="0" fontId="11" fillId="9" borderId="22" xfId="0" applyNumberFormat="1" applyFont="1" applyFill="1" applyBorder="1" applyAlignment="1">
      <x:alignment vertical="center" wrapText="1"/>
    </x:xf>
    <x:xf numFmtId="0" fontId="11" fillId="9" borderId="23" xfId="0" applyNumberFormat="1" applyFont="1" applyFill="1" applyBorder="1" applyAlignment="1">
      <x:alignment vertical="center" wrapText="1"/>
    </x:xf>
    <x:xf numFmtId="0" fontId="11" fillId="9" borderId="24" xfId="0" applyNumberFormat="1" applyFont="1" applyFill="1" applyBorder="1" applyAlignment="1">
      <x:alignment vertical="center" wrapText="1"/>
    </x:xf>
    <x:xf numFmtId="0" fontId="11" fillId="9" borderId="25" xfId="0" applyNumberFormat="1" applyFont="1" applyFill="1" applyBorder="1" applyAlignment="1">
      <x:alignment vertical="center" wrapText="1"/>
    </x:xf>
    <x:xf numFmtId="0" fontId="11" fillId="9" borderId="20" xfId="0" applyNumberFormat="1" applyFont="1" applyFill="1" applyBorder="1" applyAlignment="1">
      <x:alignment horizontal="center" vertical="center" wrapText="1"/>
    </x:xf>
    <x:xf numFmtId="0" fontId="11" fillId="9" borderId="21" xfId="0" applyNumberFormat="1" applyFont="1" applyFill="1" applyBorder="1" applyAlignment="1">
      <x:alignment horizontal="center" vertical="center" wrapText="1"/>
    </x:xf>
    <x:xf numFmtId="0" fontId="11" fillId="9" borderId="22" xfId="0" applyNumberFormat="1" applyFont="1" applyFill="1" applyBorder="1" applyAlignment="1">
      <x:alignment horizontal="center" vertical="center" wrapText="1"/>
    </x:xf>
    <x:xf numFmtId="0" fontId="11" fillId="9" borderId="23" xfId="0" applyNumberFormat="1" applyFont="1" applyFill="1" applyBorder="1" applyAlignment="1">
      <x:alignment horizontal="center" vertical="center" wrapText="1"/>
    </x:xf>
    <x:xf numFmtId="0" fontId="11" fillId="9" borderId="24" xfId="0" applyNumberFormat="1" applyFont="1" applyFill="1" applyBorder="1" applyAlignment="1">
      <x:alignment horizontal="center" vertical="center" wrapText="1"/>
    </x:xf>
    <x:xf numFmtId="0" fontId="11" fillId="9" borderId="25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horizontal="center" vertical="center"/>
    </x:xf>
    <x:xf numFmtId="0" fontId="13" fillId="8" borderId="0" xfId="0" applyNumberFormat="1" applyFont="1" applyFill="1" applyBorder="1" applyAlignment="1">
      <x:alignment vertical="center"/>
    </x:xf>
    <x:xf numFmtId="0" fontId="13" fillId="8" borderId="26" xfId="0" applyNumberFormat="1" applyFont="1" applyFill="1" applyBorder="1" applyAlignment="1">
      <x:alignment vertical="center"/>
    </x:xf>
    <x:xf numFmtId="0" fontId="13" fillId="8" borderId="27" xfId="0" applyNumberFormat="1" applyFont="1" applyFill="1" applyBorder="1" applyAlignment="1">
      <x:alignment vertical="center"/>
    </x:xf>
    <x:xf numFmtId="0" fontId="13" fillId="8" borderId="26" xfId="0" applyNumberFormat="1" applyFont="1" applyFill="1" applyBorder="1" applyAlignment="1">
      <x:alignment horizontal="center" vertical="center"/>
    </x:xf>
    <x:xf numFmtId="0" fontId="13" fillId="8" borderId="27" xfId="0" applyNumberFormat="1" applyFont="1" applyFill="1" applyBorder="1" applyAlignment="1">
      <x:alignment horizontal="center" vertical="center"/>
    </x:xf>
    <x:xf numFmtId="0" fontId="11" fillId="9" borderId="26" xfId="0" applyNumberFormat="1" applyFont="1" applyFill="1" applyBorder="1" applyAlignment="1">
      <x:alignment vertical="center"/>
    </x:xf>
    <x:xf numFmtId="0" fontId="11" fillId="9" borderId="27" xfId="0" applyNumberFormat="1" applyFont="1" applyFill="1" applyBorder="1" applyAlignment="1">
      <x:alignment vertical="center"/>
    </x:xf>
    <x:xf numFmtId="0" fontId="11" fillId="9" borderId="26" xfId="0" applyNumberFormat="1" applyFont="1" applyFill="1" applyBorder="1" applyAlignment="1">
      <x:alignment vertical="center" wrapText="1"/>
    </x:xf>
    <x:xf numFmtId="0" fontId="11" fillId="9" borderId="27" xfId="0" applyNumberFormat="1" applyFont="1" applyFill="1" applyBorder="1" applyAlignment="1">
      <x:alignment vertical="center" wrapText="1"/>
    </x:xf>
    <x:xf numFmtId="0" fontId="11" fillId="9" borderId="26" xfId="0" applyNumberFormat="1" applyFont="1" applyFill="1" applyBorder="1" applyAlignment="1">
      <x:alignment horizontal="center" vertical="center" wrapText="1"/>
    </x:xf>
    <x:xf numFmtId="0" fontId="11" fillId="9" borderId="27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/>
    </x:xf>
    <x:xf numFmtId="0" fontId="3" fillId="8" borderId="4" xfId="0" applyNumberFormat="1" applyFont="1" applyFill="1" applyBorder="1" applyAlignment="1">
      <x:alignment vertical="center"/>
    </x:xf>
    <x:xf numFmtId="0" fontId="3" fillId="8" borderId="5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0" fontId="1" fillId="8" borderId="18" xfId="0" applyNumberFormat="1" applyFont="1" applyFill="1" applyBorder="1" applyAlignment="1">
      <x:alignment vertical="center"/>
    </x:xf>
    <x:xf numFmtId="0" fontId="1" fillId="8" borderId="19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1" fillId="8" borderId="6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8" borderId="18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9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vertical="center" wrapText="1"/>
    </x:xf>
    <x:xf numFmtId="0" fontId="3" fillId="5" borderId="26" xfId="0" applyNumberFormat="1" applyFont="1" applyFill="1" applyBorder="1" applyAlignment="1">
      <x:alignment vertical="center"/>
    </x:xf>
    <x:xf numFmtId="0" fontId="3" fillId="5" borderId="28" xfId="0" applyNumberFormat="1" applyFont="1" applyFill="1" applyBorder="1" applyAlignment="1">
      <x:alignment vertical="center"/>
    </x:xf>
    <x:xf numFmtId="0" fontId="3" fillId="5" borderId="27" xfId="0" applyNumberFormat="1" applyFont="1" applyFill="1" applyBorder="1" applyAlignment="1">
      <x:alignment vertical="center"/>
    </x:xf>
    <x:xf numFmtId="0" fontId="3" fillId="5" borderId="26" xfId="0" applyNumberFormat="1" applyFont="1" applyFill="1" applyBorder="1" applyAlignment="1">
      <x:alignment horizontal="center" vertical="center"/>
    </x:xf>
    <x:xf numFmtId="0" fontId="3" fillId="5" borderId="28" xfId="0" applyNumberFormat="1" applyFont="1" applyFill="1" applyBorder="1" applyAlignment="1">
      <x:alignment horizontal="center" vertical="center"/>
    </x:xf>
    <x:xf numFmtId="0" fontId="3" fillId="5" borderId="27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vertical="center"/>
    </x:xf>
    <x:xf numFmtId="0" fontId="13" fillId="8" borderId="28" xfId="0" applyNumberFormat="1" applyFont="1" applyFill="1" applyBorder="1" applyAlignment="1">
      <x:alignment vertical="center"/>
    </x:xf>
    <x:xf numFmtId="0" fontId="13" fillId="8" borderId="28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 wrapText="1"/>
    </x:xf>
    <x:xf numFmtId="0" fontId="6" fillId="9" borderId="26" xfId="0" applyNumberFormat="1" applyFont="1" applyFill="1" applyBorder="1" applyAlignment="1">
      <x:alignment vertical="center"/>
    </x:xf>
    <x:xf numFmtId="0" fontId="6" fillId="9" borderId="28" xfId="0" applyNumberFormat="1" applyFont="1" applyFill="1" applyBorder="1" applyAlignment="1">
      <x:alignment vertical="center"/>
    </x:xf>
    <x:xf numFmtId="0" fontId="6" fillId="9" borderId="27" xfId="0" applyNumberFormat="1" applyFont="1" applyFill="1" applyBorder="1" applyAlignment="1">
      <x:alignment vertical="center"/>
    </x:xf>
    <x:xf numFmtId="0" fontId="6" fillId="9" borderId="26" xfId="0" applyNumberFormat="1" applyFont="1" applyFill="1" applyBorder="1" applyAlignment="1">
      <x:alignment horizontal="center" vertical="center"/>
    </x:xf>
    <x:xf numFmtId="0" fontId="6" fillId="9" borderId="28" xfId="0" applyNumberFormat="1" applyFont="1" applyFill="1" applyBorder="1" applyAlignment="1">
      <x:alignment horizontal="center" vertical="center"/>
    </x:xf>
    <x:xf numFmtId="0" fontId="6" fillId="9" borderId="27" xfId="0" applyNumberFormat="1" applyFont="1" applyFill="1" applyBorder="1" applyAlignment="1">
      <x:alignment horizontal="center" vertical="center"/>
    </x:xf>
    <x:xf numFmtId="0" fontId="3" fillId="5" borderId="18" xfId="0" applyNumberFormat="1" applyFont="1" applyFill="1" applyBorder="1" applyAlignment="1">
      <x:alignment vertical="center"/>
    </x:xf>
    <x:xf numFmtId="0" fontId="3" fillId="5" borderId="19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3" fillId="5" borderId="2" xfId="0" applyNumberFormat="1" applyFont="1" applyFill="1" applyBorder="1" applyAlignment="1">
      <x:alignment horizontal="left" vertical="center"/>
    </x:xf>
    <x:xf numFmtId="0" fontId="3" fillId="5" borderId="3" xfId="0" applyNumberFormat="1" applyFont="1" applyFill="1" applyBorder="1" applyAlignment="1">
      <x:alignment horizontal="left" vertical="center"/>
    </x:xf>
    <x:xf numFmtId="0" fontId="3" fillId="5" borderId="18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19" xfId="0" applyNumberFormat="1" applyFont="1" applyFill="1" applyBorder="1" applyAlignment="1">
      <x:alignment horizontal="left" vertical="center"/>
    </x:xf>
    <x:xf numFmtId="0" fontId="3" fillId="5" borderId="4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left" vertical="center"/>
    </x:xf>
    <x:xf numFmtId="0" fontId="3" fillId="5" borderId="6" xfId="0" applyNumberFormat="1" applyFont="1" applyFill="1" applyBorder="1" applyAlignment="1">
      <x:alignment horizontal="left" vertical="center"/>
    </x:xf>
    <x:xf numFmtId="0" fontId="13" fillId="8" borderId="1" xfId="0" applyNumberFormat="1" applyFont="1" applyFill="1" applyBorder="1" applyAlignment="1">
      <x:alignment vertical="center"/>
    </x:xf>
    <x:xf numFmtId="0" fontId="13" fillId="8" borderId="3" xfId="0" applyNumberFormat="1" applyFont="1" applyFill="1" applyBorder="1" applyAlignment="1">
      <x:alignment vertical="center"/>
    </x:xf>
    <x:xf numFmtId="0" fontId="13" fillId="8" borderId="4" xfId="0" applyNumberFormat="1" applyFont="1" applyFill="1" applyBorder="1" applyAlignment="1">
      <x:alignment vertical="center"/>
    </x:xf>
    <x:xf numFmtId="0" fontId="13" fillId="8" borderId="6" xfId="0" applyNumberFormat="1" applyFont="1" applyFill="1" applyBorder="1" applyAlignment="1">
      <x:alignment vertical="center"/>
    </x:xf>
    <x:xf numFmtId="0" fontId="13" fillId="8" borderId="1" xfId="0" applyNumberFormat="1" applyFont="1" applyFill="1" applyBorder="1" applyAlignment="1">
      <x:alignment horizontal="center" vertical="center"/>
    </x:xf>
    <x:xf numFmtId="0" fontId="13" fillId="8" borderId="3" xfId="0" applyNumberFormat="1" applyFont="1" applyFill="1" applyBorder="1" applyAlignment="1">
      <x:alignment horizontal="center" vertical="center"/>
    </x:xf>
    <x:xf numFmtId="0" fontId="13" fillId="8" borderId="4" xfId="0" applyNumberFormat="1" applyFont="1" applyFill="1" applyBorder="1" applyAlignment="1">
      <x:alignment horizontal="center" vertical="center"/>
    </x:xf>
    <x:xf numFmtId="0" fontId="13" fillId="8" borderId="6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 applyAlignment="1">
      <x:alignment vertical="center"/>
    </x:xf>
    <x:xf numFmtId="0" fontId="10" fillId="5" borderId="26" xfId="0" applyNumberFormat="1" applyFont="1" applyFill="1" applyBorder="1" applyAlignment="1">
      <x:alignment vertical="center"/>
    </x:xf>
    <x:xf numFmtId="0" fontId="10" fillId="5" borderId="27" xfId="0" applyNumberFormat="1" applyFont="1" applyFill="1" applyBorder="1" applyAlignment="1">
      <x:alignment vertical="center"/>
    </x:xf>
    <x:xf numFmtId="0" fontId="10" fillId="5" borderId="26" xfId="0" applyNumberFormat="1" applyFont="1" applyFill="1" applyBorder="1" applyAlignment="1">
      <x:alignment horizontal="center" vertical="center"/>
    </x:xf>
    <x:xf numFmtId="0" fontId="10" fillId="5" borderId="27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0" fontId="6" fillId="9" borderId="3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/>
    </x:xf>
    <x:xf numFmtId="0" fontId="12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a03cb380a43ea" /><Relationship Type="http://schemas.openxmlformats.org/officeDocument/2006/relationships/theme" Target="/xl/theme/theme1.xml" Id="R9da51830008946e7" /><Relationship Type="http://schemas.openxmlformats.org/officeDocument/2006/relationships/sharedStrings" Target="/xl/sharedStrings.xml" Id="R811b1bccd12547c9" /><Relationship Type="http://schemas.openxmlformats.org/officeDocument/2006/relationships/worksheet" Target="/xl/worksheets/sheet1.xml" Id="R57fa0c625d054dc2" /><Relationship Type="http://schemas.openxmlformats.org/officeDocument/2006/relationships/worksheet" Target="/xl/worksheets/sheet2.xml" Id="Rcff314afc75c4de6" /><Relationship Type="http://schemas.openxmlformats.org/officeDocument/2006/relationships/worksheet" Target="/xl/worksheets/sheet3.xml" Id="Raceab7c4ca614154" /><Relationship Type="http://schemas.openxmlformats.org/officeDocument/2006/relationships/worksheet" Target="/xl/worksheets/sheet4.xml" Id="Rf5facf89498a48d0" /><Relationship Type="http://schemas.openxmlformats.org/officeDocument/2006/relationships/worksheet" Target="/xl/worksheets/sheet5.xml" Id="R60e44b5f998445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TDAT FINANCIAL MODEL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TDAT-FM-FPA-001 · Next 12 months · v1.4.0 · Five visible tabs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98" t="str">
        <x:v>Budget &amp; Rolling Forecast</x:v>
      </x:c>
      <x:c r="B5" s="199"/>
      <x:c r="C5" s="199"/>
      <x:c r="D5" s="199"/>
      <x:c r="E5" s="199"/>
      <x:c r="F5" s="200"/>
      <x:c r="G5" s="57" t="str">
        <x:v>MODEL STATUS</x:v>
      </x:c>
      <x:c r="H5" s="57"/>
    </x:row>
    <x:row r="6" ht="20" customHeight="1">
      <x:c r="A6" s="201"/>
      <x:c r="B6" s="202"/>
      <x:c r="C6" s="202"/>
      <x:c r="D6" s="202"/>
      <x:c r="E6" s="202"/>
      <x:c r="F6" s="203"/>
      <x:c r="G6" s="211" t="str">
        <x:f>'Checks'!B4</x:f>
        <x:v>PASS</x:v>
      </x:c>
      <x:c r="H6" s="212"/>
    </x:row>
    <x:row r="7" ht="20" customHeight="1">
      <x:c r="A7" s="204"/>
      <x:c r="B7" s="205"/>
      <x:c r="C7" s="205"/>
      <x:c r="D7" s="205"/>
      <x:c r="E7" s="205"/>
      <x:c r="F7" s="206"/>
      <x:c r="G7" s="213"/>
      <x:c r="H7" s="214"/>
    </x:row>
    <x:row r="8" ht="20" customHeight="1">
      <x:c r="A8" s="3"/>
      <x:c r="B8" s="3"/>
      <x:c r="C8" s="3"/>
      <x:c r="D8" s="3"/>
      <x:c r="E8" s="3"/>
      <x:c r="F8" s="3"/>
      <x:c r="G8" s="3"/>
      <x:c r="H8" s="3"/>
    </x:row>
    <x:row r="9" ht="20" customHeight="1">
      <x:c r="A9" s="58" t="str">
        <x:v>WHAT THIS MODEL IS FOR</x:v>
      </x:c>
      <x:c r="B9" s="58"/>
      <x:c r="C9" s="58"/>
      <x:c r="D9" s="58"/>
      <x:c r="E9" s="58"/>
      <x:c r="F9" s="58"/>
      <x:c r="G9" s="58"/>
      <x:c r="H9" s="58"/>
    </x:row>
    <x:row r="10" ht="20" customHeight="1">
      <x:c r="A10" s="148" t="str">
        <x:v>Where will the next 12 months land versus budget?</x:v>
      </x:c>
      <x:c r="B10" s="149"/>
      <x:c r="C10" s="149"/>
      <x:c r="D10" s="149"/>
      <x:c r="E10" s="149"/>
      <x:c r="F10" s="149"/>
      <x:c r="G10" s="149"/>
      <x:c r="H10" s="150"/>
    </x:row>
    <x:row r="11" ht="20" customHeight="1">
      <x:c r="A11" s="151"/>
      <x:c r="B11" s="152"/>
      <x:c r="C11" s="152"/>
      <x:c r="D11" s="152"/>
      <x:c r="E11" s="152"/>
      <x:c r="F11" s="152"/>
      <x:c r="G11" s="152"/>
      <x:c r="H11" s="153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58" t="str">
        <x:v>USE IT IN FOUR STEPS</x:v>
      </x:c>
      <x:c r="B13" s="58"/>
      <x:c r="C13" s="58"/>
      <x:c r="D13" s="58"/>
      <x:c r="E13" s="58"/>
      <x:c r="F13" s="58"/>
      <x:c r="G13" s="58"/>
      <x:c r="H13" s="58"/>
    </x:row>
    <x:row r="14" ht="20" customHeight="1">
      <x:c r="A14" s="218" t="str">
        <x:v>1 · INPUTS</x:v>
      </x:c>
      <x:c r="B14" s="219"/>
      <x:c r="C14" s="218" t="str">
        <x:v>2 · MODEL</x:v>
      </x:c>
      <x:c r="D14" s="219"/>
      <x:c r="E14" s="218" t="str">
        <x:v>3 · RESULTS</x:v>
      </x:c>
      <x:c r="F14" s="219"/>
      <x:c r="G14" s="218" t="str">
        <x:v>4 · CHECKS</x:v>
      </x:c>
      <x:c r="H14" s="219"/>
    </x:row>
    <x:row r="15" ht="20" customHeight="1">
      <x:c r="A15" s="220" t="str">
        <x:v>Edit only blue cells</x:v>
      </x:c>
      <x:c r="B15" s="221"/>
      <x:c r="C15" s="220" t="str">
        <x:v>Trace schedules and formulas</x:v>
      </x:c>
      <x:c r="D15" s="221"/>
      <x:c r="E15" s="220" t="str">
        <x:v>Read the linked decision view</x:v>
      </x:c>
      <x:c r="F15" s="221"/>
      <x:c r="G15" s="220" t="str">
        <x:v>Resolve every FAIL</x:v>
      </x:c>
      <x:c r="H15" s="221"/>
    </x:row>
    <x:row r="16" ht="20" customHeight="1">
      <x:c r="A16" s="222"/>
      <x:c r="B16" s="223"/>
      <x:c r="C16" s="222"/>
      <x:c r="D16" s="223"/>
      <x:c r="E16" s="222"/>
      <x:c r="F16" s="223"/>
      <x:c r="G16" s="222"/>
      <x:c r="H16" s="223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</x:row>
    <x:row r="18" ht="20" customHeight="1">
      <x:c r="A18" s="58" t="str">
        <x:v>DEPTH WITHOUT EXTRA TABS</x:v>
      </x:c>
      <x:c r="B18" s="58"/>
      <x:c r="C18" s="58"/>
      <x:c r="D18" s="58"/>
      <x:c r="E18" s="58"/>
      <x:c r="F18" s="58"/>
      <x:c r="G18" s="58"/>
      <x:c r="H18" s="58"/>
    </x:row>
    <x:row r="19" ht="20" customHeight="1">
      <x:c r="A19" s="128" t="str">
        <x:v>Forecast</x:v>
      </x:c>
      <x:c r="B19" s="128"/>
      <x:c r="C19" s="141" t="str">
        <x:v>Next 12 months</x:v>
      </x:c>
      <x:c r="D19" s="141"/>
      <x:c r="E19" s="141"/>
      <x:c r="F19" s="141"/>
      <x:c r="G19" s="141"/>
      <x:c r="H19" s="141"/>
    </x:row>
    <x:row r="20" ht="20" customHeight="1">
      <x:c r="A20" s="128" t="str">
        <x:v>Editable inputs</x:v>
      </x:c>
      <x:c r="B20" s="128"/>
      <x:c r="C20" s="141" t="str">
        <x:v>7</x:v>
      </x:c>
      <x:c r="D20" s="141"/>
      <x:c r="E20" s="141"/>
      <x:c r="F20" s="141"/>
      <x:c r="G20" s="141"/>
      <x:c r="H20" s="141"/>
    </x:row>
    <x:row r="21" ht="20" customHeight="1">
      <x:c r="A21" s="128" t="str">
        <x:v>Visible sheets</x:v>
      </x:c>
      <x:c r="B21" s="128"/>
      <x:c r="C21" s="141" t="str">
        <x:v>5</x:v>
      </x:c>
      <x:c r="D21" s="141"/>
      <x:c r="E21" s="141"/>
      <x:c r="F21" s="141"/>
      <x:c r="G21" s="141"/>
      <x:c r="H21" s="141"/>
    </x:row>
    <x:row r="22" ht="20" customHeight="1">
      <x:c r="A22" s="128" t="str">
        <x:v>Setup</x:v>
      </x:c>
      <x:c r="B22" s="128"/>
      <x:c r="C22" s="141" t="str">
        <x:v>10–15 minutes</x:v>
      </x:c>
      <x:c r="D22" s="141"/>
      <x:c r="E22" s="141"/>
      <x:c r="F22" s="141"/>
      <x:c r="G22" s="141"/>
      <x:c r="H22" s="141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58" t="str">
        <x:v>FIT &amp; SCOPE</x:v>
      </x:c>
      <x:c r="B24" s="58"/>
      <x:c r="C24" s="58"/>
      <x:c r="D24" s="58"/>
      <x:c r="E24" s="58"/>
      <x:c r="F24" s="58"/>
      <x:c r="G24" s="58"/>
      <x:c r="H24" s="58"/>
    </x:row>
    <x:row r="25" ht="20" customHeight="1">
      <x:c r="A25" s="162" t="str">
        <x:v>Included: One 12-month revenue forecast · Revenue and EBITDA budget gaps · A simple operating cash proxy</x:v>
      </x:c>
      <x:c r="B25" s="163"/>
      <x:c r="C25" s="163"/>
      <x:c r="D25" s="163"/>
      <x:c r="E25" s="163"/>
      <x:c r="F25" s="163"/>
      <x:c r="G25" s="163"/>
      <x:c r="H25" s="164"/>
    </x:row>
    <x:row r="26" ht="20" customHeight="1">
      <x:c r="A26" s="168"/>
      <x:c r="B26" s="169"/>
      <x:c r="C26" s="169"/>
      <x:c r="D26" s="169"/>
      <x:c r="E26" s="169"/>
      <x:c r="F26" s="169"/>
      <x:c r="G26" s="169"/>
      <x:c r="H26" s="170"/>
    </x:row>
    <x:row r="27" ht="20" customHeight="1">
      <x:c r="A27" s="230" t="str">
        <x:v>Scope boundary: Monthly source grids, prior year, WAPE, scenarios, sensitivities, and department workflows.</x:v>
      </x:c>
      <x:c r="B27" s="231"/>
      <x:c r="C27" s="231"/>
      <x:c r="D27" s="231"/>
      <x:c r="E27" s="231"/>
      <x:c r="F27" s="231"/>
      <x:c r="G27" s="231"/>
      <x:c r="H27" s="232"/>
    </x:row>
    <x:row r="28" ht="20" customHeight="1">
      <x:c r="A28" s="233"/>
      <x:c r="B28" s="234"/>
      <x:c r="C28" s="234"/>
      <x:c r="D28" s="234"/>
      <x:c r="E28" s="234"/>
      <x:c r="F28" s="234"/>
      <x:c r="G28" s="234"/>
      <x:c r="H28" s="235"/>
    </x:row>
    <x:row r="29" ht="20" customHeight="1">
      <x:c r="A29" s="237" t="str">
        <x:v>Synthetic demonstration only · Tested 2026-08-17 · Excel 365 · Macro-free · No external links</x:v>
      </x:c>
      <x:c r="B29" s="237"/>
      <x:c r="C29" s="237"/>
      <x:c r="D29" s="237"/>
      <x:c r="E29" s="237"/>
      <x:c r="F29" s="237"/>
      <x:c r="G29" s="237"/>
      <x:c r="H29" s="237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57" t="str">
        <x:v>Budget &amp; Rolling Forecast · Start → Inputs → Model → Results → Checks</x:v>
      </x:c>
      <x:c r="B31" s="57"/>
      <x:c r="C31" s="57"/>
      <x:c r="D31" s="57"/>
      <x:c r="E31" s="57"/>
      <x:c r="F31" s="57"/>
      <x:c r="G31" s="57"/>
      <x:c r="H31" s="57"/>
    </x:row>
  </x:sheetData>
  <x:mergeCells>
    <x:mergeCell ref="A1:H2"/>
    <x:mergeCell ref="A3:H3"/>
    <x:mergeCell ref="A5:F7"/>
    <x:mergeCell ref="G5:H5"/>
    <x:mergeCell ref="G6:H7"/>
    <x:mergeCell ref="A9:H9"/>
    <x:mergeCell ref="A10:H11"/>
    <x:mergeCell ref="A13:H13"/>
    <x:mergeCell ref="A14:B14"/>
    <x:mergeCell ref="A15:B16"/>
    <x:mergeCell ref="C14:D14"/>
    <x:mergeCell ref="C15:D16"/>
    <x:mergeCell ref="E14:F14"/>
    <x:mergeCell ref="E15:F16"/>
    <x:mergeCell ref="G14:H14"/>
    <x:mergeCell ref="G15:H16"/>
    <x:mergeCell ref="A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4:H24"/>
    <x:mergeCell ref="A25:H26"/>
    <x:mergeCell ref="A27:H28"/>
    <x:mergeCell ref="A29:H29"/>
    <x:mergeCell ref="A31:H31"/>
  </x:mergeCells>
  <x:conditionalFormatting sqref="G6:H7">
    <x:cfRule type="containsText" dxfId="24" priority="1" operator="containsText" text="FAIL"/>
    <x:cfRule type="containsText" dxfId="25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INPUTS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Budget &amp; Rolling Forecast · Only blue cells are editable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8" t="str">
        <x:v>Change the blue assumptions below. The Model sheet expands them into visible formulas, schedules, and roll-forwards.</x:v>
      </x:c>
      <x:c r="B5" s="19"/>
      <x:c r="C5" s="19"/>
      <x:c r="D5" s="19"/>
      <x:c r="E5" s="19"/>
      <x:c r="F5" s="19"/>
      <x:c r="G5" s="19"/>
      <x:c r="H5" s="20"/>
    </x:row>
    <x:row r="6" ht="20" customHeight="1">
      <x:c r="A6" s="21"/>
      <x:c r="B6" s="22"/>
      <x:c r="C6" s="22"/>
      <x:c r="D6" s="22"/>
      <x:c r="E6" s="22"/>
      <x:c r="F6" s="22"/>
      <x:c r="G6" s="22"/>
      <x:c r="H6" s="23"/>
    </x:row>
    <x:row r="7" ht="20" customHeight="1">
      <x:c r="A7" s="3"/>
      <x:c r="B7" s="3"/>
      <x:c r="C7" s="3"/>
      <x:c r="D7" s="3"/>
      <x:c r="E7" s="3"/>
      <x:c r="F7" s="3"/>
      <x:c r="G7" s="3"/>
      <x:c r="H7" s="3"/>
    </x:row>
    <x:row r="8" ht="20" customHeight="1">
      <x:c r="A8" s="26" t="str">
        <x:v>FORECAST DRIVERS</x:v>
      </x:c>
      <x:c r="B8" s="26"/>
      <x:c r="C8" s="26"/>
      <x:c r="D8" s="26"/>
      <x:c r="E8" s="26"/>
      <x:c r="F8" s="26"/>
      <x:c r="G8" s="26"/>
      <x:c r="H8" s="26"/>
    </x:row>
    <x:row r="9" ht="20" customHeight="1">
      <x:c r="A9" s="28" t="str">
        <x:v>Input</x:v>
      </x:c>
      <x:c r="B9" s="28" t="str">
        <x:v>Value</x:v>
      </x:c>
      <x:c r="C9" s="28" t="str">
        <x:v>Unit</x:v>
      </x:c>
      <x:c r="D9" s="28" t="str">
        <x:v>Purpose</x:v>
      </x:c>
      <x:c r="E9" s="28"/>
      <x:c r="F9" s="28"/>
      <x:c r="G9" s="28"/>
      <x:c r="H9" s="28"/>
    </x:row>
    <x:row r="10" ht="20" customHeight="1">
      <x:c r="A10" s="3" t="str">
        <x:v>Starting monthly revenue</x:v>
      </x:c>
      <x:c r="B10" s="39" t="n">
        <x:v>100</x:v>
      </x:c>
      <x:c r="C10" s="3" t="str">
        <x:v>LCY000</x:v>
      </x:c>
      <x:c r="D10" s="37" t="str">
        <x:v>Latest monthly run rate</x:v>
      </x:c>
      <x:c r="E10" s="38"/>
      <x:c r="F10" s="38"/>
      <x:c r="G10" s="38"/>
      <x:c r="H10" s="38"/>
    </x:row>
    <x:row r="11" ht="20" customHeight="1">
      <x:c r="A11" s="3" t="str">
        <x:v>Monthly revenue growth</x:v>
      </x:c>
      <x:c r="B11" s="42" t="n">
        <x:v>0.03</x:v>
      </x:c>
      <x:c r="C11" s="3" t="str">
        <x:v>%</x:v>
      </x:c>
      <x:c r="D11" s="37" t="str">
        <x:v>One rate for 12 months</x:v>
      </x:c>
      <x:c r="E11" s="38"/>
      <x:c r="F11" s="38"/>
      <x:c r="G11" s="38"/>
      <x:c r="H11" s="38"/>
    </x:row>
    <x:row r="12" ht="20" customHeight="1">
      <x:c r="A12" s="3" t="str">
        <x:v>Gross margin</x:v>
      </x:c>
      <x:c r="B12" s="42" t="n">
        <x:v>0.38</x:v>
      </x:c>
      <x:c r="C12" s="3" t="str">
        <x:v>%</x:v>
      </x:c>
      <x:c r="D12" s="37" t="str">
        <x:v>Revenue after direct cost</x:v>
      </x:c>
      <x:c r="E12" s="38"/>
      <x:c r="F12" s="38"/>
      <x:c r="G12" s="38"/>
      <x:c r="H12" s="38"/>
    </x:row>
    <x:row r="13" ht="20" customHeight="1">
      <x:c r="A13" s="3" t="str">
        <x:v>Opex / revenue</x:v>
      </x:c>
      <x:c r="B13" s="42" t="n">
        <x:v>0.22</x:v>
      </x:c>
      <x:c r="C13" s="3" t="str">
        <x:v>%</x:v>
      </x:c>
      <x:c r="D13" s="37" t="str">
        <x:v>Operating expense rate</x:v>
      </x:c>
      <x:c r="E13" s="38"/>
      <x:c r="F13" s="38"/>
      <x:c r="G13" s="38"/>
      <x:c r="H13" s="38"/>
    </x:row>
    <x:row r="14" ht="20" customHeight="1">
      <x:c r="A14" s="26" t="str">
        <x:v>BUDGET &amp; CASH</x:v>
      </x:c>
      <x:c r="B14" s="26"/>
      <x:c r="C14" s="26"/>
      <x:c r="D14" s="26"/>
      <x:c r="E14" s="26"/>
      <x:c r="F14" s="26"/>
      <x:c r="G14" s="26"/>
      <x:c r="H14" s="26"/>
    </x:row>
    <x:row r="15" ht="20" customHeight="1">
      <x:c r="A15" s="28" t="str">
        <x:v>Input</x:v>
      </x:c>
      <x:c r="B15" s="28" t="str">
        <x:v>Value</x:v>
      </x:c>
      <x:c r="C15" s="28" t="str">
        <x:v>Unit</x:v>
      </x:c>
      <x:c r="D15" s="28" t="str">
        <x:v>Purpose</x:v>
      </x:c>
      <x:c r="E15" s="28"/>
      <x:c r="F15" s="28"/>
      <x:c r="G15" s="28"/>
      <x:c r="H15" s="28"/>
    </x:row>
    <x:row r="16" ht="20" customHeight="1">
      <x:c r="A16" s="3" t="str">
        <x:v>Annual revenue budget</x:v>
      </x:c>
      <x:c r="B16" s="39" t="n">
        <x:v>1329</x:v>
      </x:c>
      <x:c r="C16" s="3" t="str">
        <x:v>LCY000</x:v>
      </x:c>
      <x:c r="D16" s="37" t="str">
        <x:v>Approved full-year target</x:v>
      </x:c>
      <x:c r="E16" s="38"/>
      <x:c r="F16" s="38"/>
      <x:c r="G16" s="38"/>
      <x:c r="H16" s="38"/>
    </x:row>
    <x:row r="17" ht="20" customHeight="1">
      <x:c r="A17" s="3" t="str">
        <x:v>Annual EBITDA budget</x:v>
      </x:c>
      <x:c r="B17" s="39" t="n">
        <x:v>199.8</x:v>
      </x:c>
      <x:c r="C17" s="3" t="str">
        <x:v>LCY000</x:v>
      </x:c>
      <x:c r="D17" s="37" t="str">
        <x:v>Approved full-year target</x:v>
      </x:c>
      <x:c r="E17" s="38"/>
      <x:c r="F17" s="38"/>
      <x:c r="G17" s="38"/>
      <x:c r="H17" s="38"/>
    </x:row>
    <x:row r="18" ht="20" customHeight="1">
      <x:c r="A18" s="3" t="str">
        <x:v>EBITDA cash conversion</x:v>
      </x:c>
      <x:c r="B18" s="42" t="n">
        <x:v>0.72</x:v>
      </x:c>
      <x:c r="C18" s="3" t="str">
        <x:v>%</x:v>
      </x:c>
      <x:c r="D18" s="37" t="str">
        <x:v>EBITDA converted to cash</x:v>
      </x:c>
      <x:c r="E18" s="38"/>
      <x:c r="F18" s="38"/>
      <x:c r="G18" s="38"/>
      <x:c r="H18" s="38"/>
    </x:row>
    <x:row r="19" ht="20" customHeight="1">
      <x:c r="A19" s="3"/>
      <x:c r="B19" s="3"/>
      <x:c r="C19" s="3"/>
      <x:c r="D19" s="3"/>
      <x:c r="E19" s="3"/>
      <x:c r="F19" s="3"/>
      <x:c r="G19" s="3"/>
      <x:c r="H19" s="3"/>
    </x:row>
    <x:row r="20" ht="20" customHeight="1">
      <x:c r="A20" s="51" t="str">
        <x:v>Synthetic example. Replace only the blue values, trace the calculation on Model, then review Results and Checks.</x:v>
      </x:c>
      <x:c r="B20" s="52"/>
      <x:c r="C20" s="52"/>
      <x:c r="D20" s="52"/>
      <x:c r="E20" s="52"/>
      <x:c r="F20" s="52"/>
      <x:c r="G20" s="52"/>
      <x:c r="H20" s="53"/>
    </x:row>
    <x:row r="21" ht="20" customHeight="1">
      <x:c r="A21" s="54"/>
      <x:c r="B21" s="55"/>
      <x:c r="C21" s="55"/>
      <x:c r="D21" s="55"/>
      <x:c r="E21" s="55"/>
      <x:c r="F21" s="55"/>
      <x:c r="G21" s="55"/>
      <x:c r="H21" s="56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3"/>
      <x:c r="B24" s="3"/>
      <x:c r="C24" s="3"/>
      <x:c r="D24" s="3"/>
      <x:c r="E24" s="3"/>
      <x:c r="F24" s="3"/>
      <x:c r="G24" s="3"/>
      <x:c r="H24" s="3"/>
    </x:row>
    <x:row r="25" ht="20" customHeight="1">
      <x:c r="A25" s="57" t="str">
        <x:v>Budget &amp; Rolling Forecast · 7 editable assumptions · v1.4.0</x:v>
      </x:c>
      <x:c r="B25" s="57"/>
      <x:c r="C25" s="57"/>
      <x:c r="D25" s="57"/>
      <x:c r="E25" s="57"/>
      <x:c r="F25" s="57"/>
      <x:c r="G25" s="57"/>
      <x:c r="H25" s="57"/>
    </x:row>
  </x:sheetData>
  <x:mergeCells>
    <x:mergeCell ref="A1:H2"/>
    <x:mergeCell ref="A3:H3"/>
    <x:mergeCell ref="A5:H6"/>
    <x:mergeCell ref="A8:H8"/>
    <x:mergeCell ref="D9:H9"/>
    <x:mergeCell ref="D10:H10"/>
    <x:mergeCell ref="D11:H11"/>
    <x:mergeCell ref="D12:H12"/>
    <x:mergeCell ref="D13:H13"/>
    <x:mergeCell ref="A14:H14"/>
    <x:mergeCell ref="D15:H15"/>
    <x:mergeCell ref="D16:H16"/>
    <x:mergeCell ref="D17:H17"/>
    <x:mergeCell ref="D18:H18"/>
    <x:mergeCell ref="A20:H21"/>
    <x:mergeCell ref="A25:H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7" customHeight="1">
      <x:c r="A1" s="6" t="str">
        <x:v>MODEL DETAIL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7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0" customHeight="1">
      <x:c r="A3" s="9" t="str">
        <x:v>Budget &amp; Rolling Forecast · Twelve-month outlook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 ht="2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20" customHeight="1">
      <x:c r="A5" s="88" t="str">
        <x:v>12M REVENUE</x:v>
      </x:c>
      <x:c r="B5" s="89"/>
      <x:c r="C5" s="88" t="str">
        <x:v>REVENUE GAP</x:v>
      </x:c>
      <x:c r="D5" s="89"/>
      <x:c r="E5" s="88" t="str">
        <x:v>12M EBITDA</x:v>
      </x:c>
      <x:c r="F5" s="89"/>
      <x:c r="G5" s="88" t="str">
        <x:v>EBITDA GAP</x:v>
      </x:c>
      <x:c r="H5" s="89"/>
      <x:c r="I5" s="3"/>
      <x:c r="J5" s="3"/>
      <x:c r="K5" s="3"/>
      <x:c r="L5" s="3"/>
      <x:c r="M5" s="3"/>
    </x:row>
    <x:row r="6" ht="20" customHeight="1">
      <x:c r="A6" s="103" t="n">
        <x:f>B25</x:f>
        <x:v>1461.7790448385476</x:v>
      </x:c>
      <x:c r="B6" s="104"/>
      <x:c r="C6" s="103" t="n">
        <x:f>B26</x:f>
        <x:v>132.77904483854763</x:v>
      </x:c>
      <x:c r="D6" s="104"/>
      <x:c r="E6" s="103" t="n">
        <x:f>B27</x:f>
        <x:v>233.88464717416764</x:v>
      </x:c>
      <x:c r="F6" s="104"/>
      <x:c r="G6" s="103" t="n">
        <x:f>B28</x:f>
        <x:v>34.08464717416763</x:v>
      </x:c>
      <x:c r="H6" s="104"/>
      <x:c r="I6" s="3"/>
      <x:c r="J6" s="3"/>
      <x:c r="K6" s="3"/>
      <x:c r="L6" s="3"/>
      <x:c r="M6" s="3"/>
    </x:row>
    <x:row r="7" ht="20" customHeight="1">
      <x:c r="A7" s="105"/>
      <x:c r="B7" s="106"/>
      <x:c r="C7" s="105"/>
      <x:c r="D7" s="106"/>
      <x:c r="E7" s="105"/>
      <x:c r="F7" s="106"/>
      <x:c r="G7" s="105"/>
      <x:c r="H7" s="106"/>
      <x:c r="I7" s="3"/>
      <x:c r="J7" s="3"/>
      <x:c r="K7" s="3"/>
      <x:c r="L7" s="3"/>
      <x:c r="M7" s="3"/>
    </x:row>
    <x:row r="8" ht="20" customHeight="1">
      <x:c r="A8" s="107"/>
      <x:c r="B8" s="108"/>
      <x:c r="C8" s="107"/>
      <x:c r="D8" s="108"/>
      <x:c r="E8" s="107"/>
      <x:c r="F8" s="108"/>
      <x:c r="G8" s="107"/>
      <x:c r="H8" s="108"/>
      <x:c r="I8" s="3"/>
      <x:c r="J8" s="3"/>
      <x:c r="K8" s="3"/>
      <x:c r="L8" s="3"/>
      <x:c r="M8" s="3"/>
    </x:row>
    <x:row r="9" ht="20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</x:row>
    <x:row r="10" ht="20" customHeight="1">
      <x:c r="A10" s="58" t="str">
        <x:v>MONTHLY FORECAST</x:v>
      </x:c>
      <x:c r="B10" s="58"/>
      <x:c r="C10" s="58"/>
      <x:c r="D10" s="58"/>
      <x:c r="E10" s="58"/>
      <x:c r="F10" s="58"/>
      <x:c r="G10" s="58"/>
      <x:c r="H10" s="58"/>
      <x:c r="I10" s="58"/>
      <x:c r="J10" s="58"/>
      <x:c r="K10" s="58"/>
      <x:c r="L10" s="58"/>
      <x:c r="M10" s="58"/>
    </x:row>
    <x:row r="11" ht="20" customHeight="1">
      <x:c r="A11" s="60" t="str">
        <x:v>Metric</x:v>
      </x:c>
      <x:c r="B11" s="59" t="str">
        <x:v>Jan</x:v>
      </x:c>
      <x:c r="C11" s="59" t="str">
        <x:v>Feb</x:v>
      </x:c>
      <x:c r="D11" s="59" t="str">
        <x:v>Mar</x:v>
      </x:c>
      <x:c r="E11" s="59" t="str">
        <x:v>Apr</x:v>
      </x:c>
      <x:c r="F11" s="59" t="str">
        <x:v>May</x:v>
      </x:c>
      <x:c r="G11" s="59" t="str">
        <x:v>Jun</x:v>
      </x:c>
      <x:c r="H11" s="59" t="str">
        <x:v>Jul</x:v>
      </x:c>
      <x:c r="I11" s="59" t="str">
        <x:v>Aug</x:v>
      </x:c>
      <x:c r="J11" s="59" t="str">
        <x:v>Sep</x:v>
      </x:c>
      <x:c r="K11" s="59" t="str">
        <x:v>Oct</x:v>
      </x:c>
      <x:c r="L11" s="59" t="str">
        <x:v>Nov</x:v>
      </x:c>
      <x:c r="M11" s="59" t="str">
        <x:v>Dec</x:v>
      </x:c>
    </x:row>
    <x:row r="12" ht="20" customHeight="1">
      <x:c r="A12" s="11" t="str">
        <x:v>Forecast revenue</x:v>
      </x:c>
      <x:c r="B12" s="64" t="n">
        <x:f>'Inputs'!$B$10*(1+'Inputs'!$B$11)</x:f>
        <x:v>103</x:v>
      </x:c>
      <x:c r="C12" s="64" t="n">
        <x:f>B12*(1+'Inputs'!$B$11)</x:f>
        <x:v>106.09</x:v>
      </x:c>
      <x:c r="D12" s="64" t="n">
        <x:f>C12*(1+'Inputs'!$B$11)</x:f>
        <x:v>109.2727</x:v>
      </x:c>
      <x:c r="E12" s="64" t="n">
        <x:f>D12*(1+'Inputs'!$B$11)</x:f>
        <x:v>112.550881</x:v>
      </x:c>
      <x:c r="F12" s="64" t="n">
        <x:f>E12*(1+'Inputs'!$B$11)</x:f>
        <x:v>115.92740743</x:v>
      </x:c>
      <x:c r="G12" s="64" t="n">
        <x:f>F12*(1+'Inputs'!$B$11)</x:f>
        <x:v>119.4052296529</x:v>
      </x:c>
      <x:c r="H12" s="64" t="n">
        <x:f>G12*(1+'Inputs'!$B$11)</x:f>
        <x:v>122.987386542487</x:v>
      </x:c>
      <x:c r="I12" s="64" t="n">
        <x:f>H12*(1+'Inputs'!$B$11)</x:f>
        <x:v>126.67700813876162</x:v>
      </x:c>
      <x:c r="J12" s="64" t="n">
        <x:f>I12*(1+'Inputs'!$B$11)</x:f>
        <x:v>130.47731838292447</x:v>
      </x:c>
      <x:c r="K12" s="64" t="n">
        <x:f>J12*(1+'Inputs'!$B$11)</x:f>
        <x:v>134.39163793441222</x:v>
      </x:c>
      <x:c r="L12" s="64" t="n">
        <x:f>K12*(1+'Inputs'!$B$11)</x:f>
        <x:v>138.4233870724446</x:v>
      </x:c>
      <x:c r="M12" s="64" t="n">
        <x:f>L12*(1+'Inputs'!$B$11)</x:f>
        <x:v>142.57608868461793</x:v>
      </x:c>
    </x:row>
    <x:row r="13" ht="20" customHeight="1">
      <x:c r="A13" s="29" t="str">
        <x:v>Budget revenue</x:v>
      </x:c>
      <x:c r="B13" s="68" t="n">
        <x:f>'Inputs'!$B$16/12</x:f>
        <x:v>110.75</x:v>
      </x:c>
      <x:c r="C13" s="68" t="n">
        <x:f>'Inputs'!$B$16/12</x:f>
        <x:v>110.75</x:v>
      </x:c>
      <x:c r="D13" s="68" t="n">
        <x:f>'Inputs'!$B$16/12</x:f>
        <x:v>110.75</x:v>
      </x:c>
      <x:c r="E13" s="68" t="n">
        <x:f>'Inputs'!$B$16/12</x:f>
        <x:v>110.75</x:v>
      </x:c>
      <x:c r="F13" s="68" t="n">
        <x:f>'Inputs'!$B$16/12</x:f>
        <x:v>110.75</x:v>
      </x:c>
      <x:c r="G13" s="68" t="n">
        <x:f>'Inputs'!$B$16/12</x:f>
        <x:v>110.75</x:v>
      </x:c>
      <x:c r="H13" s="68" t="n">
        <x:f>'Inputs'!$B$16/12</x:f>
        <x:v>110.75</x:v>
      </x:c>
      <x:c r="I13" s="68" t="n">
        <x:f>'Inputs'!$B$16/12</x:f>
        <x:v>110.75</x:v>
      </x:c>
      <x:c r="J13" s="68" t="n">
        <x:f>'Inputs'!$B$16/12</x:f>
        <x:v>110.75</x:v>
      </x:c>
      <x:c r="K13" s="68" t="n">
        <x:f>'Inputs'!$B$16/12</x:f>
        <x:v>110.75</x:v>
      </x:c>
      <x:c r="L13" s="68" t="n">
        <x:f>'Inputs'!$B$16/12</x:f>
        <x:v>110.75</x:v>
      </x:c>
      <x:c r="M13" s="68" t="n">
        <x:f>'Inputs'!$B$16/12</x:f>
        <x:v>110.75</x:v>
      </x:c>
    </x:row>
    <x:row r="14" ht="20" customHeight="1">
      <x:c r="A14" s="11" t="str">
        <x:v>Revenue variance</x:v>
      </x:c>
      <x:c r="B14" s="72" t="n">
        <x:f>B12-B13</x:f>
        <x:v>-7.75</x:v>
      </x:c>
      <x:c r="C14" s="72" t="n">
        <x:f>C12-C13</x:f>
        <x:v>-4.659999999999997</x:v>
      </x:c>
      <x:c r="D14" s="72" t="n">
        <x:f>D12-D13</x:f>
        <x:v>-1.4772999999999996</x:v>
      </x:c>
      <x:c r="E14" s="72" t="n">
        <x:f>E12-E13</x:f>
        <x:v>1.800881000000004</x:v>
      </x:c>
      <x:c r="F14" s="72" t="n">
        <x:f>F12-F13</x:f>
        <x:v>5.177407430000002</x:v>
      </x:c>
      <x:c r="G14" s="72" t="n">
        <x:f>G12-G13</x:f>
        <x:v>8.655229652900005</x:v>
      </x:c>
      <x:c r="H14" s="72" t="n">
        <x:f>H12-H13</x:f>
        <x:v>12.237386542487002</x:v>
      </x:c>
      <x:c r="I14" s="72" t="n">
        <x:f>I12-I13</x:f>
        <x:v>15.927008138761622</x:v>
      </x:c>
      <x:c r="J14" s="72" t="n">
        <x:f>J12-J13</x:f>
        <x:v>19.727318382924466</x:v>
      </x:c>
      <x:c r="K14" s="72" t="n">
        <x:f>K12-K13</x:f>
        <x:v>23.641637934412216</x:v>
      </x:c>
      <x:c r="L14" s="72" t="n">
        <x:f>L12-L13</x:f>
        <x:v>27.673387072444598</x:v>
      </x:c>
      <x:c r="M14" s="72" t="n">
        <x:f>M12-M13</x:f>
        <x:v>31.82608868461793</x:v>
      </x:c>
    </x:row>
    <x:row r="15" ht="20" customHeight="1">
      <x:c r="A15" s="29" t="str">
        <x:v>Gross profit</x:v>
      </x:c>
      <x:c r="B15" s="68" t="n">
        <x:f>B12*'Inputs'!$B$12</x:f>
        <x:v>39.14</x:v>
      </x:c>
      <x:c r="C15" s="68" t="n">
        <x:f>C12*'Inputs'!$B$12</x:f>
        <x:v>40.3142</x:v>
      </x:c>
      <x:c r="D15" s="68" t="n">
        <x:f>D12*'Inputs'!$B$12</x:f>
        <x:v>41.523626</x:v>
      </x:c>
      <x:c r="E15" s="68" t="n">
        <x:f>E12*'Inputs'!$B$12</x:f>
        <x:v>42.76933478</x:v>
      </x:c>
      <x:c r="F15" s="68" t="n">
        <x:f>F12*'Inputs'!$B$12</x:f>
        <x:v>44.0524148234</x:v>
      </x:c>
      <x:c r="G15" s="68" t="n">
        <x:f>G12*'Inputs'!$B$12</x:f>
        <x:v>45.373987268102</x:v>
      </x:c>
      <x:c r="H15" s="68" t="n">
        <x:f>H12*'Inputs'!$B$12</x:f>
        <x:v>46.735206886145065</x:v>
      </x:c>
      <x:c r="I15" s="68" t="n">
        <x:f>I12*'Inputs'!$B$12</x:f>
        <x:v>48.13726309272942</x:v>
      </x:c>
      <x:c r="J15" s="68" t="n">
        <x:f>J12*'Inputs'!$B$12</x:f>
        <x:v>49.581380985511295</x:v>
      </x:c>
      <x:c r="K15" s="68" t="n">
        <x:f>K12*'Inputs'!$B$12</x:f>
        <x:v>51.068822415076646</x:v>
      </x:c>
      <x:c r="L15" s="68" t="n">
        <x:f>L12*'Inputs'!$B$12</x:f>
        <x:v>52.600887087528946</x:v>
      </x:c>
      <x:c r="M15" s="68" t="n">
        <x:f>M12*'Inputs'!$B$12</x:f>
        <x:v>54.178913700154816</x:v>
      </x:c>
    </x:row>
    <x:row r="16" ht="20" customHeight="1">
      <x:c r="A16" s="29" t="str">
        <x:v>Operating expense</x:v>
      </x:c>
      <x:c r="B16" s="68" t="n">
        <x:f>-B12*'Inputs'!$B$13</x:f>
        <x:v>-22.66</x:v>
      </x:c>
      <x:c r="C16" s="68" t="n">
        <x:f>-C12*'Inputs'!$B$13</x:f>
        <x:v>-23.3398</x:v>
      </x:c>
      <x:c r="D16" s="68" t="n">
        <x:f>-D12*'Inputs'!$B$13</x:f>
        <x:v>-24.039994</x:v>
      </x:c>
      <x:c r="E16" s="68" t="n">
        <x:f>-E12*'Inputs'!$B$13</x:f>
        <x:v>-24.761193820000003</x:v>
      </x:c>
      <x:c r="F16" s="68" t="n">
        <x:f>-F12*'Inputs'!$B$13</x:f>
        <x:v>-25.504029634600002</x:v>
      </x:c>
      <x:c r="G16" s="68" t="n">
        <x:f>-G12*'Inputs'!$B$13</x:f>
        <x:v>-26.269150523638</x:v>
      </x:c>
      <x:c r="H16" s="68" t="n">
        <x:f>-H12*'Inputs'!$B$13</x:f>
        <x:v>-27.05722503934714</x:v>
      </x:c>
      <x:c r="I16" s="68" t="n">
        <x:f>-I12*'Inputs'!$B$13</x:f>
        <x:v>-27.868941790527558</x:v>
      </x:c>
      <x:c r="J16" s="68" t="n">
        <x:f>-J12*'Inputs'!$B$13</x:f>
        <x:v>-28.705010044243384</x:v>
      </x:c>
      <x:c r="K16" s="68" t="n">
        <x:f>-K12*'Inputs'!$B$13</x:f>
        <x:v>-29.566160345570687</x:v>
      </x:c>
      <x:c r="L16" s="68" t="n">
        <x:f>-L12*'Inputs'!$B$13</x:f>
        <x:v>-30.45314515593781</x:v>
      </x:c>
      <x:c r="M16" s="68" t="n">
        <x:f>-M12*'Inputs'!$B$13</x:f>
        <x:v>-31.366739510615943</x:v>
      </x:c>
    </x:row>
    <x:row r="17" ht="20" customHeight="1">
      <x:c r="A17" s="11" t="str">
        <x:v>Forecast EBITDA</x:v>
      </x:c>
      <x:c r="B17" s="72" t="n">
        <x:f>B15+B16</x:f>
        <x:v>16.48</x:v>
      </x:c>
      <x:c r="C17" s="72" t="n">
        <x:f>C15+C16</x:f>
        <x:v>16.9744</x:v>
      </x:c>
      <x:c r="D17" s="72" t="n">
        <x:f>D15+D16</x:f>
        <x:v>17.483632</x:v>
      </x:c>
      <x:c r="E17" s="72" t="n">
        <x:f>E15+E16</x:f>
        <x:v>18.00814096</x:v>
      </x:c>
      <x:c r="F17" s="72" t="n">
        <x:f>F15+F16</x:f>
        <x:v>18.548385188799998</x:v>
      </x:c>
      <x:c r="G17" s="72" t="n">
        <x:f>G15+G16</x:f>
        <x:v>19.104836744464</x:v>
      </x:c>
      <x:c r="H17" s="72" t="n">
        <x:f>H15+H16</x:f>
        <x:v>19.677981846797923</x:v>
      </x:c>
      <x:c r="I17" s="72" t="n">
        <x:f>I15+I16</x:f>
        <x:v>20.268321302201862</x:v>
      </x:c>
      <x:c r="J17" s="72" t="n">
        <x:f>J15+J16</x:f>
        <x:v>20.87637094126791</x:v>
      </x:c>
      <x:c r="K17" s="72" t="n">
        <x:f>K15+K16</x:f>
        <x:v>21.50266206950596</x:v>
      </x:c>
      <x:c r="L17" s="72" t="n">
        <x:f>L15+L16</x:f>
        <x:v>22.147741931591135</x:v>
      </x:c>
      <x:c r="M17" s="72" t="n">
        <x:f>M15+M16</x:f>
        <x:v>22.812174189538872</x:v>
      </x:c>
    </x:row>
    <x:row r="18" ht="20" customHeight="1">
      <x:c r="A18" s="29" t="str">
        <x:v>Budget EBITDA</x:v>
      </x:c>
      <x:c r="B18" s="68" t="n">
        <x:f>'Inputs'!$B$17/12</x:f>
        <x:v>16.650000000000002</x:v>
      </x:c>
      <x:c r="C18" s="68" t="n">
        <x:f>'Inputs'!$B$17/12</x:f>
        <x:v>16.650000000000002</x:v>
      </x:c>
      <x:c r="D18" s="68" t="n">
        <x:f>'Inputs'!$B$17/12</x:f>
        <x:v>16.650000000000002</x:v>
      </x:c>
      <x:c r="E18" s="68" t="n">
        <x:f>'Inputs'!$B$17/12</x:f>
        <x:v>16.650000000000002</x:v>
      </x:c>
      <x:c r="F18" s="68" t="n">
        <x:f>'Inputs'!$B$17/12</x:f>
        <x:v>16.650000000000002</x:v>
      </x:c>
      <x:c r="G18" s="68" t="n">
        <x:f>'Inputs'!$B$17/12</x:f>
        <x:v>16.650000000000002</x:v>
      </x:c>
      <x:c r="H18" s="68" t="n">
        <x:f>'Inputs'!$B$17/12</x:f>
        <x:v>16.650000000000002</x:v>
      </x:c>
      <x:c r="I18" s="68" t="n">
        <x:f>'Inputs'!$B$17/12</x:f>
        <x:v>16.650000000000002</x:v>
      </x:c>
      <x:c r="J18" s="68" t="n">
        <x:f>'Inputs'!$B$17/12</x:f>
        <x:v>16.650000000000002</x:v>
      </x:c>
      <x:c r="K18" s="68" t="n">
        <x:f>'Inputs'!$B$17/12</x:f>
        <x:v>16.650000000000002</x:v>
      </x:c>
      <x:c r="L18" s="68" t="n">
        <x:f>'Inputs'!$B$17/12</x:f>
        <x:v>16.650000000000002</x:v>
      </x:c>
      <x:c r="M18" s="68" t="n">
        <x:f>'Inputs'!$B$17/12</x:f>
        <x:v>16.650000000000002</x:v>
      </x:c>
    </x:row>
    <x:row r="19" ht="20" customHeight="1">
      <x:c r="A19" s="11" t="str">
        <x:v>EBITDA variance</x:v>
      </x:c>
      <x:c r="B19" s="72" t="n">
        <x:f>B17-B18</x:f>
        <x:v>-0.1700000000000017</x:v>
      </x:c>
      <x:c r="C19" s="72" t="n">
        <x:f>C17-C18</x:f>
        <x:v>0.32439999999999714</x:v>
      </x:c>
      <x:c r="D19" s="72" t="n">
        <x:f>D17-D18</x:f>
        <x:v>0.8336319999999979</x:v>
      </x:c>
      <x:c r="E19" s="72" t="n">
        <x:f>E17-E18</x:f>
        <x:v>1.3581409599999965</x:v>
      </x:c>
      <x:c r="F19" s="72" t="n">
        <x:f>F17-F18</x:f>
        <x:v>1.8983851887999954</x:v>
      </x:c>
      <x:c r="G19" s="72" t="n">
        <x:f>G17-G18</x:f>
        <x:v>2.4548367444639965</x:v>
      </x:c>
      <x:c r="H19" s="72" t="n">
        <x:f>H17-H18</x:f>
        <x:v>3.027981846797921</x:v>
      </x:c>
      <x:c r="I19" s="72" t="n">
        <x:f>I17-I18</x:f>
        <x:v>3.61832130220186</x:v>
      </x:c>
      <x:c r="J19" s="72" t="n">
        <x:f>J17-J18</x:f>
        <x:v>4.226370941267909</x:v>
      </x:c>
      <x:c r="K19" s="72" t="n">
        <x:f>K17-K18</x:f>
        <x:v>4.852662069505957</x:v>
      </x:c>
      <x:c r="L19" s="72" t="n">
        <x:f>L17-L18</x:f>
        <x:v>5.497741931591133</x:v>
      </x:c>
      <x:c r="M19" s="72" t="n">
        <x:f>M17-M18</x:f>
        <x:v>6.16217418953887</x:v>
      </x:c>
    </x:row>
    <x:row r="20" ht="20" customHeight="1">
      <x:c r="A20" s="29" t="str">
        <x:v>Operating cash</x:v>
      </x:c>
      <x:c r="B20" s="68" t="n">
        <x:f>B17*'Inputs'!$B$18</x:f>
        <x:v>11.8656</x:v>
      </x:c>
      <x:c r="C20" s="68" t="n">
        <x:f>C17*'Inputs'!$B$18</x:f>
        <x:v>12.221568</x:v>
      </x:c>
      <x:c r="D20" s="68" t="n">
        <x:f>D17*'Inputs'!$B$18</x:f>
        <x:v>12.58821504</x:v>
      </x:c>
      <x:c r="E20" s="68" t="n">
        <x:f>E17*'Inputs'!$B$18</x:f>
        <x:v>12.965861491199998</x:v>
      </x:c>
      <x:c r="F20" s="68" t="n">
        <x:f>F17*'Inputs'!$B$18</x:f>
        <x:v>13.354837335935997</x:v>
      </x:c>
      <x:c r="G20" s="68" t="n">
        <x:f>G17*'Inputs'!$B$18</x:f>
        <x:v>13.755482456014079</x:v>
      </x:c>
      <x:c r="H20" s="68" t="n">
        <x:f>H17*'Inputs'!$B$18</x:f>
        <x:v>14.168146929694505</x:v>
      </x:c>
      <x:c r="I20" s="68" t="n">
        <x:f>I17*'Inputs'!$B$18</x:f>
        <x:v>14.59319133758534</x:v>
      </x:c>
      <x:c r="J20" s="68" t="n">
        <x:f>J17*'Inputs'!$B$18</x:f>
        <x:v>15.030987077712895</x:v>
      </x:c>
      <x:c r="K20" s="68" t="n">
        <x:f>K17*'Inputs'!$B$18</x:f>
        <x:v>15.48191669004429</x:v>
      </x:c>
      <x:c r="L20" s="68" t="n">
        <x:f>L17*'Inputs'!$B$18</x:f>
        <x:v>15.946374190745617</x:v>
      </x:c>
      <x:c r="M20" s="68" t="n">
        <x:f>M17*'Inputs'!$B$18</x:f>
        <x:v>16.424765416467988</x:v>
      </x:c>
    </x:row>
    <x:row r="21" ht="20" customHeight="1">
      <x:c r="A21" s="11" t="str">
        <x:v>Cumulative operating cash</x:v>
      </x:c>
      <x:c r="B21" s="72" t="n">
        <x:f>B20</x:f>
        <x:v>11.8656</x:v>
      </x:c>
      <x:c r="C21" s="72" t="n">
        <x:f>B21+C20</x:f>
        <x:v>24.087168</x:v>
      </x:c>
      <x:c r="D21" s="72" t="n">
        <x:f>C21+D20</x:f>
        <x:v>36.67538304</x:v>
      </x:c>
      <x:c r="E21" s="72" t="n">
        <x:f>D21+E20</x:f>
        <x:v>49.6412445312</x:v>
      </x:c>
      <x:c r="F21" s="72" t="n">
        <x:f>E21+F20</x:f>
        <x:v>62.996081867136</x:v>
      </x:c>
      <x:c r="G21" s="72" t="n">
        <x:f>F21+G20</x:f>
        <x:v>76.75156432315008</x:v>
      </x:c>
      <x:c r="H21" s="72" t="n">
        <x:f>G21+H20</x:f>
        <x:v>90.91971125284458</x:v>
      </x:c>
      <x:c r="I21" s="72" t="n">
        <x:f>H21+I20</x:f>
        <x:v>105.51290259042992</x:v>
      </x:c>
      <x:c r="J21" s="72" t="n">
        <x:f>I21+J20</x:f>
        <x:v>120.54388966814281</x:v>
      </x:c>
      <x:c r="K21" s="72" t="n">
        <x:f>J21+K20</x:f>
        <x:v>136.0258063581871</x:v>
      </x:c>
      <x:c r="L21" s="72" t="n">
        <x:f>K21+L20</x:f>
        <x:v>151.97218054893273</x:v>
      </x:c>
      <x:c r="M21" s="72" t="n">
        <x:f>L21+M20</x:f>
        <x:v>168.3969459654007</x:v>
      </x:c>
    </x:row>
    <x:row r="22" ht="2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 ht="20" customHeight="1">
      <x:c r="A23" s="58" t="str">
        <x:v>ANNUAL SUMMARY</x:v>
      </x:c>
      <x:c r="B23" s="58"/>
      <x:c r="C23" s="58"/>
      <x:c r="D23" s="58"/>
      <x:c r="E23" s="58"/>
      <x:c r="F23" s="58"/>
      <x:c r="G23" s="58"/>
      <x:c r="H23" s="58"/>
      <x:c r="I23" s="58"/>
      <x:c r="J23" s="58"/>
      <x:c r="K23" s="58"/>
      <x:c r="L23" s="58"/>
      <x:c r="M23" s="58"/>
    </x:row>
    <x:row r="24" ht="20" customHeight="1">
      <x:c r="A24" s="28" t="str">
        <x:v>Metric</x:v>
      </x:c>
      <x:c r="B24" s="28" t="str">
        <x:v>Value</x:v>
      </x:c>
      <x:c r="C24" s="28" t="str">
        <x:v>Unit</x:v>
      </x:c>
      <x:c r="D24" s="73" t="str">
        <x:v>Notes</x:v>
      </x:c>
      <x:c r="E24" s="74"/>
      <x:c r="F24" s="74"/>
      <x:c r="G24" s="74"/>
      <x:c r="H24" s="74"/>
      <x:c r="I24" s="3"/>
      <x:c r="J24" s="3"/>
      <x:c r="K24" s="3"/>
      <x:c r="L24" s="3"/>
      <x:c r="M24" s="3"/>
    </x:row>
    <x:row r="25" ht="20" customHeight="1">
      <x:c r="A25" s="11" t="str">
        <x:v>12-month revenue</x:v>
      </x:c>
      <x:c r="B25" s="72" t="n">
        <x:f>SUM(B12:M12)</x:f>
        <x:v>1461.7790448385476</x:v>
      </x:c>
      <x:c r="C25" s="11" t="str">
        <x:v>LCY000</x:v>
      </x:c>
      <x:c r="D25" s="79" t="str">
        <x:v>Sum of monthly forecast</x:v>
      </x:c>
      <x:c r="E25" s="80"/>
      <x:c r="F25" s="80"/>
      <x:c r="G25" s="80"/>
      <x:c r="H25" s="80"/>
      <x:c r="I25" s="3"/>
      <x:c r="J25" s="3"/>
      <x:c r="K25" s="3"/>
      <x:c r="L25" s="3"/>
      <x:c r="M25" s="3"/>
    </x:row>
    <x:row r="26" ht="20" customHeight="1">
      <x:c r="A26" s="11" t="str">
        <x:v>Revenue vs budget</x:v>
      </x:c>
      <x:c r="B26" s="64" t="n">
        <x:f>B25-'Inputs'!$B$16</x:f>
        <x:v>132.77904483854763</x:v>
      </x:c>
      <x:c r="C26" s="11" t="str">
        <x:v>LCY000</x:v>
      </x:c>
      <x:c r="D26" s="79" t="str">
        <x:v>Positive is favorable</x:v>
      </x:c>
      <x:c r="E26" s="80"/>
      <x:c r="F26" s="80"/>
      <x:c r="G26" s="80"/>
      <x:c r="H26" s="80"/>
      <x:c r="I26" s="3"/>
      <x:c r="J26" s="3"/>
      <x:c r="K26" s="3"/>
      <x:c r="L26" s="3"/>
      <x:c r="M26" s="3"/>
    </x:row>
    <x:row r="27" ht="20" customHeight="1">
      <x:c r="A27" s="11" t="str">
        <x:v>12-month EBITDA</x:v>
      </x:c>
      <x:c r="B27" s="72" t="n">
        <x:f>SUM(B17:M17)</x:f>
        <x:v>233.88464717416764</x:v>
      </x:c>
      <x:c r="C27" s="11" t="str">
        <x:v>LCY000</x:v>
      </x:c>
      <x:c r="D27" s="79" t="str">
        <x:v>Sum of monthly EBITDA</x:v>
      </x:c>
      <x:c r="E27" s="80"/>
      <x:c r="F27" s="80"/>
      <x:c r="G27" s="80"/>
      <x:c r="H27" s="80"/>
      <x:c r="I27" s="3"/>
      <x:c r="J27" s="3"/>
      <x:c r="K27" s="3"/>
      <x:c r="L27" s="3"/>
      <x:c r="M27" s="3"/>
    </x:row>
    <x:row r="28" ht="20" customHeight="1">
      <x:c r="A28" s="11" t="str">
        <x:v>EBITDA vs budget</x:v>
      </x:c>
      <x:c r="B28" s="64" t="n">
        <x:f>B27-'Inputs'!$B$17</x:f>
        <x:v>34.08464717416763</x:v>
      </x:c>
      <x:c r="C28" s="11" t="str">
        <x:v>LCY000</x:v>
      </x:c>
      <x:c r="D28" s="79" t="str">
        <x:v>Positive is favorable</x:v>
      </x:c>
      <x:c r="E28" s="80"/>
      <x:c r="F28" s="80"/>
      <x:c r="G28" s="80"/>
      <x:c r="H28" s="80"/>
      <x:c r="I28" s="3"/>
      <x:c r="J28" s="3"/>
      <x:c r="K28" s="3"/>
      <x:c r="L28" s="3"/>
      <x:c r="M28" s="3"/>
    </x:row>
    <x:row r="29" ht="20" customHeight="1">
      <x:c r="A29" s="29" t="str">
        <x:v>Operating cash</x:v>
      </x:c>
      <x:c r="B29" s="85" t="n">
        <x:f>SUM(B20:M20)</x:f>
        <x:v>168.3969459654007</x:v>
      </x:c>
      <x:c r="C29" s="29" t="str">
        <x:v>LCY000</x:v>
      </x:c>
      <x:c r="D29" s="37" t="str">
        <x:v>Simple cash proxy</x:v>
      </x:c>
      <x:c r="E29" s="38"/>
      <x:c r="F29" s="38"/>
      <x:c r="G29" s="38"/>
      <x:c r="H29" s="38"/>
      <x:c r="I29" s="3"/>
      <x:c r="J29" s="3"/>
      <x:c r="K29" s="3"/>
      <x:c r="L29" s="3"/>
      <x:c r="M29" s="3"/>
    </x:row>
    <x:row r="30" ht="20" customHeight="1">
      <x:c r="A30" s="29" t="str">
        <x:v>Month 12 revenue</x:v>
      </x:c>
      <x:c r="B30" s="85" t="n">
        <x:f>M12</x:f>
        <x:v>142.57608868461793</x:v>
      </x:c>
      <x:c r="C30" s="29" t="str">
        <x:v>LCY000</x:v>
      </x:c>
      <x:c r="D30" s="37" t="str">
        <x:v>Exit run rate</x:v>
      </x:c>
      <x:c r="E30" s="38"/>
      <x:c r="F30" s="38"/>
      <x:c r="G30" s="38"/>
      <x:c r="H30" s="38"/>
      <x:c r="I30" s="3"/>
      <x:c r="J30" s="3"/>
      <x:c r="K30" s="3"/>
      <x:c r="L30" s="3"/>
      <x:c r="M30" s="3"/>
    </x:row>
    <x:row r="31" ht="2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2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2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20" customHeight="1">
      <x:c r="A34" s="122" t="str">
        <x:f>IF(AND(B26&gt;=0,B28&gt;=0),"OUTCOME: Revenue and EBITDA are above budget.",IF(B26&gt;=0,"OUTCOME: Revenue is above budget, but EBITDA is below.","OUTCOME: Revenue is below budget."))</x:f>
        <x:v>OUTCOME: Revenue and EBITDA are above budget.</x:v>
      </x:c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4"/>
    </x:row>
    <x:row r="35" ht="20" customHeight="1">
      <x:c r="A35" s="125"/>
      <x:c r="B35" s="126"/>
      <x:c r="C35" s="126"/>
      <x:c r="D35" s="126"/>
      <x:c r="E35" s="126"/>
      <x:c r="F35" s="126"/>
      <x:c r="G35" s="126"/>
      <x:c r="H35" s="126"/>
      <x:c r="I35" s="126"/>
      <x:c r="J35" s="126"/>
      <x:c r="K35" s="126"/>
      <x:c r="L35" s="126"/>
      <x:c r="M35" s="127"/>
    </x:row>
    <x:row r="36" ht="2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2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20" customHeight="1">
      <x:c r="A38" s="57" t="str">
        <x:v>Budget &amp; Rolling Forecast · v1.4.0</x:v>
      </x:c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</x:row>
  </x:sheetData>
  <x:mergeCells>
    <x:mergeCell ref="A1:M2"/>
    <x:mergeCell ref="A3:M3"/>
    <x:mergeCell ref="A10:M10"/>
    <x:mergeCell ref="A23:M23"/>
    <x:mergeCell ref="D24:H24"/>
    <x:mergeCell ref="D25:H25"/>
    <x:mergeCell ref="D26:H26"/>
    <x:mergeCell ref="D27:H27"/>
    <x:mergeCell ref="D28:H28"/>
    <x:mergeCell ref="D29:H29"/>
    <x:mergeCell ref="D30:H30"/>
    <x:mergeCell ref="A5:B5"/>
    <x:mergeCell ref="A6:B8"/>
    <x:mergeCell ref="C5:D5"/>
    <x:mergeCell ref="C6:D8"/>
    <x:mergeCell ref="E5:F5"/>
    <x:mergeCell ref="E6:F8"/>
    <x:mergeCell ref="G5:H5"/>
    <x:mergeCell ref="G6:H8"/>
    <x:mergeCell ref="A34:M35"/>
    <x:mergeCell ref="A38:M3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RESULTS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Budget &amp; Rolling Forecast · Decision view linked to the detailed Model sheet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88" t="str">
        <x:v>12M REVENUE</x:v>
      </x:c>
      <x:c r="B5" s="89"/>
      <x:c r="C5" s="88" t="str">
        <x:v>REVENUE GAP</x:v>
      </x:c>
      <x:c r="D5" s="89"/>
      <x:c r="E5" s="88" t="str">
        <x:v>12M EBITDA</x:v>
      </x:c>
      <x:c r="F5" s="89"/>
      <x:c r="G5" s="88" t="str">
        <x:v>EBITDA GAP</x:v>
      </x:c>
      <x:c r="H5" s="89"/>
    </x:row>
    <x:row r="6" ht="20" customHeight="1">
      <x:c r="A6" s="103" t="n">
        <x:f>'Model'!A6</x:f>
        <x:v>1461.7790448385476</x:v>
      </x:c>
      <x:c r="B6" s="104"/>
      <x:c r="C6" s="103" t="n">
        <x:f>'Model'!C6</x:f>
        <x:v>132.77904483854763</x:v>
      </x:c>
      <x:c r="D6" s="104"/>
      <x:c r="E6" s="103" t="n">
        <x:f>'Model'!E6</x:f>
        <x:v>233.88464717416764</x:v>
      </x:c>
      <x:c r="F6" s="104"/>
      <x:c r="G6" s="103" t="n">
        <x:f>'Model'!G6</x:f>
        <x:v>34.08464717416763</x:v>
      </x:c>
      <x:c r="H6" s="104"/>
    </x:row>
    <x:row r="7" ht="20" customHeight="1">
      <x:c r="A7" s="105"/>
      <x:c r="B7" s="106"/>
      <x:c r="C7" s="105"/>
      <x:c r="D7" s="106"/>
      <x:c r="E7" s="105"/>
      <x:c r="F7" s="106"/>
      <x:c r="G7" s="105"/>
      <x:c r="H7" s="106"/>
    </x:row>
    <x:row r="8" ht="20" customHeight="1">
      <x:c r="A8" s="107"/>
      <x:c r="B8" s="108"/>
      <x:c r="C8" s="107"/>
      <x:c r="D8" s="108"/>
      <x:c r="E8" s="107"/>
      <x:c r="F8" s="108"/>
      <x:c r="G8" s="107"/>
      <x:c r="H8" s="108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58" t="str">
        <x:v>DECISION VIEW</x:v>
      </x:c>
      <x:c r="B10" s="58"/>
      <x:c r="C10" s="58"/>
      <x:c r="D10" s="58"/>
      <x:c r="E10" s="58"/>
      <x:c r="F10" s="58"/>
      <x:c r="G10" s="58"/>
      <x:c r="H10" s="58"/>
    </x:row>
    <x:row r="11" ht="34" customHeight="1">
      <x:c r="A11" s="129" t="str">
        <x:v>CALCULATION STATUS</x:v>
      </x:c>
      <x:c r="B11" s="129"/>
      <x:c r="C11" s="133" t="str">
        <x:f>'Checks'!B4</x:f>
        <x:v>PASS</x:v>
      </x:c>
      <x:c r="D11" s="134"/>
      <x:c r="E11" s="129" t="str">
        <x:v>BUDGET OUTCOME</x:v>
      </x:c>
      <x:c r="F11" s="129"/>
      <x:c r="G11" s="139" t="str">
        <x:f>'Model'!A34</x:f>
        <x:v>OUTCOME: Revenue and EBITDA are above budget.</x:v>
      </x:c>
      <x:c r="H11" s="140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58" t="str">
        <x:v>WHAT IT ANSWERS</x:v>
      </x:c>
      <x:c r="B13" s="58"/>
      <x:c r="C13" s="58"/>
      <x:c r="D13" s="58"/>
      <x:c r="E13" s="58"/>
      <x:c r="F13" s="58"/>
      <x:c r="G13" s="58"/>
      <x:c r="H13" s="58"/>
    </x:row>
    <x:row r="14" ht="20" customHeight="1">
      <x:c r="A14" s="148" t="str">
        <x:v>Where will the next 12 months land versus budget?</x:v>
      </x:c>
      <x:c r="B14" s="149"/>
      <x:c r="C14" s="149"/>
      <x:c r="D14" s="149"/>
      <x:c r="E14" s="149"/>
      <x:c r="F14" s="149"/>
      <x:c r="G14" s="149"/>
      <x:c r="H14" s="150"/>
    </x:row>
    <x:row r="15" ht="20" customHeight="1">
      <x:c r="A15" s="151"/>
      <x:c r="B15" s="152"/>
      <x:c r="C15" s="152"/>
      <x:c r="D15" s="152"/>
      <x:c r="E15" s="152"/>
      <x:c r="F15" s="152"/>
      <x:c r="G15" s="152"/>
      <x:c r="H15" s="153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</x:row>
    <x:row r="17" ht="20" customHeight="1">
      <x:c r="A17" s="58" t="str">
        <x:v>MODEL DEPTH</x:v>
      </x:c>
      <x:c r="B17" s="58"/>
      <x:c r="C17" s="58"/>
      <x:c r="D17" s="58"/>
      <x:c r="E17" s="58"/>
      <x:c r="F17" s="58"/>
      <x:c r="G17" s="58"/>
      <x:c r="H17" s="58"/>
    </x:row>
    <x:row r="18" ht="20" customHeight="1">
      <x:c r="A18" s="128" t="str">
        <x:v>Forecast</x:v>
      </x:c>
      <x:c r="B18" s="128"/>
      <x:c r="C18" s="141" t="str">
        <x:v>Next 12 months</x:v>
      </x:c>
      <x:c r="D18" s="141"/>
      <x:c r="E18" s="141"/>
      <x:c r="F18" s="141"/>
      <x:c r="G18" s="141"/>
      <x:c r="H18" s="141"/>
    </x:row>
    <x:row r="19" ht="20" customHeight="1">
      <x:c r="A19" s="128" t="str">
        <x:v>Editable inputs</x:v>
      </x:c>
      <x:c r="B19" s="128"/>
      <x:c r="C19" s="141" t="str">
        <x:v>7</x:v>
      </x:c>
      <x:c r="D19" s="141"/>
      <x:c r="E19" s="141"/>
      <x:c r="F19" s="141"/>
      <x:c r="G19" s="141"/>
      <x:c r="H19" s="141"/>
    </x:row>
    <x:row r="20" ht="20" customHeight="1">
      <x:c r="A20" s="128" t="str">
        <x:v>Calculation detail</x:v>
      </x:c>
      <x:c r="B20" s="128"/>
      <x:c r="C20" s="141" t="str">
        <x:v>Visible formulas, schedules, roll-forwards, and bridges</x:v>
      </x:c>
      <x:c r="D20" s="141"/>
      <x:c r="E20" s="141"/>
      <x:c r="F20" s="141"/>
      <x:c r="G20" s="141"/>
      <x:c r="H20" s="141"/>
    </x:row>
    <x:row r="21" ht="20" customHeight="1">
      <x:c r="A21" s="128" t="str">
        <x:v>Workbook flow</x:v>
      </x:c>
      <x:c r="B21" s="128"/>
      <x:c r="C21" s="141" t="str">
        <x:v>Start → Inputs → Model → Results → Checks</x:v>
      </x:c>
      <x:c r="D21" s="141"/>
      <x:c r="E21" s="141"/>
      <x:c r="F21" s="141"/>
      <x:c r="G21" s="141"/>
      <x:c r="H21" s="141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58" t="str">
        <x:v>SCOPE</x:v>
      </x:c>
      <x:c r="B23" s="58"/>
      <x:c r="C23" s="58"/>
      <x:c r="D23" s="58"/>
      <x:c r="E23" s="58"/>
      <x:c r="F23" s="58"/>
      <x:c r="G23" s="58"/>
      <x:c r="H23" s="58"/>
    </x:row>
    <x:row r="24" ht="20" customHeight="1">
      <x:c r="A24" s="162" t="str">
        <x:v>Included: One 12-month revenue forecast · Revenue and EBITDA budget gaps · A simple operating cash proxy</x:v>
      </x:c>
      <x:c r="B24" s="163"/>
      <x:c r="C24" s="163"/>
      <x:c r="D24" s="163"/>
      <x:c r="E24" s="163"/>
      <x:c r="F24" s="163"/>
      <x:c r="G24" s="163"/>
      <x:c r="H24" s="164"/>
    </x:row>
    <x:row r="25" ht="20" customHeight="1">
      <x:c r="A25" s="165"/>
      <x:c r="B25" s="166"/>
      <x:c r="C25" s="166"/>
      <x:c r="D25" s="166"/>
      <x:c r="E25" s="166"/>
      <x:c r="F25" s="166"/>
      <x:c r="G25" s="166"/>
      <x:c r="H25" s="167"/>
    </x:row>
    <x:row r="26" ht="20" customHeight="1">
      <x:c r="A26" s="168"/>
      <x:c r="B26" s="169"/>
      <x:c r="C26" s="169"/>
      <x:c r="D26" s="169"/>
      <x:c r="E26" s="169"/>
      <x:c r="F26" s="169"/>
      <x:c r="G26" s="169"/>
      <x:c r="H26" s="170"/>
    </x:row>
    <x:row r="27" ht="20" customHeight="1">
      <x:c r="A27" s="51" t="str">
        <x:v>Outside this model: Monthly source grids, prior year, WAPE, scenarios, sensitivities, and department workflows.</x:v>
      </x:c>
      <x:c r="B27" s="52"/>
      <x:c r="C27" s="52"/>
      <x:c r="D27" s="52"/>
      <x:c r="E27" s="52"/>
      <x:c r="F27" s="52"/>
      <x:c r="G27" s="52"/>
      <x:c r="H27" s="53"/>
    </x:row>
    <x:row r="28" ht="20" customHeight="1">
      <x:c r="A28" s="54"/>
      <x:c r="B28" s="55"/>
      <x:c r="C28" s="55"/>
      <x:c r="D28" s="55"/>
      <x:c r="E28" s="55"/>
      <x:c r="F28" s="55"/>
      <x:c r="G28" s="55"/>
      <x:c r="H28" s="56"/>
    </x:row>
    <x:row r="29" ht="20" customHeight="1">
      <x:c r="A29" s="174" t="str">
        <x:v>Five visible tabs · No hidden calculations · Calculation status and business outcome are reported separately.</x:v>
      </x:c>
      <x:c r="B29" s="175"/>
      <x:c r="C29" s="175"/>
      <x:c r="D29" s="175"/>
      <x:c r="E29" s="175"/>
      <x:c r="F29" s="175"/>
      <x:c r="G29" s="175"/>
      <x:c r="H29" s="176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57" t="str">
        <x:v>Budget &amp; Rolling Forecast · v1.4.0 · Linked summary only · Trace all formulas on Model</x:v>
      </x:c>
      <x:c r="B31" s="57"/>
      <x:c r="C31" s="57"/>
      <x:c r="D31" s="57"/>
      <x:c r="E31" s="57"/>
      <x:c r="F31" s="57"/>
      <x:c r="G31" s="57"/>
      <x:c r="H31" s="57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A11:B11"/>
    <x:mergeCell ref="C11:D11"/>
    <x:mergeCell ref="E11:F11"/>
    <x:mergeCell ref="G11:H11"/>
    <x:mergeCell ref="A13:H13"/>
    <x:mergeCell ref="A14:H15"/>
    <x:mergeCell ref="A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3:H23"/>
    <x:mergeCell ref="A24:H26"/>
    <x:mergeCell ref="A27:H28"/>
    <x:mergeCell ref="A29:H29"/>
    <x:mergeCell ref="A31:H31"/>
  </x:mergeCells>
  <x:conditionalFormatting sqref="C11:D11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3" hidden="0" customWidth="1"/>
    <x:col min="8" max="8" width="16" hidden="0" customWidth="1"/>
  </x:cols>
  <x:sheetData>
    <x:row r="1" ht="27" customHeight="1">
      <x:c r="A1" s="6" t="str">
        <x:v>CHECKS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Budget &amp; Rolling Forecast · Calculation controls only; business outcomes are shown separately</x:v>
      </x:c>
      <x:c r="B3" s="9"/>
      <x:c r="C3" s="9"/>
      <x:c r="D3" s="9"/>
      <x:c r="E3" s="9"/>
      <x:c r="F3" s="9"/>
      <x:c r="G3" s="9"/>
      <x:c r="H3" s="9"/>
    </x:row>
    <x:row r="4" ht="12" customHeight="1">
      <x:c r="A4" s="3"/>
      <x:c r="B4" s="177" t="str">
        <x:f>IF(COUNTIF(F9:F18,"PASS")=10,"PASS","FAIL")</x:f>
        <x:v>PASS</x:v>
      </x:c>
      <x:c r="C4" s="177"/>
      <x:c r="D4" s="177"/>
      <x:c r="E4" s="177"/>
      <x:c r="F4" s="177"/>
      <x:c r="G4" s="177"/>
      <x:c r="H4" s="177"/>
    </x:row>
    <x:row r="5" ht="20" customHeight="1">
      <x:c r="A5" s="57" t="str">
        <x:v>MODEL STATUS</x:v>
      </x:c>
      <x:c r="B5" s="57"/>
      <x:c r="C5" s="133" t="str">
        <x:f>B4</x:f>
        <x:v>PASS</x:v>
      </x:c>
      <x:c r="D5" s="179"/>
      <x:c r="E5" s="179"/>
      <x:c r="F5" s="179"/>
      <x:c r="G5" s="179"/>
      <x:c r="H5" s="134"/>
    </x:row>
    <x:row r="6" ht="20" customHeight="1">
      <x:c r="A6" s="3"/>
      <x:c r="B6" s="3"/>
      <x:c r="C6" s="3"/>
      <x:c r="D6" s="3"/>
      <x:c r="E6" s="3"/>
      <x:c r="F6" s="3"/>
      <x:c r="G6" s="3"/>
      <x:c r="H6" s="3"/>
    </x:row>
    <x:row r="7" ht="20" customHeight="1">
      <x:c r="A7" s="58" t="str">
        <x:v>10 CALCULATION CONTROLS</x:v>
      </x:c>
      <x:c r="B7" s="58"/>
      <x:c r="C7" s="58"/>
      <x:c r="D7" s="58"/>
      <x:c r="E7" s="58"/>
      <x:c r="F7" s="58"/>
      <x:c r="G7" s="58"/>
      <x:c r="H7" s="58"/>
    </x:row>
    <x:row r="8" ht="20" customHeight="1">
      <x:c r="A8" s="28" t="str">
        <x:v>Control</x:v>
      </x:c>
      <x:c r="B8" s="28" t="str">
        <x:v>Actual</x:v>
      </x:c>
      <x:c r="C8" s="28" t="str">
        <x:v>Expected</x:v>
      </x:c>
      <x:c r="D8" s="28" t="str">
        <x:v>Difference</x:v>
      </x:c>
      <x:c r="E8" s="28" t="str">
        <x:v>Tolerance</x:v>
      </x:c>
      <x:c r="F8" s="28" t="str">
        <x:v>Status</x:v>
      </x:c>
      <x:c r="G8" s="28" t="str">
        <x:v>Where to fix</x:v>
      </x:c>
      <x:c r="H8" s="28"/>
    </x:row>
    <x:row r="9" ht="26" customHeight="1">
      <x:c r="A9" s="166" t="str">
        <x:v>All editable inputs are numeric</x:v>
      </x:c>
      <x:c r="B9" s="182" t="n">
        <x:f>ROUND(COUNT('Inputs'!B10,'Inputs'!B11,'Inputs'!B12,'Inputs'!B13,'Inputs'!B16,'Inputs'!B17,'Inputs'!B18),6)</x:f>
        <x:v>7</x:v>
      </x:c>
      <x:c r="C9" s="182" t="n">
        <x:f>7</x:f>
        <x:v>7</x:v>
      </x:c>
      <x:c r="D9" s="182" t="n">
        <x:f>ROUND(B9-C9,6)</x:f>
        <x:v>0</x:v>
      </x:c>
      <x:c r="E9" s="182" t="n">
        <x:f>0</x:f>
        <x:v>0</x:v>
      </x:c>
      <x:c r="F9" s="183" t="str">
        <x:f>IF(ABS(ROUND(D9,6))&lt;=E9,"PASS","FAIL")</x:f>
        <x:v>PASS</x:v>
      </x:c>
      <x:c r="G9" s="166" t="str">
        <x:v>Complete the blue cells on Inputs</x:v>
      </x:c>
      <x:c r="H9" s="166"/>
    </x:row>
    <x:row r="10" ht="26" customHeight="1">
      <x:c r="A10" s="166" t="str">
        <x:v>Results headline KPIs reconcile to Model</x:v>
      </x:c>
      <x:c r="B10" s="186" t="n">
        <x:f>ROUND(IFERROR(SUM(ABS('Results'!A6-'Model'!A6),ABS('Results'!C6-'Model'!C6),ABS('Results'!E6-'Model'!E6),ABS('Results'!G6-'Model'!G6)),1E+99),6)</x:f>
        <x:v>0</x:v>
      </x:c>
      <x:c r="C10" s="186" t="n">
        <x:f>0</x:f>
        <x:v>0</x:v>
      </x:c>
      <x:c r="D10" s="186" t="n">
        <x:f>ROUND(B10-C10,6)</x:f>
        <x:v>0</x:v>
      </x:c>
      <x:c r="E10" s="186" t="n">
        <x:f>0.0001</x:f>
        <x:v>0.0001</x:v>
      </x:c>
      <x:c r="F10" s="183" t="str">
        <x:f>IF(ABS(ROUND(D10,6))&lt;=E10,"PASS","FAIL")</x:f>
        <x:v>PASS</x:v>
      </x:c>
      <x:c r="G10" s="166" t="str">
        <x:v>Review Results-to-Model links</x:v>
      </x:c>
      <x:c r="H10" s="166"/>
    </x:row>
    <x:row r="11" ht="26" customHeight="1">
      <x:c r="A11" s="166" t="str">
        <x:v>Forecast inputs are valid</x:v>
      </x:c>
      <x:c r="B11" s="186" t="n">
        <x:f>ROUND(IF(AND('Inputs'!$B$10&gt;=0,'Inputs'!$B$11&gt;-1,'Inputs'!$B$11&lt;=1,'Inputs'!$B$12&gt;=0,'Inputs'!$B$12&lt;=1,'Inputs'!$B$13&gt;=0,'Inputs'!$B$13&lt;=1,'Inputs'!$B$16&gt;=0,'Inputs'!$B$17&gt;=0,'Inputs'!$B$18&gt;=0,'Inputs'!$B$18&lt;=1),1,0),6)</x:f>
        <x:v>1</x:v>
      </x:c>
      <x:c r="C11" s="186" t="n">
        <x:f>1</x:f>
        <x:v>1</x:v>
      </x:c>
      <x:c r="D11" s="186" t="n">
        <x:f>ROUND(B11-C11,6)</x:f>
        <x:v>0</x:v>
      </x:c>
      <x:c r="E11" s="186" t="n">
        <x:f>0.0001</x:f>
        <x:v>0.0001</x:v>
      </x:c>
      <x:c r="F11" s="183" t="str">
        <x:f>IF(ABS(ROUND(D11,6))&lt;=E11,"PASS","FAIL")</x:f>
        <x:v>PASS</x:v>
      </x:c>
      <x:c r="G11" s="166" t="str">
        <x:v>Inputs: forecast and budget drivers</x:v>
      </x:c>
      <x:c r="H11" s="166"/>
    </x:row>
    <x:row r="12" ht="26" customHeight="1">
      <x:c r="A12" s="166" t="str">
        <x:v>Revenue roll-forward is consistent</x:v>
      </x:c>
      <x:c r="B12" s="189" t="n">
        <x:f>ROUND(MAX(ABS('Model'!B12-'Inputs'!$B$10*(1+'Inputs'!$B$11)),ABS('Model'!C12-'Model'!B12*(1+'Inputs'!$B$11)),ABS('Model'!D12-'Model'!C12*(1+'Inputs'!$B$11)),ABS('Model'!E12-'Model'!D12*(1+'Inputs'!$B$11)),ABS('Model'!F12-'Model'!E12*(1+'Inputs'!$B$11)),ABS('Model'!G12-'Model'!F12*(1+'Inputs'!$B$11)),ABS('Model'!H12-'Model'!G12*(1+'Inputs'!$B$11)),ABS('Model'!I12-'Model'!H12*(1+'Inputs'!$B$11)),ABS('Model'!J12-'Model'!I12*(1+'Inputs'!$B$11)),ABS('Model'!K12-'Model'!J12*(1+'Inputs'!$B$11)),ABS('Model'!L12-'Model'!K12*(1+'Inputs'!$B$11)),ABS('Model'!M12-'Model'!L12*(1+'Inputs'!$B$11))),6)</x:f>
        <x:v>0</x:v>
      </x:c>
      <x:c r="C12" s="189" t="n">
        <x:f>0</x:f>
        <x:v>0</x:v>
      </x:c>
      <x:c r="D12" s="189" t="n">
        <x:f>ROUND(B12-C12,6)</x:f>
        <x:v>0</x:v>
      </x:c>
      <x:c r="E12" s="189" t="n">
        <x:f>0.0001</x:f>
        <x:v>0.0001</x:v>
      </x:c>
      <x:c r="F12" s="183" t="str">
        <x:f>IF(ABS(ROUND(D12,6))&lt;=E12,"PASS","FAIL")</x:f>
        <x:v>PASS</x:v>
      </x:c>
      <x:c r="G12" s="166" t="str">
        <x:v>Model: monthly revenue</x:v>
      </x:c>
      <x:c r="H12" s="166"/>
    </x:row>
    <x:row r="13" ht="26" customHeight="1">
      <x:c r="A13" s="166" t="str">
        <x:v>Monthly gross profit ties</x:v>
      </x:c>
      <x:c r="B13" s="189" t="n">
        <x:f>ROUND(MAX(ABS('Model'!B15-'Model'!B12*'Inputs'!$B$12),ABS('Model'!C15-'Model'!C12*'Inputs'!$B$12),ABS('Model'!D15-'Model'!D12*'Inputs'!$B$12),ABS('Model'!E15-'Model'!E12*'Inputs'!$B$12),ABS('Model'!F15-'Model'!F12*'Inputs'!$B$12),ABS('Model'!G15-'Model'!G12*'Inputs'!$B$12),ABS('Model'!H15-'Model'!H12*'Inputs'!$B$12),ABS('Model'!I15-'Model'!I12*'Inputs'!$B$12),ABS('Model'!J15-'Model'!J12*'Inputs'!$B$12),ABS('Model'!K15-'Model'!K12*'Inputs'!$B$12),ABS('Model'!L15-'Model'!L12*'Inputs'!$B$12),ABS('Model'!M15-'Model'!M12*'Inputs'!$B$12)),6)</x:f>
        <x:v>0</x:v>
      </x:c>
      <x:c r="C13" s="189" t="n">
        <x:f>0</x:f>
        <x:v>0</x:v>
      </x:c>
      <x:c r="D13" s="189" t="n">
        <x:f>ROUND(B13-C13,6)</x:f>
        <x:v>0</x:v>
      </x:c>
      <x:c r="E13" s="189" t="n">
        <x:f>0.0001</x:f>
        <x:v>0.0001</x:v>
      </x:c>
      <x:c r="F13" s="183" t="str">
        <x:f>IF(ABS(ROUND(D13,6))&lt;=E13,"PASS","FAIL")</x:f>
        <x:v>PASS</x:v>
      </x:c>
      <x:c r="G13" s="166" t="str">
        <x:v>Model: gross profit</x:v>
      </x:c>
      <x:c r="H13" s="166"/>
    </x:row>
    <x:row r="14" ht="26" customHeight="1">
      <x:c r="A14" s="166" t="str">
        <x:v>Monthly EBITDA bridge ties</x:v>
      </x:c>
      <x:c r="B14" s="189" t="n">
        <x:f>ROUND(MAX(ABS('Model'!B17-('Model'!B15+'Model'!B16)),ABS('Model'!C17-('Model'!C15+'Model'!C16)),ABS('Model'!D17-('Model'!D15+'Model'!D16)),ABS('Model'!E17-('Model'!E15+'Model'!E16)),ABS('Model'!F17-('Model'!F15+'Model'!F16)),ABS('Model'!G17-('Model'!G15+'Model'!G16)),ABS('Model'!H17-('Model'!H15+'Model'!H16)),ABS('Model'!I17-('Model'!I15+'Model'!I16)),ABS('Model'!J17-('Model'!J15+'Model'!J16)),ABS('Model'!K17-('Model'!K15+'Model'!K16)),ABS('Model'!L17-('Model'!L15+'Model'!L16)),ABS('Model'!M17-('Model'!M15+'Model'!M16))),6)</x:f>
        <x:v>0</x:v>
      </x:c>
      <x:c r="C14" s="189" t="n">
        <x:f>0</x:f>
        <x:v>0</x:v>
      </x:c>
      <x:c r="D14" s="189" t="n">
        <x:f>ROUND(B14-C14,6)</x:f>
        <x:v>0</x:v>
      </x:c>
      <x:c r="E14" s="189" t="n">
        <x:f>0.0001</x:f>
        <x:v>0.0001</x:v>
      </x:c>
      <x:c r="F14" s="183" t="str">
        <x:f>IF(ABS(ROUND(D14,6))&lt;=E14,"PASS","FAIL")</x:f>
        <x:v>PASS</x:v>
      </x:c>
      <x:c r="G14" s="166" t="str">
        <x:v>Model: EBITDA</x:v>
      </x:c>
      <x:c r="H14" s="166"/>
    </x:row>
    <x:row r="15" ht="26" customHeight="1">
      <x:c r="A15" s="166" t="str">
        <x:v>Annual revenue and gap tie</x:v>
      </x:c>
      <x:c r="B15" s="189" t="n">
        <x:f>ROUND(ABS('Model'!B25-SUM('Model'!B12:M12))+ABS('Model'!B26-('Model'!B25-'Inputs'!$B$16)),6)</x:f>
        <x:v>0</x:v>
      </x:c>
      <x:c r="C15" s="189" t="n">
        <x:f>0</x:f>
        <x:v>0</x:v>
      </x:c>
      <x:c r="D15" s="189" t="n">
        <x:f>ROUND(B15-C15,6)</x:f>
        <x:v>0</x:v>
      </x:c>
      <x:c r="E15" s="189" t="n">
        <x:f>0.0001</x:f>
        <x:v>0.0001</x:v>
      </x:c>
      <x:c r="F15" s="183" t="str">
        <x:f>IF(ABS(ROUND(D15,6))&lt;=E15,"PASS","FAIL")</x:f>
        <x:v>PASS</x:v>
      </x:c>
      <x:c r="G15" s="166" t="str">
        <x:v>Model: revenue summary</x:v>
      </x:c>
      <x:c r="H15" s="166"/>
    </x:row>
    <x:row r="16" ht="26" customHeight="1">
      <x:c r="A16" s="166" t="str">
        <x:v>Annual EBITDA and gap tie</x:v>
      </x:c>
      <x:c r="B16" s="189" t="n">
        <x:f>ROUND(ABS('Model'!B27-SUM('Model'!B17:M17))+ABS('Model'!B28-('Model'!B27-'Inputs'!$B$17)),6)</x:f>
        <x:v>0</x:v>
      </x:c>
      <x:c r="C16" s="189" t="n">
        <x:f>0</x:f>
        <x:v>0</x:v>
      </x:c>
      <x:c r="D16" s="189" t="n">
        <x:f>ROUND(B16-C16,6)</x:f>
        <x:v>0</x:v>
      </x:c>
      <x:c r="E16" s="189" t="n">
        <x:f>0.0001</x:f>
        <x:v>0.0001</x:v>
      </x:c>
      <x:c r="F16" s="183" t="str">
        <x:f>IF(ABS(ROUND(D16,6))&lt;=E16,"PASS","FAIL")</x:f>
        <x:v>PASS</x:v>
      </x:c>
      <x:c r="G16" s="166" t="str">
        <x:v>Model: EBITDA summary</x:v>
      </x:c>
      <x:c r="H16" s="166"/>
    </x:row>
    <x:row r="17" ht="26" customHeight="1">
      <x:c r="A17" s="166" t="str">
        <x:v>Operating cash conversion ties</x:v>
      </x:c>
      <x:c r="B17" s="189" t="n">
        <x:f>ROUND(MAX(ABS('Model'!B20-'Model'!B17*'Inputs'!$B$18),ABS('Model'!C20-'Model'!C17*'Inputs'!$B$18),ABS('Model'!D20-'Model'!D17*'Inputs'!$B$18),ABS('Model'!E20-'Model'!E17*'Inputs'!$B$18),ABS('Model'!F20-'Model'!F17*'Inputs'!$B$18),ABS('Model'!G20-'Model'!G17*'Inputs'!$B$18),ABS('Model'!H20-'Model'!H17*'Inputs'!$B$18),ABS('Model'!I20-'Model'!I17*'Inputs'!$B$18),ABS('Model'!J20-'Model'!J17*'Inputs'!$B$18),ABS('Model'!K20-'Model'!K17*'Inputs'!$B$18),ABS('Model'!L20-'Model'!L17*'Inputs'!$B$18),ABS('Model'!M20-'Model'!M17*'Inputs'!$B$18)),6)</x:f>
        <x:v>0</x:v>
      </x:c>
      <x:c r="C17" s="189" t="n">
        <x:f>0</x:f>
        <x:v>0</x:v>
      </x:c>
      <x:c r="D17" s="189" t="n">
        <x:f>ROUND(B17-C17,6)</x:f>
        <x:v>0</x:v>
      </x:c>
      <x:c r="E17" s="189" t="n">
        <x:f>0.0001</x:f>
        <x:v>0.0001</x:v>
      </x:c>
      <x:c r="F17" s="183" t="str">
        <x:f>IF(ABS(ROUND(D17,6))&lt;=E17,"PASS","FAIL")</x:f>
        <x:v>PASS</x:v>
      </x:c>
      <x:c r="G17" s="166" t="str">
        <x:v>Model: operating cash</x:v>
      </x:c>
      <x:c r="H17" s="166"/>
    </x:row>
    <x:row r="18" ht="26" customHeight="1">
      <x:c r="A18" s="166" t="str">
        <x:v>Cumulative cash roll-forward ties</x:v>
      </x:c>
      <x:c r="B18" s="189" t="n">
        <x:f>ROUND(ABS('Model'!M21-SUM('Model'!B20:M20)),6)</x:f>
        <x:v>0</x:v>
      </x:c>
      <x:c r="C18" s="189" t="n">
        <x:f>0</x:f>
        <x:v>0</x:v>
      </x:c>
      <x:c r="D18" s="189" t="n">
        <x:f>ROUND(B18-C18,6)</x:f>
        <x:v>0</x:v>
      </x:c>
      <x:c r="E18" s="189" t="n">
        <x:f>0.0001</x:f>
        <x:v>0.0001</x:v>
      </x:c>
      <x:c r="F18" s="183" t="str">
        <x:f>IF(ABS(ROUND(D18,6))&lt;=E18,"PASS","FAIL")</x:f>
        <x:v>PASS</x:v>
      </x:c>
      <x:c r="G18" s="166" t="str">
        <x:v>Model: cumulative cash</x:v>
      </x:c>
      <x:c r="H18" s="166"/>
    </x:row>
    <x:row r="19" ht="20" customHeight="1">
      <x:c r="A19" s="193" t="str">
        <x:v>A warning business outcome can still pass these controls; review Model and Results before making a decision.</x:v>
      </x:c>
      <x:c r="B19" s="194"/>
      <x:c r="C19" s="194"/>
      <x:c r="D19" s="194"/>
      <x:c r="E19" s="194"/>
      <x:c r="F19" s="194"/>
      <x:c r="G19" s="194"/>
      <x:c r="H19" s="195"/>
    </x:row>
    <x:row r="20" ht="20" customHeight="1">
      <x:c r="A20" s="57" t="str">
        <x:v>Budget &amp; Rolling Forecast · 10 / 10 controls should show PASS · v1.4.0</x:v>
      </x:c>
      <x:c r="B20" s="57"/>
      <x:c r="C20" s="57"/>
      <x:c r="D20" s="57"/>
      <x:c r="E20" s="57"/>
      <x:c r="F20" s="57"/>
      <x:c r="G20" s="57"/>
      <x:c r="H20" s="57"/>
    </x:row>
  </x:sheetData>
  <x:mergeCells>
    <x:mergeCell ref="A1:H2"/>
    <x:mergeCell ref="A3:H3"/>
    <x:mergeCell ref="B4:H4"/>
    <x:mergeCell ref="A5:B5"/>
    <x:mergeCell ref="C5:H5"/>
    <x:mergeCell ref="A7:H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A19:H19"/>
    <x:mergeCell ref="A20:H20"/>
  </x:mergeCells>
  <x:conditionalFormatting sqref="C5:H5">
    <x:cfRule type="containsText" dxfId="2" priority="1" operator="containsText" text="FAIL"/>
    <x:cfRule type="containsText" dxfId="3" priority="2" operator="containsText" text="PASS"/>
  </x:conditionalFormatting>
  <x:conditionalFormatting sqref="F9:F9">
    <x:cfRule type="containsText" dxfId="4" priority="3" operator="containsText" text="FAIL"/>
    <x:cfRule type="containsText" dxfId="5" priority="4" operator="containsText" text="PASS"/>
  </x:conditionalFormatting>
  <x:conditionalFormatting sqref="F10:F10">
    <x:cfRule type="containsText" dxfId="6" priority="5" operator="containsText" text="FAIL"/>
    <x:cfRule type="containsText" dxfId="7" priority="6" operator="containsText" text="PASS"/>
  </x:conditionalFormatting>
  <x:conditionalFormatting sqref="F11:F11">
    <x:cfRule type="containsText" dxfId="8" priority="7" operator="containsText" text="FAIL"/>
    <x:cfRule type="containsText" dxfId="9" priority="8" operator="containsText" text="PASS"/>
  </x:conditionalFormatting>
  <x:conditionalFormatting sqref="F12:F12">
    <x:cfRule type="containsText" dxfId="10" priority="9" operator="containsText" text="FAIL"/>
    <x:cfRule type="containsText" dxfId="11" priority="10" operator="containsText" text="PASS"/>
  </x:conditionalFormatting>
  <x:conditionalFormatting sqref="F13:F13">
    <x:cfRule type="containsText" dxfId="12" priority="11" operator="containsText" text="FAIL"/>
    <x:cfRule type="containsText" dxfId="13" priority="12" operator="containsText" text="PASS"/>
  </x:conditionalFormatting>
  <x:conditionalFormatting sqref="F14:F14">
    <x:cfRule type="containsText" dxfId="14" priority="13" operator="containsText" text="FAIL"/>
    <x:cfRule type="containsText" dxfId="15" priority="14" operator="containsText" text="PASS"/>
  </x:conditionalFormatting>
  <x:conditionalFormatting sqref="F15:F15">
    <x:cfRule type="containsText" dxfId="16" priority="15" operator="containsText" text="FAIL"/>
    <x:cfRule type="containsText" dxfId="17" priority="16" operator="containsText" text="PASS"/>
  </x:conditionalFormatting>
  <x:conditionalFormatting sqref="F16:F16">
    <x:cfRule type="containsText" dxfId="18" priority="17" operator="containsText" text="FAIL"/>
    <x:cfRule type="containsText" dxfId="19" priority="18" operator="containsText" text="PASS"/>
  </x:conditionalFormatting>
  <x:conditionalFormatting sqref="F17:F17">
    <x:cfRule type="containsText" dxfId="20" priority="19" operator="containsText" text="FAIL"/>
    <x:cfRule type="containsText" dxfId="21" priority="20" operator="containsText" text="PASS"/>
  </x:conditionalFormatting>
  <x:conditionalFormatting sqref="F18:F18">
    <x:cfRule type="containsText" dxfId="22" priority="21" operator="containsText" text="FAIL"/>
    <x:cfRule type="containsText" dxfId="23" priority="22" operator="containsText" text="PASS"/>
  </x:conditionalFormatting>
  <x:pageMargins left="0.7" right="0.7" top="0.75" bottom="0.75" header="0.3" footer="0.3"/>
</x:worksheet>
</file>