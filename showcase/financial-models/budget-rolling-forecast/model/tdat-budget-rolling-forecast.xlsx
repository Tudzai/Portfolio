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35251e9b7dae4d0d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Cover" sheetId="1" r:id="R42bf202e8114421d"/>
    <x:sheet xmlns:r="http://schemas.openxmlformats.org/officeDocument/2006/relationships" name="Guide" sheetId="2" r:id="R84dd335d7a7a474c"/>
    <x:sheet xmlns:r="http://schemas.openxmlformats.org/officeDocument/2006/relationships" name="Assumptions" sheetId="3" r:id="R86dd59b2b8194403"/>
    <x:sheet xmlns:r="http://schemas.openxmlformats.org/officeDocument/2006/relationships" name="Planning Inputs" sheetId="4" r:id="R4649dab919c4454d"/>
    <x:sheet xmlns:r="http://schemas.openxmlformats.org/officeDocument/2006/relationships" name="Rolling Forecast" sheetId="5" r:id="R9cd46c92f2734ccc"/>
    <x:sheet xmlns:r="http://schemas.openxmlformats.org/officeDocument/2006/relationships" name="Sensitivity" sheetId="6" r:id="R0c6518d85c884874"/>
    <x:sheet xmlns:r="http://schemas.openxmlformats.org/officeDocument/2006/relationships" name="Summary" sheetId="7" r:id="R951360e101c147f6"/>
    <x:sheet xmlns:r="http://schemas.openxmlformats.org/officeDocument/2006/relationships" name="Checks" sheetId="8" r:id="Re294783123434462"/>
    <x:sheet xmlns:r="http://schemas.openxmlformats.org/officeDocument/2006/relationships" name="Sources &amp; Version" sheetId="9" r:id="R46635a623bb04771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3">
    <x:numFmt numFmtId="200" formatCode="0.0%;(0.0%);-"/>
    <x:numFmt numFmtId="201" formatCode="#,##0.0;(#,##0.0);-"/>
    <x:numFmt numFmtId="202" formatCode="#,##0;(#,##0);-"/>
  </x:numFmts>
  <x:fonts count="36">
    <x:font>
      <x:sz val="11"/>
      <x:name val="Carlito"/>
    </x:font>
    <x:font>
      <x:b/>
      <x:sz val="20"/>
      <x:color rgb="FFFFFFFF"/>
      <x:name val="Aptos Display"/>
    </x:font>
    <x:font>
      <x:sz val="9"/>
      <x:color rgb="FFDCE6F2"/>
      <x:name val="Aptos"/>
    </x:font>
    <x:font>
      <x:b/>
      <x:sz val="10"/>
      <x:color rgb="FFFFFFFF"/>
      <x:name val="Aptos"/>
    </x:font>
    <x:font>
      <x:sz val="10"/>
      <x:color rgb="FF101827"/>
      <x:name val="Carlito"/>
    </x:font>
    <x:font>
      <x:b/>
      <x:sz val="11"/>
      <x:color rgb="FFFFFFFF"/>
      <x:name val="Carlito"/>
    </x:font>
    <x:font>
      <x:b/>
      <x:sz val="11"/>
      <x:color rgb="FF101827"/>
      <x:name val="Carlito"/>
    </x:font>
    <x:font>
      <x:sz val="9"/>
      <x:color rgb="FF5B687A"/>
      <x:name val="Carlito"/>
    </x:font>
    <x:font>
      <x:b/>
      <x:sz val="11"/>
      <x:color rgb="FF075CCF"/>
      <x:name val="Carlito"/>
    </x:font>
    <x:font>
      <x:sz val="9"/>
      <x:color rgb="FF8A5A00"/>
      <x:name val="Aptos"/>
    </x:font>
    <x:font>
      <x:b/>
      <x:sz val="9"/>
      <x:color rgb="FFFFFFFF"/>
      <x:name val="Aptos"/>
    </x:font>
    <x:font>
      <x:b/>
      <x:sz val="11"/>
      <x:color rgb="FF8A5A00"/>
      <x:name val="Carlito"/>
    </x:font>
    <x:font>
      <x:sz val="10"/>
      <x:color rgb="FF0000FF"/>
      <x:name val="Aptos"/>
    </x:font>
    <x:font>
      <x:sz val="10"/>
      <x:color rgb="FF000000"/>
      <x:name val="Aptos"/>
    </x:font>
    <x:font>
      <x:sz val="11"/>
      <x:color rgb="FF101827"/>
      <x:name val="Carlito"/>
    </x:font>
    <x:font>
      <x:sz val="11"/>
      <x:color rgb="FF101827"/>
      <x:name val="Carlito"/>
    </x:font>
    <x:font>
      <x:sz val="10"/>
      <x:color rgb="FF008000"/>
      <x:name val="Aptos"/>
    </x:font>
    <x:font>
      <x:b/>
      <x:sz val="9"/>
      <x:color rgb="FFFFFFFF"/>
      <x:name val="Carlito"/>
    </x:font>
    <x:font>
      <x:b/>
      <x:sz val="18"/>
      <x:color rgb="FF075CCF"/>
      <x:name val="Aptos"/>
    </x:font>
    <x:font>
      <x:b/>
      <x:sz val="18"/>
      <x:color rgb="FF0F9F8F"/>
      <x:name val="Aptos"/>
    </x:font>
    <x:font>
      <x:b/>
      <x:sz val="8"/>
      <x:color rgb="FFFFFFFF"/>
      <x:name val="Carlito"/>
    </x:font>
    <x:font>
      <x:b/>
      <x:sz val="14"/>
      <x:color rgb="FF0F9F8F"/>
      <x:name val="Carlito"/>
    </x:font>
    <x:font>
      <x:b/>
      <x:sz val="12"/>
      <x:color rgb="FF8A5A00"/>
      <x:name val="Carlito"/>
    </x:font>
    <x:font>
      <x:sz val="11"/>
      <x:color rgb="FF008000"/>
      <x:name val="Carlito"/>
    </x:font>
    <x:font>
      <x:b/>
      <x:sz val="9"/>
      <x:color rgb="FF075CCF"/>
      <x:name val="Carlito"/>
    </x:font>
    <x:font>
      <x:b/>
      <x:sz val="16"/>
      <x:color rgb="FF0F9F8F"/>
      <x:name val="Carlito"/>
    </x:font>
    <x:font>
      <x:b/>
      <x:sz val="11"/>
      <x:color rgb="FF0F9F8F"/>
      <x:name val="Carlito"/>
    </x:font>
    <x:font>
      <x:b/>
      <x:sz val="11"/>
      <x:color rgb="FF5B687A"/>
      <x:name val="Carlito"/>
    </x:font>
    <x:font>
      <x:b/>
      <x:sz val="22"/>
      <x:color rgb="FF101827"/>
      <x:name val="Aptos Display"/>
    </x:font>
    <x:font>
      <x:b/>
      <x:sz val="20"/>
      <x:color rgb="FF0F9F8F"/>
      <x:name val="Carlito"/>
    </x:font>
    <x:font>
      <x:b/>
      <x:sz val="11"/>
      <x:color rgb="FF008000"/>
      <x:name val="Carlito"/>
    </x:font>
    <x:font>
      <x:b/>
      <x:sz val="11"/>
      <x:color rgb="FF075CCF"/>
      <x:name val="Aptos"/>
    </x:font>
    <x:font>
      <x:sz val="9"/>
      <x:color rgb="FF101827"/>
      <x:name val="Carlito"/>
    </x:font>
    <x:font>
      <x:b/>
      <x:sz val="9"/>
      <x:color rgb="FF0000FF"/>
      <x:name val="Carlito"/>
    </x:font>
    <x:font>
      <x:b/>
      <x:sz val="9"/>
      <x:color rgb="FF000000"/>
      <x:name val="Carlito"/>
    </x:font>
    <x:font>
      <x:b/>
      <x:sz val="9"/>
      <x:color rgb="FF008000"/>
      <x:name val="Carlito"/>
    </x:font>
  </x:fonts>
  <x:fills count="10">
    <x:fill>
      <x:patternFill patternType="none"/>
    </x:fill>
    <x:fill>
      <x:patternFill patternType="gray125"/>
    </x:fill>
    <x:fill>
      <x:patternFill patternType="solid">
        <x:fgColor rgb="FF07111F"/>
      </x:patternFill>
    </x:fill>
    <x:fill>
      <x:patternFill patternType="solid">
        <x:fgColor rgb="FF101827"/>
      </x:patternFill>
    </x:fill>
    <x:fill>
      <x:patternFill patternType="solid">
        <x:fgColor rgb="FF1479FF"/>
      </x:patternFill>
    </x:fill>
    <x:fill>
      <x:patternFill patternType="solid">
        <x:fgColor rgb="FFEEF5FF"/>
      </x:patternFill>
    </x:fill>
    <x:fill>
      <x:patternFill patternType="solid">
        <x:fgColor rgb="FFF7F9FC"/>
      </x:patternFill>
    </x:fill>
    <x:fill>
      <x:patternFill patternType="solid">
        <x:fgColor rgb="FFFFF4DB"/>
      </x:patternFill>
    </x:fill>
    <x:fill>
      <x:patternFill patternType="solid">
        <x:fgColor rgb="FFE5F6F3"/>
      </x:patternFill>
    </x:fill>
    <x:fill>
      <x:patternFill patternType="solid">
        <x:fgColor rgb="FFFFFFFF"/>
      </x:patternFill>
    </x:fill>
  </x:fills>
  <x:borders count="26">
    <x:border/>
    <x:border>
      <x:left style="thin">
        <x:color rgb="FFC88922"/>
      </x:left>
      <x:top style="thin">
        <x:color rgb="FFC88922"/>
      </x:top>
    </x:border>
    <x:border>
      <x:top style="thin">
        <x:color rgb="FFC88922"/>
      </x:top>
    </x:border>
    <x:border>
      <x:right style="thin">
        <x:color rgb="FFC88922"/>
      </x:right>
      <x:top style="thin">
        <x:color rgb="FFC88922"/>
      </x:top>
    </x:border>
    <x:border>
      <x:left style="thin">
        <x:color rgb="FFC88922"/>
      </x:left>
    </x:border>
    <x:border>
      <x:right style="thin">
        <x:color rgb="FFC88922"/>
      </x:right>
    </x:border>
    <x:border>
      <x:left style="thin">
        <x:color rgb="FFC88922"/>
      </x:left>
      <x:bottom style="thin">
        <x:color rgb="FFC88922"/>
      </x:bottom>
    </x:border>
    <x:border>
      <x:bottom style="thin">
        <x:color rgb="FFC88922"/>
      </x:bottom>
    </x:border>
    <x:border>
      <x:right style="thin">
        <x:color rgb="FFC88922"/>
      </x:right>
      <x:bottom style="thin">
        <x:color rgb="FFC88922"/>
      </x:bottom>
    </x:border>
    <x:border>
      <x:right style="thin">
        <x:color rgb="FFDBE4EF"/>
      </x:right>
    </x:border>
    <x:border>
      <x:left style="thin">
        <x:color rgb="FFDBE4EF"/>
      </x:left>
      <x:right style="thin">
        <x:color rgb="FFDBE4EF"/>
      </x:right>
    </x:border>
    <x:border>
      <x:left style="thin">
        <x:color rgb="FFDBE4EF"/>
      </x:left>
    </x:border>
    <x:border>
      <x:right style="thin">
        <x:color rgb="FFDBE4EF"/>
      </x:right>
      <x:bottom style="thin">
        <x:color rgb="FFDBE4EF"/>
      </x:bottom>
    </x:border>
    <x:border>
      <x:left style="thin">
        <x:color rgb="FFDBE4EF"/>
      </x:left>
      <x:right style="thin">
        <x:color rgb="FFDBE4EF"/>
      </x:right>
      <x:bottom style="thin">
        <x:color rgb="FFDBE4EF"/>
      </x:bottom>
    </x:border>
    <x:border>
      <x:left style="thin">
        <x:color rgb="FFDBE4EF"/>
      </x:left>
      <x:bottom style="thin">
        <x:color rgb="FFDBE4EF"/>
      </x:bottom>
    </x:border>
    <x:border>
      <x:right style="thin">
        <x:color rgb="FFDBE4EF"/>
      </x:right>
      <x:top style="thin">
        <x:color rgb="FFDBE4EF"/>
      </x:top>
      <x:bottom style="thin">
        <x:color rgb="FFDBE4EF"/>
      </x:bottom>
    </x:border>
    <x:border>
      <x:left style="thin">
        <x:color rgb="FFDBE4EF"/>
      </x:left>
      <x:right style="thin">
        <x:color rgb="FFDBE4EF"/>
      </x:right>
      <x:top style="thin">
        <x:color rgb="FFDBE4EF"/>
      </x:top>
      <x:bottom style="thin">
        <x:color rgb="FFDBE4EF"/>
      </x:bottom>
    </x:border>
    <x:border>
      <x:left style="thin">
        <x:color rgb="FFDBE4EF"/>
      </x:left>
      <x:top style="thin">
        <x:color rgb="FFDBE4EF"/>
      </x:top>
      <x:bottom style="thin">
        <x:color rgb="FFDBE4EF"/>
      </x:bottom>
    </x:border>
    <x:border>
      <x:right style="thin">
        <x:color rgb="FFDBE4EF"/>
      </x:right>
      <x:top style="thin">
        <x:color rgb="FFDBE4EF"/>
      </x:top>
    </x:border>
    <x:border>
      <x:left style="thin">
        <x:color rgb="FFDBE4EF"/>
      </x:left>
      <x:right style="thin">
        <x:color rgb="FFDBE4EF"/>
      </x:right>
      <x:top style="thin">
        <x:color rgb="FFDBE4EF"/>
      </x:top>
    </x:border>
    <x:border>
      <x:left style="thin">
        <x:color rgb="FFDBE4EF"/>
      </x:left>
      <x:top style="thin">
        <x:color rgb="FFDBE4EF"/>
      </x:top>
    </x:border>
    <x:border>
      <x:bottom style="thin">
        <x:color rgb="FFDBE4EF"/>
      </x:bottom>
    </x:border>
    <x:border>
      <x:top style="thin">
        <x:color rgb="FFDBE4EF"/>
      </x:top>
      <x:bottom style="thin">
        <x:color rgb="FFDBE4EF"/>
      </x:bottom>
    </x:border>
    <x:border>
      <x:top style="thin">
        <x:color rgb="FFDBE4EF"/>
      </x:top>
    </x:border>
    <x:border>
      <x:top style="thin">
        <x:color rgb="FF101827"/>
      </x:top>
    </x:border>
    <x:border>
      <x:top style="thin">
        <x:color rgb="FF101827"/>
      </x:top>
      <x:bottom style="thin">
        <x:color rgb="FFDBE4EF"/>
      </x:bottom>
    </x:border>
  </x:borders>
  <x:cellStyleXfs count="1">
    <x:xf numFmtId="0" fontId="0" fillId="0" borderId="0"/>
  </x:cellStyleXfs>
  <x:cellXfs count="285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vertical="center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0" xfId="0" applyNumberFormat="1" applyFont="1" applyFill="1" applyBorder="1" applyAlignment="1">
      <x:alignment vertical="center"/>
    </x:xf>
    <x:xf numFmtId="0" fontId="0" fillId="4" borderId="0" xfId="0" applyNumberFormat="1" applyFont="1" applyFill="1" applyBorder="1"/>
    <x:xf numFmtId="0" fontId="3" fillId="3" borderId="0" xfId="0" applyNumberFormat="1" applyFont="1" applyFill="1" applyBorder="1"/>
    <x:xf numFmtId="0" fontId="3" fillId="3" borderId="0" xfId="0" applyNumberFormat="1" applyFont="1" applyFill="1" applyBorder="1" applyAlignment="1">
      <x:alignment vertical="center"/>
    </x:xf>
    <x:xf numFmtId="0" fontId="4" fillId="0" borderId="0" xfId="0" applyNumberFormat="1" applyFont="1" applyFill="1" applyBorder="1"/>
    <x:xf numFmtId="0" fontId="4" fillId="0" borderId="0" xfId="0" applyNumberFormat="1" applyFont="1" applyFill="1" applyBorder="1" applyAlignment="1">
      <x:alignment wrapText="1"/>
    </x:xf>
    <x:xf numFmtId="0" fontId="4" fillId="0" borderId="0" xfId="0" applyNumberFormat="1" applyFont="1" applyFill="1" applyBorder="1" applyAlignment="1">
      <x:alignment vertical="top" wrapText="1"/>
    </x:xf>
    <x:xf numFmtId="0" fontId="5" fillId="4" borderId="0" xfId="0" applyNumberFormat="1" applyFont="1" applyFill="1" applyBorder="1"/>
    <x:xf numFmtId="0" fontId="5" fillId="4" borderId="0" xfId="0" applyNumberFormat="1" applyFont="1" applyFill="1" applyBorder="1" applyAlignment="1">
      <x:alignment horizontal="center"/>
    </x:xf>
    <x:xf numFmtId="0" fontId="6" fillId="0" borderId="0" xfId="0" applyNumberFormat="1" applyFont="1" applyFill="1" applyBorder="1"/>
    <x:xf numFmtId="0" fontId="7" fillId="0" borderId="0" xfId="0" applyNumberFormat="1" applyFont="1" applyFill="1" applyBorder="1"/>
    <x:xf numFmtId="0" fontId="7" fillId="0" borderId="0" xfId="0" applyNumberFormat="1" applyFont="1" applyFill="1" applyBorder="1" applyAlignment="1">
      <x:alignment wrapText="1"/>
    </x:xf>
    <x:xf numFmtId="0" fontId="0" fillId="5" borderId="0" xfId="0" applyNumberFormat="1" applyFont="1" applyFill="1" applyBorder="1"/>
    <x:xf numFmtId="0" fontId="8" fillId="5" borderId="0" xfId="0" applyNumberFormat="1" applyFont="1" applyFill="1" applyBorder="1"/>
    <x:xf numFmtId="0" fontId="0" fillId="6" borderId="0" xfId="0" applyNumberFormat="1" applyFont="1" applyFill="1" applyBorder="1"/>
    <x:xf numFmtId="0" fontId="6" fillId="6" borderId="0" xfId="0" applyNumberFormat="1" applyFont="1" applyFill="1" applyBorder="1"/>
    <x:xf numFmtId="0" fontId="6" fillId="6" borderId="0" xfId="0" applyNumberFormat="1" applyFont="1" applyFill="1" applyBorder="1" applyAlignment="1">
      <x:alignment wrapText="1"/>
    </x:xf>
    <x:xf numFmtId="0" fontId="0" fillId="7" borderId="0" xfId="0" applyNumberFormat="1" applyFont="1" applyFill="1" applyBorder="1"/>
    <x:xf numFmtId="0" fontId="9" fillId="7" borderId="0" xfId="0" applyNumberFormat="1" applyFont="1" applyFill="1" applyBorder="1"/>
    <x:xf numFmtId="0" fontId="9" fillId="7" borderId="1" xfId="0" applyNumberFormat="1" applyFont="1" applyFill="1" applyBorder="1"/>
    <x:xf numFmtId="0" fontId="9" fillId="7" borderId="2" xfId="0" applyNumberFormat="1" applyFont="1" applyFill="1" applyBorder="1"/>
    <x:xf numFmtId="0" fontId="9" fillId="7" borderId="3" xfId="0" applyNumberFormat="1" applyFont="1" applyFill="1" applyBorder="1"/>
    <x:xf numFmtId="0" fontId="9" fillId="7" borderId="4" xfId="0" applyNumberFormat="1" applyFont="1" applyFill="1" applyBorder="1"/>
    <x:xf numFmtId="0" fontId="9" fillId="7" borderId="5" xfId="0" applyNumberFormat="1" applyFont="1" applyFill="1" applyBorder="1"/>
    <x:xf numFmtId="0" fontId="9" fillId="7" borderId="6" xfId="0" applyNumberFormat="1" applyFont="1" applyFill="1" applyBorder="1"/>
    <x:xf numFmtId="0" fontId="9" fillId="7" borderId="7" xfId="0" applyNumberFormat="1" applyFont="1" applyFill="1" applyBorder="1"/>
    <x:xf numFmtId="0" fontId="9" fillId="7" borderId="8" xfId="0" applyNumberFormat="1" applyFont="1" applyFill="1" applyBorder="1"/>
    <x:xf numFmtId="0" fontId="9" fillId="7" borderId="1" xfId="0" applyNumberFormat="1" applyFont="1" applyFill="1" applyBorder="1" applyAlignment="1">
      <x:alignment wrapText="1"/>
    </x:xf>
    <x:xf numFmtId="0" fontId="9" fillId="7" borderId="2" xfId="0" applyNumberFormat="1" applyFont="1" applyFill="1" applyBorder="1" applyAlignment="1">
      <x:alignment wrapText="1"/>
    </x:xf>
    <x:xf numFmtId="0" fontId="9" fillId="7" borderId="3" xfId="0" applyNumberFormat="1" applyFont="1" applyFill="1" applyBorder="1" applyAlignment="1">
      <x:alignment wrapText="1"/>
    </x:xf>
    <x:xf numFmtId="0" fontId="9" fillId="7" borderId="4" xfId="0" applyNumberFormat="1" applyFont="1" applyFill="1" applyBorder="1" applyAlignment="1">
      <x:alignment wrapText="1"/>
    </x:xf>
    <x:xf numFmtId="0" fontId="9" fillId="7" borderId="0" xfId="0" applyNumberFormat="1" applyFont="1" applyFill="1" applyBorder="1" applyAlignment="1">
      <x:alignment wrapText="1"/>
    </x:xf>
    <x:xf numFmtId="0" fontId="9" fillId="7" borderId="5" xfId="0" applyNumberFormat="1" applyFont="1" applyFill="1" applyBorder="1" applyAlignment="1">
      <x:alignment wrapText="1"/>
    </x:xf>
    <x:xf numFmtId="0" fontId="9" fillId="7" borderId="6" xfId="0" applyNumberFormat="1" applyFont="1" applyFill="1" applyBorder="1" applyAlignment="1">
      <x:alignment wrapText="1"/>
    </x:xf>
    <x:xf numFmtId="0" fontId="9" fillId="7" borderId="7" xfId="0" applyNumberFormat="1" applyFont="1" applyFill="1" applyBorder="1" applyAlignment="1">
      <x:alignment wrapText="1"/>
    </x:xf>
    <x:xf numFmtId="0" fontId="9" fillId="7" borderId="8" xfId="0" applyNumberFormat="1" applyFont="1" applyFill="1" applyBorder="1" applyAlignment="1">
      <x:alignment wrapText="1"/>
    </x:xf>
    <x:xf numFmtId="0" fontId="9" fillId="7" borderId="1" xfId="0" applyNumberFormat="1" applyFont="1" applyFill="1" applyBorder="1" applyAlignment="1">
      <x:alignment vertical="center" wrapText="1"/>
    </x:xf>
    <x:xf numFmtId="0" fontId="9" fillId="7" borderId="2" xfId="0" applyNumberFormat="1" applyFont="1" applyFill="1" applyBorder="1" applyAlignment="1">
      <x:alignment vertical="center" wrapText="1"/>
    </x:xf>
    <x:xf numFmtId="0" fontId="9" fillId="7" borderId="3" xfId="0" applyNumberFormat="1" applyFont="1" applyFill="1" applyBorder="1" applyAlignment="1">
      <x:alignment vertical="center" wrapText="1"/>
    </x:xf>
    <x:xf numFmtId="0" fontId="9" fillId="7" borderId="4" xfId="0" applyNumberFormat="1" applyFont="1" applyFill="1" applyBorder="1" applyAlignment="1">
      <x:alignment vertical="center" wrapText="1"/>
    </x:xf>
    <x:xf numFmtId="0" fontId="9" fillId="7" borderId="0" xfId="0" applyNumberFormat="1" applyFont="1" applyFill="1" applyBorder="1" applyAlignment="1">
      <x:alignment vertical="center" wrapText="1"/>
    </x:xf>
    <x:xf numFmtId="0" fontId="9" fillId="7" borderId="5" xfId="0" applyNumberFormat="1" applyFont="1" applyFill="1" applyBorder="1" applyAlignment="1">
      <x:alignment vertical="center" wrapText="1"/>
    </x:xf>
    <x:xf numFmtId="0" fontId="9" fillId="7" borderId="6" xfId="0" applyNumberFormat="1" applyFont="1" applyFill="1" applyBorder="1" applyAlignment="1">
      <x:alignment vertical="center" wrapText="1"/>
    </x:xf>
    <x:xf numFmtId="0" fontId="9" fillId="7" borderId="7" xfId="0" applyNumberFormat="1" applyFont="1" applyFill="1" applyBorder="1" applyAlignment="1">
      <x:alignment vertical="center" wrapText="1"/>
    </x:xf>
    <x:xf numFmtId="0" fontId="9" fillId="7" borderId="8" xfId="0" applyNumberFormat="1" applyFont="1" applyFill="1" applyBorder="1" applyAlignment="1">
      <x:alignment vertical="center" wrapText="1"/>
    </x:xf>
    <x:xf numFmtId="0" fontId="10" fillId="3" borderId="0" xfId="0" applyNumberFormat="1" applyFont="1" applyFill="1" applyBorder="1"/>
    <x:xf numFmtId="0" fontId="10" fillId="3" borderId="0" xfId="0" applyNumberFormat="1" applyFont="1" applyFill="1" applyBorder="1" applyAlignment="1">
      <x:alignment horizontal="center"/>
    </x:xf>
    <x:xf numFmtId="0" fontId="10" fillId="3" borderId="0" xfId="0" applyNumberFormat="1" applyFont="1" applyFill="1" applyBorder="1" applyAlignment="1">
      <x:alignment horizontal="center" vertical="center"/>
    </x:xf>
    <x:xf numFmtId="0" fontId="5" fillId="3" borderId="0" xfId="0" applyNumberFormat="1" applyFont="1" applyFill="1" applyBorder="1"/>
    <x:xf numFmtId="0" fontId="11" fillId="7" borderId="0" xfId="0" applyNumberFormat="1" applyFont="1" applyFill="1" applyBorder="1"/>
    <x:xf numFmtId="0" fontId="11" fillId="7" borderId="0" xfId="0" applyNumberFormat="1" applyFont="1" applyFill="1" applyBorder="1" applyAlignment="1">
      <x:alignment horizontal="center"/>
    </x:xf>
    <x:xf numFmtId="0" fontId="10" fillId="3" borderId="9" xfId="0" applyNumberFormat="1" applyFont="1" applyFill="1" applyBorder="1"/>
    <x:xf numFmtId="0" fontId="10" fillId="3" borderId="10" xfId="0" applyNumberFormat="1" applyFont="1" applyFill="1" applyBorder="1"/>
    <x:xf numFmtId="0" fontId="10" fillId="3" borderId="11" xfId="0" applyNumberFormat="1" applyFont="1" applyFill="1" applyBorder="1"/>
    <x:xf numFmtId="0" fontId="10" fillId="3" borderId="9" xfId="0" applyNumberFormat="1" applyFont="1" applyFill="1" applyBorder="1" applyAlignment="1">
      <x:alignment wrapText="1"/>
    </x:xf>
    <x:xf numFmtId="0" fontId="10" fillId="3" borderId="10" xfId="0" applyNumberFormat="1" applyFont="1" applyFill="1" applyBorder="1" applyAlignment="1">
      <x:alignment wrapText="1"/>
    </x:xf>
    <x:xf numFmtId="0" fontId="10" fillId="3" borderId="11" xfId="0" applyNumberFormat="1" applyFont="1" applyFill="1" applyBorder="1" applyAlignment="1">
      <x:alignment wrapText="1"/>
    </x:xf>
    <x:xf numFmtId="0" fontId="10" fillId="3" borderId="9" xfId="0" applyNumberFormat="1" applyFont="1" applyFill="1" applyBorder="1" applyAlignment="1">
      <x:alignment horizontal="center" wrapText="1"/>
    </x:xf>
    <x:xf numFmtId="0" fontId="10" fillId="3" borderId="10" xfId="0" applyNumberFormat="1" applyFont="1" applyFill="1" applyBorder="1" applyAlignment="1">
      <x:alignment horizontal="center" wrapText="1"/>
    </x:xf>
    <x:xf numFmtId="0" fontId="10" fillId="3" borderId="11" xfId="0" applyNumberFormat="1" applyFont="1" applyFill="1" applyBorder="1" applyAlignment="1">
      <x:alignment horizontal="center" wrapText="1"/>
    </x:xf>
    <x:xf numFmtId="0" fontId="10" fillId="3" borderId="9" xfId="0" applyNumberFormat="1" applyFont="1" applyFill="1" applyBorder="1" applyAlignment="1">
      <x:alignment horizontal="center" vertical="center" wrapText="1"/>
    </x:xf>
    <x:xf numFmtId="0" fontId="10" fillId="3" borderId="10" xfId="0" applyNumberFormat="1" applyFont="1" applyFill="1" applyBorder="1" applyAlignment="1">
      <x:alignment horizontal="center" vertical="center" wrapText="1"/>
    </x:xf>
    <x:xf numFmtId="0" fontId="10" fillId="3" borderId="11" xfId="0" applyNumberFormat="1" applyFont="1" applyFill="1" applyBorder="1" applyAlignment="1">
      <x:alignment horizontal="center" vertical="center" wrapText="1"/>
    </x:xf>
    <x:xf numFmtId="0" fontId="12" fillId="5" borderId="0" xfId="0" applyNumberFormat="1" applyFont="1" applyFill="1" applyBorder="1"/>
    <x:xf numFmtId="200" fontId="12" fillId="5" borderId="0" xfId="0" applyNumberFormat="1" applyFont="1" applyFill="1" applyBorder="1"/>
    <x:xf numFmtId="200" fontId="12" fillId="5" borderId="0" xfId="0" applyNumberFormat="1" applyFont="1" applyFill="1" applyBorder="1" applyAlignment="1">
      <x:alignment horizontal="right"/>
    </x:xf>
    <x:xf numFmtId="0" fontId="13" fillId="0" borderId="0" xfId="0" applyNumberFormat="1" applyFont="1" applyFill="1" applyBorder="1"/>
    <x:xf numFmtId="200" fontId="13" fillId="0" borderId="0" xfId="0" applyNumberFormat="1" applyFont="1" applyFill="1" applyBorder="1"/>
    <x:xf numFmtId="200" fontId="13" fillId="0" borderId="0" xfId="0" applyNumberFormat="1" applyFont="1" applyFill="1" applyBorder="1" applyAlignment="1">
      <x:alignment horizontal="right"/>
    </x:xf>
    <x:xf numFmtId="0" fontId="14" fillId="0" borderId="0" xfId="0" applyNumberFormat="1" applyFont="1" applyFill="1" applyBorder="1"/>
    <x:xf numFmtId="0" fontId="14" fillId="0" borderId="12" xfId="0" applyNumberFormat="1" applyFont="1" applyFill="1" applyBorder="1"/>
    <x:xf numFmtId="0" fontId="14" fillId="0" borderId="13" xfId="0" applyNumberFormat="1" applyFont="1" applyFill="1" applyBorder="1"/>
    <x:xf numFmtId="200" fontId="12" fillId="5" borderId="13" xfId="0" applyNumberFormat="1" applyFont="1" applyFill="1" applyBorder="1" applyAlignment="1">
      <x:alignment horizontal="right"/>
    </x:xf>
    <x:xf numFmtId="200" fontId="13" fillId="0" borderId="13" xfId="0" applyNumberFormat="1" applyFont="1" applyFill="1" applyBorder="1" applyAlignment="1">
      <x:alignment horizontal="right"/>
    </x:xf>
    <x:xf numFmtId="0" fontId="7" fillId="0" borderId="14" xfId="0" applyNumberFormat="1" applyFont="1" applyFill="1" applyBorder="1" applyAlignment="1">
      <x:alignment wrapText="1"/>
    </x:xf>
    <x:xf numFmtId="0" fontId="14" fillId="0" borderId="15" xfId="0" applyNumberFormat="1" applyFont="1" applyFill="1" applyBorder="1"/>
    <x:xf numFmtId="0" fontId="14" fillId="0" borderId="16" xfId="0" applyNumberFormat="1" applyFont="1" applyFill="1" applyBorder="1"/>
    <x:xf numFmtId="200" fontId="12" fillId="5" borderId="16" xfId="0" applyNumberFormat="1" applyFont="1" applyFill="1" applyBorder="1" applyAlignment="1">
      <x:alignment horizontal="right"/>
    </x:xf>
    <x:xf numFmtId="200" fontId="13" fillId="0" borderId="16" xfId="0" applyNumberFormat="1" applyFont="1" applyFill="1" applyBorder="1" applyAlignment="1">
      <x:alignment horizontal="right"/>
    </x:xf>
    <x:xf numFmtId="0" fontId="7" fillId="0" borderId="17" xfId="0" applyNumberFormat="1" applyFont="1" applyFill="1" applyBorder="1" applyAlignment="1">
      <x:alignment wrapText="1"/>
    </x:xf>
    <x:xf numFmtId="0" fontId="14" fillId="0" borderId="18" xfId="0" applyNumberFormat="1" applyFont="1" applyFill="1" applyBorder="1"/>
    <x:xf numFmtId="0" fontId="14" fillId="0" borderId="19" xfId="0" applyNumberFormat="1" applyFont="1" applyFill="1" applyBorder="1"/>
    <x:xf numFmtId="200" fontId="12" fillId="5" borderId="19" xfId="0" applyNumberFormat="1" applyFont="1" applyFill="1" applyBorder="1" applyAlignment="1">
      <x:alignment horizontal="right"/>
    </x:xf>
    <x:xf numFmtId="200" fontId="13" fillId="0" borderId="19" xfId="0" applyNumberFormat="1" applyFont="1" applyFill="1" applyBorder="1" applyAlignment="1">
      <x:alignment horizontal="right"/>
    </x:xf>
    <x:xf numFmtId="0" fontId="7" fillId="0" borderId="20" xfId="0" applyNumberFormat="1" applyFont="1" applyFill="1" applyBorder="1" applyAlignment="1">
      <x:alignment wrapText="1"/>
    </x:xf>
    <x:xf numFmtId="201" fontId="12" fillId="5" borderId="0" xfId="0" applyNumberFormat="1" applyFont="1" applyFill="1" applyBorder="1"/>
    <x:xf numFmtId="201" fontId="12" fillId="5" borderId="0" xfId="0" applyNumberFormat="1" applyFont="1" applyFill="1" applyBorder="1" applyAlignment="1">
      <x:alignment horizontal="right"/>
    </x:xf>
    <x:xf numFmtId="0" fontId="15" fillId="0" borderId="0" xfId="0" applyNumberFormat="1" applyFont="1" applyFill="1" applyBorder="1"/>
    <x:xf numFmtId="202" fontId="12" fillId="5" borderId="0" xfId="0" applyNumberFormat="1" applyFont="1" applyFill="1" applyBorder="1"/>
    <x:xf numFmtId="202" fontId="12" fillId="5" borderId="0" xfId="0" applyNumberFormat="1" applyFont="1" applyFill="1" applyBorder="1" applyAlignment="1">
      <x:alignment horizontal="right"/>
    </x:xf>
    <x:xf numFmtId="0" fontId="15" fillId="0" borderId="21" xfId="0" applyNumberFormat="1" applyFont="1" applyFill="1" applyBorder="1"/>
    <x:xf numFmtId="201" fontId="12" fillId="5" borderId="21" xfId="0" applyNumberFormat="1" applyFont="1" applyFill="1" applyBorder="1" applyAlignment="1">
      <x:alignment horizontal="right"/>
    </x:xf>
    <x:xf numFmtId="0" fontId="15" fillId="0" borderId="22" xfId="0" applyNumberFormat="1" applyFont="1" applyFill="1" applyBorder="1"/>
    <x:xf numFmtId="202" fontId="12" fillId="5" borderId="22" xfId="0" applyNumberFormat="1" applyFont="1" applyFill="1" applyBorder="1" applyAlignment="1">
      <x:alignment horizontal="right"/>
    </x:xf>
    <x:xf numFmtId="201" fontId="12" fillId="5" borderId="22" xfId="0" applyNumberFormat="1" applyFont="1" applyFill="1" applyBorder="1" applyAlignment="1">
      <x:alignment horizontal="right"/>
    </x:xf>
    <x:xf numFmtId="0" fontId="15" fillId="0" borderId="23" xfId="0" applyNumberFormat="1" applyFont="1" applyFill="1" applyBorder="1"/>
    <x:xf numFmtId="201" fontId="12" fillId="5" borderId="23" xfId="0" applyNumberFormat="1" applyFont="1" applyFill="1" applyBorder="1" applyAlignment="1">
      <x:alignment horizontal="right"/>
    </x:xf>
    <x:xf numFmtId="0" fontId="16" fillId="0" borderId="0" xfId="0" applyNumberFormat="1" applyFont="1" applyFill="1" applyBorder="1"/>
    <x:xf numFmtId="201" fontId="16" fillId="0" borderId="0" xfId="0" applyNumberFormat="1" applyFont="1" applyFill="1" applyBorder="1"/>
    <x:xf numFmtId="201" fontId="16" fillId="0" borderId="0" xfId="0" applyNumberFormat="1" applyFont="1" applyFill="1" applyBorder="1" applyAlignment="1">
      <x:alignment horizontal="right"/>
    </x:xf>
    <x:xf numFmtId="0" fontId="6" fillId="0" borderId="0" xfId="0" applyNumberFormat="1" applyFont="1" applyFill="1" applyBorder="1" applyAlignment="1">
      <x:alignment wrapText="1"/>
    </x:xf>
    <x:xf numFmtId="0" fontId="6" fillId="0" borderId="24" xfId="0" applyNumberFormat="1" applyFont="1" applyFill="1" applyBorder="1" applyAlignment="1">
      <x:alignment wrapText="1"/>
    </x:xf>
    <x:xf numFmtId="201" fontId="16" fillId="0" borderId="24" xfId="0" applyNumberFormat="1" applyFont="1" applyFill="1" applyBorder="1" applyAlignment="1">
      <x:alignment horizontal="right"/>
    </x:xf>
    <x:xf numFmtId="0" fontId="6" fillId="8" borderId="24" xfId="0" applyNumberFormat="1" applyFont="1" applyFill="1" applyBorder="1" applyAlignment="1">
      <x:alignment wrapText="1"/>
    </x:xf>
    <x:xf numFmtId="201" fontId="16" fillId="8" borderId="24" xfId="0" applyNumberFormat="1" applyFont="1" applyFill="1" applyBorder="1" applyAlignment="1">
      <x:alignment horizontal="right"/>
    </x:xf>
    <x:xf numFmtId="0" fontId="15" fillId="0" borderId="0" xfId="0" applyNumberFormat="1" applyFont="1" applyFill="1" applyBorder="1" applyAlignment="1">
      <x:alignment wrapText="1"/>
    </x:xf>
    <x:xf numFmtId="201" fontId="13" fillId="0" borderId="0" xfId="0" applyNumberFormat="1" applyFont="1" applyFill="1" applyBorder="1"/>
    <x:xf numFmtId="201" fontId="13" fillId="0" borderId="0" xfId="0" applyNumberFormat="1" applyFont="1" applyFill="1" applyBorder="1" applyAlignment="1">
      <x:alignment horizontal="right"/>
    </x:xf>
    <x:xf numFmtId="201" fontId="13" fillId="0" borderId="24" xfId="0" applyNumberFormat="1" applyFont="1" applyFill="1" applyBorder="1" applyAlignment="1">
      <x:alignment horizontal="right"/>
    </x:xf>
    <x:xf numFmtId="0" fontId="6" fillId="6" borderId="24" xfId="0" applyNumberFormat="1" applyFont="1" applyFill="1" applyBorder="1" applyAlignment="1">
      <x:alignment wrapText="1"/>
    </x:xf>
    <x:xf numFmtId="201" fontId="13" fillId="6" borderId="24" xfId="0" applyNumberFormat="1" applyFont="1" applyFill="1" applyBorder="1" applyAlignment="1">
      <x:alignment horizontal="right"/>
    </x:xf>
    <x:xf numFmtId="201" fontId="13" fillId="8" borderId="24" xfId="0" applyNumberFormat="1" applyFont="1" applyFill="1" applyBorder="1" applyAlignment="1">
      <x:alignment horizontal="right"/>
    </x:xf>
    <x:xf numFmtId="200" fontId="16" fillId="0" borderId="0" xfId="0" applyNumberFormat="1" applyFont="1" applyFill="1" applyBorder="1"/>
    <x:xf numFmtId="200" fontId="16" fillId="0" borderId="0" xfId="0" applyNumberFormat="1" applyFont="1" applyFill="1" applyBorder="1" applyAlignment="1">
      <x:alignment horizontal="right"/>
    </x:xf>
    <x:xf numFmtId="201" fontId="16" fillId="6" borderId="24" xfId="0" applyNumberFormat="1" applyFont="1" applyFill="1" applyBorder="1" applyAlignment="1">
      <x:alignment horizontal="right"/>
    </x:xf>
    <x:xf numFmtId="0" fontId="6" fillId="8" borderId="25" xfId="0" applyNumberFormat="1" applyFont="1" applyFill="1" applyBorder="1" applyAlignment="1">
      <x:alignment wrapText="1"/>
    </x:xf>
    <x:xf numFmtId="201" fontId="16" fillId="8" borderId="25" xfId="0" applyNumberFormat="1" applyFont="1" applyFill="1" applyBorder="1" applyAlignment="1">
      <x:alignment horizontal="right"/>
    </x:xf>
    <x:xf numFmtId="0" fontId="15" fillId="0" borderId="22" xfId="0" applyNumberFormat="1" applyFont="1" applyFill="1" applyBorder="1" applyAlignment="1">
      <x:alignment wrapText="1"/>
    </x:xf>
    <x:xf numFmtId="201" fontId="16" fillId="0" borderId="22" xfId="0" applyNumberFormat="1" applyFont="1" applyFill="1" applyBorder="1" applyAlignment="1">
      <x:alignment horizontal="right"/>
    </x:xf>
    <x:xf numFmtId="0" fontId="6" fillId="6" borderId="22" xfId="0" applyNumberFormat="1" applyFont="1" applyFill="1" applyBorder="1" applyAlignment="1">
      <x:alignment wrapText="1"/>
    </x:xf>
    <x:xf numFmtId="201" fontId="13" fillId="6" borderId="22" xfId="0" applyNumberFormat="1" applyFont="1" applyFill="1" applyBorder="1" applyAlignment="1">
      <x:alignment horizontal="right"/>
    </x:xf>
    <x:xf numFmtId="0" fontId="6" fillId="8" borderId="22" xfId="0" applyNumberFormat="1" applyFont="1" applyFill="1" applyBorder="1" applyAlignment="1">
      <x:alignment wrapText="1"/>
    </x:xf>
    <x:xf numFmtId="201" fontId="13" fillId="8" borderId="22" xfId="0" applyNumberFormat="1" applyFont="1" applyFill="1" applyBorder="1" applyAlignment="1">
      <x:alignment horizontal="right"/>
    </x:xf>
    <x:xf numFmtId="200" fontId="13" fillId="0" borderId="22" xfId="0" applyNumberFormat="1" applyFont="1" applyFill="1" applyBorder="1" applyAlignment="1">
      <x:alignment horizontal="right"/>
    </x:xf>
    <x:xf numFmtId="201" fontId="13" fillId="0" borderId="22" xfId="0" applyNumberFormat="1" applyFont="1" applyFill="1" applyBorder="1" applyAlignment="1">
      <x:alignment horizontal="right"/>
    </x:xf>
    <x:xf numFmtId="200" fontId="16" fillId="0" borderId="22" xfId="0" applyNumberFormat="1" applyFont="1" applyFill="1" applyBorder="1" applyAlignment="1">
      <x:alignment horizontal="right"/>
    </x:xf>
    <x:xf numFmtId="0" fontId="6" fillId="6" borderId="23" xfId="0" applyNumberFormat="1" applyFont="1" applyFill="1" applyBorder="1" applyAlignment="1">
      <x:alignment wrapText="1"/>
    </x:xf>
    <x:xf numFmtId="201" fontId="16" fillId="6" borderId="23" xfId="0" applyNumberFormat="1" applyFont="1" applyFill="1" applyBorder="1" applyAlignment="1">
      <x:alignment horizontal="right"/>
    </x:xf>
    <x:xf numFmtId="0" fontId="5" fillId="3" borderId="0" xfId="0" applyNumberFormat="1" applyFont="1" applyFill="1" applyBorder="1" applyAlignment="1">
      <x:alignment horizontal="center"/>
    </x:xf>
    <x:xf numFmtId="201" fontId="16" fillId="6" borderId="0" xfId="0" applyNumberFormat="1" applyFont="1" applyFill="1" applyBorder="1" applyAlignment="1">
      <x:alignment horizontal="right"/>
    </x:xf>
    <x:xf numFmtId="201" fontId="16" fillId="6" borderId="16" xfId="0" applyNumberFormat="1" applyFont="1" applyFill="1" applyBorder="1" applyAlignment="1">
      <x:alignment horizontal="right"/>
    </x:xf>
    <x:xf numFmtId="0" fontId="0" fillId="0" borderId="12" xfId="0" applyNumberFormat="1" applyFont="1" applyFill="1" applyBorder="1"/>
    <x:xf numFmtId="0" fontId="0" fillId="0" borderId="13" xfId="0" applyNumberFormat="1" applyFont="1" applyFill="1" applyBorder="1"/>
    <x:xf numFmtId="0" fontId="0" fillId="0" borderId="14" xfId="0" applyNumberFormat="1" applyFont="1" applyFill="1" applyBorder="1"/>
    <x:xf numFmtId="0" fontId="0" fillId="0" borderId="15" xfId="0" applyNumberFormat="1" applyFont="1" applyFill="1" applyBorder="1"/>
    <x:xf numFmtId="0" fontId="0" fillId="0" borderId="16" xfId="0" applyNumberFormat="1" applyFont="1" applyFill="1" applyBorder="1"/>
    <x:xf numFmtId="0" fontId="0" fillId="0" borderId="17" xfId="0" applyNumberFormat="1" applyFont="1" applyFill="1" applyBorder="1"/>
    <x:xf numFmtId="0" fontId="0" fillId="0" borderId="18" xfId="0" applyNumberFormat="1" applyFont="1" applyFill="1" applyBorder="1"/>
    <x:xf numFmtId="0" fontId="0" fillId="0" borderId="19" xfId="0" applyNumberFormat="1" applyFont="1" applyFill="1" applyBorder="1"/>
    <x:xf numFmtId="0" fontId="0" fillId="0" borderId="20" xfId="0" applyNumberFormat="1" applyFont="1" applyFill="1" applyBorder="1"/>
    <x:xf numFmtId="0" fontId="0" fillId="0" borderId="12" xfId="0" applyNumberFormat="1" applyFont="1" applyFill="1" applyBorder="1" applyAlignment="1">
      <x:alignment wrapText="1"/>
    </x:xf>
    <x:xf numFmtId="0" fontId="0" fillId="0" borderId="13" xfId="0" applyNumberFormat="1" applyFont="1" applyFill="1" applyBorder="1" applyAlignment="1">
      <x:alignment wrapText="1"/>
    </x:xf>
    <x:xf numFmtId="0" fontId="0" fillId="0" borderId="14" xfId="0" applyNumberFormat="1" applyFont="1" applyFill="1" applyBorder="1" applyAlignment="1">
      <x:alignment wrapText="1"/>
    </x:xf>
    <x:xf numFmtId="0" fontId="0" fillId="0" borderId="15" xfId="0" applyNumberFormat="1" applyFont="1" applyFill="1" applyBorder="1" applyAlignment="1">
      <x:alignment wrapText="1"/>
    </x:xf>
    <x:xf numFmtId="0" fontId="0" fillId="0" borderId="16" xfId="0" applyNumberFormat="1" applyFont="1" applyFill="1" applyBorder="1" applyAlignment="1">
      <x:alignment wrapText="1"/>
    </x:xf>
    <x:xf numFmtId="0" fontId="0" fillId="0" borderId="17" xfId="0" applyNumberFormat="1" applyFont="1" applyFill="1" applyBorder="1" applyAlignment="1">
      <x:alignment wrapText="1"/>
    </x:xf>
    <x:xf numFmtId="0" fontId="0" fillId="0" borderId="18" xfId="0" applyNumberFormat="1" applyFont="1" applyFill="1" applyBorder="1" applyAlignment="1">
      <x:alignment wrapText="1"/>
    </x:xf>
    <x:xf numFmtId="0" fontId="0" fillId="0" borderId="19" xfId="0" applyNumberFormat="1" applyFont="1" applyFill="1" applyBorder="1" applyAlignment="1">
      <x:alignment wrapText="1"/>
    </x:xf>
    <x:xf numFmtId="0" fontId="0" fillId="0" borderId="20" xfId="0" applyNumberFormat="1" applyFont="1" applyFill="1" applyBorder="1" applyAlignment="1">
      <x:alignment wrapText="1"/>
    </x:xf>
    <x:xf numFmtId="0" fontId="17" fillId="3" borderId="0" xfId="0" applyNumberFormat="1" applyFont="1" applyFill="1" applyBorder="1"/>
    <x:xf numFmtId="0" fontId="17" fillId="3" borderId="0" xfId="0" applyNumberFormat="1" applyFont="1" applyFill="1" applyBorder="1" applyAlignment="1">
      <x:alignment horizontal="center"/>
    </x:xf>
    <x:xf numFmtId="201" fontId="16" fillId="5" borderId="0" xfId="0" applyNumberFormat="1" applyFont="1" applyFill="1" applyBorder="1" applyAlignment="1">
      <x:alignment horizontal="right"/>
    </x:xf>
    <x:xf numFmtId="201" fontId="18" fillId="5" borderId="0" xfId="0" applyNumberFormat="1" applyFont="1" applyFill="1" applyBorder="1" applyAlignment="1">
      <x:alignment horizontal="right"/>
    </x:xf>
    <x:xf numFmtId="201" fontId="18" fillId="5" borderId="0" xfId="0" applyNumberFormat="1" applyFont="1" applyFill="1" applyBorder="1" applyAlignment="1">
      <x:alignment horizontal="center"/>
    </x:xf>
    <x:xf numFmtId="201" fontId="18" fillId="5" borderId="0" xfId="0" applyNumberFormat="1" applyFont="1" applyFill="1" applyBorder="1" applyAlignment="1">
      <x:alignment horizontal="center" vertical="center"/>
    </x:xf>
    <x:xf numFmtId="201" fontId="16" fillId="8" borderId="0" xfId="0" applyNumberFormat="1" applyFont="1" applyFill="1" applyBorder="1" applyAlignment="1">
      <x:alignment horizontal="right"/>
    </x:xf>
    <x:xf numFmtId="201" fontId="19" fillId="8" borderId="0" xfId="0" applyNumberFormat="1" applyFont="1" applyFill="1" applyBorder="1" applyAlignment="1">
      <x:alignment horizontal="right"/>
    </x:xf>
    <x:xf numFmtId="201" fontId="19" fillId="8" borderId="0" xfId="0" applyNumberFormat="1" applyFont="1" applyFill="1" applyBorder="1" applyAlignment="1">
      <x:alignment horizontal="center"/>
    </x:xf>
    <x:xf numFmtId="201" fontId="19" fillId="8" borderId="0" xfId="0" applyNumberFormat="1" applyFont="1" applyFill="1" applyBorder="1" applyAlignment="1">
      <x:alignment horizontal="center" vertical="center"/>
    </x:xf>
    <x:xf numFmtId="200" fontId="16" fillId="5" borderId="0" xfId="0" applyNumberFormat="1" applyFont="1" applyFill="1" applyBorder="1" applyAlignment="1">
      <x:alignment horizontal="right"/>
    </x:xf>
    <x:xf numFmtId="200" fontId="18" fillId="5" borderId="0" xfId="0" applyNumberFormat="1" applyFont="1" applyFill="1" applyBorder="1" applyAlignment="1">
      <x:alignment horizontal="right"/>
    </x:xf>
    <x:xf numFmtId="200" fontId="18" fillId="5" borderId="0" xfId="0" applyNumberFormat="1" applyFont="1" applyFill="1" applyBorder="1" applyAlignment="1">
      <x:alignment horizontal="center"/>
    </x:xf>
    <x:xf numFmtId="200" fontId="18" fillId="5" borderId="0" xfId="0" applyNumberFormat="1" applyFont="1" applyFill="1" applyBorder="1" applyAlignment="1">
      <x:alignment horizontal="center" vertical="center"/>
    </x:xf>
    <x:xf numFmtId="0" fontId="20" fillId="3" borderId="0" xfId="0" applyNumberFormat="1" applyFont="1" applyFill="1" applyBorder="1"/>
    <x:xf numFmtId="0" fontId="20" fillId="3" borderId="0" xfId="0" applyNumberFormat="1" applyFont="1" applyFill="1" applyBorder="1" applyAlignment="1">
      <x:alignment horizontal="center"/>
    </x:xf>
    <x:xf numFmtId="0" fontId="0" fillId="8" borderId="0" xfId="0" applyNumberFormat="1" applyFont="1" applyFill="1" applyBorder="1"/>
    <x:xf numFmtId="0" fontId="21" fillId="8" borderId="0" xfId="0" applyNumberFormat="1" applyFont="1" applyFill="1" applyBorder="1"/>
    <x:xf numFmtId="0" fontId="21" fillId="8" borderId="0" xfId="0" applyNumberFormat="1" applyFont="1" applyFill="1" applyBorder="1" applyAlignment="1">
      <x:alignment horizontal="center"/>
    </x:xf>
    <x:xf numFmtId="0" fontId="21" fillId="8" borderId="0" xfId="0" applyNumberFormat="1" applyFont="1" applyFill="1" applyBorder="1" applyAlignment="1">
      <x:alignment horizontal="center" vertical="center"/>
    </x:xf>
    <x:xf numFmtId="0" fontId="22" fillId="7" borderId="0" xfId="0" applyNumberFormat="1" applyFont="1" applyFill="1" applyBorder="1"/>
    <x:xf numFmtId="0" fontId="22" fillId="7" borderId="0" xfId="0" applyNumberFormat="1" applyFont="1" applyFill="1" applyBorder="1" applyAlignment="1">
      <x:alignment horizontal="center"/>
    </x:xf>
    <x:xf numFmtId="0" fontId="22" fillId="7" borderId="0" xfId="0" applyNumberFormat="1" applyFont="1" applyFill="1" applyBorder="1" applyAlignment="1">
      <x:alignment horizontal="center" vertical="center"/>
    </x:xf>
    <x:xf numFmtId="201" fontId="0" fillId="0" borderId="0" xfId="0" applyNumberFormat="1" applyFont="1" applyFill="1" applyBorder="1"/>
    <x:xf numFmtId="201" fontId="23" fillId="0" borderId="0" xfId="0" applyNumberFormat="1" applyFont="1" applyFill="1" applyBorder="1"/>
    <x:xf numFmtId="0" fontId="24" fillId="6" borderId="0" xfId="0" applyNumberFormat="1" applyFont="1" applyFill="1" applyBorder="1"/>
    <x:xf numFmtId="0" fontId="24" fillId="6" borderId="0" xfId="0" applyNumberFormat="1" applyFont="1" applyFill="1" applyBorder="1" applyAlignment="1">
      <x:alignment wrapText="1"/>
    </x:xf>
    <x:xf numFmtId="0" fontId="25" fillId="8" borderId="0" xfId="0" applyNumberFormat="1" applyFont="1" applyFill="1" applyBorder="1"/>
    <x:xf numFmtId="0" fontId="25" fillId="8" borderId="0" xfId="0" applyNumberFormat="1" applyFont="1" applyFill="1" applyBorder="1" applyAlignment="1">
      <x:alignment horizontal="center"/>
    </x:xf>
    <x:xf numFmtId="0" fontId="7" fillId="5" borderId="0" xfId="0" applyNumberFormat="1" applyFont="1" applyFill="1" applyBorder="1"/>
    <x:xf numFmtId="0" fontId="7" fillId="5" borderId="0" xfId="0" applyNumberFormat="1" applyFont="1" applyFill="1" applyBorder="1" applyAlignment="1">
      <x:alignment wrapText="1"/>
    </x:xf>
    <x:xf numFmtId="0" fontId="23" fillId="0" borderId="0" xfId="0" applyNumberFormat="1" applyFont="1" applyFill="1" applyBorder="1"/>
    <x:xf numFmtId="0" fontId="23" fillId="8" borderId="0" xfId="0" applyNumberFormat="1" applyFont="1" applyFill="1" applyBorder="1"/>
    <x:xf numFmtId="0" fontId="26" fillId="8" borderId="0" xfId="0" applyNumberFormat="1" applyFont="1" applyFill="1" applyBorder="1"/>
    <x:xf numFmtId="0" fontId="26" fillId="8" borderId="0" xfId="0" applyNumberFormat="1" applyFont="1" applyFill="1" applyBorder="1" applyAlignment="1">
      <x:alignment horizontal="center"/>
    </x:xf>
    <x:xf numFmtId="200" fontId="0" fillId="0" borderId="0" xfId="0" applyNumberFormat="1" applyFont="1" applyFill="1" applyBorder="1"/>
    <x:xf numFmtId="200" fontId="23" fillId="0" borderId="0" xfId="0" applyNumberFormat="1" applyFont="1" applyFill="1" applyBorder="1"/>
    <x:xf numFmtId="202" fontId="0" fillId="0" borderId="0" xfId="0" applyNumberFormat="1" applyFont="1" applyFill="1" applyBorder="1"/>
    <x:xf numFmtId="202" fontId="23" fillId="0" borderId="0" xfId="0" applyNumberFormat="1" applyFont="1" applyFill="1" applyBorder="1"/>
    <x:xf numFmtId="0" fontId="0" fillId="0" borderId="21" xfId="0" applyNumberFormat="1" applyFont="1" applyFill="1" applyBorder="1"/>
    <x:xf numFmtId="201" fontId="23" fillId="0" borderId="21" xfId="0" applyNumberFormat="1" applyFont="1" applyFill="1" applyBorder="1"/>
    <x:xf numFmtId="0" fontId="26" fillId="8" borderId="21" xfId="0" applyNumberFormat="1" applyFont="1" applyFill="1" applyBorder="1" applyAlignment="1">
      <x:alignment horizontal="center"/>
    </x:xf>
    <x:xf numFmtId="0" fontId="7" fillId="0" borderId="21" xfId="0" applyNumberFormat="1" applyFont="1" applyFill="1" applyBorder="1" applyAlignment="1">
      <x:alignment wrapText="1"/>
    </x:xf>
    <x:xf numFmtId="0" fontId="0" fillId="0" borderId="22" xfId="0" applyNumberFormat="1" applyFont="1" applyFill="1" applyBorder="1"/>
    <x:xf numFmtId="201" fontId="23" fillId="0" borderId="22" xfId="0" applyNumberFormat="1" applyFont="1" applyFill="1" applyBorder="1"/>
    <x:xf numFmtId="0" fontId="26" fillId="8" borderId="22" xfId="0" applyNumberFormat="1" applyFont="1" applyFill="1" applyBorder="1" applyAlignment="1">
      <x:alignment horizontal="center"/>
    </x:xf>
    <x:xf numFmtId="0" fontId="7" fillId="0" borderId="22" xfId="0" applyNumberFormat="1" applyFont="1" applyFill="1" applyBorder="1" applyAlignment="1">
      <x:alignment wrapText="1"/>
    </x:xf>
    <x:xf numFmtId="200" fontId="23" fillId="0" borderId="22" xfId="0" applyNumberFormat="1" applyFont="1" applyFill="1" applyBorder="1"/>
    <x:xf numFmtId="202" fontId="23" fillId="0" borderId="22" xfId="0" applyNumberFormat="1" applyFont="1" applyFill="1" applyBorder="1"/>
    <x:xf numFmtId="0" fontId="0" fillId="0" borderId="23" xfId="0" applyNumberFormat="1" applyFont="1" applyFill="1" applyBorder="1"/>
    <x:xf numFmtId="201" fontId="23" fillId="0" borderId="23" xfId="0" applyNumberFormat="1" applyFont="1" applyFill="1" applyBorder="1"/>
    <x:xf numFmtId="0" fontId="26" fillId="8" borderId="23" xfId="0" applyNumberFormat="1" applyFont="1" applyFill="1" applyBorder="1" applyAlignment="1">
      <x:alignment horizontal="center"/>
    </x:xf>
    <x:xf numFmtId="0" fontId="7" fillId="0" borderId="23" xfId="0" applyNumberFormat="1" applyFont="1" applyFill="1" applyBorder="1" applyAlignment="1">
      <x:alignment wrapText="1"/>
    </x:xf>
    <x:xf numFmtId="0" fontId="27" fillId="0" borderId="12" xfId="0" applyNumberFormat="1" applyFont="1" applyFill="1" applyBorder="1" applyAlignment="1">
      <x:alignment wrapText="1"/>
    </x:xf>
    <x:xf numFmtId="0" fontId="27" fillId="0" borderId="18" xfId="0" applyNumberFormat="1" applyFont="1" applyFill="1" applyBorder="1" applyAlignment="1">
      <x:alignment wrapText="1"/>
    </x:xf>
    <x:xf numFmtId="0" fontId="27" fillId="0" borderId="13" xfId="0" applyNumberFormat="1" applyFont="1" applyFill="1" applyBorder="1" applyAlignment="1">
      <x:alignment wrapText="1"/>
    </x:xf>
    <x:xf numFmtId="0" fontId="27" fillId="0" borderId="19" xfId="0" applyNumberFormat="1" applyFont="1" applyFill="1" applyBorder="1" applyAlignment="1">
      <x:alignment wrapText="1"/>
    </x:xf>
    <x:xf numFmtId="0" fontId="0" fillId="0" borderId="9" xfId="0" applyNumberFormat="1" applyFont="1" applyFill="1" applyBorder="1"/>
    <x:xf numFmtId="0" fontId="0" fillId="0" borderId="10" xfId="0" applyNumberFormat="1" applyFont="1" applyFill="1" applyBorder="1"/>
    <x:xf numFmtId="0" fontId="0" fillId="0" borderId="11" xfId="0" applyNumberFormat="1" applyFont="1" applyFill="1" applyBorder="1"/>
    <x:xf numFmtId="0" fontId="0" fillId="0" borderId="9" xfId="0" applyNumberFormat="1" applyFont="1" applyFill="1" applyBorder="1" applyAlignment="1">
      <x:alignment wrapText="1"/>
    </x:xf>
    <x:xf numFmtId="0" fontId="0" fillId="0" borderId="10" xfId="0" applyNumberFormat="1" applyFont="1" applyFill="1" applyBorder="1" applyAlignment="1">
      <x:alignment wrapText="1"/>
    </x:xf>
    <x:xf numFmtId="0" fontId="0" fillId="0" borderId="11" xfId="0" applyNumberFormat="1" applyFont="1" applyFill="1" applyBorder="1" applyAlignment="1">
      <x:alignment wrapText="1"/>
    </x:xf>
    <x:xf numFmtId="0" fontId="28" fillId="5" borderId="0" xfId="0" applyNumberFormat="1" applyFont="1" applyFill="1" applyBorder="1"/>
    <x:xf numFmtId="0" fontId="28" fillId="5" borderId="0" xfId="0" applyNumberFormat="1" applyFont="1" applyFill="1" applyBorder="1" applyAlignment="1">
      <x:alignment vertical="center"/>
    </x:xf>
    <x:xf numFmtId="0" fontId="29" fillId="8" borderId="0" xfId="0" applyNumberFormat="1" applyFont="1" applyFill="1" applyBorder="1"/>
    <x:xf numFmtId="0" fontId="29" fillId="8" borderId="0" xfId="0" applyNumberFormat="1" applyFont="1" applyFill="1" applyBorder="1" applyAlignment="1">
      <x:alignment horizontal="center"/>
    </x:xf>
    <x:xf numFmtId="0" fontId="29" fillId="8" borderId="0" xfId="0" applyNumberFormat="1" applyFont="1" applyFill="1" applyBorder="1" applyAlignment="1">
      <x:alignment horizontal="center" vertical="center"/>
    </x:xf>
    <x:xf numFmtId="0" fontId="0" fillId="9" borderId="0" xfId="0" applyNumberFormat="1" applyFont="1" applyFill="1" applyBorder="1"/>
    <x:xf numFmtId="0" fontId="6" fillId="9" borderId="0" xfId="0" applyNumberFormat="1" applyFont="1" applyFill="1" applyBorder="1"/>
    <x:xf numFmtId="0" fontId="6" fillId="9" borderId="0" xfId="0" applyNumberFormat="1" applyFont="1" applyFill="1" applyBorder="1" applyAlignment="1">
      <x:alignment wrapText="1"/>
    </x:xf>
    <x:xf numFmtId="0" fontId="6" fillId="9" borderId="0" xfId="0" applyNumberFormat="1" applyFont="1" applyFill="1" applyBorder="1" applyAlignment="1">
      <x:alignment vertical="center" wrapText="1"/>
    </x:xf>
    <x:xf numFmtId="0" fontId="27" fillId="0" borderId="12" xfId="0" applyNumberFormat="1" applyFont="1" applyFill="1" applyBorder="1"/>
    <x:xf numFmtId="0" fontId="27" fillId="0" borderId="13" xfId="0" applyNumberFormat="1" applyFont="1" applyFill="1" applyBorder="1"/>
    <x:xf numFmtId="0" fontId="27" fillId="0" borderId="15" xfId="0" applyNumberFormat="1" applyFont="1" applyFill="1" applyBorder="1"/>
    <x:xf numFmtId="0" fontId="27" fillId="0" borderId="16" xfId="0" applyNumberFormat="1" applyFont="1" applyFill="1" applyBorder="1"/>
    <x:xf numFmtId="0" fontId="27" fillId="0" borderId="18" xfId="0" applyNumberFormat="1" applyFont="1" applyFill="1" applyBorder="1"/>
    <x:xf numFmtId="0" fontId="27" fillId="0" borderId="19" xfId="0" applyNumberFormat="1" applyFont="1" applyFill="1" applyBorder="1"/>
    <x:xf numFmtId="0" fontId="30" fillId="0" borderId="13" xfId="0" applyNumberFormat="1" applyFont="1" applyFill="1" applyBorder="1"/>
    <x:xf numFmtId="0" fontId="30" fillId="0" borderId="16" xfId="0" applyNumberFormat="1" applyFont="1" applyFill="1" applyBorder="1"/>
    <x:xf numFmtId="0" fontId="30" fillId="0" borderId="19" xfId="0" applyNumberFormat="1" applyFont="1" applyFill="1" applyBorder="1"/>
    <x:xf numFmtId="0" fontId="0" fillId="7" borderId="13" xfId="0" applyNumberFormat="1" applyFont="1" applyFill="1" applyBorder="1"/>
    <x:xf numFmtId="0" fontId="0" fillId="7" borderId="14" xfId="0" applyNumberFormat="1" applyFont="1" applyFill="1" applyBorder="1"/>
    <x:xf numFmtId="0" fontId="0" fillId="7" borderId="16" xfId="0" applyNumberFormat="1" applyFont="1" applyFill="1" applyBorder="1"/>
    <x:xf numFmtId="0" fontId="0" fillId="7" borderId="17" xfId="0" applyNumberFormat="1" applyFont="1" applyFill="1" applyBorder="1"/>
    <x:xf numFmtId="0" fontId="0" fillId="7" borderId="19" xfId="0" applyNumberFormat="1" applyFont="1" applyFill="1" applyBorder="1"/>
    <x:xf numFmtId="0" fontId="0" fillId="7" borderId="20" xfId="0" applyNumberFormat="1" applyFont="1" applyFill="1" applyBorder="1"/>
    <x:xf numFmtId="0" fontId="11" fillId="7" borderId="13" xfId="0" applyNumberFormat="1" applyFont="1" applyFill="1" applyBorder="1"/>
    <x:xf numFmtId="0" fontId="11" fillId="7" borderId="14" xfId="0" applyNumberFormat="1" applyFont="1" applyFill="1" applyBorder="1"/>
    <x:xf numFmtId="0" fontId="11" fillId="7" borderId="16" xfId="0" applyNumberFormat="1" applyFont="1" applyFill="1" applyBorder="1"/>
    <x:xf numFmtId="0" fontId="11" fillId="7" borderId="17" xfId="0" applyNumberFormat="1" applyFont="1" applyFill="1" applyBorder="1"/>
    <x:xf numFmtId="0" fontId="11" fillId="7" borderId="19" xfId="0" applyNumberFormat="1" applyFont="1" applyFill="1" applyBorder="1"/>
    <x:xf numFmtId="0" fontId="11" fillId="7" borderId="20" xfId="0" applyNumberFormat="1" applyFont="1" applyFill="1" applyBorder="1"/>
    <x:xf numFmtId="0" fontId="11" fillId="7" borderId="13" xfId="0" applyNumberFormat="1" applyFont="1" applyFill="1" applyBorder="1" applyAlignment="1">
      <x:alignment wrapText="1"/>
    </x:xf>
    <x:xf numFmtId="0" fontId="11" fillId="7" borderId="14" xfId="0" applyNumberFormat="1" applyFont="1" applyFill="1" applyBorder="1" applyAlignment="1">
      <x:alignment wrapText="1"/>
    </x:xf>
    <x:xf numFmtId="0" fontId="11" fillId="7" borderId="16" xfId="0" applyNumberFormat="1" applyFont="1" applyFill="1" applyBorder="1" applyAlignment="1">
      <x:alignment wrapText="1"/>
    </x:xf>
    <x:xf numFmtId="0" fontId="11" fillId="7" borderId="17" xfId="0" applyNumberFormat="1" applyFont="1" applyFill="1" applyBorder="1" applyAlignment="1">
      <x:alignment wrapText="1"/>
    </x:xf>
    <x:xf numFmtId="0" fontId="11" fillId="7" borderId="19" xfId="0" applyNumberFormat="1" applyFont="1" applyFill="1" applyBorder="1" applyAlignment="1">
      <x:alignment wrapText="1"/>
    </x:xf>
    <x:xf numFmtId="0" fontId="11" fillId="7" borderId="20" xfId="0" applyNumberFormat="1" applyFont="1" applyFill="1" applyBorder="1" applyAlignment="1">
      <x:alignment wrapText="1"/>
    </x:xf>
    <x:xf numFmtId="0" fontId="0" fillId="0" borderId="0" xfId="0" applyNumberFormat="1" applyFont="1" applyFill="1" applyBorder="1" applyAlignment="1">
      <x:alignment wrapText="1"/>
    </x:xf>
    <x:xf numFmtId="0" fontId="27" fillId="0" borderId="15" xfId="0" applyNumberFormat="1" applyFont="1" applyFill="1" applyBorder="1" applyAlignment="1">
      <x:alignment wrapText="1"/>
    </x:xf>
    <x:xf numFmtId="0" fontId="27" fillId="0" borderId="16" xfId="0" applyNumberFormat="1" applyFont="1" applyFill="1" applyBorder="1" applyAlignment="1">
      <x:alignment wrapText="1"/>
    </x:xf>
    <x:xf numFmtId="0" fontId="27" fillId="0" borderId="0" xfId="0" applyNumberFormat="1" applyFont="1" applyFill="1" applyBorder="1"/>
    <x:xf numFmtId="201" fontId="31" fillId="0" borderId="0" xfId="0" applyNumberFormat="1" applyFont="1" applyFill="1" applyBorder="1" applyAlignment="1">
      <x:alignment horizontal="right"/>
    </x:xf>
    <x:xf numFmtId="200" fontId="31" fillId="0" borderId="0" xfId="0" applyNumberFormat="1" applyFont="1" applyFill="1" applyBorder="1" applyAlignment="1">
      <x:alignment horizontal="right"/>
    </x:xf>
    <x:xf numFmtId="0" fontId="32" fillId="0" borderId="0" xfId="0" applyNumberFormat="1" applyFont="1" applyFill="1" applyBorder="1"/>
    <x:xf numFmtId="0" fontId="32" fillId="0" borderId="12" xfId="0" applyNumberFormat="1" applyFont="1" applyFill="1" applyBorder="1"/>
    <x:xf numFmtId="0" fontId="32" fillId="0" borderId="13" xfId="0" applyNumberFormat="1" applyFont="1" applyFill="1" applyBorder="1"/>
    <x:xf numFmtId="0" fontId="32" fillId="0" borderId="14" xfId="0" applyNumberFormat="1" applyFont="1" applyFill="1" applyBorder="1"/>
    <x:xf numFmtId="0" fontId="32" fillId="0" borderId="15" xfId="0" applyNumberFormat="1" applyFont="1" applyFill="1" applyBorder="1"/>
    <x:xf numFmtId="0" fontId="32" fillId="0" borderId="16" xfId="0" applyNumberFormat="1" applyFont="1" applyFill="1" applyBorder="1"/>
    <x:xf numFmtId="0" fontId="32" fillId="0" borderId="17" xfId="0" applyNumberFormat="1" applyFont="1" applyFill="1" applyBorder="1"/>
    <x:xf numFmtId="0" fontId="32" fillId="0" borderId="18" xfId="0" applyNumberFormat="1" applyFont="1" applyFill="1" applyBorder="1"/>
    <x:xf numFmtId="0" fontId="32" fillId="0" borderId="19" xfId="0" applyNumberFormat="1" applyFont="1" applyFill="1" applyBorder="1"/>
    <x:xf numFmtId="0" fontId="32" fillId="0" borderId="20" xfId="0" applyNumberFormat="1" applyFont="1" applyFill="1" applyBorder="1"/>
    <x:xf numFmtId="0" fontId="32" fillId="0" borderId="12" xfId="0" applyNumberFormat="1" applyFont="1" applyFill="1" applyBorder="1" applyAlignment="1">
      <x:alignment wrapText="1"/>
    </x:xf>
    <x:xf numFmtId="0" fontId="32" fillId="0" borderId="13" xfId="0" applyNumberFormat="1" applyFont="1" applyFill="1" applyBorder="1" applyAlignment="1">
      <x:alignment wrapText="1"/>
    </x:xf>
    <x:xf numFmtId="0" fontId="32" fillId="0" borderId="14" xfId="0" applyNumberFormat="1" applyFont="1" applyFill="1" applyBorder="1" applyAlignment="1">
      <x:alignment wrapText="1"/>
    </x:xf>
    <x:xf numFmtId="0" fontId="32" fillId="0" borderId="15" xfId="0" applyNumberFormat="1" applyFont="1" applyFill="1" applyBorder="1" applyAlignment="1">
      <x:alignment wrapText="1"/>
    </x:xf>
    <x:xf numFmtId="0" fontId="32" fillId="0" borderId="16" xfId="0" applyNumberFormat="1" applyFont="1" applyFill="1" applyBorder="1" applyAlignment="1">
      <x:alignment wrapText="1"/>
    </x:xf>
    <x:xf numFmtId="0" fontId="32" fillId="0" borderId="17" xfId="0" applyNumberFormat="1" applyFont="1" applyFill="1" applyBorder="1" applyAlignment="1">
      <x:alignment wrapText="1"/>
    </x:xf>
    <x:xf numFmtId="0" fontId="32" fillId="0" borderId="18" xfId="0" applyNumberFormat="1" applyFont="1" applyFill="1" applyBorder="1" applyAlignment="1">
      <x:alignment wrapText="1"/>
    </x:xf>
    <x:xf numFmtId="0" fontId="32" fillId="0" borderId="19" xfId="0" applyNumberFormat="1" applyFont="1" applyFill="1" applyBorder="1" applyAlignment="1">
      <x:alignment wrapText="1"/>
    </x:xf>
    <x:xf numFmtId="0" fontId="32" fillId="0" borderId="20" xfId="0" applyNumberFormat="1" applyFont="1" applyFill="1" applyBorder="1" applyAlignment="1">
      <x:alignment wrapText="1"/>
    </x:xf>
    <x:xf numFmtId="0" fontId="33" fillId="0" borderId="12" xfId="0" applyNumberFormat="1" applyFont="1" applyFill="1" applyBorder="1" applyAlignment="1">
      <x:alignment wrapText="1"/>
    </x:xf>
    <x:xf numFmtId="0" fontId="34" fillId="0" borderId="13" xfId="0" applyNumberFormat="1" applyFont="1" applyFill="1" applyBorder="1" applyAlignment="1">
      <x:alignment wrapText="1"/>
    </x:xf>
    <x:xf numFmtId="0" fontId="35" fillId="0" borderId="13" xfId="0" applyNumberFormat="1" applyFont="1" applyFill="1" applyBorder="1" applyAlignment="1">
      <x:alignment wrapText="1"/>
    </x:xf>
    <x:xf numFmtId="0" fontId="32" fillId="7" borderId="13" xfId="0" applyNumberFormat="1" applyFont="1" applyFill="1" applyBorder="1" applyAlignment="1">
      <x:alignment wrapText="1"/>
    </x:xf>
    <x:xf numFmtId="0" fontId="32" fillId="8" borderId="13" xfId="0" applyNumberFormat="1" applyFont="1" applyFill="1" applyBorder="1" applyAlignment="1">
      <x:alignment wrapText="1"/>
    </x:xf>
    <x:xf numFmtId="0" fontId="32" fillId="8" borderId="14" xfId="0" applyNumberFormat="1" applyFont="1" applyFill="1" applyBorder="1" applyAlignment="1">
      <x:alignment wrapText="1"/>
    </x:xf>
  </x:cellXfs>
  <x:cellStyles count="1">
    <x:cellStyle name="Normal" xfId="0"/>
  </x:cellStyles>
  <x:dxfs count="2">
    <x:dxf>
      <x:font>
        <x:b/>
        <x:color rgb="FF0F9F8F"/>
      </x:font>
      <x:fill>
        <x:patternFill patternType="solid">
          <x:bgColor rgb="FFE5F6F3"/>
        </x:patternFill>
      </x:fill>
    </x:dxf>
    <x:dxf>
      <x:font>
        <x:b/>
        <x:color rgb="FFB42318"/>
      </x:font>
      <x:fill>
        <x:patternFill patternType="solid">
          <x:bgColor rgb="FFFCE8E6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cb29312f83ec4519" /><Relationship Type="http://schemas.openxmlformats.org/officeDocument/2006/relationships/theme" Target="/xl/theme/theme1.xml" Id="R51c9e9c5223143fd" /><Relationship Type="http://schemas.openxmlformats.org/officeDocument/2006/relationships/sharedStrings" Target="/xl/sharedStrings.xml" Id="R3e9b0d0fe1a24d9a" /><Relationship Type="http://schemas.openxmlformats.org/officeDocument/2006/relationships/worksheet" Target="/xl/worksheets/sheet1.xml" Id="R42bf202e8114421d" /><Relationship Type="http://schemas.openxmlformats.org/officeDocument/2006/relationships/worksheet" Target="/xl/worksheets/sheet2.xml" Id="R84dd335d7a7a474c" /><Relationship Type="http://schemas.openxmlformats.org/officeDocument/2006/relationships/worksheet" Target="/xl/worksheets/sheet3.xml" Id="R86dd59b2b8194403" /><Relationship Type="http://schemas.openxmlformats.org/officeDocument/2006/relationships/worksheet" Target="/xl/worksheets/sheet4.xml" Id="R4649dab919c4454d" /><Relationship Type="http://schemas.openxmlformats.org/officeDocument/2006/relationships/worksheet" Target="/xl/worksheets/sheet5.xml" Id="R9cd46c92f2734ccc" /><Relationship Type="http://schemas.openxmlformats.org/officeDocument/2006/relationships/worksheet" Target="/xl/worksheets/sheet6.xml" Id="R0c6518d85c884874" /><Relationship Type="http://schemas.openxmlformats.org/officeDocument/2006/relationships/worksheet" Target="/xl/worksheets/sheet7.xml" Id="R951360e101c147f6" /><Relationship Type="http://schemas.openxmlformats.org/officeDocument/2006/relationships/worksheet" Target="/xl/worksheets/sheet8.xml" Id="Re294783123434462" /><Relationship Type="http://schemas.openxmlformats.org/officeDocument/2006/relationships/worksheet" Target="/xl/worksheets/sheet9.xml" Id="R46635a623bb04771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4a511f4328ed4843" /></Relationships>
</file>

<file path=xl/drawings/charts/chart1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Forecast revenue vs budget (LCY millions)</a:t>
            </a:r>
          </a:p>
        </c:rich>
      </c:tx>
    </c:title>
    <c:plotArea>
      <c:lineChart>
        <c:grouping val="standard"/>
        <c:ser>
          <c:idx val="0"/>
          <c:order val="0"/>
          <c:tx>
            <c:v>Forecast revenue</c:v>
          </c:tx>
          <c:marker>
            <c:symbol val="none"/>
          </c:marker>
          <c:cat>
            <c:strRef>
              <c:f>'Summary'!$A$16:$A$27</c:f>
              <c:strCache>
                <c:ptCount val="0"/>
              </c:strCache>
            </c:strRef>
          </c:cat>
          <c:val>
            <c:numRef>
              <c:f>'Summary'!$B$16:$B$27</c:f>
              <c:numCache>
                <c:formatCode>#,##0.0;(#,##0.0);-</c:formatCode>
                <c:ptCount val="0"/>
              </c:numCache>
            </c:numRef>
          </c:val>
        </c:ser>
        <c:ser>
          <c:idx val="1"/>
          <c:order val="1"/>
          <c:tx>
            <c:v>Budget revenue</c:v>
          </c:tx>
          <c:marker>
            <c:symbol val="none"/>
          </c:marker>
          <c:cat>
            <c:strRef>
              <c:f>'Summary'!$A$16:$A$27</c:f>
              <c:strCache>
                <c:ptCount val="0"/>
              </c:strCache>
            </c:strRef>
          </c:cat>
          <c:val>
            <c:numRef>
              <c:f>'Summary'!$C$16:$C$27</c:f>
              <c:numCache>
                <c:formatCode>#,##0.0;(#,##0.0);-</c:formatCode>
                <c:ptCount val="0"/>
              </c:numCache>
            </c:numRef>
          </c:val>
        </c:ser>
        <c:axId val="48650112"/>
        <c:axId val="48672768"/>
      </c:line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txPr>
          <a:bodyPr xmlns:a="http://schemas.openxmlformats.org/drawingml/2006/main" anchorCtr="1"/>
          <a:lstStyle xmlns:a="http://schemas.openxmlformats.org/drawingml/2006/main"/>
          <a:p xmlns:a="http://schemas.openxmlformats.org/drawingml/2006/main">
            <a:pPr>
              <a:defRPr sz="675"/>
            </a:pPr>
          </a:p>
        </c:txPr>
        <c:crossAx val="48672768"/>
        <c:lblAlgn val="ctr"/>
        <c:lblOffset val="100"/>
        <c:noMultiLvlLbl val="0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#,##0.0;(#,##0.0);-"/>
        <c:majorTickMark val="none"/>
        <c:minorTickMark val="none"/>
        <c:crossAx val="48650112"/>
        <c:crossBetween val="between"/>
      </c:valAx>
    </c:plotArea>
    <c:legend>
      <c:legendPos val="b"/>
      <c:overlay val="0"/>
    </c:legend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drawing1.xml><?xml version="1.0" encoding="utf-8"?>
<xdr:wsDr xmlns:xdr="http://schemas.openxmlformats.org/drawingml/2006/spreadsheetDrawing">
  <xdr:twoCellAnchor>
    <xdr:from>
      <xdr:col>5</xdr:col>
      <xdr:colOff>0</xdr:colOff>
      <xdr:row>13</xdr:row>
      <xdr:rowOff>0</xdr:rowOff>
    </xdr:from>
    <xdr:to>
      <xdr:col>10</xdr:col>
      <xdr:colOff>0</xdr:colOff>
      <xdr:row>29</xdr:row>
      <xdr:rowOff>0</xdr:rowOff>
    </xdr:to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4a511f4328ed4843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7.xml.rels>&#65279;<?xml version="1.0" encoding="utf-8"?><Relationships xmlns="http://schemas.openxmlformats.org/package/2006/relationships"><Relationship Type="http://schemas.openxmlformats.org/officeDocument/2006/relationships/drawing" Target="/xl/drawings/drawing1.xml" Id="Rce466d25523943c0" /></Relationships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0" hidden="0" customWidth="1"/>
    <x:col min="2" max="2" width="24" hidden="0" customWidth="1"/>
    <x:col min="3" max="3" width="18" hidden="0" customWidth="1"/>
    <x:col min="4" max="4" width="18" hidden="0" customWidth="1"/>
    <x:col min="5" max="5" width="18" hidden="0" customWidth="1"/>
    <x:col min="6" max="6" width="18" hidden="0" customWidth="1"/>
    <x:col min="7" max="7" width="18" hidden="0" customWidth="1"/>
    <x:col min="8" max="8" width="18" hidden="0" customWidth="1"/>
    <x:col min="9" max="9" width="18" hidden="0" customWidth="1"/>
    <x:col min="10" max="10" width="18" hidden="0" customWidth="1"/>
  </x:cols>
  <x:sheetData>
    <x:row r="1" ht="34" customHeight="1">
      <x:c r="A1" s="3" t="str">
        <x:v>TDAT FINANCIAL MODELS</x:v>
      </x:c>
      <x:c r="B1" s="3" t="str">
        <x:v>TDAT FINANCIAL MODELS</x:v>
      </x:c>
      <x:c r="C1" s="3" t="str">
        <x:v>TDAT FINANCIAL MODELS</x:v>
      </x:c>
      <x:c r="D1" s="3" t="str">
        <x:v>TDAT FINANCIAL MODELS</x:v>
      </x:c>
      <x:c r="E1" s="3" t="str">
        <x:v>TDAT FINANCIAL MODELS</x:v>
      </x:c>
      <x:c r="F1" s="3" t="str">
        <x:v>TDAT FINANCIAL MODELS</x:v>
      </x:c>
      <x:c r="G1" s="3" t="str">
        <x:v>TDAT FINANCIAL MODELS</x:v>
      </x:c>
      <x:c r="H1" s="3" t="str">
        <x:v>TDAT FINANCIAL MODELS</x:v>
      </x:c>
      <x:c r="I1" s="3" t="str">
        <x:v>TDAT FINANCIAL MODELS</x:v>
      </x:c>
      <x:c r="J1" s="3" t="str">
        <x:v>TDAT FINANCIAL MODELS</x:v>
      </x:c>
    </x:row>
    <x:row r="2" ht="24" customHeight="1">
      <x:c r="A2" s="6" t="str">
        <x:v>TDAT-FM-FPA-001  |  Built to flex. Built to tie. Built to trust.</x:v>
      </x:c>
      <x:c r="B2" s="6" t="str">
        <x:v>TDAT-FM-FPA-001  |  Built to flex. Built to tie. Built to trust.</x:v>
      </x:c>
      <x:c r="C2" s="6" t="str">
        <x:v>TDAT-FM-FPA-001  |  Built to flex. Built to tie. Built to trust.</x:v>
      </x:c>
      <x:c r="D2" s="6" t="str">
        <x:v>TDAT-FM-FPA-001  |  Built to flex. Built to tie. Built to trust.</x:v>
      </x:c>
      <x:c r="E2" s="6" t="str">
        <x:v>TDAT-FM-FPA-001  |  Built to flex. Built to tie. Built to trust.</x:v>
      </x:c>
      <x:c r="F2" s="6" t="str">
        <x:v>TDAT-FM-FPA-001  |  Built to flex. Built to tie. Built to trust.</x:v>
      </x:c>
      <x:c r="G2" s="6" t="str">
        <x:v>TDAT-FM-FPA-001  |  Built to flex. Built to tie. Built to trust.</x:v>
      </x:c>
      <x:c r="H2" s="6" t="str">
        <x:v>TDAT-FM-FPA-001  |  Built to flex. Built to tie. Built to trust.</x:v>
      </x:c>
      <x:c r="I2" s="6" t="str">
        <x:v>TDAT-FM-FPA-001  |  Built to flex. Built to tie. Built to trust.</x:v>
      </x:c>
      <x:c r="J2" s="6" t="str">
        <x:v>TDAT-FM-FPA-001  |  Built to flex. Built to tie. Built to trust.</x:v>
      </x:c>
    </x:row>
    <x:row r="3" ht="4" customHeight="1">
      <x:c r="A3" s="7"/>
      <x:c r="B3" s="7"/>
      <x:c r="C3" s="7"/>
      <x:c r="D3" s="7"/>
      <x:c r="E3" s="7"/>
      <x:c r="F3" s="7"/>
      <x:c r="G3" s="7"/>
      <x:c r="H3" s="7"/>
      <x:c r="I3" s="7"/>
      <x:c r="J3" s="7"/>
    </x:row>
    <x:row r="5">
      <x:c r="A5" s="219" t="str">
        <x:v>Budget &amp; Rolling Forecast</x:v>
      </x:c>
      <x:c r="B5" s="219" t="str">
        <x:v>Budget &amp; Rolling Forecast</x:v>
      </x:c>
      <x:c r="C5" s="219" t="str">
        <x:v>Budget &amp; Rolling Forecast</x:v>
      </x:c>
      <x:c r="D5" s="219" t="str">
        <x:v>Budget &amp; Rolling Forecast</x:v>
      </x:c>
      <x:c r="E5" s="219" t="str">
        <x:v>Budget &amp; Rolling Forecast</x:v>
      </x:c>
      <x:c r="F5" s="219" t="str">
        <x:v>Budget &amp; Rolling Forecast</x:v>
      </x:c>
      <x:c r="G5" s="134" t="str">
        <x:v>CALCULATION INTEGRITY</x:v>
      </x:c>
      <x:c r="H5" s="134" t="str">
        <x:v>CALCULATION INTEGRITY</x:v>
      </x:c>
      <x:c r="I5" s="134" t="str">
        <x:v>CALCULATION INTEGRITY</x:v>
      </x:c>
      <x:c r="J5" s="134" t="str">
        <x:v>CALCULATION INTEGRITY</x:v>
      </x:c>
    </x:row>
    <x:row r="6">
      <x:c r="A6" s="219" t="str">
        <x:v>Budget &amp; Rolling Forecast</x:v>
      </x:c>
      <x:c r="B6" s="219" t="str">
        <x:v>Budget &amp; Rolling Forecast</x:v>
      </x:c>
      <x:c r="C6" s="219" t="str">
        <x:v>Budget &amp; Rolling Forecast</x:v>
      </x:c>
      <x:c r="D6" s="219" t="str">
        <x:v>Budget &amp; Rolling Forecast</x:v>
      </x:c>
      <x:c r="E6" s="219" t="str">
        <x:v>Budget &amp; Rolling Forecast</x:v>
      </x:c>
      <x:c r="F6" s="219" t="str">
        <x:v>Budget &amp; Rolling Forecast</x:v>
      </x:c>
      <x:c r="G6" s="222" t="str">
        <x:f>'Checks'!$B$5</x:f>
        <x:v>PASS</x:v>
      </x:c>
      <x:c r="H6" s="222"/>
      <x:c r="I6" s="222"/>
      <x:c r="J6" s="222"/>
    </x:row>
    <x:row r="7">
      <x:c r="A7" s="219" t="str">
        <x:v>Budget &amp; Rolling Forecast</x:v>
      </x:c>
      <x:c r="B7" s="219" t="str">
        <x:v>Budget &amp; Rolling Forecast</x:v>
      </x:c>
      <x:c r="C7" s="219" t="str">
        <x:v>Budget &amp; Rolling Forecast</x:v>
      </x:c>
      <x:c r="D7" s="219" t="str">
        <x:v>Budget &amp; Rolling Forecast</x:v>
      </x:c>
      <x:c r="E7" s="219" t="str">
        <x:v>Budget &amp; Rolling Forecast</x:v>
      </x:c>
      <x:c r="F7" s="219" t="str">
        <x:v>Budget &amp; Rolling Forecast</x:v>
      </x:c>
      <x:c r="G7" s="222"/>
      <x:c r="H7" s="222"/>
      <x:c r="I7" s="222"/>
      <x:c r="J7" s="222"/>
    </x:row>
    <x:row r="9" ht="22" customHeight="1">
      <x:c r="A9" s="9" t="str">
        <x:v>DECISION QUESTION</x:v>
      </x:c>
      <x:c r="B9" s="9" t="str">
        <x:v>DECISION QUESTION</x:v>
      </x:c>
      <x:c r="C9" s="9" t="str">
        <x:v>DECISION QUESTION</x:v>
      </x:c>
      <x:c r="D9" s="9" t="str">
        <x:v>DECISION QUESTION</x:v>
      </x:c>
      <x:c r="E9" s="9" t="str">
        <x:v>DECISION QUESTION</x:v>
      </x:c>
      <x:c r="F9" s="9" t="str">
        <x:v>DECISION QUESTION</x:v>
      </x:c>
      <x:c r="G9" s="9" t="str">
        <x:v>DECISION QUESTION</x:v>
      </x:c>
      <x:c r="H9" s="9" t="str">
        <x:v>DECISION QUESTION</x:v>
      </x:c>
      <x:c r="I9" s="9" t="str">
        <x:v>DECISION QUESTION</x:v>
      </x:c>
      <x:c r="J9" s="9" t="str">
        <x:v>DECISION QUESTION</x:v>
      </x:c>
    </x:row>
    <x:row r="10">
      <x:c r="A10" s="226" t="str">
        <x:v>What changed in the outlook, why, and what must management do next?</x:v>
      </x:c>
      <x:c r="B10" s="226" t="str">
        <x:v>What changed in the outlook, why, and what must management do next?</x:v>
      </x:c>
      <x:c r="C10" s="226" t="str">
        <x:v>What changed in the outlook, why, and what must management do next?</x:v>
      </x:c>
      <x:c r="D10" s="226" t="str">
        <x:v>What changed in the outlook, why, and what must management do next?</x:v>
      </x:c>
      <x:c r="E10" s="226" t="str">
        <x:v>What changed in the outlook, why, and what must management do next?</x:v>
      </x:c>
      <x:c r="F10" s="226" t="str">
        <x:v>What changed in the outlook, why, and what must management do next?</x:v>
      </x:c>
      <x:c r="G10" s="226" t="str">
        <x:v>What changed in the outlook, why, and what must management do next?</x:v>
      </x:c>
      <x:c r="H10" s="226" t="str">
        <x:v>What changed in the outlook, why, and what must management do next?</x:v>
      </x:c>
      <x:c r="I10" s="226" t="str">
        <x:v>What changed in the outlook, why, and what must management do next?</x:v>
      </x:c>
      <x:c r="J10" s="226" t="str">
        <x:v>What changed in the outlook, why, and what must management do next?</x:v>
      </x:c>
    </x:row>
    <x:row r="11">
      <x:c r="A11" s="226" t="str">
        <x:v>What changed in the outlook, why, and what must management do next?</x:v>
      </x:c>
      <x:c r="B11" s="226" t="str">
        <x:v>What changed in the outlook, why, and what must management do next?</x:v>
      </x:c>
      <x:c r="C11" s="226" t="str">
        <x:v>What changed in the outlook, why, and what must management do next?</x:v>
      </x:c>
      <x:c r="D11" s="226" t="str">
        <x:v>What changed in the outlook, why, and what must management do next?</x:v>
      </x:c>
      <x:c r="E11" s="226" t="str">
        <x:v>What changed in the outlook, why, and what must management do next?</x:v>
      </x:c>
      <x:c r="F11" s="226" t="str">
        <x:v>What changed in the outlook, why, and what must management do next?</x:v>
      </x:c>
      <x:c r="G11" s="226" t="str">
        <x:v>What changed in the outlook, why, and what must management do next?</x:v>
      </x:c>
      <x:c r="H11" s="226" t="str">
        <x:v>What changed in the outlook, why, and what must management do next?</x:v>
      </x:c>
      <x:c r="I11" s="226" t="str">
        <x:v>What changed in the outlook, why, and what must management do next?</x:v>
      </x:c>
      <x:c r="J11" s="226" t="str">
        <x:v>What changed in the outlook, why, and what must management do next?</x:v>
      </x:c>
    </x:row>
    <x:row r="13" ht="22" customHeight="1">
      <x:c r="A13" s="9" t="str">
        <x:v>FIRST READ</x:v>
      </x:c>
      <x:c r="B13" s="9" t="str">
        <x:v>FIRST READ</x:v>
      </x:c>
      <x:c r="C13" s="9" t="str">
        <x:v>FIRST READ</x:v>
      </x:c>
      <x:c r="D13" s="9" t="str">
        <x:v>FIRST READ</x:v>
      </x:c>
      <x:c r="E13" s="9" t="str">
        <x:v>FIRST READ</x:v>
      </x:c>
      <x:c r="F13" s="9" t="str">
        <x:v>FIRST READ</x:v>
      </x:c>
      <x:c r="G13" s="9" t="str">
        <x:v>FIRST READ</x:v>
      </x:c>
      <x:c r="H13" s="9" t="str">
        <x:v>FIRST READ</x:v>
      </x:c>
      <x:c r="I13" s="9" t="str">
        <x:v>FIRST READ</x:v>
      </x:c>
      <x:c r="J13" s="9" t="str">
        <x:v>FIRST READ</x:v>
      </x:c>
    </x:row>
    <x:row r="14">
      <x:c r="A14" s="227" t="str">
        <x:v>Calculation integrity</x:v>
      </x:c>
      <x:c r="B14" s="228" t="str">
        <x:v>Decision readiness</x:v>
      </x:c>
      <x:c r="C14" s="233" t="str">
        <x:f>'Checks'!$B$5</x:f>
        <x:v>PASS</x:v>
      </x:c>
      <x:c r="D14" s="233"/>
      <x:c r="E14" s="233"/>
      <x:c r="F14" s="248" t="str">
        <x:v>TEMPLATE — VALIDATE INPUTS</x:v>
      </x:c>
      <x:c r="G14" s="248" t="str">
        <x:v>TEMPLATE — VALIDATE INPUTS</x:v>
      </x:c>
      <x:c r="H14" s="248" t="str">
        <x:v>TEMPLATE — VALIDATE INPUTS</x:v>
      </x:c>
      <x:c r="I14" s="248" t="str">
        <x:v>TEMPLATE — VALIDATE INPUTS</x:v>
      </x:c>
      <x:c r="J14" s="249" t="str">
        <x:v>TEMPLATE — VALIDATE INPUTS</x:v>
      </x:c>
    </x:row>
    <x:row r="15">
      <x:c r="A15" s="229" t="str">
        <x:v>Published checks</x:v>
      </x:c>
      <x:c r="B15" s="230" t="str">
        <x:v>Template posture</x:v>
      </x:c>
      <x:c r="C15" s="234" t="str">
        <x:f>"11 / 11 PASS"</x:f>
        <x:v>11 / 11 PASS</x:v>
      </x:c>
      <x:c r="D15" s="234"/>
      <x:c r="E15" s="234"/>
      <x:c r="F15" s="250" t="str">
        <x:v>Illustrative, screen-grade worked example</x:v>
      </x:c>
      <x:c r="G15" s="250" t="str">
        <x:v>Illustrative, screen-grade worked example</x:v>
      </x:c>
      <x:c r="H15" s="250" t="str">
        <x:v>Illustrative, screen-grade worked example</x:v>
      </x:c>
      <x:c r="I15" s="250" t="str">
        <x:v>Illustrative, screen-grade worked example</x:v>
      </x:c>
      <x:c r="J15" s="251" t="str">
        <x:v>Illustrative, screen-grade worked example</x:v>
      </x:c>
    </x:row>
    <x:row r="16">
      <x:c r="A16" s="229" t="str">
        <x:v>Scenario</x:v>
      </x:c>
      <x:c r="B16" s="230" t="str">
        <x:v>Evidence</x:v>
      </x:c>
      <x:c r="C16" s="234" t="str">
        <x:f>'Assumptions'!$B$3</x:f>
        <x:v>Base</x:v>
      </x:c>
      <x:c r="D16" s="234"/>
      <x:c r="E16" s="234"/>
      <x:c r="F16" s="250" t="str">
        <x:v>Synthetic / illustrative</x:v>
      </x:c>
      <x:c r="G16" s="250" t="str">
        <x:v>Synthetic / illustrative</x:v>
      </x:c>
      <x:c r="H16" s="250" t="str">
        <x:v>Synthetic / illustrative</x:v>
      </x:c>
      <x:c r="I16" s="250" t="str">
        <x:v>Synthetic / illustrative</x:v>
      </x:c>
      <x:c r="J16" s="251" t="str">
        <x:v>Synthetic / illustrative</x:v>
      </x:c>
    </x:row>
    <x:row r="17">
      <x:c r="A17" s="231" t="str">
        <x:v>Owner</x:v>
      </x:c>
      <x:c r="B17" s="232" t="str">
        <x:v>Use</x:v>
      </x:c>
      <x:c r="C17" s="235" t="str">
        <x:f>'Sources &amp; Version'!$B$12</x:f>
        <x:v>Truong Dinh Anh Tu</x:v>
      </x:c>
      <x:c r="D17" s="235"/>
      <x:c r="E17" s="235"/>
      <x:c r="F17" s="252" t="str">
        <x:v>FP&amp;A · Finance Business Partner · Corporate Finance</x:v>
      </x:c>
      <x:c r="G17" s="252" t="str">
        <x:v>FP&amp;A · Finance Business Partner · Corporate Finance</x:v>
      </x:c>
      <x:c r="H17" s="252" t="str">
        <x:v>FP&amp;A · Finance Business Partner · Corporate Finance</x:v>
      </x:c>
      <x:c r="I17" s="252" t="str">
        <x:v>FP&amp;A · Finance Business Partner · Corporate Finance</x:v>
      </x:c>
      <x:c r="J17" s="253" t="str">
        <x:v>FP&amp;A · Finance Business Partner · Corporate Finance</x:v>
      </x:c>
    </x:row>
    <x:row r="19" ht="22" customHeight="1">
      <x:c r="A19" s="9" t="str">
        <x:v>MODEL IDENTITY</x:v>
      </x:c>
      <x:c r="B19" s="9" t="str">
        <x:v>MODEL IDENTITY</x:v>
      </x:c>
      <x:c r="C19" s="9" t="str">
        <x:v>MODEL IDENTITY</x:v>
      </x:c>
      <x:c r="D19" s="9" t="str">
        <x:v>MODEL IDENTITY</x:v>
      </x:c>
      <x:c r="E19" s="9" t="str">
        <x:v>MODEL IDENTITY</x:v>
      </x:c>
      <x:c r="F19" s="9" t="str">
        <x:v>MODEL IDENTITY</x:v>
      </x:c>
      <x:c r="G19" s="9" t="str">
        <x:v>KEY OUTPUTS</x:v>
      </x:c>
      <x:c r="H19" s="9" t="str">
        <x:v>KEY OUTPUTS</x:v>
      </x:c>
      <x:c r="I19" s="9" t="str">
        <x:v>KEY OUTPUTS</x:v>
      </x:c>
      <x:c r="J19" s="9" t="str">
        <x:v>KEY OUTPUTS</x:v>
      </x:c>
    </x:row>
    <x:row r="20">
      <x:c r="A20" s="208" t="str">
        <x:v>Model ID</x:v>
      </x:c>
      <x:c r="B20" s="147" t="str">
        <x:v>TDAT-FM-FPA-001</x:v>
      </x:c>
      <x:c r="C20" s="210" t="str">
        <x:v>Version</x:v>
      </x:c>
      <x:c r="D20" s="147" t="str">
        <x:v>1.0.0</x:v>
      </x:c>
      <x:c r="E20" s="210" t="str">
        <x:v>Last QA</x:v>
      </x:c>
      <x:c r="F20" s="148" t="str">
        <x:v>2026-07-13</x:v>
      </x:c>
      <x:c r="G20" s="257" t="str">
        <x:v>Year-end revenue</x:v>
      </x:c>
      <x:c r="H20" s="257" t="str">
        <x:v>Year-end revenue</x:v>
      </x:c>
      <x:c r="I20" s="258" t="n">
        <x:f>'Rolling Forecast'!M$6</x:f>
        <x:v>142.57608868461793</x:v>
      </x:c>
      <x:c r="J20" s="258"/>
    </x:row>
    <x:row r="21">
      <x:c r="A21" s="255" t="str">
        <x:v>Domain</x:v>
      </x:c>
      <x:c r="B21" s="150" t="str">
        <x:v>Planning &amp; Performance</x:v>
      </x:c>
      <x:c r="C21" s="256" t="str">
        <x:v>Compatibility</x:v>
      </x:c>
      <x:c r="D21" s="150" t="str">
        <x:v>Excel 365</x:v>
      </x:c>
      <x:c r="E21" s="256" t="str">
        <x:v>Macros</x:v>
      </x:c>
      <x:c r="F21" s="151" t="str">
        <x:v>None</x:v>
      </x:c>
      <x:c r="G21" s="257" t="str">
        <x:v>Year-end EBITDA</x:v>
      </x:c>
      <x:c r="H21" s="257" t="str">
        <x:v>Year-end EBITDA</x:v>
      </x:c>
      <x:c r="I21" s="258" t="n">
        <x:f>'Rolling Forecast'!M$10</x:f>
        <x:v>22.812174189538865</x:v>
      </x:c>
      <x:c r="J21" s="258"/>
    </x:row>
    <x:row r="22">
      <x:c r="A22" s="255" t="str">
        <x:v>Horizon</x:v>
      </x:c>
      <x:c r="B22" s="150" t="str">
        <x:v>12–36 months</x:v>
      </x:c>
      <x:c r="C22" s="256" t="str">
        <x:v>Frequency</x:v>
      </x:c>
      <x:c r="D22" s="150" t="str">
        <x:v>Monthly</x:v>
      </x:c>
      <x:c r="E22" s="256" t="str">
        <x:v>External links</x:v>
      </x:c>
      <x:c r="F22" s="151" t="str">
        <x:v>None</x:v>
      </x:c>
      <x:c r="G22" s="257" t="str">
        <x:v>EBITDA margin</x:v>
      </x:c>
      <x:c r="H22" s="257" t="str">
        <x:v>EBITDA margin</x:v>
      </x:c>
      <x:c r="I22" s="259" t="n">
        <x:f>'Rolling Forecast'!M$11</x:f>
        <x:v>0.15999999999999998</x:v>
      </x:c>
      <x:c r="J22" s="259"/>
    </x:row>
    <x:row r="23">
      <x:c r="A23" s="255" t="str">
        <x:v>Currency</x:v>
      </x:c>
      <x:c r="B23" s="150" t="str">
        <x:v>LCY</x:v>
      </x:c>
      <x:c r="C23" s="256" t="str">
        <x:v>Units</x:v>
      </x:c>
      <x:c r="D23" s="150" t="str">
        <x:v>LCY millions</x:v>
      </x:c>
      <x:c r="E23" s="256" t="str">
        <x:v>Scenario</x:v>
      </x:c>
      <x:c r="F23" s="151" t="str">
        <x:v>Base / Upside / Downside</x:v>
      </x:c>
      <x:c r="G23" s="257" t="str">
        <x:v>Revenue variance</x:v>
      </x:c>
      <x:c r="H23" s="257" t="str">
        <x:v>Revenue variance</x:v>
      </x:c>
      <x:c r="I23" s="258" t="n">
        <x:f>'Rolling Forecast'!M$13</x:f>
        <x:v>17.57608868461793</x:v>
      </x:c>
      <x:c r="J23" s="258"/>
    </x:row>
    <x:row r="24">
      <x:c r="A24" s="209" t="str">
        <x:v>Owner</x:v>
      </x:c>
      <x:c r="B24" s="153" t="str">
        <x:v>Truong Dinh Anh Tu</x:v>
      </x:c>
      <x:c r="C24" s="211" t="str">
        <x:v>Standard</x:v>
      </x:c>
      <x:c r="D24" s="153" t="str">
        <x:v>TDAT Model Standard 1.0</x:v>
      </x:c>
      <x:c r="E24" s="211" t="str">
        <x:v>Evidence</x:v>
      </x:c>
      <x:c r="F24" s="154" t="str">
        <x:v>Synthetic worked template</x:v>
      </x:c>
      <x:c r="G24" s="257" t="str">
        <x:v>Average WAPE</x:v>
      </x:c>
      <x:c r="H24" s="257" t="str">
        <x:v>Average WAPE</x:v>
      </x:c>
      <x:c r="I24" s="259" t="n">
        <x:f>AVERAGE('Rolling Forecast'!B17:M17)</x:f>
        <x:v>0.08231256062440631</x:v>
      </x:c>
      <x:c r="J24" s="259"/>
    </x:row>
    <x:row r="26" ht="22" customHeight="1">
      <x:c r="A26" s="9" t="str">
        <x:v>CELL COLOR LEGEND</x:v>
      </x:c>
      <x:c r="B26" s="9" t="str">
        <x:v>CELL COLOR LEGEND</x:v>
      </x:c>
      <x:c r="C26" s="9" t="str">
        <x:v>CELL COLOR LEGEND</x:v>
      </x:c>
      <x:c r="D26" s="9" t="str">
        <x:v>CELL COLOR LEGEND</x:v>
      </x:c>
      <x:c r="E26" s="9" t="str">
        <x:v>CELL COLOR LEGEND</x:v>
      </x:c>
      <x:c r="F26" s="9" t="str">
        <x:v>CELL COLOR LEGEND</x:v>
      </x:c>
      <x:c r="G26" s="9" t="str">
        <x:v>CELL COLOR LEGEND</x:v>
      </x:c>
      <x:c r="H26" s="9" t="str">
        <x:v>CELL COLOR LEGEND</x:v>
      </x:c>
      <x:c r="I26" s="9" t="str">
        <x:v>CELL COLOR LEGEND</x:v>
      </x:c>
      <x:c r="J26" s="9" t="str">
        <x:v>CELL COLOR LEGEND</x:v>
      </x:c>
    </x:row>
    <x:row r="27">
      <x:c r="A27" s="279" t="str">
        <x:v>Blue font</x:v>
      </x:c>
      <x:c r="B27" s="271" t="str">
        <x:v>Editable hardcode</x:v>
      </x:c>
      <x:c r="C27" s="280" t="str">
        <x:v>Black font</x:v>
      </x:c>
      <x:c r="D27" s="271" t="str">
        <x:v>In-sheet formula</x:v>
      </x:c>
      <x:c r="E27" s="281" t="str">
        <x:v>Green font</x:v>
      </x:c>
      <x:c r="F27" s="271" t="str">
        <x:v>Cross-sheet formula</x:v>
      </x:c>
      <x:c r="G27" s="282" t="str">
        <x:v>Pale amber</x:v>
      </x:c>
      <x:c r="H27" s="282" t="str">
        <x:v>Scenario / review cue</x:v>
      </x:c>
      <x:c r="I27" s="283" t="str">
        <x:v>Teal</x:v>
      </x:c>
      <x:c r="J27" s="284" t="str">
        <x:v>PASS / trusted output</x:v>
      </x:c>
    </x:row>
    <x:row r="28">
      <x:c r="A28" s="273" t="str">
        <x:v>Actual</x:v>
      </x:c>
      <x:c r="B28" s="274" t="str">
        <x:v>Neutral period band</x:v>
      </x:c>
      <x:c r="C28" s="274" t="str">
        <x:v>Forecast</x:v>
      </x:c>
      <x:c r="D28" s="274" t="str">
        <x:v>Pale-blue period band</x:v>
      </x:c>
      <x:c r="E28" s="274" t="str">
        <x:v>Zero</x:v>
      </x:c>
      <x:c r="F28" s="274" t="str">
        <x:v>Displayed as an en dash</x:v>
      </x:c>
      <x:c r="G28" s="274" t="str">
        <x:v>Rule</x:v>
      </x:c>
      <x:c r="H28" s="274" t="str">
        <x:v>Keep formulas copy-across</x:v>
      </x:c>
      <x:c r="I28" s="274" t="str">
        <x:v>Rule</x:v>
      </x:c>
      <x:c r="J28" s="275" t="str">
        <x:v>Recheck after every change</x:v>
      </x:c>
    </x:row>
    <x:row r="29">
      <x:c r="A29" s="276" t="str">
        <x:v>Status</x:v>
      </x:c>
      <x:c r="B29" s="277" t="str">
        <x:v>PASS means controls tie</x:v>
      </x:c>
      <x:c r="C29" s="277" t="str">
        <x:v>Readiness</x:v>
      </x:c>
      <x:c r="D29" s="277" t="str">
        <x:v>Inputs still require review</x:v>
      </x:c>
      <x:c r="E29" s="277" t="str">
        <x:v>Privacy</x:v>
      </x:c>
      <x:c r="F29" s="277" t="str">
        <x:v>Public-safe example</x:v>
      </x:c>
      <x:c r="G29" s="277" t="str">
        <x:v>Use</x:v>
      </x:c>
      <x:c r="H29" s="277" t="str">
        <x:v>Adapt and validate</x:v>
      </x:c>
      <x:c r="I29" s="277" t="str">
        <x:v>Support</x:v>
      </x:c>
      <x:c r="J29" s="278" t="str">
        <x:v>Model notes + web guide</x:v>
      </x:c>
    </x:row>
    <x:row r="31">
      <x:c r="A31" s="42" t="str">
        <x:v>Illustrative template — replace synthetic inputs and validate the model method, accounting, assumptions, sources, and outputs before decision use. Calculation integrity PASS covers 11 published controls; it is not independent certification or professional advice.</x:v>
      </x:c>
      <x:c r="B31" s="43" t="str">
        <x:v>Illustrative template — replace synthetic inputs and validate the model method, accounting, assumptions, sources, and outputs before decision use. Calculation integrity PASS covers 11 published controls; it is not independent certification or professional advice.</x:v>
      </x:c>
      <x:c r="C31" s="43" t="str">
        <x:v>Illustrative template — replace synthetic inputs and validate the model method, accounting, assumptions, sources, and outputs before decision use. Calculation integrity PASS covers 11 published controls; it is not independent certification or professional advice.</x:v>
      </x:c>
      <x:c r="D31" s="43" t="str">
        <x:v>Illustrative template — replace synthetic inputs and validate the model method, accounting, assumptions, sources, and outputs before decision use. Calculation integrity PASS covers 11 published controls; it is not independent certification or professional advice.</x:v>
      </x:c>
      <x:c r="E31" s="43" t="str">
        <x:v>Illustrative template — replace synthetic inputs and validate the model method, accounting, assumptions, sources, and outputs before decision use. Calculation integrity PASS covers 11 published controls; it is not independent certification or professional advice.</x:v>
      </x:c>
      <x:c r="F31" s="43" t="str">
        <x:v>Illustrative template — replace synthetic inputs and validate the model method, accounting, assumptions, sources, and outputs before decision use. Calculation integrity PASS covers 11 published controls; it is not independent certification or professional advice.</x:v>
      </x:c>
      <x:c r="G31" s="43" t="str">
        <x:v>Illustrative template — replace synthetic inputs and validate the model method, accounting, assumptions, sources, and outputs before decision use. Calculation integrity PASS covers 11 published controls; it is not independent certification or professional advice.</x:v>
      </x:c>
      <x:c r="H31" s="43" t="str">
        <x:v>Illustrative template — replace synthetic inputs and validate the model method, accounting, assumptions, sources, and outputs before decision use. Calculation integrity PASS covers 11 published controls; it is not independent certification or professional advice.</x:v>
      </x:c>
      <x:c r="I31" s="43" t="str">
        <x:v>Illustrative template — replace synthetic inputs and validate the model method, accounting, assumptions, sources, and outputs before decision use. Calculation integrity PASS covers 11 published controls; it is not independent certification or professional advice.</x:v>
      </x:c>
      <x:c r="J31" s="44" t="str">
        <x:v>Illustrative template — replace synthetic inputs and validate the model method, accounting, assumptions, sources, and outputs before decision use. Calculation integrity PASS covers 11 published controls; it is not independent certification or professional advice.</x:v>
      </x:c>
    </x:row>
    <x:row r="32">
      <x:c r="A32" s="45" t="str">
        <x:v>Illustrative template — replace synthetic inputs and validate the model method, accounting, assumptions, sources, and outputs before decision use. Calculation integrity PASS covers 11 published controls; it is not independent certification or professional advice.</x:v>
      </x:c>
      <x:c r="B32" s="46" t="str">
        <x:v>Illustrative template — replace synthetic inputs and validate the model method, accounting, assumptions, sources, and outputs before decision use. Calculation integrity PASS covers 11 published controls; it is not independent certification or professional advice.</x:v>
      </x:c>
      <x:c r="C32" s="46" t="str">
        <x:v>Illustrative template — replace synthetic inputs and validate the model method, accounting, assumptions, sources, and outputs before decision use. Calculation integrity PASS covers 11 published controls; it is not independent certification or professional advice.</x:v>
      </x:c>
      <x:c r="D32" s="46" t="str">
        <x:v>Illustrative template — replace synthetic inputs and validate the model method, accounting, assumptions, sources, and outputs before decision use. Calculation integrity PASS covers 11 published controls; it is not independent certification or professional advice.</x:v>
      </x:c>
      <x:c r="E32" s="46" t="str">
        <x:v>Illustrative template — replace synthetic inputs and validate the model method, accounting, assumptions, sources, and outputs before decision use. Calculation integrity PASS covers 11 published controls; it is not independent certification or professional advice.</x:v>
      </x:c>
      <x:c r="F32" s="46" t="str">
        <x:v>Illustrative template — replace synthetic inputs and validate the model method, accounting, assumptions, sources, and outputs before decision use. Calculation integrity PASS covers 11 published controls; it is not independent certification or professional advice.</x:v>
      </x:c>
      <x:c r="G32" s="46" t="str">
        <x:v>Illustrative template — replace synthetic inputs and validate the model method, accounting, assumptions, sources, and outputs before decision use. Calculation integrity PASS covers 11 published controls; it is not independent certification or professional advice.</x:v>
      </x:c>
      <x:c r="H32" s="46" t="str">
        <x:v>Illustrative template — replace synthetic inputs and validate the model method, accounting, assumptions, sources, and outputs before decision use. Calculation integrity PASS covers 11 published controls; it is not independent certification or professional advice.</x:v>
      </x:c>
      <x:c r="I32" s="46" t="str">
        <x:v>Illustrative template — replace synthetic inputs and validate the model method, accounting, assumptions, sources, and outputs before decision use. Calculation integrity PASS covers 11 published controls; it is not independent certification or professional advice.</x:v>
      </x:c>
      <x:c r="J32" s="47" t="str">
        <x:v>Illustrative template — replace synthetic inputs and validate the model method, accounting, assumptions, sources, and outputs before decision use. Calculation integrity PASS covers 11 published controls; it is not independent certification or professional advice.</x:v>
      </x:c>
    </x:row>
    <x:row r="33">
      <x:c r="A33" s="48" t="str">
        <x:v>Illustrative template — replace synthetic inputs and validate the model method, accounting, assumptions, sources, and outputs before decision use. Calculation integrity PASS covers 11 published controls; it is not independent certification or professional advice.</x:v>
      </x:c>
      <x:c r="B33" s="49" t="str">
        <x:v>Illustrative template — replace synthetic inputs and validate the model method, accounting, assumptions, sources, and outputs before decision use. Calculation integrity PASS covers 11 published controls; it is not independent certification or professional advice.</x:v>
      </x:c>
      <x:c r="C33" s="49" t="str">
        <x:v>Illustrative template — replace synthetic inputs and validate the model method, accounting, assumptions, sources, and outputs before decision use. Calculation integrity PASS covers 11 published controls; it is not independent certification or professional advice.</x:v>
      </x:c>
      <x:c r="D33" s="49" t="str">
        <x:v>Illustrative template — replace synthetic inputs and validate the model method, accounting, assumptions, sources, and outputs before decision use. Calculation integrity PASS covers 11 published controls; it is not independent certification or professional advice.</x:v>
      </x:c>
      <x:c r="E33" s="49" t="str">
        <x:v>Illustrative template — replace synthetic inputs and validate the model method, accounting, assumptions, sources, and outputs before decision use. Calculation integrity PASS covers 11 published controls; it is not independent certification or professional advice.</x:v>
      </x:c>
      <x:c r="F33" s="49" t="str">
        <x:v>Illustrative template — replace synthetic inputs and validate the model method, accounting, assumptions, sources, and outputs before decision use. Calculation integrity PASS covers 11 published controls; it is not independent certification or professional advice.</x:v>
      </x:c>
      <x:c r="G33" s="49" t="str">
        <x:v>Illustrative template — replace synthetic inputs and validate the model method, accounting, assumptions, sources, and outputs before decision use. Calculation integrity PASS covers 11 published controls; it is not independent certification or professional advice.</x:v>
      </x:c>
      <x:c r="H33" s="49" t="str">
        <x:v>Illustrative template — replace synthetic inputs and validate the model method, accounting, assumptions, sources, and outputs before decision use. Calculation integrity PASS covers 11 published controls; it is not independent certification or professional advice.</x:v>
      </x:c>
      <x:c r="I33" s="49" t="str">
        <x:v>Illustrative template — replace synthetic inputs and validate the model method, accounting, assumptions, sources, and outputs before decision use. Calculation integrity PASS covers 11 published controls; it is not independent certification or professional advice.</x:v>
      </x:c>
      <x:c r="J33" s="50" t="str">
        <x:v>Illustrative template — replace synthetic inputs and validate the model method, accounting, assumptions, sources, and outputs before decision use. Calculation integrity PASS covers 11 published controls; it is not independent certification or professional advice.</x:v>
      </x:c>
    </x:row>
    <x:row r="35">
      <x:c r="A35" s="53" t="str">
        <x:v>TDAT Model Library  |  Trust builds the brand. Insight builds the decision.</x:v>
      </x:c>
      <x:c r="B35" s="53" t="str">
        <x:v>TDAT Model Library  |  Trust builds the brand. Insight builds the decision.</x:v>
      </x:c>
      <x:c r="C35" s="53" t="str">
        <x:v>TDAT Model Library  |  Trust builds the brand. Insight builds the decision.</x:v>
      </x:c>
      <x:c r="D35" s="53" t="str">
        <x:v>TDAT Model Library  |  Trust builds the brand. Insight builds the decision.</x:v>
      </x:c>
      <x:c r="E35" s="53" t="str">
        <x:v>TDAT Model Library  |  Trust builds the brand. Insight builds the decision.</x:v>
      </x:c>
      <x:c r="F35" s="53" t="str">
        <x:v>TDAT Model Library  |  Trust builds the brand. Insight builds the decision.</x:v>
      </x:c>
      <x:c r="G35" s="53" t="str">
        <x:v>TDAT Model Library  |  Trust builds the brand. Insight builds the decision.</x:v>
      </x:c>
      <x:c r="H35" s="53" t="str">
        <x:v>TDAT Model Library  |  Trust builds the brand. Insight builds the decision.</x:v>
      </x:c>
      <x:c r="I35" s="53" t="str">
        <x:v>TDAT Model Library  |  Trust builds the brand. Insight builds the decision.</x:v>
      </x:c>
      <x:c r="J35" s="53" t="str">
        <x:v>TDAT Model Library  |  Trust builds the brand. Insight builds the decision.</x:v>
      </x:c>
    </x:row>
  </x:sheetData>
  <x:mergeCells>
    <x:mergeCell ref="A1:J1"/>
    <x:mergeCell ref="A2:J2"/>
    <x:mergeCell ref="A5:F7"/>
    <x:mergeCell ref="G5:J5"/>
    <x:mergeCell ref="G6:J7"/>
    <x:mergeCell ref="A9:J9"/>
    <x:mergeCell ref="A10:J11"/>
    <x:mergeCell ref="A13:J13"/>
    <x:mergeCell ref="C14:E14"/>
    <x:mergeCell ref="F14:J14"/>
    <x:mergeCell ref="C15:E15"/>
    <x:mergeCell ref="F15:J15"/>
    <x:mergeCell ref="C16:E16"/>
    <x:mergeCell ref="F16:J16"/>
    <x:mergeCell ref="C17:E17"/>
    <x:mergeCell ref="F17:J17"/>
    <x:mergeCell ref="A19:J19"/>
    <x:mergeCell ref="G19:J19"/>
    <x:mergeCell ref="G20:H20"/>
    <x:mergeCell ref="I20:J20"/>
    <x:mergeCell ref="G21:H21"/>
    <x:mergeCell ref="I21:J21"/>
    <x:mergeCell ref="G22:H22"/>
    <x:mergeCell ref="I22:J22"/>
    <x:mergeCell ref="G23:H23"/>
    <x:mergeCell ref="I23:J23"/>
    <x:mergeCell ref="G24:H24"/>
    <x:mergeCell ref="I24:J24"/>
    <x:mergeCell ref="A26:J26"/>
    <x:mergeCell ref="A31:J33"/>
    <x:mergeCell ref="A35:J35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9" hidden="0" customWidth="1"/>
    <x:col min="2" max="2" width="22" hidden="0" customWidth="1"/>
    <x:col min="3" max="3" width="22" hidden="0" customWidth="1"/>
    <x:col min="4" max="4" width="22" hidden="0" customWidth="1"/>
    <x:col min="5" max="5" width="22" hidden="0" customWidth="1"/>
    <x:col min="6" max="6" width="22" hidden="0" customWidth="1"/>
    <x:col min="7" max="7" width="22" hidden="0" customWidth="1"/>
    <x:col min="8" max="8" width="22" hidden="0" customWidth="1"/>
    <x:col min="9" max="9" width="22" hidden="0" customWidth="1"/>
    <x:col min="10" max="10" width="22" hidden="0" customWidth="1"/>
  </x:cols>
  <x:sheetData>
    <x:row r="1" ht="34" customHeight="1">
      <x:c r="A1" s="3" t="str">
        <x:v>MODEL GUIDE</x:v>
      </x:c>
      <x:c r="B1" s="3" t="str">
        <x:v>MODEL GUIDE</x:v>
      </x:c>
      <x:c r="C1" s="3" t="str">
        <x:v>MODEL GUIDE</x:v>
      </x:c>
      <x:c r="D1" s="3" t="str">
        <x:v>MODEL GUIDE</x:v>
      </x:c>
      <x:c r="E1" s="3" t="str">
        <x:v>MODEL GUIDE</x:v>
      </x:c>
      <x:c r="F1" s="3" t="str">
        <x:v>MODEL GUIDE</x:v>
      </x:c>
      <x:c r="G1" s="3" t="str">
        <x:v>MODEL GUIDE</x:v>
      </x:c>
      <x:c r="H1" s="3" t="str">
        <x:v>MODEL GUIDE</x:v>
      </x:c>
      <x:c r="I1" s="3" t="str">
        <x:v>MODEL GUIDE</x:v>
      </x:c>
      <x:c r="J1" s="3" t="str">
        <x:v>MODEL GUIDE</x:v>
      </x:c>
    </x:row>
    <x:row r="2" ht="24" customHeight="1">
      <x:c r="A2" s="6" t="str">
        <x:v>Budget &amp; Rolling Forecast  |  Scope, setup, flexibility, and limitations</x:v>
      </x:c>
      <x:c r="B2" s="6" t="str">
        <x:v>Budget &amp; Rolling Forecast  |  Scope, setup, flexibility, and limitations</x:v>
      </x:c>
      <x:c r="C2" s="6" t="str">
        <x:v>Budget &amp; Rolling Forecast  |  Scope, setup, flexibility, and limitations</x:v>
      </x:c>
      <x:c r="D2" s="6" t="str">
        <x:v>Budget &amp; Rolling Forecast  |  Scope, setup, flexibility, and limitations</x:v>
      </x:c>
      <x:c r="E2" s="6" t="str">
        <x:v>Budget &amp; Rolling Forecast  |  Scope, setup, flexibility, and limitations</x:v>
      </x:c>
      <x:c r="F2" s="6" t="str">
        <x:v>Budget &amp; Rolling Forecast  |  Scope, setup, flexibility, and limitations</x:v>
      </x:c>
      <x:c r="G2" s="6" t="str">
        <x:v>Budget &amp; Rolling Forecast  |  Scope, setup, flexibility, and limitations</x:v>
      </x:c>
      <x:c r="H2" s="6" t="str">
        <x:v>Budget &amp; Rolling Forecast  |  Scope, setup, flexibility, and limitations</x:v>
      </x:c>
      <x:c r="I2" s="6" t="str">
        <x:v>Budget &amp; Rolling Forecast  |  Scope, setup, flexibility, and limitations</x:v>
      </x:c>
      <x:c r="J2" s="6" t="str">
        <x:v>Budget &amp; Rolling Forecast  |  Scope, setup, flexibility, and limitations</x:v>
      </x:c>
    </x:row>
    <x:row r="3" ht="4" customHeight="1">
      <x:c r="A3" s="7"/>
      <x:c r="B3" s="7"/>
      <x:c r="C3" s="7"/>
      <x:c r="D3" s="7"/>
      <x:c r="E3" s="7"/>
      <x:c r="F3" s="7"/>
      <x:c r="G3" s="7"/>
      <x:c r="H3" s="7"/>
      <x:c r="I3" s="7"/>
      <x:c r="J3" s="7"/>
    </x:row>
    <x:row r="5" ht="22" customHeight="1">
      <x:c r="A5" s="9" t="str">
        <x:v>PURPOSE AND USERS</x:v>
      </x:c>
      <x:c r="B5" s="9" t="str">
        <x:v>PURPOSE AND USERS</x:v>
      </x:c>
      <x:c r="C5" s="9" t="str">
        <x:v>PURPOSE AND USERS</x:v>
      </x:c>
      <x:c r="D5" s="9" t="str">
        <x:v>PURPOSE AND USERS</x:v>
      </x:c>
      <x:c r="E5" s="9" t="str">
        <x:v>PURPOSE AND USERS</x:v>
      </x:c>
      <x:c r="F5" s="9" t="str">
        <x:v>PURPOSE AND USERS</x:v>
      </x:c>
      <x:c r="G5" s="9" t="str">
        <x:v>PURPOSE AND USERS</x:v>
      </x:c>
      <x:c r="H5" s="9" t="str">
        <x:v>PURPOSE AND USERS</x:v>
      </x:c>
      <x:c r="I5" s="9" t="str">
        <x:v>PURPOSE AND USERS</x:v>
      </x:c>
      <x:c r="J5" s="9" t="str">
        <x:v>PURPOSE AND USERS</x:v>
      </x:c>
    </x:row>
    <x:row r="6">
      <x:c r="A6" s="12" t="str">
        <x:v>Driver-based planning with actual, budget, forecast, prior-year, scenario, and forecast-accuracy views.
Primary users: FP&amp;A, Finance Business Partner, Corporate Finance. Typical use: Budget, Reforecast, Long-range plan.</x:v>
      </x:c>
      <x:c r="B6" s="12" t="str">
        <x:v>Driver-based planning with actual, budget, forecast, prior-year, scenario, and forecast-accuracy views.
Primary users: FP&amp;A, Finance Business Partner, Corporate Finance. Typical use: Budget, Reforecast, Long-range plan.</x:v>
      </x:c>
      <x:c r="C6" s="12" t="str">
        <x:v>Driver-based planning with actual, budget, forecast, prior-year, scenario, and forecast-accuracy views.
Primary users: FP&amp;A, Finance Business Partner, Corporate Finance. Typical use: Budget, Reforecast, Long-range plan.</x:v>
      </x:c>
      <x:c r="D6" s="12" t="str">
        <x:v>Driver-based planning with actual, budget, forecast, prior-year, scenario, and forecast-accuracy views.
Primary users: FP&amp;A, Finance Business Partner, Corporate Finance. Typical use: Budget, Reforecast, Long-range plan.</x:v>
      </x:c>
      <x:c r="E6" s="12" t="str">
        <x:v>Driver-based planning with actual, budget, forecast, prior-year, scenario, and forecast-accuracy views.
Primary users: FP&amp;A, Finance Business Partner, Corporate Finance. Typical use: Budget, Reforecast, Long-range plan.</x:v>
      </x:c>
      <x:c r="F6" s="12" t="str">
        <x:v>Driver-based planning with actual, budget, forecast, prior-year, scenario, and forecast-accuracy views.
Primary users: FP&amp;A, Finance Business Partner, Corporate Finance. Typical use: Budget, Reforecast, Long-range plan.</x:v>
      </x:c>
      <x:c r="G6" s="12" t="str">
        <x:v>Driver-based planning with actual, budget, forecast, prior-year, scenario, and forecast-accuracy views.
Primary users: FP&amp;A, Finance Business Partner, Corporate Finance. Typical use: Budget, Reforecast, Long-range plan.</x:v>
      </x:c>
      <x:c r="H6" s="12" t="str">
        <x:v>Driver-based planning with actual, budget, forecast, prior-year, scenario, and forecast-accuracy views.
Primary users: FP&amp;A, Finance Business Partner, Corporate Finance. Typical use: Budget, Reforecast, Long-range plan.</x:v>
      </x:c>
      <x:c r="I6" s="12" t="str">
        <x:v>Driver-based planning with actual, budget, forecast, prior-year, scenario, and forecast-accuracy views.
Primary users: FP&amp;A, Finance Business Partner, Corporate Finance. Typical use: Budget, Reforecast, Long-range plan.</x:v>
      </x:c>
      <x:c r="J6" s="12" t="str">
        <x:v>Driver-based planning with actual, budget, forecast, prior-year, scenario, and forecast-accuracy views.
Primary users: FP&amp;A, Finance Business Partner, Corporate Finance. Typical use: Budget, Reforecast, Long-range plan.</x:v>
      </x:c>
    </x:row>
    <x:row r="7">
      <x:c r="A7" s="12" t="str">
        <x:v>Driver-based planning with actual, budget, forecast, prior-year, scenario, and forecast-accuracy views.
Primary users: FP&amp;A, Finance Business Partner, Corporate Finance. Typical use: Budget, Reforecast, Long-range plan.</x:v>
      </x:c>
      <x:c r="B7" s="12" t="str">
        <x:v>Driver-based planning with actual, budget, forecast, prior-year, scenario, and forecast-accuracy views.
Primary users: FP&amp;A, Finance Business Partner, Corporate Finance. Typical use: Budget, Reforecast, Long-range plan.</x:v>
      </x:c>
      <x:c r="C7" s="12" t="str">
        <x:v>Driver-based planning with actual, budget, forecast, prior-year, scenario, and forecast-accuracy views.
Primary users: FP&amp;A, Finance Business Partner, Corporate Finance. Typical use: Budget, Reforecast, Long-range plan.</x:v>
      </x:c>
      <x:c r="D7" s="12" t="str">
        <x:v>Driver-based planning with actual, budget, forecast, prior-year, scenario, and forecast-accuracy views.
Primary users: FP&amp;A, Finance Business Partner, Corporate Finance. Typical use: Budget, Reforecast, Long-range plan.</x:v>
      </x:c>
      <x:c r="E7" s="12" t="str">
        <x:v>Driver-based planning with actual, budget, forecast, prior-year, scenario, and forecast-accuracy views.
Primary users: FP&amp;A, Finance Business Partner, Corporate Finance. Typical use: Budget, Reforecast, Long-range plan.</x:v>
      </x:c>
      <x:c r="F7" s="12" t="str">
        <x:v>Driver-based planning with actual, budget, forecast, prior-year, scenario, and forecast-accuracy views.
Primary users: FP&amp;A, Finance Business Partner, Corporate Finance. Typical use: Budget, Reforecast, Long-range plan.</x:v>
      </x:c>
      <x:c r="G7" s="12" t="str">
        <x:v>Driver-based planning with actual, budget, forecast, prior-year, scenario, and forecast-accuracy views.
Primary users: FP&amp;A, Finance Business Partner, Corporate Finance. Typical use: Budget, Reforecast, Long-range plan.</x:v>
      </x:c>
      <x:c r="H7" s="12" t="str">
        <x:v>Driver-based planning with actual, budget, forecast, prior-year, scenario, and forecast-accuracy views.
Primary users: FP&amp;A, Finance Business Partner, Corporate Finance. Typical use: Budget, Reforecast, Long-range plan.</x:v>
      </x:c>
      <x:c r="I7" s="12" t="str">
        <x:v>Driver-based planning with actual, budget, forecast, prior-year, scenario, and forecast-accuracy views.
Primary users: FP&amp;A, Finance Business Partner, Corporate Finance. Typical use: Budget, Reforecast, Long-range plan.</x:v>
      </x:c>
      <x:c r="J7" s="12" t="str">
        <x:v>Driver-based planning with actual, budget, forecast, prior-year, scenario, and forecast-accuracy views.
Primary users: FP&amp;A, Finance Business Partner, Corporate Finance. Typical use: Budget, Reforecast, Long-range plan.</x:v>
      </x:c>
    </x:row>
    <x:row r="8">
      <x:c r="A8" s="12" t="str">
        <x:v>Driver-based planning with actual, budget, forecast, prior-year, scenario, and forecast-accuracy views.
Primary users: FP&amp;A, Finance Business Partner, Corporate Finance. Typical use: Budget, Reforecast, Long-range plan.</x:v>
      </x:c>
      <x:c r="B8" s="12" t="str">
        <x:v>Driver-based planning with actual, budget, forecast, prior-year, scenario, and forecast-accuracy views.
Primary users: FP&amp;A, Finance Business Partner, Corporate Finance. Typical use: Budget, Reforecast, Long-range plan.</x:v>
      </x:c>
      <x:c r="C8" s="12" t="str">
        <x:v>Driver-based planning with actual, budget, forecast, prior-year, scenario, and forecast-accuracy views.
Primary users: FP&amp;A, Finance Business Partner, Corporate Finance. Typical use: Budget, Reforecast, Long-range plan.</x:v>
      </x:c>
      <x:c r="D8" s="12" t="str">
        <x:v>Driver-based planning with actual, budget, forecast, prior-year, scenario, and forecast-accuracy views.
Primary users: FP&amp;A, Finance Business Partner, Corporate Finance. Typical use: Budget, Reforecast, Long-range plan.</x:v>
      </x:c>
      <x:c r="E8" s="12" t="str">
        <x:v>Driver-based planning with actual, budget, forecast, prior-year, scenario, and forecast-accuracy views.
Primary users: FP&amp;A, Finance Business Partner, Corporate Finance. Typical use: Budget, Reforecast, Long-range plan.</x:v>
      </x:c>
      <x:c r="F8" s="12" t="str">
        <x:v>Driver-based planning with actual, budget, forecast, prior-year, scenario, and forecast-accuracy views.
Primary users: FP&amp;A, Finance Business Partner, Corporate Finance. Typical use: Budget, Reforecast, Long-range plan.</x:v>
      </x:c>
      <x:c r="G8" s="12" t="str">
        <x:v>Driver-based planning with actual, budget, forecast, prior-year, scenario, and forecast-accuracy views.
Primary users: FP&amp;A, Finance Business Partner, Corporate Finance. Typical use: Budget, Reforecast, Long-range plan.</x:v>
      </x:c>
      <x:c r="H8" s="12" t="str">
        <x:v>Driver-based planning with actual, budget, forecast, prior-year, scenario, and forecast-accuracy views.
Primary users: FP&amp;A, Finance Business Partner, Corporate Finance. Typical use: Budget, Reforecast, Long-range plan.</x:v>
      </x:c>
      <x:c r="I8" s="12" t="str">
        <x:v>Driver-based planning with actual, budget, forecast, prior-year, scenario, and forecast-accuracy views.
Primary users: FP&amp;A, Finance Business Partner, Corporate Finance. Typical use: Budget, Reforecast, Long-range plan.</x:v>
      </x:c>
      <x:c r="J8" s="12" t="str">
        <x:v>Driver-based planning with actual, budget, forecast, prior-year, scenario, and forecast-accuracy views.
Primary users: FP&amp;A, Finance Business Partner, Corporate Finance. Typical use: Budget, Reforecast, Long-range plan.</x:v>
      </x:c>
    </x:row>
    <x:row r="10" ht="22" customHeight="1">
      <x:c r="A10" s="9" t="str">
        <x:v>QUICK START</x:v>
      </x:c>
      <x:c r="B10" s="9" t="str">
        <x:v>QUICK START</x:v>
      </x:c>
      <x:c r="C10" s="9" t="str">
        <x:v>QUICK START</x:v>
      </x:c>
      <x:c r="D10" s="9" t="str">
        <x:v>QUICK START</x:v>
      </x:c>
      <x:c r="E10" s="9" t="str">
        <x:v>QUICK START</x:v>
      </x:c>
      <x:c r="F10" s="9" t="str">
        <x:v>QUICK START</x:v>
      </x:c>
      <x:c r="G10" s="9" t="str">
        <x:v>QUICK START</x:v>
      </x:c>
      <x:c r="H10" s="9" t="str">
        <x:v>QUICK START</x:v>
      </x:c>
      <x:c r="I10" s="9" t="str">
        <x:v>QUICK START</x:v>
      </x:c>
      <x:c r="J10" s="9" t="str">
        <x:v>QUICK START</x:v>
      </x:c>
    </x:row>
    <x:row r="11" ht="30" customHeight="1">
      <x:c r="A11" s="14" t="str">
        <x:v>01</x:v>
      </x:c>
      <x:c r="B11" s="15" t="str">
        <x:v>Confirm the decision</x:v>
      </x:c>
      <x:c r="C11" s="17" t="str">
        <x:v>What changed in the outlook, why, and what must management do next?</x:v>
      </x:c>
      <x:c r="D11" s="17" t="str"/>
      <x:c r="E11" s="17" t="str"/>
      <x:c r="F11" s="17" t="str"/>
      <x:c r="G11" s="17" t="str"/>
      <x:c r="H11" s="17" t="str"/>
      <x:c r="I11" s="17" t="str"/>
      <x:c r="J11" s="17" t="str"/>
    </x:row>
    <x:row r="12" ht="30" customHeight="1">
      <x:c r="A12" s="14" t="str">
        <x:v>02</x:v>
      </x:c>
      <x:c r="B12" s="15" t="str">
        <x:v>Set model controls</x:v>
      </x:c>
      <x:c r="C12" s="17" t="str">
        <x:v>Select Base, Upside, or Downside; confirm currency, units, horizon, and calculation method.</x:v>
      </x:c>
      <x:c r="D12" s="17" t="str"/>
      <x:c r="E12" s="17" t="str"/>
      <x:c r="F12" s="17" t="str"/>
      <x:c r="G12" s="17" t="str"/>
      <x:c r="H12" s="17" t="str"/>
      <x:c r="I12" s="17" t="str"/>
      <x:c r="J12" s="17" t="str"/>
    </x:row>
    <x:row r="13" ht="30" customHeight="1">
      <x:c r="A13" s="14" t="str">
        <x:v>03</x:v>
      </x:c>
      <x:c r="B13" s="15" t="str">
        <x:v>Replace blue inputs</x:v>
      </x:c>
      <x:c r="C13" s="17" t="str">
        <x:v>Update the synthetic values on Planning Inputs and the scenario drivers on Assumptions.</x:v>
      </x:c>
      <x:c r="D13" s="17" t="str"/>
      <x:c r="E13" s="17" t="str"/>
      <x:c r="F13" s="17" t="str"/>
      <x:c r="G13" s="17" t="str"/>
      <x:c r="H13" s="17" t="str"/>
      <x:c r="I13" s="17" t="str"/>
      <x:c r="J13" s="17" t="str"/>
    </x:row>
    <x:row r="14" ht="30" customHeight="1">
      <x:c r="A14" s="14" t="str">
        <x:v>04</x:v>
      </x:c>
      <x:c r="B14" s="15" t="str">
        <x:v>Review the engine</x:v>
      </x:c>
      <x:c r="C14" s="17" t="str">
        <x:v>Trace the calculations on Rolling Forecast; challenge definitions, signs, timing, and edge cases.</x:v>
      </x:c>
      <x:c r="D14" s="17" t="str"/>
      <x:c r="E14" s="17" t="str"/>
      <x:c r="F14" s="17" t="str"/>
      <x:c r="G14" s="17" t="str"/>
      <x:c r="H14" s="17" t="str"/>
      <x:c r="I14" s="17" t="str"/>
      <x:c r="J14" s="17" t="str"/>
    </x:row>
    <x:row r="15" ht="30" customHeight="1">
      <x:c r="A15" s="14" t="str">
        <x:v>05</x:v>
      </x:c>
      <x:c r="B15" s="15" t="str">
        <x:v>Use the summary</x:v>
      </x:c>
      <x:c r="C15" s="17" t="str">
        <x:v>Read headline outputs, sensitivities, breakpoints, and the owner/action prompts.</x:v>
      </x:c>
      <x:c r="D15" s="17" t="str"/>
      <x:c r="E15" s="17" t="str"/>
      <x:c r="F15" s="17" t="str"/>
      <x:c r="G15" s="17" t="str"/>
      <x:c r="H15" s="17" t="str"/>
      <x:c r="I15" s="17" t="str"/>
      <x:c r="J15" s="17" t="str"/>
    </x:row>
    <x:row r="16" ht="30" customHeight="1">
      <x:c r="A16" s="14" t="str">
        <x:v>06</x:v>
      </x:c>
      <x:c r="B16" s="15" t="str">
        <x:v>Resolve Checks</x:v>
      </x:c>
      <x:c r="C16" s="17" t="str">
        <x:v>Do not rely on the output until every published control passes and source readiness is reviewed.</x:v>
      </x:c>
      <x:c r="D16" s="17" t="str"/>
      <x:c r="E16" s="17" t="str"/>
      <x:c r="F16" s="17" t="str"/>
      <x:c r="G16" s="17" t="str"/>
      <x:c r="H16" s="17" t="str"/>
      <x:c r="I16" s="17" t="str"/>
      <x:c r="J16" s="17" t="str"/>
    </x:row>
    <x:row r="18" ht="22" customHeight="1">
      <x:c r="A18" s="9" t="str">
        <x:v>WORKBOOK MAP</x:v>
      </x:c>
      <x:c r="B18" s="9" t="str">
        <x:v>WORKBOOK MAP</x:v>
      </x:c>
      <x:c r="C18" s="9" t="str">
        <x:v>WORKBOOK MAP</x:v>
      </x:c>
      <x:c r="D18" s="9" t="str">
        <x:v>WORKBOOK MAP</x:v>
      </x:c>
      <x:c r="E18" s="9" t="str">
        <x:v>WORKBOOK MAP</x:v>
      </x:c>
      <x:c r="F18" s="9" t="str">
        <x:v>WORKBOOK MAP</x:v>
      </x:c>
      <x:c r="G18" s="9" t="str">
        <x:v>WORKBOOK MAP</x:v>
      </x:c>
      <x:c r="H18" s="9" t="str">
        <x:v>WORKBOOK MAP</x:v>
      </x:c>
      <x:c r="I18" s="9" t="str">
        <x:v>WORKBOOK MAP</x:v>
      </x:c>
      <x:c r="J18" s="9" t="str">
        <x:v>WORKBOOK MAP</x:v>
      </x:c>
    </x:row>
    <x:row r="19">
      <x:c r="A19" s="19" t="str">
        <x:v>Cover</x:v>
      </x:c>
      <x:c r="B19" s="17" t="str">
        <x:v>First-read status, model identity, key outputs, readiness, and cell-color legend.</x:v>
      </x:c>
      <x:c r="C19" s="17" t="str"/>
      <x:c r="D19" s="17" t="str"/>
      <x:c r="E19" s="17" t="str"/>
      <x:c r="F19" s="17" t="str"/>
      <x:c r="G19" s="17" t="str"/>
      <x:c r="H19" s="17" t="str"/>
      <x:c r="I19" s="17" t="str"/>
      <x:c r="J19" s="17" t="str"/>
    </x:row>
    <x:row r="20">
      <x:c r="A20" s="19" t="str">
        <x:v>Guide</x:v>
      </x:c>
      <x:c r="B20" s="17" t="str">
        <x:v>Purpose, quick start, workbook map, flexibility rules, Q&amp;A, and limitations.</x:v>
      </x:c>
      <x:c r="C20" s="17" t="str"/>
      <x:c r="D20" s="17" t="str"/>
      <x:c r="E20" s="17" t="str"/>
      <x:c r="F20" s="17" t="str"/>
      <x:c r="G20" s="17" t="str"/>
      <x:c r="H20" s="17" t="str"/>
      <x:c r="I20" s="17" t="str"/>
      <x:c r="J20" s="17" t="str"/>
    </x:row>
    <x:row r="21">
      <x:c r="A21" s="19" t="str">
        <x:v>Assumptions</x:v>
      </x:c>
      <x:c r="B21" s="17" t="str">
        <x:v>Base, Upside, Downside, selector, units, and selected driver values.</x:v>
      </x:c>
      <x:c r="C21" s="17" t="str"/>
      <x:c r="D21" s="17" t="str"/>
      <x:c r="E21" s="17" t="str"/>
      <x:c r="F21" s="17" t="str"/>
      <x:c r="G21" s="17" t="str"/>
      <x:c r="H21" s="17" t="str"/>
      <x:c r="I21" s="17" t="str"/>
      <x:c r="J21" s="17" t="str"/>
    </x:row>
    <x:row r="22">
      <x:c r="A22" s="19" t="str">
        <x:v>Planning Inputs</x:v>
      </x:c>
      <x:c r="B22" s="17" t="str">
        <x:v>Synthetic worked source inputs. Replace blue cells and keep the layout or extend it carefully.</x:v>
      </x:c>
      <x:c r="C22" s="17" t="str"/>
      <x:c r="D22" s="17" t="str"/>
      <x:c r="E22" s="17" t="str"/>
      <x:c r="F22" s="17" t="str"/>
      <x:c r="G22" s="17" t="str"/>
      <x:c r="H22" s="17" t="str"/>
      <x:c r="I22" s="17" t="str"/>
      <x:c r="J22" s="17" t="str"/>
    </x:row>
    <x:row r="23">
      <x:c r="A23" s="19" t="str">
        <x:v>Rolling Forecast</x:v>
      </x:c>
      <x:c r="B23" s="17" t="str">
        <x:v>Formula-driven calculations and core finance mechanics.</x:v>
      </x:c>
      <x:c r="C23" s="17" t="str"/>
      <x:c r="D23" s="17" t="str"/>
      <x:c r="E23" s="17" t="str"/>
      <x:c r="F23" s="17" t="str"/>
      <x:c r="G23" s="17" t="str"/>
      <x:c r="H23" s="17" t="str"/>
      <x:c r="I23" s="17" t="str"/>
      <x:c r="J23" s="17" t="str"/>
    </x:row>
    <x:row r="24">
      <x:c r="A24" s="19" t="str">
        <x:v>Sensitivity</x:v>
      </x:c>
      <x:c r="B24" s="17" t="str">
        <x:v>Monthly revenue growth × Gross margin recalculation of Year-end EBITDA.</x:v>
      </x:c>
      <x:c r="C24" s="17" t="str"/>
      <x:c r="D24" s="17" t="str"/>
      <x:c r="E24" s="17" t="str"/>
      <x:c r="F24" s="17" t="str"/>
      <x:c r="G24" s="17" t="str"/>
      <x:c r="H24" s="17" t="str"/>
      <x:c r="I24" s="17" t="str"/>
      <x:c r="J24" s="17" t="str"/>
    </x:row>
    <x:row r="25">
      <x:c r="A25" s="19" t="str">
        <x:v>Summary</x:v>
      </x:c>
      <x:c r="B25" s="17" t="str">
        <x:v>Decision KPIs, trend, scenario, status, management questions, and next actions.</x:v>
      </x:c>
      <x:c r="C25" s="17" t="str"/>
      <x:c r="D25" s="17" t="str"/>
      <x:c r="E25" s="17" t="str"/>
      <x:c r="F25" s="17" t="str"/>
      <x:c r="G25" s="17" t="str"/>
      <x:c r="H25" s="17" t="str"/>
      <x:c r="I25" s="17" t="str"/>
      <x:c r="J25" s="17" t="str"/>
    </x:row>
    <x:row r="26">
      <x:c r="A26" s="19" t="str">
        <x:v>Checks</x:v>
      </x:c>
      <x:c r="B26" s="17" t="str">
        <x:v>One assertion per row with actual, expected, difference, tolerance, status, and fix location.</x:v>
      </x:c>
      <x:c r="C26" s="17" t="str"/>
      <x:c r="D26" s="17" t="str"/>
      <x:c r="E26" s="17" t="str"/>
      <x:c r="F26" s="17" t="str"/>
      <x:c r="G26" s="17" t="str"/>
      <x:c r="H26" s="17" t="str"/>
      <x:c r="I26" s="17" t="str"/>
      <x:c r="J26" s="17" t="str"/>
    </x:row>
    <x:row r="27">
      <x:c r="A27" s="19" t="str">
        <x:v>Sources &amp; Version</x:v>
      </x:c>
      <x:c r="B27" s="17" t="str">
        <x:v>Source/assumption register, release facts, version history, distribution and privacy notes.</x:v>
      </x:c>
      <x:c r="C27" s="17" t="str"/>
      <x:c r="D27" s="17" t="str"/>
      <x:c r="E27" s="17" t="str"/>
      <x:c r="F27" s="17" t="str"/>
      <x:c r="G27" s="17" t="str"/>
      <x:c r="H27" s="17" t="str"/>
      <x:c r="I27" s="17" t="str"/>
      <x:c r="J27" s="17" t="str"/>
    </x:row>
    <x:row r="29" ht="22" customHeight="1">
      <x:c r="A29" s="9" t="str">
        <x:v>PRACTICAL Q&amp;A</x:v>
      </x:c>
      <x:c r="B29" s="9" t="str">
        <x:v>PRACTICAL Q&amp;A</x:v>
      </x:c>
      <x:c r="C29" s="9" t="str">
        <x:v>PRACTICAL Q&amp;A</x:v>
      </x:c>
      <x:c r="D29" s="9" t="str">
        <x:v>PRACTICAL Q&amp;A</x:v>
      </x:c>
      <x:c r="E29" s="9" t="str">
        <x:v>PRACTICAL Q&amp;A</x:v>
      </x:c>
      <x:c r="F29" s="9" t="str">
        <x:v>PRACTICAL Q&amp;A</x:v>
      </x:c>
      <x:c r="G29" s="9" t="str">
        <x:v>PRACTICAL Q&amp;A</x:v>
      </x:c>
      <x:c r="H29" s="9" t="str">
        <x:v>PRACTICAL Q&amp;A</x:v>
      </x:c>
      <x:c r="I29" s="9" t="str">
        <x:v>PRACTICAL Q&amp;A</x:v>
      </x:c>
      <x:c r="J29" s="9" t="str">
        <x:v>PRACTICAL Q&amp;A</x:v>
      </x:c>
    </x:row>
    <x:row r="30" ht="34" customHeight="1">
      <x:c r="A30" s="22" t="str">
        <x:v>What should I replace first?</x:v>
      </x:c>
      <x:c r="B30" s="17" t="str">
        <x:v>Replace blue cells on Planning Inputs, then review scenario drivers and selected values on Assumptions.</x:v>
      </x:c>
      <x:c r="C30" s="17" t="str"/>
      <x:c r="D30" s="17" t="str"/>
      <x:c r="E30" s="17" t="str"/>
      <x:c r="F30" s="17" t="str"/>
      <x:c r="G30" s="17" t="str"/>
      <x:c r="H30" s="17" t="str"/>
      <x:c r="I30" s="17" t="str"/>
      <x:c r="J30" s="17" t="str"/>
    </x:row>
    <x:row r="31" ht="34" customHeight="1">
      <x:c r="A31" s="22" t="str">
        <x:v>How do I flex the template?</x:v>
      </x:c>
      <x:c r="B31" s="17" t="str">
        <x:v>Add periods or input rows in the source layer, extend formulas and formats together, and reconcile the new dimension back to Rolling Forecast and Checks.</x:v>
      </x:c>
      <x:c r="C31" s="17" t="str"/>
      <x:c r="D31" s="17" t="str"/>
      <x:c r="E31" s="17" t="str"/>
      <x:c r="F31" s="17" t="str"/>
      <x:c r="G31" s="17" t="str"/>
      <x:c r="H31" s="17" t="str"/>
      <x:c r="I31" s="17" t="str"/>
      <x:c r="J31" s="17" t="str"/>
    </x:row>
    <x:row r="32" ht="34" customHeight="1">
      <x:c r="A32" s="22" t="str">
        <x:v>What does PASS mean?</x:v>
      </x:c>
      <x:c r="B32" s="17" t="str">
        <x:v>The published calculations and tie-outs are within tolerance. PASS does not confirm source quality, policy, accounting, regulation, tax, legal treatment, or suitability.</x:v>
      </x:c>
      <x:c r="C32" s="17" t="str"/>
      <x:c r="D32" s="17" t="str"/>
      <x:c r="E32" s="17" t="str"/>
      <x:c r="F32" s="17" t="str"/>
      <x:c r="G32" s="17" t="str"/>
      <x:c r="H32" s="17" t="str"/>
      <x:c r="I32" s="17" t="str"/>
      <x:c r="J32" s="17" t="str"/>
    </x:row>
    <x:row r="33" ht="34" customHeight="1">
      <x:c r="A33" s="22" t="str">
        <x:v>Can I use real company data?</x:v>
      </x:c>
      <x:c r="B33" s="17" t="str">
        <x:v>Yes, in your private copy. Confirm permissions, source ownership, privacy requirements, and distribution restrictions before sharing.</x:v>
      </x:c>
      <x:c r="C33" s="17" t="str"/>
      <x:c r="D33" s="17" t="str"/>
      <x:c r="E33" s="17" t="str"/>
      <x:c r="F33" s="17" t="str"/>
      <x:c r="G33" s="17" t="str"/>
      <x:c r="H33" s="17" t="str"/>
      <x:c r="I33" s="17" t="str"/>
      <x:c r="J33" s="17" t="str"/>
    </x:row>
    <x:row r="34" ht="34" customHeight="1">
      <x:c r="A34" s="22" t="str">
        <x:v>Does it work in Google Sheets or LibreOffice?</x:v>
      </x:c>
      <x:c r="B34" s="17" t="str">
        <x:v>Not verified. Excel 365 is the supported target; test formulas, charts, validations, formats, and checks after conversion.</x:v>
      </x:c>
      <x:c r="C34" s="17" t="str"/>
      <x:c r="D34" s="17" t="str"/>
      <x:c r="E34" s="17" t="str"/>
      <x:c r="F34" s="17" t="str"/>
      <x:c r="G34" s="17" t="str"/>
      <x:c r="H34" s="17" t="str"/>
      <x:c r="I34" s="17" t="str"/>
      <x:c r="J34" s="17" t="str"/>
    </x:row>
    <x:row r="35" ht="34" customHeight="1">
      <x:c r="A35" s="22" t="str">
        <x:v>Can this replace professional review?</x:v>
      </x:c>
      <x:c r="B35" s="17" t="str">
        <x:v>No. It is an educational analytical template; obtain appropriate finance, accounting, tax, legal, regulatory, credit, actuarial, or investment review for real decisions.</x:v>
      </x:c>
      <x:c r="C35" s="17" t="str"/>
      <x:c r="D35" s="17" t="str"/>
      <x:c r="E35" s="17" t="str"/>
      <x:c r="F35" s="17" t="str"/>
      <x:c r="G35" s="17" t="str"/>
      <x:c r="H35" s="17" t="str"/>
      <x:c r="I35" s="17" t="str"/>
      <x:c r="J35" s="17" t="str"/>
    </x:row>
    <x:row r="37">
      <x:c r="A37" s="42" t="str">
        <x:v>Deliberately excluded in version 1.0.0: statutory consolidation; detailed tax provisioning; department input workflow; automated ERP connections. Extend only after the underlying method, source availability, checks, and review responsibility are defined.</x:v>
      </x:c>
      <x:c r="B37" s="43" t="str">
        <x:v>Deliberately excluded in version 1.0.0: statutory consolidation; detailed tax provisioning; department input workflow; automated ERP connections. Extend only after the underlying method, source availability, checks, and review responsibility are defined.</x:v>
      </x:c>
      <x:c r="C37" s="43" t="str">
        <x:v>Deliberately excluded in version 1.0.0: statutory consolidation; detailed tax provisioning; department input workflow; automated ERP connections. Extend only after the underlying method, source availability, checks, and review responsibility are defined.</x:v>
      </x:c>
      <x:c r="D37" s="43" t="str">
        <x:v>Deliberately excluded in version 1.0.0: statutory consolidation; detailed tax provisioning; department input workflow; automated ERP connections. Extend only after the underlying method, source availability, checks, and review responsibility are defined.</x:v>
      </x:c>
      <x:c r="E37" s="43" t="str">
        <x:v>Deliberately excluded in version 1.0.0: statutory consolidation; detailed tax provisioning; department input workflow; automated ERP connections. Extend only after the underlying method, source availability, checks, and review responsibility are defined.</x:v>
      </x:c>
      <x:c r="F37" s="43" t="str">
        <x:v>Deliberately excluded in version 1.0.0: statutory consolidation; detailed tax provisioning; department input workflow; automated ERP connections. Extend only after the underlying method, source availability, checks, and review responsibility are defined.</x:v>
      </x:c>
      <x:c r="G37" s="43" t="str">
        <x:v>Deliberately excluded in version 1.0.0: statutory consolidation; detailed tax provisioning; department input workflow; automated ERP connections. Extend only after the underlying method, source availability, checks, and review responsibility are defined.</x:v>
      </x:c>
      <x:c r="H37" s="43" t="str">
        <x:v>Deliberately excluded in version 1.0.0: statutory consolidation; detailed tax provisioning; department input workflow; automated ERP connections. Extend only after the underlying method, source availability, checks, and review responsibility are defined.</x:v>
      </x:c>
      <x:c r="I37" s="43" t="str">
        <x:v>Deliberately excluded in version 1.0.0: statutory consolidation; detailed tax provisioning; department input workflow; automated ERP connections. Extend only after the underlying method, source availability, checks, and review responsibility are defined.</x:v>
      </x:c>
      <x:c r="J37" s="44" t="str">
        <x:v>Deliberately excluded in version 1.0.0: statutory consolidation; detailed tax provisioning; department input workflow; automated ERP connections. Extend only after the underlying method, source availability, checks, and review responsibility are defined.</x:v>
      </x:c>
    </x:row>
    <x:row r="38">
      <x:c r="A38" s="45" t="str">
        <x:v>Deliberately excluded in version 1.0.0: statutory consolidation; detailed tax provisioning; department input workflow; automated ERP connections. Extend only after the underlying method, source availability, checks, and review responsibility are defined.</x:v>
      </x:c>
      <x:c r="B38" s="46" t="str">
        <x:v>Deliberately excluded in version 1.0.0: statutory consolidation; detailed tax provisioning; department input workflow; automated ERP connections. Extend only after the underlying method, source availability, checks, and review responsibility are defined.</x:v>
      </x:c>
      <x:c r="C38" s="46" t="str">
        <x:v>Deliberately excluded in version 1.0.0: statutory consolidation; detailed tax provisioning; department input workflow; automated ERP connections. Extend only after the underlying method, source availability, checks, and review responsibility are defined.</x:v>
      </x:c>
      <x:c r="D38" s="46" t="str">
        <x:v>Deliberately excluded in version 1.0.0: statutory consolidation; detailed tax provisioning; department input workflow; automated ERP connections. Extend only after the underlying method, source availability, checks, and review responsibility are defined.</x:v>
      </x:c>
      <x:c r="E38" s="46" t="str">
        <x:v>Deliberately excluded in version 1.0.0: statutory consolidation; detailed tax provisioning; department input workflow; automated ERP connections. Extend only after the underlying method, source availability, checks, and review responsibility are defined.</x:v>
      </x:c>
      <x:c r="F38" s="46" t="str">
        <x:v>Deliberately excluded in version 1.0.0: statutory consolidation; detailed tax provisioning; department input workflow; automated ERP connections. Extend only after the underlying method, source availability, checks, and review responsibility are defined.</x:v>
      </x:c>
      <x:c r="G38" s="46" t="str">
        <x:v>Deliberately excluded in version 1.0.0: statutory consolidation; detailed tax provisioning; department input workflow; automated ERP connections. Extend only after the underlying method, source availability, checks, and review responsibility are defined.</x:v>
      </x:c>
      <x:c r="H38" s="46" t="str">
        <x:v>Deliberately excluded in version 1.0.0: statutory consolidation; detailed tax provisioning; department input workflow; automated ERP connections. Extend only after the underlying method, source availability, checks, and review responsibility are defined.</x:v>
      </x:c>
      <x:c r="I38" s="46" t="str">
        <x:v>Deliberately excluded in version 1.0.0: statutory consolidation; detailed tax provisioning; department input workflow; automated ERP connections. Extend only after the underlying method, source availability, checks, and review responsibility are defined.</x:v>
      </x:c>
      <x:c r="J38" s="47" t="str">
        <x:v>Deliberately excluded in version 1.0.0: statutory consolidation; detailed tax provisioning; department input workflow; automated ERP connections. Extend only after the underlying method, source availability, checks, and review responsibility are defined.</x:v>
      </x:c>
    </x:row>
    <x:row r="39">
      <x:c r="A39" s="48" t="str">
        <x:v>Deliberately excluded in version 1.0.0: statutory consolidation; detailed tax provisioning; department input workflow; automated ERP connections. Extend only after the underlying method, source availability, checks, and review responsibility are defined.</x:v>
      </x:c>
      <x:c r="B39" s="49" t="str">
        <x:v>Deliberately excluded in version 1.0.0: statutory consolidation; detailed tax provisioning; department input workflow; automated ERP connections. Extend only after the underlying method, source availability, checks, and review responsibility are defined.</x:v>
      </x:c>
      <x:c r="C39" s="49" t="str">
        <x:v>Deliberately excluded in version 1.0.0: statutory consolidation; detailed tax provisioning; department input workflow; automated ERP connections. Extend only after the underlying method, source availability, checks, and review responsibility are defined.</x:v>
      </x:c>
      <x:c r="D39" s="49" t="str">
        <x:v>Deliberately excluded in version 1.0.0: statutory consolidation; detailed tax provisioning; department input workflow; automated ERP connections. Extend only after the underlying method, source availability, checks, and review responsibility are defined.</x:v>
      </x:c>
      <x:c r="E39" s="49" t="str">
        <x:v>Deliberately excluded in version 1.0.0: statutory consolidation; detailed tax provisioning; department input workflow; automated ERP connections. Extend only after the underlying method, source availability, checks, and review responsibility are defined.</x:v>
      </x:c>
      <x:c r="F39" s="49" t="str">
        <x:v>Deliberately excluded in version 1.0.0: statutory consolidation; detailed tax provisioning; department input workflow; automated ERP connections. Extend only after the underlying method, source availability, checks, and review responsibility are defined.</x:v>
      </x:c>
      <x:c r="G39" s="49" t="str">
        <x:v>Deliberately excluded in version 1.0.0: statutory consolidation; detailed tax provisioning; department input workflow; automated ERP connections. Extend only after the underlying method, source availability, checks, and review responsibility are defined.</x:v>
      </x:c>
      <x:c r="H39" s="49" t="str">
        <x:v>Deliberately excluded in version 1.0.0: statutory consolidation; detailed tax provisioning; department input workflow; automated ERP connections. Extend only after the underlying method, source availability, checks, and review responsibility are defined.</x:v>
      </x:c>
      <x:c r="I39" s="49" t="str">
        <x:v>Deliberately excluded in version 1.0.0: statutory consolidation; detailed tax provisioning; department input workflow; automated ERP connections. Extend only after the underlying method, source availability, checks, and review responsibility are defined.</x:v>
      </x:c>
      <x:c r="J39" s="50" t="str">
        <x:v>Deliberately excluded in version 1.0.0: statutory consolidation; detailed tax provisioning; department input workflow; automated ERP connections. Extend only after the underlying method, source availability, checks, and review responsibility are defined.</x:v>
      </x:c>
    </x:row>
    <x:row r="41">
      <x:c r="A41" s="53" t="str">
        <x:v>TDAT Model Library  |  Trust builds the brand. Insight builds the decision.</x:v>
      </x:c>
      <x:c r="B41" s="53" t="str">
        <x:v>TDAT Model Library  |  Trust builds the brand. Insight builds the decision.</x:v>
      </x:c>
      <x:c r="C41" s="53" t="str">
        <x:v>TDAT Model Library  |  Trust builds the brand. Insight builds the decision.</x:v>
      </x:c>
      <x:c r="D41" s="53" t="str">
        <x:v>TDAT Model Library  |  Trust builds the brand. Insight builds the decision.</x:v>
      </x:c>
      <x:c r="E41" s="53" t="str">
        <x:v>TDAT Model Library  |  Trust builds the brand. Insight builds the decision.</x:v>
      </x:c>
      <x:c r="F41" s="53" t="str">
        <x:v>TDAT Model Library  |  Trust builds the brand. Insight builds the decision.</x:v>
      </x:c>
      <x:c r="G41" s="53" t="str">
        <x:v>TDAT Model Library  |  Trust builds the brand. Insight builds the decision.</x:v>
      </x:c>
      <x:c r="H41" s="53" t="str">
        <x:v>TDAT Model Library  |  Trust builds the brand. Insight builds the decision.</x:v>
      </x:c>
      <x:c r="I41" s="53" t="str">
        <x:v>TDAT Model Library  |  Trust builds the brand. Insight builds the decision.</x:v>
      </x:c>
      <x:c r="J41" s="53" t="str">
        <x:v>TDAT Model Library  |  Trust builds the brand. Insight builds the decision.</x:v>
      </x:c>
    </x:row>
  </x:sheetData>
  <x:mergeCells>
    <x:mergeCell ref="A1:J1"/>
    <x:mergeCell ref="A2:J2"/>
    <x:mergeCell ref="A5:J5"/>
    <x:mergeCell ref="A6:J8"/>
    <x:mergeCell ref="A10:J10"/>
    <x:mergeCell ref="C11:J11"/>
    <x:mergeCell ref="C12:J12"/>
    <x:mergeCell ref="C13:J13"/>
    <x:mergeCell ref="C14:J14"/>
    <x:mergeCell ref="C15:J15"/>
    <x:mergeCell ref="C16:J16"/>
    <x:mergeCell ref="A18:J18"/>
    <x:mergeCell ref="B19:J19"/>
    <x:mergeCell ref="B20:J20"/>
    <x:mergeCell ref="B21:J21"/>
    <x:mergeCell ref="B22:J22"/>
    <x:mergeCell ref="B23:J23"/>
    <x:mergeCell ref="B24:J24"/>
    <x:mergeCell ref="B25:J25"/>
    <x:mergeCell ref="B26:J26"/>
    <x:mergeCell ref="B27:J27"/>
    <x:mergeCell ref="A29:J29"/>
    <x:mergeCell ref="B30:J30"/>
    <x:mergeCell ref="B31:J31"/>
    <x:mergeCell ref="B32:J32"/>
    <x:mergeCell ref="B33:J33"/>
    <x:mergeCell ref="B34:J34"/>
    <x:mergeCell ref="B35:J35"/>
    <x:mergeCell ref="A37:J39"/>
    <x:mergeCell ref="A41:J41"/>
  </x:mergeCells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30" hidden="0" customWidth="1"/>
    <x:col min="2" max="2" width="16" hidden="0" customWidth="1"/>
    <x:col min="3" max="3" width="16" hidden="0" customWidth="1"/>
    <x:col min="4" max="4" width="16" hidden="0" customWidth="1"/>
    <x:col min="5" max="5" width="16" hidden="0" customWidth="1"/>
    <x:col min="6" max="6" width="18" hidden="0" customWidth="1"/>
    <x:col min="7" max="7" width="44" hidden="0" customWidth="1"/>
  </x:cols>
  <x:sheetData>
    <x:row r="1" ht="34" customHeight="1">
      <x:c r="A1" s="3" t="str">
        <x:v>ASSUMPTIONS &amp; SCENARIOS</x:v>
      </x:c>
      <x:c r="B1" s="3" t="str">
        <x:v>ASSUMPTIONS &amp; SCENARIOS</x:v>
      </x:c>
      <x:c r="C1" s="3" t="str">
        <x:v>ASSUMPTIONS &amp; SCENARIOS</x:v>
      </x:c>
      <x:c r="D1" s="3" t="str">
        <x:v>ASSUMPTIONS &amp; SCENARIOS</x:v>
      </x:c>
      <x:c r="E1" s="3" t="str">
        <x:v>ASSUMPTIONS &amp; SCENARIOS</x:v>
      </x:c>
      <x:c r="F1" s="3" t="str">
        <x:v>ASSUMPTIONS &amp; SCENARIOS</x:v>
      </x:c>
      <x:c r="G1" s="3" t="str">
        <x:v>ASSUMPTIONS &amp; SCENARIOS</x:v>
      </x:c>
    </x:row>
    <x:row r="2" ht="24" customHeight="1">
      <x:c r="A2" s="6" t="str">
        <x:v>Budget &amp; Rolling Forecast  |  One controlled selector and visible driver cases</x:v>
      </x:c>
      <x:c r="B2" s="6" t="str">
        <x:v>Budget &amp; Rolling Forecast  |  One controlled selector and visible driver cases</x:v>
      </x:c>
      <x:c r="C2" s="6" t="str">
        <x:v>Budget &amp; Rolling Forecast  |  One controlled selector and visible driver cases</x:v>
      </x:c>
      <x:c r="D2" s="6" t="str">
        <x:v>Budget &amp; Rolling Forecast  |  One controlled selector and visible driver cases</x:v>
      </x:c>
      <x:c r="E2" s="6" t="str">
        <x:v>Budget &amp; Rolling Forecast  |  One controlled selector and visible driver cases</x:v>
      </x:c>
      <x:c r="F2" s="6" t="str">
        <x:v>Budget &amp; Rolling Forecast  |  One controlled selector and visible driver cases</x:v>
      </x:c>
      <x:c r="G2" s="6" t="str">
        <x:v>Budget &amp; Rolling Forecast  |  One controlled selector and visible driver cases</x:v>
      </x:c>
    </x:row>
    <x:row r="3" ht="4" customHeight="1">
      <x:c r="A3" s="54" t="str">
        <x:v>Selected Scenario</x:v>
      </x:c>
      <x:c r="B3" s="56" t="str">
        <x:v>Base</x:v>
      </x:c>
      <x:c r="C3" s="7"/>
      <x:c r="D3" s="7"/>
      <x:c r="E3" s="7"/>
      <x:c r="F3" s="7"/>
      <x:c r="G3" s="7"/>
    </x:row>
    <x:row r="5" ht="24" customHeight="1">
      <x:c r="A5" s="66" t="str">
        <x:v>Driver</x:v>
      </x:c>
      <x:c r="B5" s="67" t="str">
        <x:v>Unit</x:v>
      </x:c>
      <x:c r="C5" s="67" t="str">
        <x:v>Base</x:v>
      </x:c>
      <x:c r="D5" s="67" t="str">
        <x:v>Upside</x:v>
      </x:c>
      <x:c r="E5" s="67" t="str">
        <x:v>Downside</x:v>
      </x:c>
      <x:c r="F5" s="67" t="str">
        <x:v>Selected</x:v>
      </x:c>
      <x:c r="G5" s="68" t="str">
        <x:v>Rationale / edit cue</x:v>
      </x:c>
    </x:row>
    <x:row r="6">
      <x:c r="A6" s="76" t="str">
        <x:v>Monthly revenue growth</x:v>
      </x:c>
      <x:c r="B6" s="77" t="str">
        <x:v>%</x:v>
      </x:c>
      <x:c r="C6" s="78" t="n">
        <x:v>0.03</x:v>
      </x:c>
      <x:c r="D6" s="78" t="n">
        <x:v>0.05</x:v>
      </x:c>
      <x:c r="E6" s="78" t="n">
        <x:v>0</x:v>
      </x:c>
      <x:c r="F6" s="79" t="n">
        <x:f>IF($B$3="Base",C6,IF($B$3="Upside",D6,E6))</x:f>
        <x:v>0.03</x:v>
      </x:c>
      <x:c r="G6" s="80" t="str">
        <x:v>Volume, price, and mix should support the selected growth rate.</x:v>
      </x:c>
    </x:row>
    <x:row r="7">
      <x:c r="A7" s="81" t="str">
        <x:v>Gross margin</x:v>
      </x:c>
      <x:c r="B7" s="82" t="str">
        <x:v>%</x:v>
      </x:c>
      <x:c r="C7" s="83" t="n">
        <x:v>0.38</x:v>
      </x:c>
      <x:c r="D7" s="83" t="n">
        <x:v>0.41</x:v>
      </x:c>
      <x:c r="E7" s="83" t="n">
        <x:v>0.34</x:v>
      </x:c>
      <x:c r="F7" s="84" t="n">
        <x:f>IF($B$3="Base",C7,IF($B$3="Upside",D7,E7))</x:f>
        <x:v>0.38</x:v>
      </x:c>
      <x:c r="G7" s="85" t="str">
        <x:v>Use a visible price, mix, and unit-cost bridge where material.</x:v>
      </x:c>
    </x:row>
    <x:row r="8">
      <x:c r="A8" s="81" t="str">
        <x:v>Operating expense / revenue</x:v>
      </x:c>
      <x:c r="B8" s="82" t="str">
        <x:v>%</x:v>
      </x:c>
      <x:c r="C8" s="83" t="n">
        <x:v>0.22</x:v>
      </x:c>
      <x:c r="D8" s="83" t="n">
        <x:v>0.21</x:v>
      </x:c>
      <x:c r="E8" s="83" t="n">
        <x:v>0.25</x:v>
      </x:c>
      <x:c r="F8" s="84" t="n">
        <x:f>IF($B$3="Base",C8,IF($B$3="Upside",D8,E8))</x:f>
        <x:v>0.22</x:v>
      </x:c>
      <x:c r="G8" s="85" t="str">
        <x:v>Replace with an approved, sourced assumption.</x:v>
      </x:c>
    </x:row>
    <x:row r="9">
      <x:c r="A9" s="86" t="str">
        <x:v>EBITDA cash conversion</x:v>
      </x:c>
      <x:c r="B9" s="87" t="str">
        <x:v>%</x:v>
      </x:c>
      <x:c r="C9" s="88" t="n">
        <x:v>0.72</x:v>
      </x:c>
      <x:c r="D9" s="88" t="n">
        <x:v>0.8</x:v>
      </x:c>
      <x:c r="E9" s="88" t="n">
        <x:v>0.58</x:v>
      </x:c>
      <x:c r="F9" s="89" t="n">
        <x:f>IF($B$3="Base",C9,IF($B$3="Upside",D9,E9))</x:f>
        <x:v>0.72</x:v>
      </x:c>
      <x:c r="G9" s="90" t="str">
        <x:v>Replace with an approved, sourced assumption.</x:v>
      </x:c>
    </x:row>
    <x:row r="11">
      <x:c r="A11" s="42" t="str">
        <x:v>Scenario discipline: change a small number of decision-relevant drivers, preserve the core formula architecture, and document what changed, why, who owns it, and what action follows.</x:v>
      </x:c>
      <x:c r="B11" s="43" t="str">
        <x:v>Scenario discipline: change a small number of decision-relevant drivers, preserve the core formula architecture, and document what changed, why, who owns it, and what action follows.</x:v>
      </x:c>
      <x:c r="C11" s="43" t="str">
        <x:v>Scenario discipline: change a small number of decision-relevant drivers, preserve the core formula architecture, and document what changed, why, who owns it, and what action follows.</x:v>
      </x:c>
      <x:c r="D11" s="43" t="str">
        <x:v>Scenario discipline: change a small number of decision-relevant drivers, preserve the core formula architecture, and document what changed, why, who owns it, and what action follows.</x:v>
      </x:c>
      <x:c r="E11" s="43" t="str">
        <x:v>Scenario discipline: change a small number of decision-relevant drivers, preserve the core formula architecture, and document what changed, why, who owns it, and what action follows.</x:v>
      </x:c>
      <x:c r="F11" s="43" t="str">
        <x:v>Scenario discipline: change a small number of decision-relevant drivers, preserve the core formula architecture, and document what changed, why, who owns it, and what action follows.</x:v>
      </x:c>
      <x:c r="G11" s="44" t="str">
        <x:v>Scenario discipline: change a small number of decision-relevant drivers, preserve the core formula architecture, and document what changed, why, who owns it, and what action follows.</x:v>
      </x:c>
    </x:row>
    <x:row r="12">
      <x:c r="A12" s="45" t="str">
        <x:v>Scenario discipline: change a small number of decision-relevant drivers, preserve the core formula architecture, and document what changed, why, who owns it, and what action follows.</x:v>
      </x:c>
      <x:c r="B12" s="46" t="str">
        <x:v>Scenario discipline: change a small number of decision-relevant drivers, preserve the core formula architecture, and document what changed, why, who owns it, and what action follows.</x:v>
      </x:c>
      <x:c r="C12" s="46" t="str">
        <x:v>Scenario discipline: change a small number of decision-relevant drivers, preserve the core formula architecture, and document what changed, why, who owns it, and what action follows.</x:v>
      </x:c>
      <x:c r="D12" s="46" t="str">
        <x:v>Scenario discipline: change a small number of decision-relevant drivers, preserve the core formula architecture, and document what changed, why, who owns it, and what action follows.</x:v>
      </x:c>
      <x:c r="E12" s="46" t="str">
        <x:v>Scenario discipline: change a small number of decision-relevant drivers, preserve the core formula architecture, and document what changed, why, who owns it, and what action follows.</x:v>
      </x:c>
      <x:c r="F12" s="46" t="str">
        <x:v>Scenario discipline: change a small number of decision-relevant drivers, preserve the core formula architecture, and document what changed, why, who owns it, and what action follows.</x:v>
      </x:c>
      <x:c r="G12" s="47" t="str">
        <x:v>Scenario discipline: change a small number of decision-relevant drivers, preserve the core formula architecture, and document what changed, why, who owns it, and what action follows.</x:v>
      </x:c>
    </x:row>
    <x:row r="13">
      <x:c r="A13" s="48" t="str">
        <x:v>Scenario discipline: change a small number of decision-relevant drivers, preserve the core formula architecture, and document what changed, why, who owns it, and what action follows.</x:v>
      </x:c>
      <x:c r="B13" s="49" t="str">
        <x:v>Scenario discipline: change a small number of decision-relevant drivers, preserve the core formula architecture, and document what changed, why, who owns it, and what action follows.</x:v>
      </x:c>
      <x:c r="C13" s="49" t="str">
        <x:v>Scenario discipline: change a small number of decision-relevant drivers, preserve the core formula architecture, and document what changed, why, who owns it, and what action follows.</x:v>
      </x:c>
      <x:c r="D13" s="49" t="str">
        <x:v>Scenario discipline: change a small number of decision-relevant drivers, preserve the core formula architecture, and document what changed, why, who owns it, and what action follows.</x:v>
      </x:c>
      <x:c r="E13" s="49" t="str">
        <x:v>Scenario discipline: change a small number of decision-relevant drivers, preserve the core formula architecture, and document what changed, why, who owns it, and what action follows.</x:v>
      </x:c>
      <x:c r="F13" s="49" t="str">
        <x:v>Scenario discipline: change a small number of decision-relevant drivers, preserve the core formula architecture, and document what changed, why, who owns it, and what action follows.</x:v>
      </x:c>
      <x:c r="G13" s="50" t="str">
        <x:v>Scenario discipline: change a small number of decision-relevant drivers, preserve the core formula architecture, and document what changed, why, who owns it, and what action follows.</x:v>
      </x:c>
    </x:row>
    <x:row r="15">
      <x:c r="A15" s="53" t="str">
        <x:v>TDAT Model Library  |  Trust builds the brand. Insight builds the decision.</x:v>
      </x:c>
      <x:c r="B15" s="53" t="str">
        <x:v>TDAT Model Library  |  Trust builds the brand. Insight builds the decision.</x:v>
      </x:c>
      <x:c r="C15" s="53" t="str">
        <x:v>TDAT Model Library  |  Trust builds the brand. Insight builds the decision.</x:v>
      </x:c>
      <x:c r="D15" s="53" t="str">
        <x:v>TDAT Model Library  |  Trust builds the brand. Insight builds the decision.</x:v>
      </x:c>
      <x:c r="E15" s="53" t="str">
        <x:v>TDAT Model Library  |  Trust builds the brand. Insight builds the decision.</x:v>
      </x:c>
      <x:c r="F15" s="53" t="str">
        <x:v>TDAT Model Library  |  Trust builds the brand. Insight builds the decision.</x:v>
      </x:c>
      <x:c r="G15" s="53" t="str">
        <x:v>TDAT Model Library  |  Trust builds the brand. Insight builds the decision.</x:v>
      </x:c>
    </x:row>
  </x:sheetData>
  <x:mergeCells>
    <x:mergeCell ref="A1:G1"/>
    <x:mergeCell ref="A2:G2"/>
    <x:mergeCell ref="A11:G13"/>
    <x:mergeCell ref="A15:G15"/>
  </x:mergeCells>
  <x:dataValidations count="1">
    <x:dataValidation type="list" sqref="B3">
      <x:formula1>"Base,Upside,Downside"</x:formula1>
    </x:dataValidation>
  </x:dataValidations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32" hidden="0" customWidth="1"/>
    <x:col min="2" max="2" width="13" hidden="0" customWidth="1"/>
    <x:col min="3" max="3" width="13" hidden="0" customWidth="1"/>
    <x:col min="4" max="4" width="13" hidden="0" customWidth="1"/>
    <x:col min="5" max="5" width="13" hidden="0" customWidth="1"/>
    <x:col min="6" max="6" width="13" hidden="0" customWidth="1"/>
    <x:col min="7" max="7" width="13" hidden="0" customWidth="1"/>
    <x:col min="8" max="8" width="13" hidden="0" customWidth="1"/>
    <x:col min="9" max="9" width="13" hidden="0" customWidth="1"/>
    <x:col min="10" max="10" width="13" hidden="0" customWidth="1"/>
    <x:col min="11" max="11" width="13" hidden="0" customWidth="1"/>
    <x:col min="12" max="12" width="13" hidden="0" customWidth="1"/>
    <x:col min="13" max="13" width="13" hidden="0" customWidth="1"/>
  </x:cols>
  <x:sheetData>
    <x:row r="1" ht="34" customHeight="1">
      <x:c r="A1" s="3" t="str">
        <x:v>PLANNING INPUTS</x:v>
      </x:c>
      <x:c r="B1" s="3" t="str">
        <x:v>PLANNING INPUTS</x:v>
      </x:c>
      <x:c r="C1" s="3" t="str">
        <x:v>PLANNING INPUTS</x:v>
      </x:c>
      <x:c r="D1" s="3" t="str">
        <x:v>PLANNING INPUTS</x:v>
      </x:c>
      <x:c r="E1" s="3" t="str">
        <x:v>PLANNING INPUTS</x:v>
      </x:c>
      <x:c r="F1" s="3" t="str">
        <x:v>PLANNING INPUTS</x:v>
      </x:c>
      <x:c r="G1" s="3" t="str">
        <x:v>PLANNING INPUTS</x:v>
      </x:c>
      <x:c r="H1" s="3" t="str">
        <x:v>PLANNING INPUTS</x:v>
      </x:c>
      <x:c r="I1" s="3" t="str">
        <x:v>PLANNING INPUTS</x:v>
      </x:c>
      <x:c r="J1" s="3" t="str">
        <x:v>PLANNING INPUTS</x:v>
      </x:c>
      <x:c r="K1" s="3" t="str">
        <x:v>PLANNING INPUTS</x:v>
      </x:c>
      <x:c r="L1" s="3" t="str">
        <x:v>PLANNING INPUTS</x:v>
      </x:c>
      <x:c r="M1" s="3" t="str">
        <x:v>PLANNING INPUTS</x:v>
      </x:c>
    </x:row>
    <x:row r="2" ht="24" customHeight="1">
      <x:c r="A2" s="6" t="str">
        <x:v>Budget &amp; Rolling Forecast  |  Synthetic worked inputs — replace blue cells</x:v>
      </x:c>
      <x:c r="B2" s="6" t="str">
        <x:v>Budget &amp; Rolling Forecast  |  Synthetic worked inputs — replace blue cells</x:v>
      </x:c>
      <x:c r="C2" s="6" t="str">
        <x:v>Budget &amp; Rolling Forecast  |  Synthetic worked inputs — replace blue cells</x:v>
      </x:c>
      <x:c r="D2" s="6" t="str">
        <x:v>Budget &amp; Rolling Forecast  |  Synthetic worked inputs — replace blue cells</x:v>
      </x:c>
      <x:c r="E2" s="6" t="str">
        <x:v>Budget &amp; Rolling Forecast  |  Synthetic worked inputs — replace blue cells</x:v>
      </x:c>
      <x:c r="F2" s="6" t="str">
        <x:v>Budget &amp; Rolling Forecast  |  Synthetic worked inputs — replace blue cells</x:v>
      </x:c>
      <x:c r="G2" s="6" t="str">
        <x:v>Budget &amp; Rolling Forecast  |  Synthetic worked inputs — replace blue cells</x:v>
      </x:c>
      <x:c r="H2" s="6" t="str">
        <x:v>Budget &amp; Rolling Forecast  |  Synthetic worked inputs — replace blue cells</x:v>
      </x:c>
      <x:c r="I2" s="6" t="str">
        <x:v>Budget &amp; Rolling Forecast  |  Synthetic worked inputs — replace blue cells</x:v>
      </x:c>
      <x:c r="J2" s="6" t="str">
        <x:v>Budget &amp; Rolling Forecast  |  Synthetic worked inputs — replace blue cells</x:v>
      </x:c>
      <x:c r="K2" s="6" t="str">
        <x:v>Budget &amp; Rolling Forecast  |  Synthetic worked inputs — replace blue cells</x:v>
      </x:c>
      <x:c r="L2" s="6" t="str">
        <x:v>Budget &amp; Rolling Forecast  |  Synthetic worked inputs — replace blue cells</x:v>
      </x:c>
      <x:c r="M2" s="6" t="str">
        <x:v>Budget &amp; Rolling Forecast  |  Synthetic worked inputs — replace blue cells</x:v>
      </x:c>
    </x:row>
    <x:row r="3" ht="4" customHeight="1">
      <x:c r="A3" s="7"/>
      <x:c r="B3" s="7"/>
      <x:c r="C3" s="7"/>
      <x:c r="D3" s="7"/>
      <x:c r="E3" s="7"/>
      <x:c r="F3" s="7"/>
      <x:c r="G3" s="7"/>
      <x:c r="H3" s="7"/>
      <x:c r="I3" s="7"/>
      <x:c r="J3" s="7"/>
      <x:c r="K3" s="7"/>
      <x:c r="L3" s="7"/>
      <x:c r="M3" s="7"/>
    </x:row>
    <x:row r="5" ht="24" customHeight="1">
      <x:c r="A5" s="66" t="str">
        <x:v>Input / Period</x:v>
      </x:c>
      <x:c r="B5" s="67" t="str">
        <x:v>Jan</x:v>
      </x:c>
      <x:c r="C5" s="67" t="str">
        <x:v>Feb</x:v>
      </x:c>
      <x:c r="D5" s="67" t="str">
        <x:v>Mar</x:v>
      </x:c>
      <x:c r="E5" s="67" t="str">
        <x:v>Apr</x:v>
      </x:c>
      <x:c r="F5" s="67" t="str">
        <x:v>May</x:v>
      </x:c>
      <x:c r="G5" s="67" t="str">
        <x:v>Jun</x:v>
      </x:c>
      <x:c r="H5" s="67" t="str">
        <x:v>Jul</x:v>
      </x:c>
      <x:c r="I5" s="67" t="str">
        <x:v>Aug</x:v>
      </x:c>
      <x:c r="J5" s="67" t="str">
        <x:v>Sep</x:v>
      </x:c>
      <x:c r="K5" s="67" t="str">
        <x:v>Oct</x:v>
      </x:c>
      <x:c r="L5" s="67" t="str">
        <x:v>Nov</x:v>
      </x:c>
      <x:c r="M5" s="68" t="str">
        <x:v>Dec</x:v>
      </x:c>
    </x:row>
    <x:row r="6">
      <x:c r="A6" s="96" t="str">
        <x:v>Latest actual / run-rate revenue</x:v>
      </x:c>
      <x:c r="B6" s="97" t="n">
        <x:v>100</x:v>
      </x:c>
      <x:c r="C6" s="97" t="n">
        <x:v>102</x:v>
      </x:c>
      <x:c r="D6" s="97" t="n">
        <x:v>104</x:v>
      </x:c>
      <x:c r="E6" s="97" t="n">
        <x:v>106</x:v>
      </x:c>
      <x:c r="F6" s="97" t="n">
        <x:v>108</x:v>
      </x:c>
      <x:c r="G6" s="97" t="n">
        <x:v>110</x:v>
      </x:c>
      <x:c r="H6" s="97" t="n">
        <x:v>112</x:v>
      </x:c>
      <x:c r="I6" s="97" t="n">
        <x:v>115</x:v>
      </x:c>
      <x:c r="J6" s="97" t="n">
        <x:v>118</x:v>
      </x:c>
      <x:c r="K6" s="97" t="n">
        <x:v>121</x:v>
      </x:c>
      <x:c r="L6" s="97" t="n">
        <x:v>124</x:v>
      </x:c>
      <x:c r="M6" s="97" t="n">
        <x:v>128</x:v>
      </x:c>
    </x:row>
    <x:row r="7">
      <x:c r="A7" s="98" t="str">
        <x:v>Latest actual / run-rate units</x:v>
      </x:c>
      <x:c r="B7" s="99" t="n">
        <x:v>1000</x:v>
      </x:c>
      <x:c r="C7" s="99" t="n">
        <x:v>1015</x:v>
      </x:c>
      <x:c r="D7" s="99" t="n">
        <x:v>1030</x:v>
      </x:c>
      <x:c r="E7" s="99" t="n">
        <x:v>1045</x:v>
      </x:c>
      <x:c r="F7" s="99" t="n">
        <x:v>1060</x:v>
      </x:c>
      <x:c r="G7" s="99" t="n">
        <x:v>1080</x:v>
      </x:c>
      <x:c r="H7" s="99" t="n">
        <x:v>1100</x:v>
      </x:c>
      <x:c r="I7" s="99" t="n">
        <x:v>1120</x:v>
      </x:c>
      <x:c r="J7" s="99" t="n">
        <x:v>1145</x:v>
      </x:c>
      <x:c r="K7" s="99" t="n">
        <x:v>1170</x:v>
      </x:c>
      <x:c r="L7" s="99" t="n">
        <x:v>1190</x:v>
      </x:c>
      <x:c r="M7" s="99" t="n">
        <x:v>1220</x:v>
      </x:c>
    </x:row>
    <x:row r="8">
      <x:c r="A8" s="98" t="str">
        <x:v>Approved budget revenue</x:v>
      </x:c>
      <x:c r="B8" s="100" t="n">
        <x:v>98</x:v>
      </x:c>
      <x:c r="C8" s="100" t="n">
        <x:v>101</x:v>
      </x:c>
      <x:c r="D8" s="100" t="n">
        <x:v>103</x:v>
      </x:c>
      <x:c r="E8" s="100" t="n">
        <x:v>105</x:v>
      </x:c>
      <x:c r="F8" s="100" t="n">
        <x:v>107</x:v>
      </x:c>
      <x:c r="G8" s="100" t="n">
        <x:v>109</x:v>
      </x:c>
      <x:c r="H8" s="100" t="n">
        <x:v>111</x:v>
      </x:c>
      <x:c r="I8" s="100" t="n">
        <x:v>113</x:v>
      </x:c>
      <x:c r="J8" s="100" t="n">
        <x:v>116</x:v>
      </x:c>
      <x:c r="K8" s="100" t="n">
        <x:v>119</x:v>
      </x:c>
      <x:c r="L8" s="100" t="n">
        <x:v>122</x:v>
      </x:c>
      <x:c r="M8" s="100" t="n">
        <x:v>125</x:v>
      </x:c>
    </x:row>
    <x:row r="9">
      <x:c r="A9" s="98" t="str">
        <x:v>Approved budget EBITDA</x:v>
      </x:c>
      <x:c r="B9" s="100" t="n">
        <x:v>14.7</x:v>
      </x:c>
      <x:c r="C9" s="100" t="n">
        <x:v>15.2</x:v>
      </x:c>
      <x:c r="D9" s="100" t="n">
        <x:v>15.5</x:v>
      </x:c>
      <x:c r="E9" s="100" t="n">
        <x:v>15.8</x:v>
      </x:c>
      <x:c r="F9" s="100" t="n">
        <x:v>16.1</x:v>
      </x:c>
      <x:c r="G9" s="100" t="n">
        <x:v>16.4</x:v>
      </x:c>
      <x:c r="H9" s="100" t="n">
        <x:v>16.7</x:v>
      </x:c>
      <x:c r="I9" s="100" t="n">
        <x:v>17</x:v>
      </x:c>
      <x:c r="J9" s="100" t="n">
        <x:v>17.4</x:v>
      </x:c>
      <x:c r="K9" s="100" t="n">
        <x:v>17.9</x:v>
      </x:c>
      <x:c r="L9" s="100" t="n">
        <x:v>18.3</x:v>
      </x:c>
      <x:c r="M9" s="100" t="n">
        <x:v>18.8</x:v>
      </x:c>
    </x:row>
    <x:row r="10">
      <x:c r="A10" s="101" t="str">
        <x:v>Prior-year revenue</x:v>
      </x:c>
      <x:c r="B10" s="102" t="n">
        <x:v>92</x:v>
      </x:c>
      <x:c r="C10" s="102" t="n">
        <x:v>95</x:v>
      </x:c>
      <x:c r="D10" s="102" t="n">
        <x:v>97</x:v>
      </x:c>
      <x:c r="E10" s="102" t="n">
        <x:v>99</x:v>
      </x:c>
      <x:c r="F10" s="102" t="n">
        <x:v>101</x:v>
      </x:c>
      <x:c r="G10" s="102" t="n">
        <x:v>103</x:v>
      </x:c>
      <x:c r="H10" s="102" t="n">
        <x:v>105</x:v>
      </x:c>
      <x:c r="I10" s="102" t="n">
        <x:v>107</x:v>
      </x:c>
      <x:c r="J10" s="102" t="n">
        <x:v>110</x:v>
      </x:c>
      <x:c r="K10" s="102" t="n">
        <x:v>113</x:v>
      </x:c>
      <x:c r="L10" s="102" t="n">
        <x:v>116</x:v>
      </x:c>
      <x:c r="M10" s="102" t="n">
        <x:v>119</x:v>
      </x:c>
    </x:row>
    <x:row r="12">
      <x:c r="A12" s="42" t="str">
        <x:v>Synthetic input pack. Preserve source definitions, units, period basis, and sign convention when replacing values.</x:v>
      </x:c>
      <x:c r="B12" s="43" t="str">
        <x:v>Synthetic input pack. Preserve source definitions, units, period basis, and sign convention when replacing values.</x:v>
      </x:c>
      <x:c r="C12" s="43" t="str">
        <x:v>Synthetic input pack. Preserve source definitions, units, period basis, and sign convention when replacing values.</x:v>
      </x:c>
      <x:c r="D12" s="43" t="str">
        <x:v>Synthetic input pack. Preserve source definitions, units, period basis, and sign convention when replacing values.</x:v>
      </x:c>
      <x:c r="E12" s="43" t="str">
        <x:v>Synthetic input pack. Preserve source definitions, units, period basis, and sign convention when replacing values.</x:v>
      </x:c>
      <x:c r="F12" s="43" t="str">
        <x:v>Synthetic input pack. Preserve source definitions, units, period basis, and sign convention when replacing values.</x:v>
      </x:c>
      <x:c r="G12" s="43" t="str">
        <x:v>Synthetic input pack. Preserve source definitions, units, period basis, and sign convention when replacing values.</x:v>
      </x:c>
      <x:c r="H12" s="43" t="str">
        <x:v>Synthetic input pack. Preserve source definitions, units, period basis, and sign convention when replacing values.</x:v>
      </x:c>
      <x:c r="I12" s="43" t="str">
        <x:v>Synthetic input pack. Preserve source definitions, units, period basis, and sign convention when replacing values.</x:v>
      </x:c>
      <x:c r="J12" s="43" t="str">
        <x:v>Synthetic input pack. Preserve source definitions, units, period basis, and sign convention when replacing values.</x:v>
      </x:c>
      <x:c r="K12" s="43" t="str">
        <x:v>Synthetic input pack. Preserve source definitions, units, period basis, and sign convention when replacing values.</x:v>
      </x:c>
      <x:c r="L12" s="43" t="str">
        <x:v>Synthetic input pack. Preserve source definitions, units, period basis, and sign convention when replacing values.</x:v>
      </x:c>
      <x:c r="M12" s="44" t="str">
        <x:v>Synthetic input pack. Preserve source definitions, units, period basis, and sign convention when replacing values.</x:v>
      </x:c>
    </x:row>
    <x:row r="13">
      <x:c r="A13" s="45" t="str">
        <x:v>Synthetic input pack. Preserve source definitions, units, period basis, and sign convention when replacing values.</x:v>
      </x:c>
      <x:c r="B13" s="46" t="str">
        <x:v>Synthetic input pack. Preserve source definitions, units, period basis, and sign convention when replacing values.</x:v>
      </x:c>
      <x:c r="C13" s="46" t="str">
        <x:v>Synthetic input pack. Preserve source definitions, units, period basis, and sign convention when replacing values.</x:v>
      </x:c>
      <x:c r="D13" s="46" t="str">
        <x:v>Synthetic input pack. Preserve source definitions, units, period basis, and sign convention when replacing values.</x:v>
      </x:c>
      <x:c r="E13" s="46" t="str">
        <x:v>Synthetic input pack. Preserve source definitions, units, period basis, and sign convention when replacing values.</x:v>
      </x:c>
      <x:c r="F13" s="46" t="str">
        <x:v>Synthetic input pack. Preserve source definitions, units, period basis, and sign convention when replacing values.</x:v>
      </x:c>
      <x:c r="G13" s="46" t="str">
        <x:v>Synthetic input pack. Preserve source definitions, units, period basis, and sign convention when replacing values.</x:v>
      </x:c>
      <x:c r="H13" s="46" t="str">
        <x:v>Synthetic input pack. Preserve source definitions, units, period basis, and sign convention when replacing values.</x:v>
      </x:c>
      <x:c r="I13" s="46" t="str">
        <x:v>Synthetic input pack. Preserve source definitions, units, period basis, and sign convention when replacing values.</x:v>
      </x:c>
      <x:c r="J13" s="46" t="str">
        <x:v>Synthetic input pack. Preserve source definitions, units, period basis, and sign convention when replacing values.</x:v>
      </x:c>
      <x:c r="K13" s="46" t="str">
        <x:v>Synthetic input pack. Preserve source definitions, units, period basis, and sign convention when replacing values.</x:v>
      </x:c>
      <x:c r="L13" s="46" t="str">
        <x:v>Synthetic input pack. Preserve source definitions, units, period basis, and sign convention when replacing values.</x:v>
      </x:c>
      <x:c r="M13" s="47" t="str">
        <x:v>Synthetic input pack. Preserve source definitions, units, period basis, and sign convention when replacing values.</x:v>
      </x:c>
    </x:row>
    <x:row r="14">
      <x:c r="A14" s="48" t="str">
        <x:v>Synthetic input pack. Preserve source definitions, units, period basis, and sign convention when replacing values.</x:v>
      </x:c>
      <x:c r="B14" s="49" t="str">
        <x:v>Synthetic input pack. Preserve source definitions, units, period basis, and sign convention when replacing values.</x:v>
      </x:c>
      <x:c r="C14" s="49" t="str">
        <x:v>Synthetic input pack. Preserve source definitions, units, period basis, and sign convention when replacing values.</x:v>
      </x:c>
      <x:c r="D14" s="49" t="str">
        <x:v>Synthetic input pack. Preserve source definitions, units, period basis, and sign convention when replacing values.</x:v>
      </x:c>
      <x:c r="E14" s="49" t="str">
        <x:v>Synthetic input pack. Preserve source definitions, units, period basis, and sign convention when replacing values.</x:v>
      </x:c>
      <x:c r="F14" s="49" t="str">
        <x:v>Synthetic input pack. Preserve source definitions, units, period basis, and sign convention when replacing values.</x:v>
      </x:c>
      <x:c r="G14" s="49" t="str">
        <x:v>Synthetic input pack. Preserve source definitions, units, period basis, and sign convention when replacing values.</x:v>
      </x:c>
      <x:c r="H14" s="49" t="str">
        <x:v>Synthetic input pack. Preserve source definitions, units, period basis, and sign convention when replacing values.</x:v>
      </x:c>
      <x:c r="I14" s="49" t="str">
        <x:v>Synthetic input pack. Preserve source definitions, units, period basis, and sign convention when replacing values.</x:v>
      </x:c>
      <x:c r="J14" s="49" t="str">
        <x:v>Synthetic input pack. Preserve source definitions, units, period basis, and sign convention when replacing values.</x:v>
      </x:c>
      <x:c r="K14" s="49" t="str">
        <x:v>Synthetic input pack. Preserve source definitions, units, period basis, and sign convention when replacing values.</x:v>
      </x:c>
      <x:c r="L14" s="49" t="str">
        <x:v>Synthetic input pack. Preserve source definitions, units, period basis, and sign convention when replacing values.</x:v>
      </x:c>
      <x:c r="M14" s="50" t="str">
        <x:v>Synthetic input pack. Preserve source definitions, units, period basis, and sign convention when replacing values.</x:v>
      </x:c>
    </x:row>
    <x:row r="16">
      <x:c r="A16" s="53" t="str">
        <x:v>TDAT Model Library  |  Trust builds the brand. Insight builds the decision.</x:v>
      </x:c>
      <x:c r="B16" s="53" t="str">
        <x:v>TDAT Model Library  |  Trust builds the brand. Insight builds the decision.</x:v>
      </x:c>
      <x:c r="C16" s="53" t="str">
        <x:v>TDAT Model Library  |  Trust builds the brand. Insight builds the decision.</x:v>
      </x:c>
      <x:c r="D16" s="53" t="str">
        <x:v>TDAT Model Library  |  Trust builds the brand. Insight builds the decision.</x:v>
      </x:c>
      <x:c r="E16" s="53" t="str">
        <x:v>TDAT Model Library  |  Trust builds the brand. Insight builds the decision.</x:v>
      </x:c>
      <x:c r="F16" s="53" t="str">
        <x:v>TDAT Model Library  |  Trust builds the brand. Insight builds the decision.</x:v>
      </x:c>
      <x:c r="G16" s="53" t="str">
        <x:v>TDAT Model Library  |  Trust builds the brand. Insight builds the decision.</x:v>
      </x:c>
      <x:c r="H16" s="53" t="str">
        <x:v>TDAT Model Library  |  Trust builds the brand. Insight builds the decision.</x:v>
      </x:c>
      <x:c r="I16" s="53" t="str">
        <x:v>TDAT Model Library  |  Trust builds the brand. Insight builds the decision.</x:v>
      </x:c>
      <x:c r="J16" s="53" t="str">
        <x:v>TDAT Model Library  |  Trust builds the brand. Insight builds the decision.</x:v>
      </x:c>
      <x:c r="K16" s="53" t="str">
        <x:v>TDAT Model Library  |  Trust builds the brand. Insight builds the decision.</x:v>
      </x:c>
      <x:c r="L16" s="53" t="str">
        <x:v>TDAT Model Library  |  Trust builds the brand. Insight builds the decision.</x:v>
      </x:c>
      <x:c r="M16" s="53" t="str">
        <x:v>TDAT Model Library  |  Trust builds the brand. Insight builds the decision.</x:v>
      </x:c>
    </x:row>
  </x:sheetData>
  <x:mergeCells>
    <x:mergeCell ref="A1:M1"/>
    <x:mergeCell ref="A2:M2"/>
    <x:mergeCell ref="A12:M14"/>
    <x:mergeCell ref="A16:M16"/>
  </x:mergeCells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34" hidden="0" customWidth="1"/>
    <x:col min="2" max="2" width="13" hidden="0" customWidth="1"/>
    <x:col min="3" max="3" width="13" hidden="0" customWidth="1"/>
    <x:col min="4" max="4" width="13" hidden="0" customWidth="1"/>
    <x:col min="5" max="5" width="13" hidden="0" customWidth="1"/>
    <x:col min="6" max="6" width="13" hidden="0" customWidth="1"/>
    <x:col min="7" max="7" width="13" hidden="0" customWidth="1"/>
    <x:col min="8" max="8" width="13" hidden="0" customWidth="1"/>
    <x:col min="9" max="9" width="13" hidden="0" customWidth="1"/>
    <x:col min="10" max="10" width="13" hidden="0" customWidth="1"/>
    <x:col min="11" max="11" width="13" hidden="0" customWidth="1"/>
    <x:col min="12" max="12" width="13" hidden="0" customWidth="1"/>
    <x:col min="13" max="13" width="13" hidden="0" customWidth="1"/>
  </x:cols>
  <x:sheetData>
    <x:row r="1" ht="34" customHeight="1">
      <x:c r="A1" s="3" t="str">
        <x:v>ROLLING FORECAST</x:v>
      </x:c>
      <x:c r="B1" s="3" t="str">
        <x:v>ROLLING FORECAST</x:v>
      </x:c>
      <x:c r="C1" s="3" t="str">
        <x:v>ROLLING FORECAST</x:v>
      </x:c>
      <x:c r="D1" s="3" t="str">
        <x:v>ROLLING FORECAST</x:v>
      </x:c>
      <x:c r="E1" s="3" t="str">
        <x:v>ROLLING FORECAST</x:v>
      </x:c>
      <x:c r="F1" s="3" t="str">
        <x:v>ROLLING FORECAST</x:v>
      </x:c>
      <x:c r="G1" s="3" t="str">
        <x:v>ROLLING FORECAST</x:v>
      </x:c>
      <x:c r="H1" s="3" t="str">
        <x:v>ROLLING FORECAST</x:v>
      </x:c>
      <x:c r="I1" s="3" t="str">
        <x:v>ROLLING FORECAST</x:v>
      </x:c>
      <x:c r="J1" s="3" t="str">
        <x:v>ROLLING FORECAST</x:v>
      </x:c>
      <x:c r="K1" s="3" t="str">
        <x:v>ROLLING FORECAST</x:v>
      </x:c>
      <x:c r="L1" s="3" t="str">
        <x:v>ROLLING FORECAST</x:v>
      </x:c>
      <x:c r="M1" s="3" t="str">
        <x:v>ROLLING FORECAST</x:v>
      </x:c>
    </x:row>
    <x:row r="2" ht="24" customHeight="1">
      <x:c r="A2" s="6" t="str">
        <x:v>Budget &amp; Rolling Forecast  |  Formula-driven core mechanics</x:v>
      </x:c>
      <x:c r="B2" s="6" t="str">
        <x:v>Budget &amp; Rolling Forecast  |  Formula-driven core mechanics</x:v>
      </x:c>
      <x:c r="C2" s="6" t="str">
        <x:v>Budget &amp; Rolling Forecast  |  Formula-driven core mechanics</x:v>
      </x:c>
      <x:c r="D2" s="6" t="str">
        <x:v>Budget &amp; Rolling Forecast  |  Formula-driven core mechanics</x:v>
      </x:c>
      <x:c r="E2" s="6" t="str">
        <x:v>Budget &amp; Rolling Forecast  |  Formula-driven core mechanics</x:v>
      </x:c>
      <x:c r="F2" s="6" t="str">
        <x:v>Budget &amp; Rolling Forecast  |  Formula-driven core mechanics</x:v>
      </x:c>
      <x:c r="G2" s="6" t="str">
        <x:v>Budget &amp; Rolling Forecast  |  Formula-driven core mechanics</x:v>
      </x:c>
      <x:c r="H2" s="6" t="str">
        <x:v>Budget &amp; Rolling Forecast  |  Formula-driven core mechanics</x:v>
      </x:c>
      <x:c r="I2" s="6" t="str">
        <x:v>Budget &amp; Rolling Forecast  |  Formula-driven core mechanics</x:v>
      </x:c>
      <x:c r="J2" s="6" t="str">
        <x:v>Budget &amp; Rolling Forecast  |  Formula-driven core mechanics</x:v>
      </x:c>
      <x:c r="K2" s="6" t="str">
        <x:v>Budget &amp; Rolling Forecast  |  Formula-driven core mechanics</x:v>
      </x:c>
      <x:c r="L2" s="6" t="str">
        <x:v>Budget &amp; Rolling Forecast  |  Formula-driven core mechanics</x:v>
      </x:c>
      <x:c r="M2" s="6" t="str">
        <x:v>Budget &amp; Rolling Forecast  |  Formula-driven core mechanics</x:v>
      </x:c>
    </x:row>
    <x:row r="3" ht="4" customHeight="1">
      <x:c r="A3" s="7"/>
      <x:c r="B3" s="7"/>
      <x:c r="C3" s="7"/>
      <x:c r="D3" s="7"/>
      <x:c r="E3" s="7"/>
      <x:c r="F3" s="7"/>
      <x:c r="G3" s="7"/>
      <x:c r="H3" s="7"/>
      <x:c r="I3" s="7"/>
      <x:c r="J3" s="7"/>
      <x:c r="K3" s="7"/>
      <x:c r="L3" s="7"/>
      <x:c r="M3" s="7"/>
    </x:row>
    <x:row r="5" ht="24" customHeight="1">
      <x:c r="A5" s="66" t="str">
        <x:v>Calculation / Period</x:v>
      </x:c>
      <x:c r="B5" s="67" t="str">
        <x:v>Jan</x:v>
      </x:c>
      <x:c r="C5" s="67" t="str">
        <x:v>Feb</x:v>
      </x:c>
      <x:c r="D5" s="67" t="str">
        <x:v>Mar</x:v>
      </x:c>
      <x:c r="E5" s="67" t="str">
        <x:v>Apr</x:v>
      </x:c>
      <x:c r="F5" s="67" t="str">
        <x:v>May</x:v>
      </x:c>
      <x:c r="G5" s="67" t="str">
        <x:v>Jun</x:v>
      </x:c>
      <x:c r="H5" s="67" t="str">
        <x:v>Jul</x:v>
      </x:c>
      <x:c r="I5" s="67" t="str">
        <x:v>Aug</x:v>
      </x:c>
      <x:c r="J5" s="67" t="str">
        <x:v>Sep</x:v>
      </x:c>
      <x:c r="K5" s="67" t="str">
        <x:v>Oct</x:v>
      </x:c>
      <x:c r="L5" s="67" t="str">
        <x:v>Nov</x:v>
      </x:c>
      <x:c r="M5" s="68" t="str">
        <x:v>Dec</x:v>
      </x:c>
    </x:row>
    <x:row r="6">
      <x:c r="A6" s="121" t="str">
        <x:v>Forecast revenue</x:v>
      </x:c>
      <x:c r="B6" s="122" t="n">
        <x:f>'Planning Inputs'!B$6*(1+'Assumptions'!$F$6)</x:f>
        <x:v>103</x:v>
      </x:c>
      <x:c r="C6" s="122" t="n">
        <x:f>B$6*(1+'Assumptions'!$F$6)</x:f>
        <x:v>106.09</x:v>
      </x:c>
      <x:c r="D6" s="122" t="n">
        <x:f>C$6*(1+'Assumptions'!$F$6)</x:f>
        <x:v>109.2727</x:v>
      </x:c>
      <x:c r="E6" s="122" t="n">
        <x:f>D$6*(1+'Assumptions'!$F$6)</x:f>
        <x:v>112.550881</x:v>
      </x:c>
      <x:c r="F6" s="122" t="n">
        <x:f>E$6*(1+'Assumptions'!$F$6)</x:f>
        <x:v>115.92740743</x:v>
      </x:c>
      <x:c r="G6" s="122" t="n">
        <x:f>F$6*(1+'Assumptions'!$F$6)</x:f>
        <x:v>119.4052296529</x:v>
      </x:c>
      <x:c r="H6" s="122" t="n">
        <x:f>G$6*(1+'Assumptions'!$F$6)</x:f>
        <x:v>122.987386542487</x:v>
      </x:c>
      <x:c r="I6" s="122" t="n">
        <x:f>H$6*(1+'Assumptions'!$F$6)</x:f>
        <x:v>126.67700813876162</x:v>
      </x:c>
      <x:c r="J6" s="122" t="n">
        <x:f>I$6*(1+'Assumptions'!$F$6)</x:f>
        <x:v>130.47731838292447</x:v>
      </x:c>
      <x:c r="K6" s="122" t="n">
        <x:f>J$6*(1+'Assumptions'!$F$6)</x:f>
        <x:v>134.39163793441222</x:v>
      </x:c>
      <x:c r="L6" s="122" t="n">
        <x:f>K$6*(1+'Assumptions'!$F$6)</x:f>
        <x:v>138.4233870724446</x:v>
      </x:c>
      <x:c r="M6" s="122" t="n">
        <x:f>L$6*(1+'Assumptions'!$F$6)</x:f>
        <x:v>142.57608868461793</x:v>
      </x:c>
    </x:row>
    <x:row r="7">
      <x:c r="A7" s="123" t="str">
        <x:v>Cost of goods sold</x:v>
      </x:c>
      <x:c r="B7" s="124" t="n">
        <x:f>-B$6*(1-'Assumptions'!$F$7)</x:f>
        <x:v>-63.86</x:v>
      </x:c>
      <x:c r="C7" s="124" t="n">
        <x:f>-C$6*(1-'Assumptions'!$F$7)</x:f>
        <x:v>-65.7758</x:v>
      </x:c>
      <x:c r="D7" s="124" t="n">
        <x:f>-D$6*(1-'Assumptions'!$F$7)</x:f>
        <x:v>-67.749074</x:v>
      </x:c>
      <x:c r="E7" s="124" t="n">
        <x:f>-E$6*(1-'Assumptions'!$F$7)</x:f>
        <x:v>-69.78154622</x:v>
      </x:c>
      <x:c r="F7" s="124" t="n">
        <x:f>-F$6*(1-'Assumptions'!$F$7)</x:f>
        <x:v>-71.8749926066</x:v>
      </x:c>
      <x:c r="G7" s="124" t="n">
        <x:f>-G$6*(1-'Assumptions'!$F$7)</x:f>
        <x:v>-74.031242384798</x:v>
      </x:c>
      <x:c r="H7" s="124" t="n">
        <x:f>-H$6*(1-'Assumptions'!$F$7)</x:f>
        <x:v>-76.25217965634194</x:v>
      </x:c>
      <x:c r="I7" s="124" t="n">
        <x:f>-I$6*(1-'Assumptions'!$F$7)</x:f>
        <x:v>-78.53974504603221</x:v>
      </x:c>
      <x:c r="J7" s="124" t="n">
        <x:f>-J$6*(1-'Assumptions'!$F$7)</x:f>
        <x:v>-80.89593739741316</x:v>
      </x:c>
      <x:c r="K7" s="124" t="n">
        <x:f>-K$6*(1-'Assumptions'!$F$7)</x:f>
        <x:v>-83.32281551933558</x:v>
      </x:c>
      <x:c r="L7" s="124" t="n">
        <x:f>-L$6*(1-'Assumptions'!$F$7)</x:f>
        <x:v>-85.82249998491565</x:v>
      </x:c>
      <x:c r="M7" s="124" t="n">
        <x:f>-M$6*(1-'Assumptions'!$F$7)</x:f>
        <x:v>-88.39717498446312</x:v>
      </x:c>
    </x:row>
    <x:row r="8">
      <x:c r="A8" s="125" t="str">
        <x:v>Gross profit</x:v>
      </x:c>
      <x:c r="B8" s="126" t="n">
        <x:f>B$6+B$7</x:f>
        <x:v>39.14</x:v>
      </x:c>
      <x:c r="C8" s="126" t="n">
        <x:f>C$6+C$7</x:f>
        <x:v>40.3142</x:v>
      </x:c>
      <x:c r="D8" s="126" t="n">
        <x:f>D$6+D$7</x:f>
        <x:v>41.52362600000001</x:v>
      </x:c>
      <x:c r="E8" s="126" t="n">
        <x:f>E$6+E$7</x:f>
        <x:v>42.76933478000001</x:v>
      </x:c>
      <x:c r="F8" s="126" t="n">
        <x:f>F$6+F$7</x:f>
        <x:v>44.0524148234</x:v>
      </x:c>
      <x:c r="G8" s="126" t="n">
        <x:f>G$6+G$7</x:f>
        <x:v>45.373987268102</x:v>
      </x:c>
      <x:c r="H8" s="126" t="n">
        <x:f>H$6+H$7</x:f>
        <x:v>46.735206886145065</x:v>
      </x:c>
      <x:c r="I8" s="126" t="n">
        <x:f>I$6+I$7</x:f>
        <x:v>48.13726309272941</x:v>
      </x:c>
      <x:c r="J8" s="126" t="n">
        <x:f>J$6+J$7</x:f>
        <x:v>49.5813809855113</x:v>
      </x:c>
      <x:c r="K8" s="126" t="n">
        <x:f>K$6+K$7</x:f>
        <x:v>51.06882241507664</x:v>
      </x:c>
      <x:c r="L8" s="126" t="n">
        <x:f>L$6+L$7</x:f>
        <x:v>52.600887087528946</x:v>
      </x:c>
      <x:c r="M8" s="126" t="n">
        <x:f>M$6+M$7</x:f>
        <x:v>54.17891370015481</x:v>
      </x:c>
    </x:row>
    <x:row r="9">
      <x:c r="A9" s="123" t="str">
        <x:v>Operating expenses</x:v>
      </x:c>
      <x:c r="B9" s="124" t="n">
        <x:f>-B$6*'Assumptions'!$F$8</x:f>
        <x:v>-22.66</x:v>
      </x:c>
      <x:c r="C9" s="124" t="n">
        <x:f>-C$6*'Assumptions'!$F$8</x:f>
        <x:v>-23.3398</x:v>
      </x:c>
      <x:c r="D9" s="124" t="n">
        <x:f>-D$6*'Assumptions'!$F$8</x:f>
        <x:v>-24.039994</x:v>
      </x:c>
      <x:c r="E9" s="124" t="n">
        <x:f>-E$6*'Assumptions'!$F$8</x:f>
        <x:v>-24.761193820000003</x:v>
      </x:c>
      <x:c r="F9" s="124" t="n">
        <x:f>-F$6*'Assumptions'!$F$8</x:f>
        <x:v>-25.504029634600002</x:v>
      </x:c>
      <x:c r="G9" s="124" t="n">
        <x:f>-G$6*'Assumptions'!$F$8</x:f>
        <x:v>-26.269150523638</x:v>
      </x:c>
      <x:c r="H9" s="124" t="n">
        <x:f>-H$6*'Assumptions'!$F$8</x:f>
        <x:v>-27.05722503934714</x:v>
      </x:c>
      <x:c r="I9" s="124" t="n">
        <x:f>-I$6*'Assumptions'!$F$8</x:f>
        <x:v>-27.868941790527558</x:v>
      </x:c>
      <x:c r="J9" s="124" t="n">
        <x:f>-J$6*'Assumptions'!$F$8</x:f>
        <x:v>-28.705010044243384</x:v>
      </x:c>
      <x:c r="K9" s="124" t="n">
        <x:f>-K$6*'Assumptions'!$F$8</x:f>
        <x:v>-29.566160345570687</x:v>
      </x:c>
      <x:c r="L9" s="124" t="n">
        <x:f>-L$6*'Assumptions'!$F$8</x:f>
        <x:v>-30.45314515593781</x:v>
      </x:c>
      <x:c r="M9" s="124" t="n">
        <x:f>-M$6*'Assumptions'!$F$8</x:f>
        <x:v>-31.366739510615943</x:v>
      </x:c>
    </x:row>
    <x:row r="10">
      <x:c r="A10" s="127" t="str">
        <x:v>EBITDA</x:v>
      </x:c>
      <x:c r="B10" s="128" t="n">
        <x:f>B$8+B$9</x:f>
        <x:v>16.48</x:v>
      </x:c>
      <x:c r="C10" s="128" t="n">
        <x:f>C$8+C$9</x:f>
        <x:v>16.9744</x:v>
      </x:c>
      <x:c r="D10" s="128" t="n">
        <x:f>D$8+D$9</x:f>
        <x:v>17.483632000000007</x:v>
      </x:c>
      <x:c r="E10" s="128" t="n">
        <x:f>E$8+E$9</x:f>
        <x:v>18.008140960000006</x:v>
      </x:c>
      <x:c r="F10" s="128" t="n">
        <x:f>F$8+F$9</x:f>
        <x:v>18.548385188799998</x:v>
      </x:c>
      <x:c r="G10" s="128" t="n">
        <x:f>G$8+G$9</x:f>
        <x:v>19.104836744464</x:v>
      </x:c>
      <x:c r="H10" s="128" t="n">
        <x:f>H$8+H$9</x:f>
        <x:v>19.677981846797923</x:v>
      </x:c>
      <x:c r="I10" s="128" t="n">
        <x:f>I$8+I$9</x:f>
        <x:v>20.268321302201855</x:v>
      </x:c>
      <x:c r="J10" s="128" t="n">
        <x:f>J$8+J$9</x:f>
        <x:v>20.87637094126792</x:v>
      </x:c>
      <x:c r="K10" s="128" t="n">
        <x:f>K$8+K$9</x:f>
        <x:v>21.502662069505952</x:v>
      </x:c>
      <x:c r="L10" s="128" t="n">
        <x:f>L$8+L$9</x:f>
        <x:v>22.147741931591135</x:v>
      </x:c>
      <x:c r="M10" s="128" t="n">
        <x:f>M$8+M$9</x:f>
        <x:v>22.812174189538865</x:v>
      </x:c>
    </x:row>
    <x:row r="11">
      <x:c r="A11" s="123" t="str">
        <x:v>EBITDA margin</x:v>
      </x:c>
      <x:c r="B11" s="129" t="n">
        <x:f>IF(B$6=0,0,B$10/B$6)</x:f>
        <x:v>0.16</x:v>
      </x:c>
      <x:c r="C11" s="129" t="n">
        <x:f>IF(C$6=0,0,C$10/C$6)</x:f>
        <x:v>0.15999999999999998</x:v>
      </x:c>
      <x:c r="D11" s="129" t="n">
        <x:f>IF(D$6=0,0,D$10/D$6)</x:f>
        <x:v>0.16000000000000006</x:v>
      </x:c>
      <x:c r="E11" s="129" t="n">
        <x:f>IF(E$6=0,0,E$10/E$6)</x:f>
        <x:v>0.16000000000000006</x:v>
      </x:c>
      <x:c r="F11" s="129" t="n">
        <x:f>IF(F$6=0,0,F$10/F$6)</x:f>
        <x:v>0.15999999999999998</x:v>
      </x:c>
      <x:c r="G11" s="129" t="n">
        <x:f>IF(G$6=0,0,G$10/G$6)</x:f>
        <x:v>0.15999999999999998</x:v>
      </x:c>
      <x:c r="H11" s="129" t="n">
        <x:f>IF(H$6=0,0,H$10/H$6)</x:f>
        <x:v>0.16000000000000003</x:v>
      </x:c>
      <x:c r="I11" s="129" t="n">
        <x:f>IF(I$6=0,0,I$10/I$6)</x:f>
        <x:v>0.15999999999999998</x:v>
      </x:c>
      <x:c r="J11" s="129" t="n">
        <x:f>IF(J$6=0,0,J$10/J$6)</x:f>
        <x:v>0.16000000000000003</x:v>
      </x:c>
      <x:c r="K11" s="129" t="n">
        <x:f>IF(K$6=0,0,K$10/K$6)</x:f>
        <x:v>0.15999999999999998</x:v>
      </x:c>
      <x:c r="L11" s="129" t="n">
        <x:f>IF(L$6=0,0,L$10/L$6)</x:f>
        <x:v>0.16</x:v>
      </x:c>
      <x:c r="M11" s="129" t="n">
        <x:f>IF(M$6=0,0,M$10/M$6)</x:f>
        <x:v>0.15999999999999998</x:v>
      </x:c>
    </x:row>
    <x:row r="12">
      <x:c r="A12" s="123" t="str">
        <x:v>Budget revenue</x:v>
      </x:c>
      <x:c r="B12" s="124" t="n">
        <x:f>'Planning Inputs'!B$8</x:f>
        <x:v>98</x:v>
      </x:c>
      <x:c r="C12" s="124" t="n">
        <x:f>'Planning Inputs'!C$8</x:f>
        <x:v>101</x:v>
      </x:c>
      <x:c r="D12" s="124" t="n">
        <x:f>'Planning Inputs'!D$8</x:f>
        <x:v>103</x:v>
      </x:c>
      <x:c r="E12" s="124" t="n">
        <x:f>'Planning Inputs'!E$8</x:f>
        <x:v>105</x:v>
      </x:c>
      <x:c r="F12" s="124" t="n">
        <x:f>'Planning Inputs'!F$8</x:f>
        <x:v>107</x:v>
      </x:c>
      <x:c r="G12" s="124" t="n">
        <x:f>'Planning Inputs'!G$8</x:f>
        <x:v>109</x:v>
      </x:c>
      <x:c r="H12" s="124" t="n">
        <x:f>'Planning Inputs'!H$8</x:f>
        <x:v>111</x:v>
      </x:c>
      <x:c r="I12" s="124" t="n">
        <x:f>'Planning Inputs'!I$8</x:f>
        <x:v>113</x:v>
      </x:c>
      <x:c r="J12" s="124" t="n">
        <x:f>'Planning Inputs'!J$8</x:f>
        <x:v>116</x:v>
      </x:c>
      <x:c r="K12" s="124" t="n">
        <x:f>'Planning Inputs'!K$8</x:f>
        <x:v>119</x:v>
      </x:c>
      <x:c r="L12" s="124" t="n">
        <x:f>'Planning Inputs'!L$8</x:f>
        <x:v>122</x:v>
      </x:c>
      <x:c r="M12" s="124" t="n">
        <x:f>'Planning Inputs'!M$8</x:f>
        <x:v>125</x:v>
      </x:c>
    </x:row>
    <x:row r="13">
      <x:c r="A13" s="123" t="str">
        <x:v>Revenue variance vs budget</x:v>
      </x:c>
      <x:c r="B13" s="130" t="n">
        <x:f>B$6-B$12</x:f>
        <x:v>5</x:v>
      </x:c>
      <x:c r="C13" s="130" t="n">
        <x:f>C$6-C$12</x:f>
        <x:v>5.090000000000003</x:v>
      </x:c>
      <x:c r="D13" s="130" t="n">
        <x:f>D$6-D$12</x:f>
        <x:v>6.2727</x:v>
      </x:c>
      <x:c r="E13" s="130" t="n">
        <x:f>E$6-E$12</x:f>
        <x:v>7.550881000000004</x:v>
      </x:c>
      <x:c r="F13" s="130" t="n">
        <x:f>F$6-F$12</x:f>
        <x:v>8.927407430000002</x:v>
      </x:c>
      <x:c r="G13" s="130" t="n">
        <x:f>G$6-G$12</x:f>
        <x:v>10.405229652900005</x:v>
      </x:c>
      <x:c r="H13" s="130" t="n">
        <x:f>H$6-H$12</x:f>
        <x:v>11.987386542487002</x:v>
      </x:c>
      <x:c r="I13" s="130" t="n">
        <x:f>I$6-I$12</x:f>
        <x:v>13.677008138761622</x:v>
      </x:c>
      <x:c r="J13" s="130" t="n">
        <x:f>J$6-J$12</x:f>
        <x:v>14.477318382924466</x:v>
      </x:c>
      <x:c r="K13" s="130" t="n">
        <x:f>K$6-K$12</x:f>
        <x:v>15.391637934412216</x:v>
      </x:c>
      <x:c r="L13" s="130" t="n">
        <x:f>L$6-L$12</x:f>
        <x:v>16.423387072444598</x:v>
      </x:c>
      <x:c r="M13" s="130" t="n">
        <x:f>M$6-M$12</x:f>
        <x:v>17.57608868461793</x:v>
      </x:c>
    </x:row>
    <x:row r="14">
      <x:c r="A14" s="123" t="str">
        <x:v>Budget EBITDA</x:v>
      </x:c>
      <x:c r="B14" s="124" t="n">
        <x:f>'Planning Inputs'!B$9</x:f>
        <x:v>14.7</x:v>
      </x:c>
      <x:c r="C14" s="124" t="n">
        <x:f>'Planning Inputs'!C$9</x:f>
        <x:v>15.2</x:v>
      </x:c>
      <x:c r="D14" s="124" t="n">
        <x:f>'Planning Inputs'!D$9</x:f>
        <x:v>15.5</x:v>
      </x:c>
      <x:c r="E14" s="124" t="n">
        <x:f>'Planning Inputs'!E$9</x:f>
        <x:v>15.8</x:v>
      </x:c>
      <x:c r="F14" s="124" t="n">
        <x:f>'Planning Inputs'!F$9</x:f>
        <x:v>16.1</x:v>
      </x:c>
      <x:c r="G14" s="124" t="n">
        <x:f>'Planning Inputs'!G$9</x:f>
        <x:v>16.4</x:v>
      </x:c>
      <x:c r="H14" s="124" t="n">
        <x:f>'Planning Inputs'!H$9</x:f>
        <x:v>16.7</x:v>
      </x:c>
      <x:c r="I14" s="124" t="n">
        <x:f>'Planning Inputs'!I$9</x:f>
        <x:v>17</x:v>
      </x:c>
      <x:c r="J14" s="124" t="n">
        <x:f>'Planning Inputs'!J$9</x:f>
        <x:v>17.4</x:v>
      </x:c>
      <x:c r="K14" s="124" t="n">
        <x:f>'Planning Inputs'!K$9</x:f>
        <x:v>17.9</x:v>
      </x:c>
      <x:c r="L14" s="124" t="n">
        <x:f>'Planning Inputs'!L$9</x:f>
        <x:v>18.3</x:v>
      </x:c>
      <x:c r="M14" s="124" t="n">
        <x:f>'Planning Inputs'!M$9</x:f>
        <x:v>18.8</x:v>
      </x:c>
    </x:row>
    <x:row r="15">
      <x:c r="A15" s="123" t="str">
        <x:v>EBITDA variance vs budget</x:v>
      </x:c>
      <x:c r="B15" s="130" t="n">
        <x:f>B$10-B$14</x:f>
        <x:v>1.7800000000000011</x:v>
      </x:c>
      <x:c r="C15" s="130" t="n">
        <x:f>C$10-C$14</x:f>
        <x:v>1.7744</x:v>
      </x:c>
      <x:c r="D15" s="130" t="n">
        <x:f>D$10-D$14</x:f>
        <x:v>1.9836320000000072</x:v>
      </x:c>
      <x:c r="E15" s="130" t="n">
        <x:f>E$10-E$14</x:f>
        <x:v>2.208140960000005</x:v>
      </x:c>
      <x:c r="F15" s="130" t="n">
        <x:f>F$10-F$14</x:f>
        <x:v>2.448385188799996</x:v>
      </x:c>
      <x:c r="G15" s="130" t="n">
        <x:f>G$10-G$14</x:f>
        <x:v>2.704836744464</x:v>
      </x:c>
      <x:c r="H15" s="130" t="n">
        <x:f>H$10-H$14</x:f>
        <x:v>2.977981846797924</x:v>
      </x:c>
      <x:c r="I15" s="130" t="n">
        <x:f>I$10-I$14</x:f>
        <x:v>3.268321302201855</x:v>
      </x:c>
      <x:c r="J15" s="130" t="n">
        <x:f>J$10-J$14</x:f>
        <x:v>3.47637094126792</x:v>
      </x:c>
      <x:c r="K15" s="130" t="n">
        <x:f>K$10-K$14</x:f>
        <x:v>3.6026620695059535</x:v>
      </x:c>
      <x:c r="L15" s="130" t="n">
        <x:f>L$10-L$14</x:f>
        <x:v>3.847741931591134</x:v>
      </x:c>
      <x:c r="M15" s="130" t="n">
        <x:f>M$10-M$14</x:f>
        <x:v>4.0121741895388645</x:v>
      </x:c>
    </x:row>
    <x:row r="16">
      <x:c r="A16" s="123" t="str">
        <x:v>Absolute forecast error</x:v>
      </x:c>
      <x:c r="B16" s="124" t="n">
        <x:f>ABS(B$6-'Planning Inputs'!B$6)</x:f>
        <x:v>3</x:v>
      </x:c>
      <x:c r="C16" s="124" t="n">
        <x:f>ABS(C$6-'Planning Inputs'!C$6)</x:f>
        <x:v>4.090000000000003</x:v>
      </x:c>
      <x:c r="D16" s="124" t="n">
        <x:f>ABS(D$6-'Planning Inputs'!D$6)</x:f>
        <x:v>5.2727</x:v>
      </x:c>
      <x:c r="E16" s="124" t="n">
        <x:f>ABS(E$6-'Planning Inputs'!E$6)</x:f>
        <x:v>6.550881000000004</x:v>
      </x:c>
      <x:c r="F16" s="124" t="n">
        <x:f>ABS(F$6-'Planning Inputs'!F$6)</x:f>
        <x:v>7.927407430000002</x:v>
      </x:c>
      <x:c r="G16" s="124" t="n">
        <x:f>ABS(G$6-'Planning Inputs'!G$6)</x:f>
        <x:v>9.405229652900005</x:v>
      </x:c>
      <x:c r="H16" s="124" t="n">
        <x:f>ABS(H$6-'Planning Inputs'!H$6)</x:f>
        <x:v>10.987386542487002</x:v>
      </x:c>
      <x:c r="I16" s="124" t="n">
        <x:f>ABS(I$6-'Planning Inputs'!I$6)</x:f>
        <x:v>11.677008138761622</x:v>
      </x:c>
      <x:c r="J16" s="124" t="n">
        <x:f>ABS(J$6-'Planning Inputs'!J$6)</x:f>
        <x:v>12.477318382924466</x:v>
      </x:c>
      <x:c r="K16" s="124" t="n">
        <x:f>ABS(K$6-'Planning Inputs'!K$6)</x:f>
        <x:v>13.391637934412216</x:v>
      </x:c>
      <x:c r="L16" s="124" t="n">
        <x:f>ABS(L$6-'Planning Inputs'!L$6)</x:f>
        <x:v>14.423387072444598</x:v>
      </x:c>
      <x:c r="M16" s="124" t="n">
        <x:f>ABS(M$6-'Planning Inputs'!M$6)</x:f>
        <x:v>14.576088684617929</x:v>
      </x:c>
    </x:row>
    <x:row r="17">
      <x:c r="A17" s="123" t="str">
        <x:v>WAPE component</x:v>
      </x:c>
      <x:c r="B17" s="131" t="n">
        <x:f>IF('Planning Inputs'!B$6=0,0,B$16/ABS('Planning Inputs'!B$6))</x:f>
        <x:v>0.03</x:v>
      </x:c>
      <x:c r="C17" s="131" t="n">
        <x:f>IF('Planning Inputs'!C$6=0,0,C$16/ABS('Planning Inputs'!C$6))</x:f>
        <x:v>0.04009803921568631</x:v>
      </x:c>
      <x:c r="D17" s="131" t="n">
        <x:f>IF('Planning Inputs'!D$6=0,0,D$16/ABS('Planning Inputs'!D$6))</x:f>
        <x:v>0.05069903846153846</x:v>
      </x:c>
      <x:c r="E17" s="131" t="n">
        <x:f>IF('Planning Inputs'!E$6=0,0,E$16/ABS('Planning Inputs'!E$6))</x:f>
        <x:v>0.06180076415094343</x:v>
      </x:c>
      <x:c r="F17" s="131" t="n">
        <x:f>IF('Planning Inputs'!F$6=0,0,F$16/ABS('Planning Inputs'!F$6))</x:f>
        <x:v>0.07340192064814817</x:v>
      </x:c>
      <x:c r="G17" s="131" t="n">
        <x:f>IF('Planning Inputs'!G$6=0,0,G$16/ABS('Planning Inputs'!G$6))</x:f>
        <x:v>0.08550208775363641</x:v>
      </x:c>
      <x:c r="H17" s="131" t="n">
        <x:f>IF('Planning Inputs'!H$6=0,0,H$16/ABS('Planning Inputs'!H$6))</x:f>
        <x:v>0.09810166555791966</x:v>
      </x:c>
      <x:c r="I17" s="131" t="n">
        <x:f>IF('Planning Inputs'!I$6=0,0,I$16/ABS('Planning Inputs'!I$6))</x:f>
        <x:v>0.1015392012066228</x:v>
      </x:c>
      <x:c r="J17" s="131" t="n">
        <x:f>IF('Planning Inputs'!J$6=0,0,J$16/ABS('Planning Inputs'!J$6))</x:f>
        <x:v>0.10573998629597005</x:v>
      </x:c>
      <x:c r="K17" s="131" t="n">
        <x:f>IF('Planning Inputs'!K$6=0,0,K$16/ABS('Planning Inputs'!K$6))</x:f>
        <x:v>0.11067469367282823</x:v>
      </x:c>
      <x:c r="L17" s="131" t="n">
        <x:f>IF('Planning Inputs'!L$6=0,0,L$16/ABS('Planning Inputs'!L$6))</x:f>
        <x:v>0.11631763768100482</x:v>
      </x:c>
      <x:c r="M17" s="131" t="n">
        <x:f>IF('Planning Inputs'!M$6=0,0,M$16/ABS('Planning Inputs'!M$6))</x:f>
        <x:v>0.11387569284857757</x:v>
      </x:c>
    </x:row>
    <x:row r="18">
      <x:c r="A18" s="132" t="str">
        <x:v>Operating cash proxy</x:v>
      </x:c>
      <x:c r="B18" s="133" t="n">
        <x:f>B$10*'Assumptions'!$F$9</x:f>
        <x:v>11.8656</x:v>
      </x:c>
      <x:c r="C18" s="133" t="n">
        <x:f>C$10*'Assumptions'!$F$9</x:f>
        <x:v>12.221568</x:v>
      </x:c>
      <x:c r="D18" s="133" t="n">
        <x:f>D$10*'Assumptions'!$F$9</x:f>
        <x:v>12.588215040000005</x:v>
      </x:c>
      <x:c r="E18" s="133" t="n">
        <x:f>E$10*'Assumptions'!$F$9</x:f>
        <x:v>12.965861491200004</x:v>
      </x:c>
      <x:c r="F18" s="133" t="n">
        <x:f>F$10*'Assumptions'!$F$9</x:f>
        <x:v>13.354837335935997</x:v>
      </x:c>
      <x:c r="G18" s="133" t="n">
        <x:f>G$10*'Assumptions'!$F$9</x:f>
        <x:v>13.755482456014079</x:v>
      </x:c>
      <x:c r="H18" s="133" t="n">
        <x:f>H$10*'Assumptions'!$F$9</x:f>
        <x:v>14.168146929694505</x:v>
      </x:c>
      <x:c r="I18" s="133" t="n">
        <x:f>I$10*'Assumptions'!$F$9</x:f>
        <x:v>14.593191337585335</x:v>
      </x:c>
      <x:c r="J18" s="133" t="n">
        <x:f>J$10*'Assumptions'!$F$9</x:f>
        <x:v>15.0309870777129</x:v>
      </x:c>
      <x:c r="K18" s="133" t="n">
        <x:f>K$10*'Assumptions'!$F$9</x:f>
        <x:v>15.481916690044285</x:v>
      </x:c>
      <x:c r="L18" s="133" t="n">
        <x:f>L$10*'Assumptions'!$F$9</x:f>
        <x:v>15.946374190745617</x:v>
      </x:c>
      <x:c r="M18" s="133" t="n">
        <x:f>M$10*'Assumptions'!$F$9</x:f>
        <x:v>16.42476541646798</x:v>
      </x:c>
    </x:row>
    <x:row r="20">
      <x:c r="A20" s="42" t="str">
        <x:v>Review row definitions, sign convention, period basis, scenario mechanics, and every breakpoint before relying on the output.</x:v>
      </x:c>
      <x:c r="B20" s="43" t="str">
        <x:v>Review row definitions, sign convention, period basis, scenario mechanics, and every breakpoint before relying on the output.</x:v>
      </x:c>
      <x:c r="C20" s="43" t="str">
        <x:v>Review row definitions, sign convention, period basis, scenario mechanics, and every breakpoint before relying on the output.</x:v>
      </x:c>
      <x:c r="D20" s="43" t="str">
        <x:v>Review row definitions, sign convention, period basis, scenario mechanics, and every breakpoint before relying on the output.</x:v>
      </x:c>
      <x:c r="E20" s="43" t="str">
        <x:v>Review row definitions, sign convention, period basis, scenario mechanics, and every breakpoint before relying on the output.</x:v>
      </x:c>
      <x:c r="F20" s="43" t="str">
        <x:v>Review row definitions, sign convention, period basis, scenario mechanics, and every breakpoint before relying on the output.</x:v>
      </x:c>
      <x:c r="G20" s="43" t="str">
        <x:v>Review row definitions, sign convention, period basis, scenario mechanics, and every breakpoint before relying on the output.</x:v>
      </x:c>
      <x:c r="H20" s="43" t="str">
        <x:v>Review row definitions, sign convention, period basis, scenario mechanics, and every breakpoint before relying on the output.</x:v>
      </x:c>
      <x:c r="I20" s="43" t="str">
        <x:v>Review row definitions, sign convention, period basis, scenario mechanics, and every breakpoint before relying on the output.</x:v>
      </x:c>
      <x:c r="J20" s="43" t="str">
        <x:v>Review row definitions, sign convention, period basis, scenario mechanics, and every breakpoint before relying on the output.</x:v>
      </x:c>
      <x:c r="K20" s="43" t="str">
        <x:v>Review row definitions, sign convention, period basis, scenario mechanics, and every breakpoint before relying on the output.</x:v>
      </x:c>
      <x:c r="L20" s="43" t="str">
        <x:v>Review row definitions, sign convention, period basis, scenario mechanics, and every breakpoint before relying on the output.</x:v>
      </x:c>
      <x:c r="M20" s="44" t="str">
        <x:v>Review row definitions, sign convention, period basis, scenario mechanics, and every breakpoint before relying on the output.</x:v>
      </x:c>
    </x:row>
    <x:row r="21">
      <x:c r="A21" s="45" t="str">
        <x:v>Review row definitions, sign convention, period basis, scenario mechanics, and every breakpoint before relying on the output.</x:v>
      </x:c>
      <x:c r="B21" s="46" t="str">
        <x:v>Review row definitions, sign convention, period basis, scenario mechanics, and every breakpoint before relying on the output.</x:v>
      </x:c>
      <x:c r="C21" s="46" t="str">
        <x:v>Review row definitions, sign convention, period basis, scenario mechanics, and every breakpoint before relying on the output.</x:v>
      </x:c>
      <x:c r="D21" s="46" t="str">
        <x:v>Review row definitions, sign convention, period basis, scenario mechanics, and every breakpoint before relying on the output.</x:v>
      </x:c>
      <x:c r="E21" s="46" t="str">
        <x:v>Review row definitions, sign convention, period basis, scenario mechanics, and every breakpoint before relying on the output.</x:v>
      </x:c>
      <x:c r="F21" s="46" t="str">
        <x:v>Review row definitions, sign convention, period basis, scenario mechanics, and every breakpoint before relying on the output.</x:v>
      </x:c>
      <x:c r="G21" s="46" t="str">
        <x:v>Review row definitions, sign convention, period basis, scenario mechanics, and every breakpoint before relying on the output.</x:v>
      </x:c>
      <x:c r="H21" s="46" t="str">
        <x:v>Review row definitions, sign convention, period basis, scenario mechanics, and every breakpoint before relying on the output.</x:v>
      </x:c>
      <x:c r="I21" s="46" t="str">
        <x:v>Review row definitions, sign convention, period basis, scenario mechanics, and every breakpoint before relying on the output.</x:v>
      </x:c>
      <x:c r="J21" s="46" t="str">
        <x:v>Review row definitions, sign convention, period basis, scenario mechanics, and every breakpoint before relying on the output.</x:v>
      </x:c>
      <x:c r="K21" s="46" t="str">
        <x:v>Review row definitions, sign convention, period basis, scenario mechanics, and every breakpoint before relying on the output.</x:v>
      </x:c>
      <x:c r="L21" s="46" t="str">
        <x:v>Review row definitions, sign convention, period basis, scenario mechanics, and every breakpoint before relying on the output.</x:v>
      </x:c>
      <x:c r="M21" s="47" t="str">
        <x:v>Review row definitions, sign convention, period basis, scenario mechanics, and every breakpoint before relying on the output.</x:v>
      </x:c>
    </x:row>
    <x:row r="22">
      <x:c r="A22" s="48" t="str">
        <x:v>Review row definitions, sign convention, period basis, scenario mechanics, and every breakpoint before relying on the output.</x:v>
      </x:c>
      <x:c r="B22" s="49" t="str">
        <x:v>Review row definitions, sign convention, period basis, scenario mechanics, and every breakpoint before relying on the output.</x:v>
      </x:c>
      <x:c r="C22" s="49" t="str">
        <x:v>Review row definitions, sign convention, period basis, scenario mechanics, and every breakpoint before relying on the output.</x:v>
      </x:c>
      <x:c r="D22" s="49" t="str">
        <x:v>Review row definitions, sign convention, period basis, scenario mechanics, and every breakpoint before relying on the output.</x:v>
      </x:c>
      <x:c r="E22" s="49" t="str">
        <x:v>Review row definitions, sign convention, period basis, scenario mechanics, and every breakpoint before relying on the output.</x:v>
      </x:c>
      <x:c r="F22" s="49" t="str">
        <x:v>Review row definitions, sign convention, period basis, scenario mechanics, and every breakpoint before relying on the output.</x:v>
      </x:c>
      <x:c r="G22" s="49" t="str">
        <x:v>Review row definitions, sign convention, period basis, scenario mechanics, and every breakpoint before relying on the output.</x:v>
      </x:c>
      <x:c r="H22" s="49" t="str">
        <x:v>Review row definitions, sign convention, period basis, scenario mechanics, and every breakpoint before relying on the output.</x:v>
      </x:c>
      <x:c r="I22" s="49" t="str">
        <x:v>Review row definitions, sign convention, period basis, scenario mechanics, and every breakpoint before relying on the output.</x:v>
      </x:c>
      <x:c r="J22" s="49" t="str">
        <x:v>Review row definitions, sign convention, period basis, scenario mechanics, and every breakpoint before relying on the output.</x:v>
      </x:c>
      <x:c r="K22" s="49" t="str">
        <x:v>Review row definitions, sign convention, period basis, scenario mechanics, and every breakpoint before relying on the output.</x:v>
      </x:c>
      <x:c r="L22" s="49" t="str">
        <x:v>Review row definitions, sign convention, period basis, scenario mechanics, and every breakpoint before relying on the output.</x:v>
      </x:c>
      <x:c r="M22" s="50" t="str">
        <x:v>Review row definitions, sign convention, period basis, scenario mechanics, and every breakpoint before relying on the output.</x:v>
      </x:c>
    </x:row>
    <x:row r="24">
      <x:c r="A24" s="53" t="str">
        <x:v>TDAT Model Library  |  Trust builds the brand. Insight builds the decision.</x:v>
      </x:c>
      <x:c r="B24" s="53" t="str">
        <x:v>TDAT Model Library  |  Trust builds the brand. Insight builds the decision.</x:v>
      </x:c>
      <x:c r="C24" s="53" t="str">
        <x:v>TDAT Model Library  |  Trust builds the brand. Insight builds the decision.</x:v>
      </x:c>
      <x:c r="D24" s="53" t="str">
        <x:v>TDAT Model Library  |  Trust builds the brand. Insight builds the decision.</x:v>
      </x:c>
      <x:c r="E24" s="53" t="str">
        <x:v>TDAT Model Library  |  Trust builds the brand. Insight builds the decision.</x:v>
      </x:c>
      <x:c r="F24" s="53" t="str">
        <x:v>TDAT Model Library  |  Trust builds the brand. Insight builds the decision.</x:v>
      </x:c>
      <x:c r="G24" s="53" t="str">
        <x:v>TDAT Model Library  |  Trust builds the brand. Insight builds the decision.</x:v>
      </x:c>
      <x:c r="H24" s="53" t="str">
        <x:v>TDAT Model Library  |  Trust builds the brand. Insight builds the decision.</x:v>
      </x:c>
      <x:c r="I24" s="53" t="str">
        <x:v>TDAT Model Library  |  Trust builds the brand. Insight builds the decision.</x:v>
      </x:c>
      <x:c r="J24" s="53" t="str">
        <x:v>TDAT Model Library  |  Trust builds the brand. Insight builds the decision.</x:v>
      </x:c>
      <x:c r="K24" s="53" t="str">
        <x:v>TDAT Model Library  |  Trust builds the brand. Insight builds the decision.</x:v>
      </x:c>
      <x:c r="L24" s="53" t="str">
        <x:v>TDAT Model Library  |  Trust builds the brand. Insight builds the decision.</x:v>
      </x:c>
      <x:c r="M24" s="53" t="str">
        <x:v>TDAT Model Library  |  Trust builds the brand. Insight builds the decision.</x:v>
      </x:c>
    </x:row>
  </x:sheetData>
  <x:mergeCells>
    <x:mergeCell ref="A1:M1"/>
    <x:mergeCell ref="A2:M2"/>
    <x:mergeCell ref="A20:M22"/>
    <x:mergeCell ref="A24:M24"/>
  </x:mergeCells>
  <x:pageMargins left="0.7" right="0.7" top="0.75" bottom="0.75" header="0.3" footer="0.3"/>
</x:worksheet>
</file>

<file path=xl/worksheets/sheet6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4" hidden="0" customWidth="1"/>
    <x:col min="2" max="2" width="16" hidden="0" customWidth="1"/>
    <x:col min="3" max="3" width="16" hidden="0" customWidth="1"/>
    <x:col min="4" max="4" width="16" hidden="0" customWidth="1"/>
    <x:col min="5" max="5" width="16" hidden="0" customWidth="1"/>
    <x:col min="6" max="6" width="16" hidden="0" customWidth="1"/>
    <x:col min="7" max="7" width="16" hidden="0" customWidth="1"/>
    <x:col min="8" max="8" width="18" hidden="0" customWidth="1"/>
    <x:col min="9" max="9" width="18" hidden="0" customWidth="1"/>
    <x:col min="10" max="10" width="18" hidden="0" customWidth="1"/>
  </x:cols>
  <x:sheetData>
    <x:row r="1" ht="34" customHeight="1">
      <x:c r="A1" s="3" t="str">
        <x:v>SCENARIOS &amp; SENSITIVITY</x:v>
      </x:c>
      <x:c r="B1" s="3" t="str">
        <x:v>SCENARIOS &amp; SENSITIVITY</x:v>
      </x:c>
      <x:c r="C1" s="3" t="str">
        <x:v>SCENARIOS &amp; SENSITIVITY</x:v>
      </x:c>
      <x:c r="D1" s="3" t="str">
        <x:v>SCENARIOS &amp; SENSITIVITY</x:v>
      </x:c>
      <x:c r="E1" s="3" t="str">
        <x:v>SCENARIOS &amp; SENSITIVITY</x:v>
      </x:c>
      <x:c r="F1" s="3" t="str">
        <x:v>SCENARIOS &amp; SENSITIVITY</x:v>
      </x:c>
      <x:c r="G1" s="3" t="str">
        <x:v>SCENARIOS &amp; SENSITIVITY</x:v>
      </x:c>
      <x:c r="H1" s="3" t="str">
        <x:v>SCENARIOS &amp; SENSITIVITY</x:v>
      </x:c>
      <x:c r="I1" s="3" t="str">
        <x:v>SCENARIOS &amp; SENSITIVITY</x:v>
      </x:c>
      <x:c r="J1" s="3" t="str">
        <x:v>SCENARIOS &amp; SENSITIVITY</x:v>
      </x:c>
    </x:row>
    <x:row r="2" ht="24" customHeight="1">
      <x:c r="A2" s="6" t="str">
        <x:v>Budget &amp; Rolling Forecast  |  Formula-backed decision range</x:v>
      </x:c>
      <x:c r="B2" s="6" t="str">
        <x:v>Budget &amp; Rolling Forecast  |  Formula-backed decision range</x:v>
      </x:c>
      <x:c r="C2" s="6" t="str">
        <x:v>Budget &amp; Rolling Forecast  |  Formula-backed decision range</x:v>
      </x:c>
      <x:c r="D2" s="6" t="str">
        <x:v>Budget &amp; Rolling Forecast  |  Formula-backed decision range</x:v>
      </x:c>
      <x:c r="E2" s="6" t="str">
        <x:v>Budget &amp; Rolling Forecast  |  Formula-backed decision range</x:v>
      </x:c>
      <x:c r="F2" s="6" t="str">
        <x:v>Budget &amp; Rolling Forecast  |  Formula-backed decision range</x:v>
      </x:c>
      <x:c r="G2" s="6" t="str">
        <x:v>Budget &amp; Rolling Forecast  |  Formula-backed decision range</x:v>
      </x:c>
      <x:c r="H2" s="6" t="str">
        <x:v>Budget &amp; Rolling Forecast  |  Formula-backed decision range</x:v>
      </x:c>
      <x:c r="I2" s="6" t="str">
        <x:v>Budget &amp; Rolling Forecast  |  Formula-backed decision range</x:v>
      </x:c>
      <x:c r="J2" s="6" t="str">
        <x:v>Budget &amp; Rolling Forecast  |  Formula-backed decision range</x:v>
      </x:c>
    </x:row>
    <x:row r="3" ht="4" customHeight="1">
      <x:c r="A3" s="7"/>
      <x:c r="B3" s="7"/>
      <x:c r="C3" s="7"/>
      <x:c r="D3" s="7"/>
      <x:c r="E3" s="7"/>
      <x:c r="F3" s="7"/>
      <x:c r="G3" s="7"/>
      <x:c r="H3" s="7"/>
      <x:c r="I3" s="7"/>
      <x:c r="J3" s="7"/>
    </x:row>
    <x:row r="5">
      <x:c r="A5" s="134" t="str">
        <x:v>Year-end EBITDA — Monthly revenue growth by Gross margin</x:v>
      </x:c>
      <x:c r="B5" s="134" t="str">
        <x:v>Year-end EBITDA — Monthly revenue growth by Gross margin</x:v>
      </x:c>
      <x:c r="C5" s="134" t="str">
        <x:v>Year-end EBITDA — Monthly revenue growth by Gross margin</x:v>
      </x:c>
      <x:c r="D5" s="134" t="str">
        <x:v>Year-end EBITDA — Monthly revenue growth by Gross margin</x:v>
      </x:c>
      <x:c r="E5" s="134" t="str">
        <x:v>Year-end EBITDA — Monthly revenue growth by Gross margin</x:v>
      </x:c>
      <x:c r="F5" s="134" t="str">
        <x:v>Year-end EBITDA — Monthly revenue growth by Gross margin</x:v>
      </x:c>
      <x:c r="G5" s="134" t="str">
        <x:v>Year-end EBITDA — Monthly revenue growth by Gross margin</x:v>
      </x:c>
      <x:c r="H5" s="134" t="str">
        <x:v>Year-end EBITDA — Monthly revenue growth by Gross margin</x:v>
      </x:c>
      <x:c r="I5" s="134" t="str">
        <x:v>Year-end EBITDA — Monthly revenue growth by Gross margin</x:v>
      </x:c>
      <x:c r="J5" s="134" t="str">
        <x:v>Year-end EBITDA — Monthly revenue growth by Gross margin</x:v>
      </x:c>
    </x:row>
    <x:row r="6">
      <x:c r="A6" t="str">
        <x:v>Monthly revenue growth</x:v>
      </x:c>
      <x:c r="B6" t="str">
        <x:v>Gross margin</x:v>
      </x:c>
    </x:row>
    <x:row r="7">
      <x:c r="B7" s="71" t="n">
        <x:v>0.34</x:v>
      </x:c>
      <x:c r="C7" s="71" t="n">
        <x:v>0.36</x:v>
      </x:c>
      <x:c r="D7" s="71" t="n">
        <x:v>0.38</x:v>
      </x:c>
      <x:c r="E7" s="71" t="n">
        <x:v>0.4</x:v>
      </x:c>
      <x:c r="F7" s="71" t="n">
        <x:v>0.42</x:v>
      </x:c>
    </x:row>
    <x:row r="8">
      <x:c r="A8" s="71" t="n">
        <x:v>0</x:v>
      </x:c>
      <x:c r="B8" s="136" t="n">
        <x:f>'Planning Inputs'!B$6*(1+$A8)^12*(B$7-'Assumptions'!$F$8)</x:f>
        <x:v>12.000000000000002</x:v>
      </x:c>
      <x:c r="C8" s="136" t="n">
        <x:f>'Planning Inputs'!B$6*(1+$A8)^12*(C$7-'Assumptions'!$F$8)</x:f>
        <x:v>13.999999999999998</x:v>
      </x:c>
      <x:c r="D8" s="136" t="n">
        <x:f>'Planning Inputs'!B$6*(1+$A8)^12*(D$7-'Assumptions'!$F$8)</x:f>
        <x:v>16</x:v>
      </x:c>
      <x:c r="E8" s="136" t="n">
        <x:f>'Planning Inputs'!B$6*(1+$A8)^12*(E$7-'Assumptions'!$F$8)</x:f>
        <x:v>18.000000000000004</x:v>
      </x:c>
      <x:c r="F8" s="136" t="n">
        <x:f>'Planning Inputs'!B$6*(1+$A8)^12*(F$7-'Assumptions'!$F$8)</x:f>
        <x:v>20</x:v>
      </x:c>
    </x:row>
    <x:row r="9">
      <x:c r="A9" s="71" t="n">
        <x:v>0.015</x:v>
      </x:c>
      <x:c r="B9" s="136" t="n">
        <x:f>'Planning Inputs'!B$6*(1+$A9)^12*(B$7-'Assumptions'!$F$8)</x:f>
        <x:v>14.347418057538409</x:v>
      </x:c>
      <x:c r="C9" s="136" t="n">
        <x:f>'Planning Inputs'!B$6*(1+$A9)^12*(C$7-'Assumptions'!$F$8)</x:f>
        <x:v>16.738654400461474</x:v>
      </x:c>
      <x:c r="D9" s="136" t="n">
        <x:f>'Planning Inputs'!B$6*(1+$A9)^12*(D$7-'Assumptions'!$F$8)</x:f>
        <x:v>19.129890743384543</x:v>
      </x:c>
      <x:c r="E9" s="136" t="n">
        <x:f>'Planning Inputs'!B$6*(1+$A9)^12*(E$7-'Assumptions'!$F$8)</x:f>
        <x:v>21.52112708630761</x:v>
      </x:c>
      <x:c r="F9" s="136" t="n">
        <x:f>'Planning Inputs'!B$6*(1+$A9)^12*(F$7-'Assumptions'!$F$8)</x:f>
        <x:v>23.912363429230677</x:v>
      </x:c>
    </x:row>
    <x:row r="10">
      <x:c r="A10" s="71" t="n">
        <x:v>0.03</x:v>
      </x:c>
      <x:c r="B10" s="136" t="n">
        <x:f>'Planning Inputs'!B$6*(1+$A10)^12*(B$7-'Assumptions'!$F$8)</x:f>
        <x:v>17.109130642154156</x:v>
      </x:c>
      <x:c r="C10" s="136" t="n">
        <x:f>'Planning Inputs'!B$6*(1+$A10)^12*(C$7-'Assumptions'!$F$8)</x:f>
        <x:v>19.960652415846507</x:v>
      </x:c>
      <x:c r="D10" s="136" t="n">
        <x:f>'Planning Inputs'!B$6*(1+$A10)^12*(D$7-'Assumptions'!$F$8)</x:f>
        <x:v>22.81217418953887</x:v>
      </x:c>
      <x:c r="E10" s="136" t="n">
        <x:f>'Planning Inputs'!B$6*(1+$A10)^12*(E$7-'Assumptions'!$F$8)</x:f>
        <x:v>25.66369596323123</x:v>
      </x:c>
      <x:c r="F10" s="136" t="n">
        <x:f>'Planning Inputs'!B$6*(1+$A10)^12*(F$7-'Assumptions'!$F$8)</x:f>
        <x:v>28.515217736923585</x:v>
      </x:c>
    </x:row>
    <x:row r="11">
      <x:c r="A11" s="71" t="n">
        <x:v>0.045</x:v>
      </x:c>
      <x:c r="B11" s="136" t="n">
        <x:f>'Planning Inputs'!B$6*(1+$A11)^12*(B$7-'Assumptions'!$F$8)</x:f>
        <x:v>20.35057719321439</x:v>
      </x:c>
      <x:c r="C11" s="136" t="n">
        <x:f>'Planning Inputs'!B$6*(1+$A11)^12*(C$7-'Assumptions'!$F$8)</x:f>
        <x:v>23.742340058750116</x:v>
      </x:c>
      <x:c r="D11" s="136" t="n">
        <x:f>'Planning Inputs'!B$6*(1+$A11)^12*(D$7-'Assumptions'!$F$8)</x:f>
        <x:v>27.13410292428585</x:v>
      </x:c>
      <x:c r="E11" s="136" t="n">
        <x:f>'Planning Inputs'!B$6*(1+$A11)^12*(E$7-'Assumptions'!$F$8)</x:f>
        <x:v>30.525865789821584</x:v>
      </x:c>
      <x:c r="F11" s="136" t="n">
        <x:f>'Planning Inputs'!B$6*(1+$A11)^12*(F$7-'Assumptions'!$F$8)</x:f>
        <x:v>33.917628655357305</x:v>
      </x:c>
    </x:row>
    <x:row r="12">
      <x:c r="A12" s="71" t="n">
        <x:v>0.06</x:v>
      </x:c>
      <x:c r="B12" s="136" t="n">
        <x:f>'Planning Inputs'!B$6*(1+$A12)^12*(B$7-'Assumptions'!$F$8)</x:f>
        <x:v>24.14635766202662</x:v>
      </x:c>
      <x:c r="C12" s="136" t="n">
        <x:f>'Planning Inputs'!B$6*(1+$A12)^12*(C$7-'Assumptions'!$F$8)</x:f>
        <x:v>28.170750605697716</x:v>
      </x:c>
      <x:c r="D12" s="136" t="n">
        <x:f>'Planning Inputs'!B$6*(1+$A12)^12*(D$7-'Assumptions'!$F$8)</x:f>
        <x:v>32.19514354936882</x:v>
      </x:c>
      <x:c r="E12" s="136" t="n">
        <x:f>'Planning Inputs'!B$6*(1+$A12)^12*(E$7-'Assumptions'!$F$8)</x:f>
        <x:v>36.21953649303993</x:v>
      </x:c>
      <x:c r="F12" s="136" t="n">
        <x:f>'Planning Inputs'!B$6*(1+$A12)^12*(F$7-'Assumptions'!$F$8)</x:f>
        <x:v>40.24392943671103</x:v>
      </x:c>
    </x:row>
    <x:row r="16" ht="22" customHeight="1">
      <x:c r="A16" s="9" t="str">
        <x:v>SCENARIO OUTPUTS</x:v>
      </x:c>
      <x:c r="B16" s="9" t="str">
        <x:v>SCENARIO OUTPUTS</x:v>
      </x:c>
      <x:c r="C16" s="9" t="str">
        <x:v>SCENARIO OUTPUTS</x:v>
      </x:c>
      <x:c r="D16" s="9" t="str">
        <x:v>SCENARIO OUTPUTS</x:v>
      </x:c>
      <x:c r="E16" s="9" t="str">
        <x:v>SCENARIO OUTPUTS</x:v>
      </x:c>
      <x:c r="F16" s="9" t="str">
        <x:v>SCENARIO OUTPUTS</x:v>
      </x:c>
      <x:c r="G16" s="9" t="str">
        <x:v>SCENARIO OUTPUTS</x:v>
      </x:c>
      <x:c r="H16" s="9" t="str">
        <x:v>SCENARIO OUTPUTS</x:v>
      </x:c>
      <x:c r="I16" s="9" t="str">
        <x:v>SCENARIO OUTPUTS</x:v>
      </x:c>
      <x:c r="J16" s="9" t="str">
        <x:v>SCENARIO OUTPUTS</x:v>
      </x:c>
    </x:row>
    <x:row r="17" ht="24" customHeight="1">
      <x:c r="A17" s="66" t="str">
        <x:v>Case</x:v>
      </x:c>
      <x:c r="B17" s="67" t="str">
        <x:v>Narrative</x:v>
      </x:c>
      <x:c r="C17" s="67" t="str">
        <x:v>Selected driver set</x:v>
      </x:c>
      <x:c r="D17" s="68" t="str">
        <x:v>Review question</x:v>
      </x:c>
    </x:row>
    <x:row r="18">
      <x:c r="A18" s="146" t="str">
        <x:v>Base</x:v>
      </x:c>
      <x:c r="B18" s="147" t="str">
        <x:v>Most likely operating and finance assumptions.</x:v>
      </x:c>
      <x:c r="C18" s="147" t="str">
        <x:v>Base</x:v>
      </x:c>
      <x:c r="D18" s="148" t="str">
        <x:v>What must be true for the base case to hold?</x:v>
      </x:c>
    </x:row>
    <x:row r="19">
      <x:c r="A19" s="149" t="str">
        <x:v>Upside</x:v>
      </x:c>
      <x:c r="B19" s="150" t="str">
        <x:v>Stronger performance, faster conversion, or lower risk/cost.</x:v>
      </x:c>
      <x:c r="C19" s="150" t="str">
        <x:v>Upside</x:v>
      </x:c>
      <x:c r="D19" s="151" t="str">
        <x:v>Which actions unlock the upside?</x:v>
      </x:c>
    </x:row>
    <x:row r="20">
      <x:c r="A20" s="152" t="str">
        <x:v>Downside</x:v>
      </x:c>
      <x:c r="B20" s="153" t="str">
        <x:v>Slower activity, weaker conversion, or higher risk/cost.</x:v>
      </x:c>
      <x:c r="C20" s="153" t="str">
        <x:v>Downside</x:v>
      </x:c>
      <x:c r="D20" s="154" t="str">
        <x:v>What breaks first and who acts?</x:v>
      </x:c>
    </x:row>
    <x:row r="22">
      <x:c r="A22" s="42" t="str">
        <x:v>Sensitivity outputs are analytical ranges, not forecasts or guarantees. Recheck directionality, boundaries, source quality, and the business narrative behind each driver before decision use.</x:v>
      </x:c>
      <x:c r="B22" s="43" t="str">
        <x:v>Sensitivity outputs are analytical ranges, not forecasts or guarantees. Recheck directionality, boundaries, source quality, and the business narrative behind each driver before decision use.</x:v>
      </x:c>
      <x:c r="C22" s="43" t="str">
        <x:v>Sensitivity outputs are analytical ranges, not forecasts or guarantees. Recheck directionality, boundaries, source quality, and the business narrative behind each driver before decision use.</x:v>
      </x:c>
      <x:c r="D22" s="43" t="str">
        <x:v>Sensitivity outputs are analytical ranges, not forecasts or guarantees. Recheck directionality, boundaries, source quality, and the business narrative behind each driver before decision use.</x:v>
      </x:c>
      <x:c r="E22" s="43" t="str">
        <x:v>Sensitivity outputs are analytical ranges, not forecasts or guarantees. Recheck directionality, boundaries, source quality, and the business narrative behind each driver before decision use.</x:v>
      </x:c>
      <x:c r="F22" s="43" t="str">
        <x:v>Sensitivity outputs are analytical ranges, not forecasts or guarantees. Recheck directionality, boundaries, source quality, and the business narrative behind each driver before decision use.</x:v>
      </x:c>
      <x:c r="G22" s="43" t="str">
        <x:v>Sensitivity outputs are analytical ranges, not forecasts or guarantees. Recheck directionality, boundaries, source quality, and the business narrative behind each driver before decision use.</x:v>
      </x:c>
      <x:c r="H22" s="43" t="str">
        <x:v>Sensitivity outputs are analytical ranges, not forecasts or guarantees. Recheck directionality, boundaries, source quality, and the business narrative behind each driver before decision use.</x:v>
      </x:c>
      <x:c r="I22" s="43" t="str">
        <x:v>Sensitivity outputs are analytical ranges, not forecasts or guarantees. Recheck directionality, boundaries, source quality, and the business narrative behind each driver before decision use.</x:v>
      </x:c>
      <x:c r="J22" s="44" t="str">
        <x:v>Sensitivity outputs are analytical ranges, not forecasts or guarantees. Recheck directionality, boundaries, source quality, and the business narrative behind each driver before decision use.</x:v>
      </x:c>
    </x:row>
    <x:row r="23">
      <x:c r="A23" s="45" t="str">
        <x:v>Sensitivity outputs are analytical ranges, not forecasts or guarantees. Recheck directionality, boundaries, source quality, and the business narrative behind each driver before decision use.</x:v>
      </x:c>
      <x:c r="B23" s="46" t="str">
        <x:v>Sensitivity outputs are analytical ranges, not forecasts or guarantees. Recheck directionality, boundaries, source quality, and the business narrative behind each driver before decision use.</x:v>
      </x:c>
      <x:c r="C23" s="46" t="str">
        <x:v>Sensitivity outputs are analytical ranges, not forecasts or guarantees. Recheck directionality, boundaries, source quality, and the business narrative behind each driver before decision use.</x:v>
      </x:c>
      <x:c r="D23" s="46" t="str">
        <x:v>Sensitivity outputs are analytical ranges, not forecasts or guarantees. Recheck directionality, boundaries, source quality, and the business narrative behind each driver before decision use.</x:v>
      </x:c>
      <x:c r="E23" s="46" t="str">
        <x:v>Sensitivity outputs are analytical ranges, not forecasts or guarantees. Recheck directionality, boundaries, source quality, and the business narrative behind each driver before decision use.</x:v>
      </x:c>
      <x:c r="F23" s="46" t="str">
        <x:v>Sensitivity outputs are analytical ranges, not forecasts or guarantees. Recheck directionality, boundaries, source quality, and the business narrative behind each driver before decision use.</x:v>
      </x:c>
      <x:c r="G23" s="46" t="str">
        <x:v>Sensitivity outputs are analytical ranges, not forecasts or guarantees. Recheck directionality, boundaries, source quality, and the business narrative behind each driver before decision use.</x:v>
      </x:c>
      <x:c r="H23" s="46" t="str">
        <x:v>Sensitivity outputs are analytical ranges, not forecasts or guarantees. Recheck directionality, boundaries, source quality, and the business narrative behind each driver before decision use.</x:v>
      </x:c>
      <x:c r="I23" s="46" t="str">
        <x:v>Sensitivity outputs are analytical ranges, not forecasts or guarantees. Recheck directionality, boundaries, source quality, and the business narrative behind each driver before decision use.</x:v>
      </x:c>
      <x:c r="J23" s="47" t="str">
        <x:v>Sensitivity outputs are analytical ranges, not forecasts or guarantees. Recheck directionality, boundaries, source quality, and the business narrative behind each driver before decision use.</x:v>
      </x:c>
    </x:row>
    <x:row r="24">
      <x:c r="A24" s="48" t="str">
        <x:v>Sensitivity outputs are analytical ranges, not forecasts or guarantees. Recheck directionality, boundaries, source quality, and the business narrative behind each driver before decision use.</x:v>
      </x:c>
      <x:c r="B24" s="49" t="str">
        <x:v>Sensitivity outputs are analytical ranges, not forecasts or guarantees. Recheck directionality, boundaries, source quality, and the business narrative behind each driver before decision use.</x:v>
      </x:c>
      <x:c r="C24" s="49" t="str">
        <x:v>Sensitivity outputs are analytical ranges, not forecasts or guarantees. Recheck directionality, boundaries, source quality, and the business narrative behind each driver before decision use.</x:v>
      </x:c>
      <x:c r="D24" s="49" t="str">
        <x:v>Sensitivity outputs are analytical ranges, not forecasts or guarantees. Recheck directionality, boundaries, source quality, and the business narrative behind each driver before decision use.</x:v>
      </x:c>
      <x:c r="E24" s="49" t="str">
        <x:v>Sensitivity outputs are analytical ranges, not forecasts or guarantees. Recheck directionality, boundaries, source quality, and the business narrative behind each driver before decision use.</x:v>
      </x:c>
      <x:c r="F24" s="49" t="str">
        <x:v>Sensitivity outputs are analytical ranges, not forecasts or guarantees. Recheck directionality, boundaries, source quality, and the business narrative behind each driver before decision use.</x:v>
      </x:c>
      <x:c r="G24" s="49" t="str">
        <x:v>Sensitivity outputs are analytical ranges, not forecasts or guarantees. Recheck directionality, boundaries, source quality, and the business narrative behind each driver before decision use.</x:v>
      </x:c>
      <x:c r="H24" s="49" t="str">
        <x:v>Sensitivity outputs are analytical ranges, not forecasts or guarantees. Recheck directionality, boundaries, source quality, and the business narrative behind each driver before decision use.</x:v>
      </x:c>
      <x:c r="I24" s="49" t="str">
        <x:v>Sensitivity outputs are analytical ranges, not forecasts or guarantees. Recheck directionality, boundaries, source quality, and the business narrative behind each driver before decision use.</x:v>
      </x:c>
      <x:c r="J24" s="50" t="str">
        <x:v>Sensitivity outputs are analytical ranges, not forecasts or guarantees. Recheck directionality, boundaries, source quality, and the business narrative behind each driver before decision use.</x:v>
      </x:c>
    </x:row>
    <x:row r="26">
      <x:c r="A26" s="53" t="str">
        <x:v>TDAT Model Library  |  Trust builds the brand. Insight builds the decision.</x:v>
      </x:c>
      <x:c r="B26" s="53" t="str">
        <x:v>TDAT Model Library  |  Trust builds the brand. Insight builds the decision.</x:v>
      </x:c>
      <x:c r="C26" s="53" t="str">
        <x:v>TDAT Model Library  |  Trust builds the brand. Insight builds the decision.</x:v>
      </x:c>
      <x:c r="D26" s="53" t="str">
        <x:v>TDAT Model Library  |  Trust builds the brand. Insight builds the decision.</x:v>
      </x:c>
      <x:c r="E26" s="53" t="str">
        <x:v>TDAT Model Library  |  Trust builds the brand. Insight builds the decision.</x:v>
      </x:c>
      <x:c r="F26" s="53" t="str">
        <x:v>TDAT Model Library  |  Trust builds the brand. Insight builds the decision.</x:v>
      </x:c>
      <x:c r="G26" s="53" t="str">
        <x:v>TDAT Model Library  |  Trust builds the brand. Insight builds the decision.</x:v>
      </x:c>
      <x:c r="H26" s="53" t="str">
        <x:v>TDAT Model Library  |  Trust builds the brand. Insight builds the decision.</x:v>
      </x:c>
      <x:c r="I26" s="53" t="str">
        <x:v>TDAT Model Library  |  Trust builds the brand. Insight builds the decision.</x:v>
      </x:c>
      <x:c r="J26" s="53" t="str">
        <x:v>TDAT Model Library  |  Trust builds the brand. Insight builds the decision.</x:v>
      </x:c>
    </x:row>
  </x:sheetData>
  <x:mergeCells>
    <x:mergeCell ref="A1:J1"/>
    <x:mergeCell ref="A2:J2"/>
    <x:mergeCell ref="A5:J5"/>
    <x:mergeCell ref="A16:J16"/>
    <x:mergeCell ref="A22:J24"/>
    <x:mergeCell ref="A26:J26"/>
  </x:mergeCells>
  <x:conditionalFormatting sqref="B8:F12">
    <x:cfRule type="colorScale" priority="1">
      <x:colorScale>
        <x:cfvo type="min"/>
        <x:cfvo type="percentile" val="50"/>
        <x:cfvo type="max"/>
        <x:color rgb="FFFCE8E6"/>
        <x:color rgb="FFFFF4DB"/>
        <x:color rgb="FFE5F6F3"/>
      </x:colorScale>
    </x:cfRule>
  </x:conditionalFormatting>
  <x:pageMargins left="0.7" right="0.7" top="0.75" bottom="0.75" header="0.3" footer="0.3"/>
</x:worksheet>
</file>

<file path=xl/worksheets/sheet7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4" hidden="0" customWidth="1"/>
    <x:col min="2" max="2" width="18" hidden="0" customWidth="1"/>
    <x:col min="3" max="3" width="18" hidden="0" customWidth="1"/>
    <x:col min="4" max="4" width="18" hidden="0" customWidth="1"/>
    <x:col min="5" max="5" width="18" hidden="0" customWidth="1"/>
    <x:col min="6" max="6" width="18" hidden="0" customWidth="1"/>
    <x:col min="7" max="7" width="18" hidden="0" customWidth="1"/>
    <x:col min="8" max="8" width="18" hidden="0" customWidth="1"/>
    <x:col min="9" max="9" width="18" hidden="0" customWidth="1"/>
    <x:col min="10" max="10" width="18" hidden="0" customWidth="1"/>
  </x:cols>
  <x:sheetData>
    <x:row r="1" ht="34" customHeight="1">
      <x:c r="A1" s="3" t="str">
        <x:v>EXECUTIVE SUMMARY</x:v>
      </x:c>
      <x:c r="B1" s="3" t="str">
        <x:v>EXECUTIVE SUMMARY</x:v>
      </x:c>
      <x:c r="C1" s="3" t="str">
        <x:v>EXECUTIVE SUMMARY</x:v>
      </x:c>
      <x:c r="D1" s="3" t="str">
        <x:v>EXECUTIVE SUMMARY</x:v>
      </x:c>
      <x:c r="E1" s="3" t="str">
        <x:v>EXECUTIVE SUMMARY</x:v>
      </x:c>
      <x:c r="F1" s="3" t="str">
        <x:v>EXECUTIVE SUMMARY</x:v>
      </x:c>
      <x:c r="G1" s="3" t="str">
        <x:v>EXECUTIVE SUMMARY</x:v>
      </x:c>
      <x:c r="H1" s="3" t="str">
        <x:v>EXECUTIVE SUMMARY</x:v>
      </x:c>
      <x:c r="I1" s="3" t="str">
        <x:v>EXECUTIVE SUMMARY</x:v>
      </x:c>
      <x:c r="J1" s="3" t="str">
        <x:v>EXECUTIVE SUMMARY</x:v>
      </x:c>
    </x:row>
    <x:row r="2" ht="24" customHeight="1">
      <x:c r="A2" s="6" t="str">
        <x:v>Budget &amp; Rolling Forecast  |  Decision outputs, trend, breakpoints, and action prompts</x:v>
      </x:c>
      <x:c r="B2" s="6" t="str">
        <x:v>Budget &amp; Rolling Forecast  |  Decision outputs, trend, breakpoints, and action prompts</x:v>
      </x:c>
      <x:c r="C2" s="6" t="str">
        <x:v>Budget &amp; Rolling Forecast  |  Decision outputs, trend, breakpoints, and action prompts</x:v>
      </x:c>
      <x:c r="D2" s="6" t="str">
        <x:v>Budget &amp; Rolling Forecast  |  Decision outputs, trend, breakpoints, and action prompts</x:v>
      </x:c>
      <x:c r="E2" s="6" t="str">
        <x:v>Budget &amp; Rolling Forecast  |  Decision outputs, trend, breakpoints, and action prompts</x:v>
      </x:c>
      <x:c r="F2" s="6" t="str">
        <x:v>Budget &amp; Rolling Forecast  |  Decision outputs, trend, breakpoints, and action prompts</x:v>
      </x:c>
      <x:c r="G2" s="6" t="str">
        <x:v>Budget &amp; Rolling Forecast  |  Decision outputs, trend, breakpoints, and action prompts</x:v>
      </x:c>
      <x:c r="H2" s="6" t="str">
        <x:v>Budget &amp; Rolling Forecast  |  Decision outputs, trend, breakpoints, and action prompts</x:v>
      </x:c>
      <x:c r="I2" s="6" t="str">
        <x:v>Budget &amp; Rolling Forecast  |  Decision outputs, trend, breakpoints, and action prompts</x:v>
      </x:c>
      <x:c r="J2" s="6" t="str">
        <x:v>Budget &amp; Rolling Forecast  |  Decision outputs, trend, breakpoints, and action prompts</x:v>
      </x:c>
    </x:row>
    <x:row r="3" ht="4" customHeight="1">
      <x:c r="A3" s="7"/>
      <x:c r="B3" s="7"/>
      <x:c r="C3" s="7"/>
      <x:c r="D3" s="7"/>
      <x:c r="E3" s="7"/>
      <x:c r="F3" s="7"/>
      <x:c r="G3" s="7"/>
      <x:c r="H3" s="7"/>
      <x:c r="I3" s="7"/>
      <x:c r="J3" s="7"/>
    </x:row>
    <x:row r="5">
      <x:c r="A5" s="156" t="str">
        <x:v>YEAR-END REVENUE</x:v>
      </x:c>
      <x:c r="B5" s="156" t="str">
        <x:v>YEAR-END REVENUE</x:v>
      </x:c>
      <x:c r="C5" s="156" t="str">
        <x:v>YEAR-END REVENUE</x:v>
      </x:c>
      <x:c r="D5" s="156" t="str">
        <x:v>YEAR-END EBITDA</x:v>
      </x:c>
      <x:c r="E5" s="156" t="str">
        <x:v>YEAR-END EBITDA</x:v>
      </x:c>
      <x:c r="F5" s="156" t="str">
        <x:v>YEAR-END EBITDA</x:v>
      </x:c>
      <x:c r="G5" s="156" t="str">
        <x:v>EBITDA MARGIN</x:v>
      </x:c>
      <x:c r="H5" s="156" t="str">
        <x:v>EBITDA MARGIN</x:v>
      </x:c>
      <x:c r="I5" s="156" t="str">
        <x:v>EBITDA MARGIN</x:v>
      </x:c>
      <x:c r="J5" s="170" t="str">
        <x:v>MODEL STATUS</x:v>
      </x:c>
    </x:row>
    <x:row r="6">
      <x:c r="A6" s="160" t="n">
        <x:f>'Rolling Forecast'!M$6</x:f>
        <x:v>142.57608868461793</x:v>
      </x:c>
      <x:c r="B6" s="160"/>
      <x:c r="C6" s="160"/>
      <x:c r="D6" s="164" t="n">
        <x:f>'Rolling Forecast'!M$10</x:f>
        <x:v>22.812174189538865</x:v>
      </x:c>
      <x:c r="E6" s="164"/>
      <x:c r="F6" s="164"/>
      <x:c r="G6" s="168" t="n">
        <x:f>'Rolling Forecast'!M$11</x:f>
        <x:v>0.15999999999999998</x:v>
      </x:c>
      <x:c r="H6" s="168"/>
      <x:c r="I6" s="168"/>
      <x:c r="J6" s="174" t="str">
        <x:f>'Checks'!$B$5</x:f>
        <x:v>PASS</x:v>
      </x:c>
    </x:row>
    <x:row r="7">
      <x:c r="A7" s="160"/>
      <x:c r="B7" s="160"/>
      <x:c r="C7" s="160"/>
      <x:c r="D7" s="164"/>
      <x:c r="E7" s="164"/>
      <x:c r="F7" s="164"/>
      <x:c r="G7" s="168"/>
      <x:c r="H7" s="168"/>
      <x:c r="I7" s="168"/>
      <x:c r="J7" s="174"/>
    </x:row>
    <x:row r="9">
      <x:c r="A9" s="156" t="str">
        <x:v>REVENUE VARIANCE</x:v>
      </x:c>
      <x:c r="B9" s="156" t="str">
        <x:v>REVENUE VARIANCE</x:v>
      </x:c>
      <x:c r="C9" s="156" t="str">
        <x:v>REVENUE VARIANCE</x:v>
      </x:c>
      <x:c r="D9" s="156" t="str">
        <x:v>AVERAGE WAPE</x:v>
      </x:c>
      <x:c r="E9" s="156" t="str">
        <x:v>AVERAGE WAPE</x:v>
      </x:c>
      <x:c r="F9" s="156" t="str">
        <x:v>AVERAGE WAPE</x:v>
      </x:c>
      <x:c r="G9" s="156" t="str">
        <x:v>OPERATING CASH</x:v>
      </x:c>
      <x:c r="H9" s="156" t="str">
        <x:v>OPERATING CASH</x:v>
      </x:c>
      <x:c r="I9" s="156" t="str">
        <x:v>OPERATING CASH</x:v>
      </x:c>
      <x:c r="J9" s="170" t="str">
        <x:v>SCENARIO</x:v>
      </x:c>
    </x:row>
    <x:row r="10">
      <x:c r="A10" s="160" t="n">
        <x:f>'Rolling Forecast'!M$13</x:f>
        <x:v>17.57608868461793</x:v>
      </x:c>
      <x:c r="B10" s="160"/>
      <x:c r="C10" s="160"/>
      <x:c r="D10" s="168" t="n">
        <x:f>AVERAGE('Rolling Forecast'!B17:M17)</x:f>
        <x:v>0.08231256062440631</x:v>
      </x:c>
      <x:c r="E10" s="168"/>
      <x:c r="F10" s="168"/>
      <x:c r="G10" s="160" t="n">
        <x:f>'Rolling Forecast'!M$18</x:f>
        <x:v>16.42476541646798</x:v>
      </x:c>
      <x:c r="H10" s="160"/>
      <x:c r="I10" s="160"/>
      <x:c r="J10" s="177" t="str">
        <x:f>'Assumptions'!$B$3</x:f>
        <x:v>Base</x:v>
      </x:c>
    </x:row>
    <x:row r="11">
      <x:c r="A11" s="160"/>
      <x:c r="B11" s="160"/>
      <x:c r="C11" s="160"/>
      <x:c r="D11" s="168"/>
      <x:c r="E11" s="168"/>
      <x:c r="F11" s="168"/>
      <x:c r="G11" s="160"/>
      <x:c r="H11" s="160"/>
      <x:c r="I11" s="160"/>
      <x:c r="J11" s="177"/>
    </x:row>
    <x:row r="14" ht="22" customHeight="1">
      <x:c r="A14" s="9" t="str">
        <x:v>TREND</x:v>
      </x:c>
      <x:c r="B14" s="9" t="str">
        <x:v>TREND</x:v>
      </x:c>
      <x:c r="C14" s="9" t="str">
        <x:v>TREND</x:v>
      </x:c>
      <x:c r="D14" s="9" t="str">
        <x:v>TREND</x:v>
      </x:c>
      <x:c r="E14" s="9" t="str">
        <x:v>TREND</x:v>
      </x:c>
    </x:row>
    <x:row r="15" ht="24" customHeight="1">
      <x:c r="A15" s="66" t="str">
        <x:v>Period</x:v>
      </x:c>
      <x:c r="B15" s="67" t="str">
        <x:v>Forecast revenue</x:v>
      </x:c>
      <x:c r="C15" s="68" t="str">
        <x:v>Budget revenue</x:v>
      </x:c>
    </x:row>
    <x:row r="16">
      <x:c r="A16" t="str">
        <x:v>Jan</x:v>
      </x:c>
      <x:c r="B16" s="179" t="n">
        <x:f>'Rolling Forecast'!B$6</x:f>
        <x:v>103</x:v>
      </x:c>
      <x:c r="C16" s="179" t="n">
        <x:f>'Rolling Forecast'!B$12</x:f>
        <x:v>98</x:v>
      </x:c>
    </x:row>
    <x:row r="17">
      <x:c r="A17" t="str">
        <x:v>Feb</x:v>
      </x:c>
      <x:c r="B17" s="179" t="n">
        <x:f>'Rolling Forecast'!C$6</x:f>
        <x:v>106.09</x:v>
      </x:c>
      <x:c r="C17" s="179" t="n">
        <x:f>'Rolling Forecast'!C$12</x:f>
        <x:v>101</x:v>
      </x:c>
    </x:row>
    <x:row r="18">
      <x:c r="A18" t="str">
        <x:v>Mar</x:v>
      </x:c>
      <x:c r="B18" s="179" t="n">
        <x:f>'Rolling Forecast'!D$6</x:f>
        <x:v>109.2727</x:v>
      </x:c>
      <x:c r="C18" s="179" t="n">
        <x:f>'Rolling Forecast'!D$12</x:f>
        <x:v>103</x:v>
      </x:c>
    </x:row>
    <x:row r="19">
      <x:c r="A19" t="str">
        <x:v>Apr</x:v>
      </x:c>
      <x:c r="B19" s="179" t="n">
        <x:f>'Rolling Forecast'!E$6</x:f>
        <x:v>112.550881</x:v>
      </x:c>
      <x:c r="C19" s="179" t="n">
        <x:f>'Rolling Forecast'!E$12</x:f>
        <x:v>105</x:v>
      </x:c>
    </x:row>
    <x:row r="20">
      <x:c r="A20" t="str">
        <x:v>May</x:v>
      </x:c>
      <x:c r="B20" s="179" t="n">
        <x:f>'Rolling Forecast'!F$6</x:f>
        <x:v>115.92740743</x:v>
      </x:c>
      <x:c r="C20" s="179" t="n">
        <x:f>'Rolling Forecast'!F$12</x:f>
        <x:v>107</x:v>
      </x:c>
    </x:row>
    <x:row r="21">
      <x:c r="A21" t="str">
        <x:v>Jun</x:v>
      </x:c>
      <x:c r="B21" s="179" t="n">
        <x:f>'Rolling Forecast'!G$6</x:f>
        <x:v>119.4052296529</x:v>
      </x:c>
      <x:c r="C21" s="179" t="n">
        <x:f>'Rolling Forecast'!G$12</x:f>
        <x:v>109</x:v>
      </x:c>
    </x:row>
    <x:row r="22">
      <x:c r="A22" t="str">
        <x:v>Jul</x:v>
      </x:c>
      <x:c r="B22" s="179" t="n">
        <x:f>'Rolling Forecast'!H$6</x:f>
        <x:v>122.987386542487</x:v>
      </x:c>
      <x:c r="C22" s="179" t="n">
        <x:f>'Rolling Forecast'!H$12</x:f>
        <x:v>111</x:v>
      </x:c>
    </x:row>
    <x:row r="23">
      <x:c r="A23" t="str">
        <x:v>Aug</x:v>
      </x:c>
      <x:c r="B23" s="179" t="n">
        <x:f>'Rolling Forecast'!I$6</x:f>
        <x:v>126.67700813876162</x:v>
      </x:c>
      <x:c r="C23" s="179" t="n">
        <x:f>'Rolling Forecast'!I$12</x:f>
        <x:v>113</x:v>
      </x:c>
    </x:row>
    <x:row r="24">
      <x:c r="A24" t="str">
        <x:v>Sep</x:v>
      </x:c>
      <x:c r="B24" s="179" t="n">
        <x:f>'Rolling Forecast'!J$6</x:f>
        <x:v>130.47731838292447</x:v>
      </x:c>
      <x:c r="C24" s="179" t="n">
        <x:f>'Rolling Forecast'!J$12</x:f>
        <x:v>116</x:v>
      </x:c>
    </x:row>
    <x:row r="25">
      <x:c r="A25" t="str">
        <x:v>Oct</x:v>
      </x:c>
      <x:c r="B25" s="179" t="n">
        <x:f>'Rolling Forecast'!K$6</x:f>
        <x:v>134.39163793441222</x:v>
      </x:c>
      <x:c r="C25" s="179" t="n">
        <x:f>'Rolling Forecast'!K$12</x:f>
        <x:v>119</x:v>
      </x:c>
    </x:row>
    <x:row r="26">
      <x:c r="A26" t="str">
        <x:v>Nov</x:v>
      </x:c>
      <x:c r="B26" s="179" t="n">
        <x:f>'Rolling Forecast'!L$6</x:f>
        <x:v>138.4233870724446</x:v>
      </x:c>
      <x:c r="C26" s="179" t="n">
        <x:f>'Rolling Forecast'!L$12</x:f>
        <x:v>122</x:v>
      </x:c>
    </x:row>
    <x:row r="27">
      <x:c r="A27" t="str">
        <x:v>Dec</x:v>
      </x:c>
      <x:c r="B27" s="179" t="n">
        <x:f>'Rolling Forecast'!M$6</x:f>
        <x:v>142.57608868461793</x:v>
      </x:c>
      <x:c r="C27" s="179" t="n">
        <x:f>'Rolling Forecast'!M$12</x:f>
        <x:v>125</x:v>
      </x:c>
    </x:row>
    <x:row r="31" ht="22" customHeight="1">
      <x:c r="A31" s="9" t="str">
        <x:v>DECISION PROMPTS &amp; NEXT ACTIONS</x:v>
      </x:c>
      <x:c r="B31" s="9" t="str">
        <x:v>DECISION PROMPTS &amp; NEXT ACTIONS</x:v>
      </x:c>
      <x:c r="C31" s="9" t="str">
        <x:v>DECISION PROMPTS &amp; NEXT ACTIONS</x:v>
      </x:c>
      <x:c r="D31" s="9" t="str">
        <x:v>DECISION PROMPTS &amp; NEXT ACTIONS</x:v>
      </x:c>
      <x:c r="E31" s="9" t="str">
        <x:v>DECISION PROMPTS &amp; NEXT ACTIONS</x:v>
      </x:c>
      <x:c r="F31" s="9" t="str">
        <x:v>DECISION PROMPTS &amp; NEXT ACTIONS</x:v>
      </x:c>
      <x:c r="G31" s="9" t="str">
        <x:v>DECISION PROMPTS &amp; NEXT ACTIONS</x:v>
      </x:c>
      <x:c r="H31" s="9" t="str">
        <x:v>DECISION PROMPTS &amp; NEXT ACTIONS</x:v>
      </x:c>
      <x:c r="I31" s="9" t="str">
        <x:v>DECISION PROMPTS &amp; NEXT ACTIONS</x:v>
      </x:c>
      <x:c r="J31" s="9" t="str">
        <x:v>DECISION PROMPTS &amp; NEXT ACTIONS</x:v>
      </x:c>
    </x:row>
    <x:row r="32" ht="28" customHeight="1">
      <x:c r="A32" s="15" t="str">
        <x:v>Decision</x:v>
      </x:c>
      <x:c r="B32" s="17" t="str">
        <x:v>What changed in the outlook, why, and what must management do next?</x:v>
      </x:c>
      <x:c r="C32" s="17" t="str"/>
      <x:c r="D32" s="17" t="str"/>
      <x:c r="E32" s="17" t="str"/>
      <x:c r="F32" s="17" t="str"/>
      <x:c r="G32" s="17" t="str"/>
      <x:c r="H32" s="181" t="str">
        <x:v>Decision owner</x:v>
      </x:c>
      <x:c r="I32" s="181" t="str"/>
      <x:c r="J32" s="181" t="str"/>
    </x:row>
    <x:row r="33" ht="28" customHeight="1">
      <x:c r="A33" s="15" t="str">
        <x:v>Driver</x:v>
      </x:c>
      <x:c r="B33" s="17" t="str">
        <x:v>Which assumption moves the answer most, and who owns it?</x:v>
      </x:c>
      <x:c r="C33" s="17" t="str"/>
      <x:c r="D33" s="17" t="str"/>
      <x:c r="E33" s="17" t="str"/>
      <x:c r="F33" s="17" t="str"/>
      <x:c r="G33" s="17" t="str"/>
      <x:c r="H33" s="181" t="str">
        <x:v>Finance / business owner</x:v>
      </x:c>
      <x:c r="I33" s="181" t="str"/>
      <x:c r="J33" s="181" t="str"/>
    </x:row>
    <x:row r="34" ht="28" customHeight="1">
      <x:c r="A34" s="15" t="str">
        <x:v>Downside</x:v>
      </x:c>
      <x:c r="B34" s="17" t="str">
        <x:v>What breaks first under Downside, and what action is triggered?</x:v>
      </x:c>
      <x:c r="C34" s="17" t="str"/>
      <x:c r="D34" s="17" t="str"/>
      <x:c r="E34" s="17" t="str"/>
      <x:c r="F34" s="17" t="str"/>
      <x:c r="G34" s="17" t="str"/>
      <x:c r="H34" s="181" t="str">
        <x:v>Finance leader</x:v>
      </x:c>
      <x:c r="I34" s="181" t="str"/>
      <x:c r="J34" s="181" t="str"/>
    </x:row>
    <x:row r="35" ht="28" customHeight="1">
      <x:c r="A35" s="15" t="str">
        <x:v>Source</x:v>
      </x:c>
      <x:c r="B35" s="17" t="str">
        <x:v>Are every material source, date, unit, and definition approved?</x:v>
      </x:c>
      <x:c r="C35" s="17" t="str"/>
      <x:c r="D35" s="17" t="str"/>
      <x:c r="E35" s="17" t="str"/>
      <x:c r="F35" s="17" t="str"/>
      <x:c r="G35" s="17" t="str"/>
      <x:c r="H35" s="181" t="str">
        <x:v>Model owner</x:v>
      </x:c>
      <x:c r="I35" s="181" t="str"/>
      <x:c r="J35" s="181" t="str"/>
    </x:row>
    <x:row r="36" ht="28" customHeight="1">
      <x:c r="A36" s="15" t="str">
        <x:v>Control</x:v>
      </x:c>
      <x:c r="B36" s="17" t="str">
        <x:v>Do all published checks pass after the latest input change?</x:v>
      </x:c>
      <x:c r="C36" s="17" t="str"/>
      <x:c r="D36" s="17" t="str"/>
      <x:c r="E36" s="17" t="str"/>
      <x:c r="F36" s="17" t="str"/>
      <x:c r="G36" s="17" t="str"/>
      <x:c r="H36" s="181" t="str">
        <x:v>Reviewer</x:v>
      </x:c>
      <x:c r="I36" s="181" t="str"/>
      <x:c r="J36" s="181" t="str"/>
    </x:row>
    <x:row r="37" ht="28" customHeight="1">
      <x:c r="A37" s="15" t="str">
        <x:v>Action</x:v>
      </x:c>
      <x:c r="B37" s="17" t="str">
        <x:v>What is the next action, owner, timing, and expected protection or upside?</x:v>
      </x:c>
      <x:c r="C37" s="17" t="str"/>
      <x:c r="D37" s="17" t="str"/>
      <x:c r="E37" s="17" t="str"/>
      <x:c r="F37" s="17" t="str"/>
      <x:c r="G37" s="17" t="str"/>
      <x:c r="H37" s="181" t="str">
        <x:v>Action owner</x:v>
      </x:c>
      <x:c r="I37" s="181" t="str"/>
      <x:c r="J37" s="181" t="str"/>
    </x:row>
    <x:row r="39">
      <x:c r="A39" s="42" t="str">
        <x:v>Decision readiness remains TEMPLATE / SCREEN-GRADE until the user replaces synthetic inputs, confirms source dates and definitions, reviews method and assumptions, resolves any open accounting/regulatory/legal/tax questions, and reruns all checks.</x:v>
      </x:c>
      <x:c r="B39" s="43" t="str">
        <x:v>Decision readiness remains TEMPLATE / SCREEN-GRADE until the user replaces synthetic inputs, confirms source dates and definitions, reviews method and assumptions, resolves any open accounting/regulatory/legal/tax questions, and reruns all checks.</x:v>
      </x:c>
      <x:c r="C39" s="43" t="str">
        <x:v>Decision readiness remains TEMPLATE / SCREEN-GRADE until the user replaces synthetic inputs, confirms source dates and definitions, reviews method and assumptions, resolves any open accounting/regulatory/legal/tax questions, and reruns all checks.</x:v>
      </x:c>
      <x:c r="D39" s="43" t="str">
        <x:v>Decision readiness remains TEMPLATE / SCREEN-GRADE until the user replaces synthetic inputs, confirms source dates and definitions, reviews method and assumptions, resolves any open accounting/regulatory/legal/tax questions, and reruns all checks.</x:v>
      </x:c>
      <x:c r="E39" s="43" t="str">
        <x:v>Decision readiness remains TEMPLATE / SCREEN-GRADE until the user replaces synthetic inputs, confirms source dates and definitions, reviews method and assumptions, resolves any open accounting/regulatory/legal/tax questions, and reruns all checks.</x:v>
      </x:c>
      <x:c r="F39" s="43" t="str">
        <x:v>Decision readiness remains TEMPLATE / SCREEN-GRADE until the user replaces synthetic inputs, confirms source dates and definitions, reviews method and assumptions, resolves any open accounting/regulatory/legal/tax questions, and reruns all checks.</x:v>
      </x:c>
      <x:c r="G39" s="43" t="str">
        <x:v>Decision readiness remains TEMPLATE / SCREEN-GRADE until the user replaces synthetic inputs, confirms source dates and definitions, reviews method and assumptions, resolves any open accounting/regulatory/legal/tax questions, and reruns all checks.</x:v>
      </x:c>
      <x:c r="H39" s="43" t="str">
        <x:v>Decision readiness remains TEMPLATE / SCREEN-GRADE until the user replaces synthetic inputs, confirms source dates and definitions, reviews method and assumptions, resolves any open accounting/regulatory/legal/tax questions, and reruns all checks.</x:v>
      </x:c>
      <x:c r="I39" s="43" t="str">
        <x:v>Decision readiness remains TEMPLATE / SCREEN-GRADE until the user replaces synthetic inputs, confirms source dates and definitions, reviews method and assumptions, resolves any open accounting/regulatory/legal/tax questions, and reruns all checks.</x:v>
      </x:c>
      <x:c r="J39" s="44" t="str">
        <x:v>Decision readiness remains TEMPLATE / SCREEN-GRADE until the user replaces synthetic inputs, confirms source dates and definitions, reviews method and assumptions, resolves any open accounting/regulatory/legal/tax questions, and reruns all checks.</x:v>
      </x:c>
    </x:row>
    <x:row r="40">
      <x:c r="A40" s="45" t="str">
        <x:v>Decision readiness remains TEMPLATE / SCREEN-GRADE until the user replaces synthetic inputs, confirms source dates and definitions, reviews method and assumptions, resolves any open accounting/regulatory/legal/tax questions, and reruns all checks.</x:v>
      </x:c>
      <x:c r="B40" s="46" t="str">
        <x:v>Decision readiness remains TEMPLATE / SCREEN-GRADE until the user replaces synthetic inputs, confirms source dates and definitions, reviews method and assumptions, resolves any open accounting/regulatory/legal/tax questions, and reruns all checks.</x:v>
      </x:c>
      <x:c r="C40" s="46" t="str">
        <x:v>Decision readiness remains TEMPLATE / SCREEN-GRADE until the user replaces synthetic inputs, confirms source dates and definitions, reviews method and assumptions, resolves any open accounting/regulatory/legal/tax questions, and reruns all checks.</x:v>
      </x:c>
      <x:c r="D40" s="46" t="str">
        <x:v>Decision readiness remains TEMPLATE / SCREEN-GRADE until the user replaces synthetic inputs, confirms source dates and definitions, reviews method and assumptions, resolves any open accounting/regulatory/legal/tax questions, and reruns all checks.</x:v>
      </x:c>
      <x:c r="E40" s="46" t="str">
        <x:v>Decision readiness remains TEMPLATE / SCREEN-GRADE until the user replaces synthetic inputs, confirms source dates and definitions, reviews method and assumptions, resolves any open accounting/regulatory/legal/tax questions, and reruns all checks.</x:v>
      </x:c>
      <x:c r="F40" s="46" t="str">
        <x:v>Decision readiness remains TEMPLATE / SCREEN-GRADE until the user replaces synthetic inputs, confirms source dates and definitions, reviews method and assumptions, resolves any open accounting/regulatory/legal/tax questions, and reruns all checks.</x:v>
      </x:c>
      <x:c r="G40" s="46" t="str">
        <x:v>Decision readiness remains TEMPLATE / SCREEN-GRADE until the user replaces synthetic inputs, confirms source dates and definitions, reviews method and assumptions, resolves any open accounting/regulatory/legal/tax questions, and reruns all checks.</x:v>
      </x:c>
      <x:c r="H40" s="46" t="str">
        <x:v>Decision readiness remains TEMPLATE / SCREEN-GRADE until the user replaces synthetic inputs, confirms source dates and definitions, reviews method and assumptions, resolves any open accounting/regulatory/legal/tax questions, and reruns all checks.</x:v>
      </x:c>
      <x:c r="I40" s="46" t="str">
        <x:v>Decision readiness remains TEMPLATE / SCREEN-GRADE until the user replaces synthetic inputs, confirms source dates and definitions, reviews method and assumptions, resolves any open accounting/regulatory/legal/tax questions, and reruns all checks.</x:v>
      </x:c>
      <x:c r="J40" s="47" t="str">
        <x:v>Decision readiness remains TEMPLATE / SCREEN-GRADE until the user replaces synthetic inputs, confirms source dates and definitions, reviews method and assumptions, resolves any open accounting/regulatory/legal/tax questions, and reruns all checks.</x:v>
      </x:c>
    </x:row>
    <x:row r="41">
      <x:c r="A41" s="48" t="str">
        <x:v>Decision readiness remains TEMPLATE / SCREEN-GRADE until the user replaces synthetic inputs, confirms source dates and definitions, reviews method and assumptions, resolves any open accounting/regulatory/legal/tax questions, and reruns all checks.</x:v>
      </x:c>
      <x:c r="B41" s="49" t="str">
        <x:v>Decision readiness remains TEMPLATE / SCREEN-GRADE until the user replaces synthetic inputs, confirms source dates and definitions, reviews method and assumptions, resolves any open accounting/regulatory/legal/tax questions, and reruns all checks.</x:v>
      </x:c>
      <x:c r="C41" s="49" t="str">
        <x:v>Decision readiness remains TEMPLATE / SCREEN-GRADE until the user replaces synthetic inputs, confirms source dates and definitions, reviews method and assumptions, resolves any open accounting/regulatory/legal/tax questions, and reruns all checks.</x:v>
      </x:c>
      <x:c r="D41" s="49" t="str">
        <x:v>Decision readiness remains TEMPLATE / SCREEN-GRADE until the user replaces synthetic inputs, confirms source dates and definitions, reviews method and assumptions, resolves any open accounting/regulatory/legal/tax questions, and reruns all checks.</x:v>
      </x:c>
      <x:c r="E41" s="49" t="str">
        <x:v>Decision readiness remains TEMPLATE / SCREEN-GRADE until the user replaces synthetic inputs, confirms source dates and definitions, reviews method and assumptions, resolves any open accounting/regulatory/legal/tax questions, and reruns all checks.</x:v>
      </x:c>
      <x:c r="F41" s="49" t="str">
        <x:v>Decision readiness remains TEMPLATE / SCREEN-GRADE until the user replaces synthetic inputs, confirms source dates and definitions, reviews method and assumptions, resolves any open accounting/regulatory/legal/tax questions, and reruns all checks.</x:v>
      </x:c>
      <x:c r="G41" s="49" t="str">
        <x:v>Decision readiness remains TEMPLATE / SCREEN-GRADE until the user replaces synthetic inputs, confirms source dates and definitions, reviews method and assumptions, resolves any open accounting/regulatory/legal/tax questions, and reruns all checks.</x:v>
      </x:c>
      <x:c r="H41" s="49" t="str">
        <x:v>Decision readiness remains TEMPLATE / SCREEN-GRADE until the user replaces synthetic inputs, confirms source dates and definitions, reviews method and assumptions, resolves any open accounting/regulatory/legal/tax questions, and reruns all checks.</x:v>
      </x:c>
      <x:c r="I41" s="49" t="str">
        <x:v>Decision readiness remains TEMPLATE / SCREEN-GRADE until the user replaces synthetic inputs, confirms source dates and definitions, reviews method and assumptions, resolves any open accounting/regulatory/legal/tax questions, and reruns all checks.</x:v>
      </x:c>
      <x:c r="J41" s="50" t="str">
        <x:v>Decision readiness remains TEMPLATE / SCREEN-GRADE until the user replaces synthetic inputs, confirms source dates and definitions, reviews method and assumptions, resolves any open accounting/regulatory/legal/tax questions, and reruns all checks.</x:v>
      </x:c>
    </x:row>
    <x:row r="43">
      <x:c r="A43" s="53" t="str">
        <x:v>TDAT Model Library  |  Trust builds the brand. Insight builds the decision.</x:v>
      </x:c>
      <x:c r="B43" s="53" t="str">
        <x:v>TDAT Model Library  |  Trust builds the brand. Insight builds the decision.</x:v>
      </x:c>
      <x:c r="C43" s="53" t="str">
        <x:v>TDAT Model Library  |  Trust builds the brand. Insight builds the decision.</x:v>
      </x:c>
      <x:c r="D43" s="53" t="str">
        <x:v>TDAT Model Library  |  Trust builds the brand. Insight builds the decision.</x:v>
      </x:c>
      <x:c r="E43" s="53" t="str">
        <x:v>TDAT Model Library  |  Trust builds the brand. Insight builds the decision.</x:v>
      </x:c>
      <x:c r="F43" s="53" t="str">
        <x:v>TDAT Model Library  |  Trust builds the brand. Insight builds the decision.</x:v>
      </x:c>
      <x:c r="G43" s="53" t="str">
        <x:v>TDAT Model Library  |  Trust builds the brand. Insight builds the decision.</x:v>
      </x:c>
      <x:c r="H43" s="53" t="str">
        <x:v>TDAT Model Library  |  Trust builds the brand. Insight builds the decision.</x:v>
      </x:c>
      <x:c r="I43" s="53" t="str">
        <x:v>TDAT Model Library  |  Trust builds the brand. Insight builds the decision.</x:v>
      </x:c>
      <x:c r="J43" s="53" t="str">
        <x:v>TDAT Model Library  |  Trust builds the brand. Insight builds the decision.</x:v>
      </x:c>
    </x:row>
  </x:sheetData>
  <x:mergeCells>
    <x:mergeCell ref="A1:J1"/>
    <x:mergeCell ref="A2:J2"/>
    <x:mergeCell ref="A5:C5"/>
    <x:mergeCell ref="A6:C7"/>
    <x:mergeCell ref="D5:F5"/>
    <x:mergeCell ref="D6:F7"/>
    <x:mergeCell ref="G5:I5"/>
    <x:mergeCell ref="G6:I7"/>
    <x:mergeCell ref="A9:C9"/>
    <x:mergeCell ref="A10:C11"/>
    <x:mergeCell ref="D9:F9"/>
    <x:mergeCell ref="D10:F11"/>
    <x:mergeCell ref="G9:I9"/>
    <x:mergeCell ref="G10:I11"/>
    <x:mergeCell ref="J6:J7"/>
    <x:mergeCell ref="J10:J11"/>
    <x:mergeCell ref="A14:E14"/>
    <x:mergeCell ref="A31:J31"/>
    <x:mergeCell ref="B32:G32"/>
    <x:mergeCell ref="B33:G33"/>
    <x:mergeCell ref="B34:G34"/>
    <x:mergeCell ref="B35:G35"/>
    <x:mergeCell ref="B36:G36"/>
    <x:mergeCell ref="B37:G37"/>
    <x:mergeCell ref="H32:J32"/>
    <x:mergeCell ref="H33:J33"/>
    <x:mergeCell ref="H34:J34"/>
    <x:mergeCell ref="H35:J35"/>
    <x:mergeCell ref="H36:J36"/>
    <x:mergeCell ref="H37:J37"/>
    <x:mergeCell ref="A39:J41"/>
    <x:mergeCell ref="A43:J43"/>
  </x:mergeCells>
  <x:pageMargins left="0.7" right="0.7" top="0.75" bottom="0.75" header="0.3" footer="0.3"/>
  <x:drawing xmlns:r="http://schemas.openxmlformats.org/officeDocument/2006/relationships" r:id="Rce466d25523943c0"/>
</x:worksheet>
</file>

<file path=xl/worksheets/sheet8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31" hidden="0" customWidth="1"/>
    <x:col min="2" max="2" width="16" hidden="0" customWidth="1"/>
    <x:col min="3" max="3" width="16" hidden="0" customWidth="1"/>
    <x:col min="4" max="4" width="16" hidden="0" customWidth="1"/>
    <x:col min="5" max="5" width="16" hidden="0" customWidth="1"/>
    <x:col min="6" max="6" width="13" hidden="0" customWidth="1"/>
    <x:col min="7" max="7" width="13" hidden="0" customWidth="1"/>
    <x:col min="8" max="8" width="30" hidden="0" customWidth="1"/>
    <x:col min="9" max="9" width="42" hidden="0" customWidth="1"/>
  </x:cols>
  <x:sheetData>
    <x:row r="1" ht="34" customHeight="1">
      <x:c r="A1" s="3" t="str">
        <x:v>MODEL CHECKS</x:v>
      </x:c>
      <x:c r="B1" s="3" t="str">
        <x:v>MODEL CHECKS</x:v>
      </x:c>
      <x:c r="C1" s="3" t="str">
        <x:v>MODEL CHECKS</x:v>
      </x:c>
      <x:c r="D1" s="3" t="str">
        <x:v>MODEL CHECKS</x:v>
      </x:c>
      <x:c r="E1" s="3" t="str">
        <x:v>MODEL CHECKS</x:v>
      </x:c>
      <x:c r="F1" s="3" t="str">
        <x:v>MODEL CHECKS</x:v>
      </x:c>
      <x:c r="G1" s="3" t="str">
        <x:v>MODEL CHECKS</x:v>
      </x:c>
      <x:c r="H1" s="3" t="str">
        <x:v>MODEL CHECKS</x:v>
      </x:c>
      <x:c r="I1" s="3" t="str">
        <x:v>MODEL CHECKS</x:v>
      </x:c>
    </x:row>
    <x:row r="2" ht="24" customHeight="1">
      <x:c r="A2" s="6" t="str">
        <x:v>Budget &amp; Rolling Forecast  |  One assertion per row — investigate every FAIL</x:v>
      </x:c>
      <x:c r="B2" s="6" t="str">
        <x:v>Budget &amp; Rolling Forecast  |  One assertion per row — investigate every FAIL</x:v>
      </x:c>
      <x:c r="C2" s="6" t="str">
        <x:v>Budget &amp; Rolling Forecast  |  One assertion per row — investigate every FAIL</x:v>
      </x:c>
      <x:c r="D2" s="6" t="str">
        <x:v>Budget &amp; Rolling Forecast  |  One assertion per row — investigate every FAIL</x:v>
      </x:c>
      <x:c r="E2" s="6" t="str">
        <x:v>Budget &amp; Rolling Forecast  |  One assertion per row — investigate every FAIL</x:v>
      </x:c>
      <x:c r="F2" s="6" t="str">
        <x:v>Budget &amp; Rolling Forecast  |  One assertion per row — investigate every FAIL</x:v>
      </x:c>
      <x:c r="G2" s="6" t="str">
        <x:v>Budget &amp; Rolling Forecast  |  One assertion per row — investigate every FAIL</x:v>
      </x:c>
      <x:c r="H2" s="6" t="str">
        <x:v>Budget &amp; Rolling Forecast  |  One assertion per row — investigate every FAIL</x:v>
      </x:c>
      <x:c r="I2" s="6" t="str">
        <x:v>Budget &amp; Rolling Forecast  |  One assertion per row — investigate every FAIL</x:v>
      </x:c>
    </x:row>
    <x:row r="3" ht="4" customHeight="1">
      <x:c r="A3" s="7"/>
      <x:c r="B3" s="7"/>
      <x:c r="C3" s="7"/>
      <x:c r="D3" s="7"/>
      <x:c r="E3" s="7"/>
      <x:c r="F3" s="7"/>
      <x:c r="G3" s="7"/>
      <x:c r="H3" s="7"/>
      <x:c r="I3" s="7"/>
    </x:row>
    <x:row r="5">
      <x:c r="A5" s="54" t="str">
        <x:v>MODEL STATUS</x:v>
      </x:c>
      <x:c r="B5" s="183" t="str">
        <x:f>IF(COUNTIF(G8:G18,"FAIL")=0,"PASS","FAIL")</x:f>
        <x:v>PASS</x:v>
      </x:c>
      <x:c r="C5" s="183"/>
      <x:c r="D5" s="185" t="str">
        <x:v>Published controls: 11. PASS means the listed calculations tie within tolerance; source and decision readiness remain separate.</x:v>
      </x:c>
      <x:c r="E5" s="185" t="str">
        <x:v>Published controls: 11. PASS means the listed calculations tie within tolerance; source and decision readiness remain separate.</x:v>
      </x:c>
      <x:c r="F5" s="185" t="str">
        <x:v>Published controls: 11. PASS means the listed calculations tie within tolerance; source and decision readiness remain separate.</x:v>
      </x:c>
      <x:c r="G5" s="185" t="str">
        <x:v>Published controls: 11. PASS means the listed calculations tie within tolerance; source and decision readiness remain separate.</x:v>
      </x:c>
      <x:c r="H5" s="185" t="str">
        <x:v>Published controls: 11. PASS means the listed calculations tie within tolerance; source and decision readiness remain separate.</x:v>
      </x:c>
      <x:c r="I5" s="185" t="str">
        <x:v>Published controls: 11. PASS means the listed calculations tie within tolerance; source and decision readiness remain separate.</x:v>
      </x:c>
    </x:row>
    <x:row r="7" ht="24" customHeight="1">
      <x:c r="A7" s="66" t="str">
        <x:v>Check</x:v>
      </x:c>
      <x:c r="B7" s="67" t="str">
        <x:v>Period</x:v>
      </x:c>
      <x:c r="C7" s="67" t="str">
        <x:v>Actual</x:v>
      </x:c>
      <x:c r="D7" s="67" t="str">
        <x:v>Expected</x:v>
      </x:c>
      <x:c r="E7" s="67" t="str">
        <x:v>Difference</x:v>
      </x:c>
      <x:c r="F7" s="67" t="str">
        <x:v>Tolerance</x:v>
      </x:c>
      <x:c r="G7" s="67" t="str">
        <x:v>Status</x:v>
      </x:c>
      <x:c r="H7" s="67" t="str">
        <x:v>Where to fix</x:v>
      </x:c>
      <x:c r="I7" s="68" t="str">
        <x:v>Notes</x:v>
      </x:c>
    </x:row>
    <x:row r="8">
      <x:c r="A8" s="194" t="str">
        <x:v>EBITDA ties gross profit and opex</x:v>
      </x:c>
      <x:c r="B8" s="194" t="str">
        <x:v>Model</x:v>
      </x:c>
      <x:c r="C8" s="195" t="n">
        <x:f>SUM('Rolling Forecast'!B10:M10)-SUM('Rolling Forecast'!B8:M8)-SUM('Rolling Forecast'!B9:M9)</x:f>
        <x:v>0</x:v>
      </x:c>
      <x:c r="D8" s="195" t="n">
        <x:v>0</x:v>
      </x:c>
      <x:c r="E8" s="195" t="n">
        <x:f>C8-D8</x:f>
        <x:v>0</x:v>
      </x:c>
      <x:c r="F8" s="195" t="n">
        <x:v>0.01</x:v>
      </x:c>
      <x:c r="G8" s="196" t="str">
        <x:f>IF(ABS(E8)&lt;=F8,"PASS","FAIL")</x:f>
        <x:v>PASS</x:v>
      </x:c>
      <x:c r="H8" s="197" t="str">
        <x:v>Rolling Forecast — EBITDA</x:v>
      </x:c>
      <x:c r="I8" s="197" t="str">
        <x:v>EBITDA equals gross profit plus opex.</x:v>
      </x:c>
    </x:row>
    <x:row r="9">
      <x:c r="A9" s="198" t="str">
        <x:v>Revenue variance bridge ties</x:v>
      </x:c>
      <x:c r="B9" s="198" t="str">
        <x:v>Model</x:v>
      </x:c>
      <x:c r="C9" s="199" t="n">
        <x:f>SUM('Rolling Forecast'!B13:M13)-(SUM('Rolling Forecast'!B6:M6)-SUM('Rolling Forecast'!B12:M12))</x:f>
        <x:v>2.2737367544323206e-13</x:v>
      </x:c>
      <x:c r="D9" s="199" t="n">
        <x:v>0</x:v>
      </x:c>
      <x:c r="E9" s="199" t="n">
        <x:f>C9-D9</x:f>
        <x:v>2.2737367544323206e-13</x:v>
      </x:c>
      <x:c r="F9" s="199" t="n">
        <x:v>0.01</x:v>
      </x:c>
      <x:c r="G9" s="200" t="str">
        <x:f>IF(ABS(E9)&lt;=F9,"PASS","FAIL")</x:f>
        <x:v>PASS</x:v>
      </x:c>
      <x:c r="H9" s="201" t="str">
        <x:v>Rolling Forecast — Variance</x:v>
      </x:c>
      <x:c r="I9" s="201" t="str">
        <x:v>Forecast less budget equals the displayed variance.</x:v>
      </x:c>
    </x:row>
    <x:row r="10">
      <x:c r="A10" s="198" t="str">
        <x:v>Forecast revenue is non-negative</x:v>
      </x:c>
      <x:c r="B10" s="198" t="str">
        <x:v>Model</x:v>
      </x:c>
      <x:c r="C10" s="199" t="n">
        <x:f>MAX(0,-MIN('Rolling Forecast'!B6:M6))</x:f>
        <x:v>0</x:v>
      </x:c>
      <x:c r="D10" s="199" t="n">
        <x:v>0</x:v>
      </x:c>
      <x:c r="E10" s="199" t="n">
        <x:f>C10-D10</x:f>
        <x:v>0</x:v>
      </x:c>
      <x:c r="F10" s="199" t="n">
        <x:v>0.01</x:v>
      </x:c>
      <x:c r="G10" s="200" t="str">
        <x:f>IF(ABS(E10)&lt;=F10,"PASS","FAIL")</x:f>
        <x:v>PASS</x:v>
      </x:c>
      <x:c r="H10" s="201" t="str">
        <x:v>Assumptions / Rolling Forecast</x:v>
      </x:c>
      <x:c r="I10" s="201" t="str">
        <x:v>Negative revenue requires an explicit business case.</x:v>
      </x:c>
    </x:row>
    <x:row r="11">
      <x:c r="A11" s="198" t="str">
        <x:v>WAPE remains within 0%–100%</x:v>
      </x:c>
      <x:c r="B11" s="198" t="str">
        <x:v>Model</x:v>
      </x:c>
      <x:c r="C11" s="202" t="n">
        <x:f>MAX(0,MAX('Rolling Forecast'!B17:M17)-1)</x:f>
        <x:v>0</x:v>
      </x:c>
      <x:c r="D11" s="202" t="n">
        <x:v>0</x:v>
      </x:c>
      <x:c r="E11" s="202" t="n">
        <x:f>C11-D11</x:f>
        <x:v>0</x:v>
      </x:c>
      <x:c r="F11" s="202" t="n">
        <x:v>0.0001</x:v>
      </x:c>
      <x:c r="G11" s="200" t="str">
        <x:f>IF(ABS(E11)&lt;=F11,"PASS","FAIL")</x:f>
        <x:v>PASS</x:v>
      </x:c>
      <x:c r="H11" s="201" t="str">
        <x:v>Rolling Forecast — WAPE</x:v>
      </x:c>
      <x:c r="I11" s="201" t="str">
        <x:v>Large errors should be explained rather than hidden.</x:v>
      </x:c>
    </x:row>
    <x:row r="12">
      <x:c r="A12" s="198" t="str">
        <x:v>Scenario selector is valid</x:v>
      </x:c>
      <x:c r="B12" s="198" t="str">
        <x:v>Current</x:v>
      </x:c>
      <x:c r="C12" s="203" t="n">
        <x:f>COUNTIF('Assumptions'!$C$5:$E$5,'Assumptions'!$B$3)</x:f>
        <x:v>1</x:v>
      </x:c>
      <x:c r="D12" s="203" t="n">
        <x:v>1</x:v>
      </x:c>
      <x:c r="E12" s="203" t="n">
        <x:f>C12-D12</x:f>
        <x:v>0</x:v>
      </x:c>
      <x:c r="F12" s="203" t="n">
        <x:v>0</x:v>
      </x:c>
      <x:c r="G12" s="200" t="str">
        <x:f>IF(ABS(E12)&lt;=F12,"PASS","FAIL")</x:f>
        <x:v>PASS</x:v>
      </x:c>
      <x:c r="H12" s="201" t="str">
        <x:v>Assumptions B3</x:v>
      </x:c>
      <x:c r="I12" s="201" t="str">
        <x:v>Base, Upside, or Downside only.</x:v>
      </x:c>
    </x:row>
    <x:row r="13">
      <x:c r="A13" s="198" t="str">
        <x:v>Period headers are complete</x:v>
      </x:c>
      <x:c r="B13" s="198" t="str">
        <x:v>All periods</x:v>
      </x:c>
      <x:c r="C13" s="203" t="n">
        <x:f>COUNTA('Planning Inputs'!B5:M5)</x:f>
        <x:v>12</x:v>
      </x:c>
      <x:c r="D13" s="203" t="n">
        <x:v>12</x:v>
      </x:c>
      <x:c r="E13" s="203" t="n">
        <x:f>C13-D13</x:f>
        <x:v>0</x:v>
      </x:c>
      <x:c r="F13" s="203" t="n">
        <x:v>0</x:v>
      </x:c>
      <x:c r="G13" s="200" t="str">
        <x:f>IF(ABS(E13)&lt;=F13,"PASS","FAIL")</x:f>
        <x:v>PASS</x:v>
      </x:c>
      <x:c r="H13" s="201" t="str">
        <x:v>Planning Inputs row 5</x:v>
      </x:c>
      <x:c r="I13" s="201" t="str">
        <x:v>All modeled periods must have a visible header.</x:v>
      </x:c>
    </x:row>
    <x:row r="14">
      <x:c r="A14" s="198" t="str">
        <x:v>Source input grid is complete</x:v>
      </x:c>
      <x:c r="B14" s="198" t="str">
        <x:v>All periods</x:v>
      </x:c>
      <x:c r="C14" s="203" t="n">
        <x:f>COUNTA('Planning Inputs'!B6:M10)</x:f>
        <x:v>60</x:v>
      </x:c>
      <x:c r="D14" s="203" t="n">
        <x:v>60</x:v>
      </x:c>
      <x:c r="E14" s="203" t="n">
        <x:f>C14-D14</x:f>
        <x:v>0</x:v>
      </x:c>
      <x:c r="F14" s="203" t="n">
        <x:v>0</x:v>
      </x:c>
      <x:c r="G14" s="200" t="str">
        <x:f>IF(ABS(E14)&lt;=F14,"PASS","FAIL")</x:f>
        <x:v>PASS</x:v>
      </x:c>
      <x:c r="H14" s="201" t="str">
        <x:v>Planning Inputs</x:v>
      </x:c>
      <x:c r="I14" s="201" t="str">
        <x:v>Replace blanks with an approved value or an explicitly documented zero.</x:v>
      </x:c>
    </x:row>
    <x:row r="15">
      <x:c r="A15" s="198" t="str">
        <x:v>Selected assumptions are complete</x:v>
      </x:c>
      <x:c r="B15" s="198" t="str">
        <x:v>Current</x:v>
      </x:c>
      <x:c r="C15" s="203" t="n">
        <x:f>COUNT('Assumptions'!F6:F9)</x:f>
        <x:v>4</x:v>
      </x:c>
      <x:c r="D15" s="203" t="n">
        <x:v>4</x:v>
      </x:c>
      <x:c r="E15" s="203" t="n">
        <x:f>C15-D15</x:f>
        <x:v>0</x:v>
      </x:c>
      <x:c r="F15" s="203" t="n">
        <x:v>0</x:v>
      </x:c>
      <x:c r="G15" s="200" t="str">
        <x:f>IF(ABS(E15)&lt;=F15,"PASS","FAIL")</x:f>
        <x:v>PASS</x:v>
      </x:c>
      <x:c r="H15" s="201" t="str">
        <x:v>Assumptions column F</x:v>
      </x:c>
      <x:c r="I15" s="201" t="str">
        <x:v>Every scenario driver must resolve to a numeric selected value.</x:v>
      </x:c>
    </x:row>
    <x:row r="16">
      <x:c r="A16" s="198" t="str">
        <x:v>Core model cells calculate to numbers</x:v>
      </x:c>
      <x:c r="B16" s="198" t="str">
        <x:v>All periods</x:v>
      </x:c>
      <x:c r="C16" s="203" t="n">
        <x:f>COUNT('Rolling Forecast'!B6:M18)</x:f>
        <x:v>156</x:v>
      </x:c>
      <x:c r="D16" s="203" t="n">
        <x:v>156</x:v>
      </x:c>
      <x:c r="E16" s="203" t="n">
        <x:f>C16-D16</x:f>
        <x:v>0</x:v>
      </x:c>
      <x:c r="F16" s="203" t="n">
        <x:v>0</x:v>
      </x:c>
      <x:c r="G16" s="200" t="str">
        <x:f>IF(ABS(E16)&lt;=F16,"PASS","FAIL")</x:f>
        <x:v>PASS</x:v>
      </x:c>
      <x:c r="H16" s="201" t="str">
        <x:v>Rolling Forecast</x:v>
      </x:c>
      <x:c r="I16" s="201" t="str">
        <x:v>No blank or text output is permitted inside the calculation block.</x:v>
      </x:c>
    </x:row>
    <x:row r="17">
      <x:c r="A17" s="198" t="str">
        <x:v>Sensitivity base ties the headline output</x:v>
      </x:c>
      <x:c r="B17" s="198" t="str">
        <x:v>Base center</x:v>
      </x:c>
      <x:c r="C17" s="199" t="n">
        <x:f>IF('Assumptions'!$B$3="Base",'Sensitivity'!D10,'Rolling Forecast'!M$10)</x:f>
        <x:v>22.81217418953887</x:v>
      </x:c>
      <x:c r="D17" s="199" t="n">
        <x:f>'Rolling Forecast'!M$10</x:f>
        <x:v>22.812174189538865</x:v>
      </x:c>
      <x:c r="E17" s="199" t="n">
        <x:f>C17-D17</x:f>
        <x:v>3.552713678800501e-15</x:v>
      </x:c>
      <x:c r="F17" s="199" t="n">
        <x:v>0.05</x:v>
      </x:c>
      <x:c r="G17" s="200" t="str">
        <x:f>IF(ABS(E17)&lt;=F17,"PASS","FAIL")</x:f>
        <x:v>PASS</x:v>
      </x:c>
      <x:c r="H17" s="201" t="str">
        <x:v>Sensitivity / core model</x:v>
      </x:c>
      <x:c r="I17" s="201" t="str">
        <x:v>The center cell must recalculate the Base-case headline output; the assertion is N/A under Upside or Downside.</x:v>
      </x:c>
    </x:row>
    <x:row r="18">
      <x:c r="A18" s="204" t="str">
        <x:v>Headline output is non-negative</x:v>
      </x:c>
      <x:c r="B18" s="204" t="str">
        <x:v>All periods</x:v>
      </x:c>
      <x:c r="C18" s="205" t="n">
        <x:f>MAX(0,-MIN('Rolling Forecast'!B10:M10))</x:f>
        <x:v>0</x:v>
      </x:c>
      <x:c r="D18" s="205" t="n">
        <x:v>0</x:v>
      </x:c>
      <x:c r="E18" s="205" t="n">
        <x:f>C18-D18</x:f>
        <x:v>0</x:v>
      </x:c>
      <x:c r="F18" s="205" t="n">
        <x:v>0.01</x:v>
      </x:c>
      <x:c r="G18" s="206" t="str">
        <x:f>IF(ABS(E18)&lt;=F18,"PASS","FAIL")</x:f>
        <x:v>PASS</x:v>
      </x:c>
      <x:c r="H18" s="207" t="str">
        <x:v>Rolling Forecast — ebitda</x:v>
      </x:c>
      <x:c r="I18" s="207" t="str">
        <x:v>Negative outputs require an explicit method and decision interpretation.</x:v>
      </x:c>
    </x:row>
    <x:row r="20">
      <x:c r="A20" s="42" t="str">
        <x:v>Release note: this check set is transparent internal QA, not an independent certification. Also review source quality, method, accounting, regulatory/tax/legal treatment, compatibility, privacy, and file metadata before distribution.</x:v>
      </x:c>
      <x:c r="B20" s="43" t="str">
        <x:v>Release note: this check set is transparent internal QA, not an independent certification. Also review source quality, method, accounting, regulatory/tax/legal treatment, compatibility, privacy, and file metadata before distribution.</x:v>
      </x:c>
      <x:c r="C20" s="43" t="str">
        <x:v>Release note: this check set is transparent internal QA, not an independent certification. Also review source quality, method, accounting, regulatory/tax/legal treatment, compatibility, privacy, and file metadata before distribution.</x:v>
      </x:c>
      <x:c r="D20" s="43" t="str">
        <x:v>Release note: this check set is transparent internal QA, not an independent certification. Also review source quality, method, accounting, regulatory/tax/legal treatment, compatibility, privacy, and file metadata before distribution.</x:v>
      </x:c>
      <x:c r="E20" s="43" t="str">
        <x:v>Release note: this check set is transparent internal QA, not an independent certification. Also review source quality, method, accounting, regulatory/tax/legal treatment, compatibility, privacy, and file metadata before distribution.</x:v>
      </x:c>
      <x:c r="F20" s="43" t="str">
        <x:v>Release note: this check set is transparent internal QA, not an independent certification. Also review source quality, method, accounting, regulatory/tax/legal treatment, compatibility, privacy, and file metadata before distribution.</x:v>
      </x:c>
      <x:c r="G20" s="43" t="str">
        <x:v>Release note: this check set is transparent internal QA, not an independent certification. Also review source quality, method, accounting, regulatory/tax/legal treatment, compatibility, privacy, and file metadata before distribution.</x:v>
      </x:c>
      <x:c r="H20" s="43" t="str">
        <x:v>Release note: this check set is transparent internal QA, not an independent certification. Also review source quality, method, accounting, regulatory/tax/legal treatment, compatibility, privacy, and file metadata before distribution.</x:v>
      </x:c>
      <x:c r="I20" s="44" t="str">
        <x:v>Release note: this check set is transparent internal QA, not an independent certification. Also review source quality, method, accounting, regulatory/tax/legal treatment, compatibility, privacy, and file metadata before distribution.</x:v>
      </x:c>
    </x:row>
    <x:row r="21">
      <x:c r="A21" s="45" t="str">
        <x:v>Release note: this check set is transparent internal QA, not an independent certification. Also review source quality, method, accounting, regulatory/tax/legal treatment, compatibility, privacy, and file metadata before distribution.</x:v>
      </x:c>
      <x:c r="B21" s="46" t="str">
        <x:v>Release note: this check set is transparent internal QA, not an independent certification. Also review source quality, method, accounting, regulatory/tax/legal treatment, compatibility, privacy, and file metadata before distribution.</x:v>
      </x:c>
      <x:c r="C21" s="46" t="str">
        <x:v>Release note: this check set is transparent internal QA, not an independent certification. Also review source quality, method, accounting, regulatory/tax/legal treatment, compatibility, privacy, and file metadata before distribution.</x:v>
      </x:c>
      <x:c r="D21" s="46" t="str">
        <x:v>Release note: this check set is transparent internal QA, not an independent certification. Also review source quality, method, accounting, regulatory/tax/legal treatment, compatibility, privacy, and file metadata before distribution.</x:v>
      </x:c>
      <x:c r="E21" s="46" t="str">
        <x:v>Release note: this check set is transparent internal QA, not an independent certification. Also review source quality, method, accounting, regulatory/tax/legal treatment, compatibility, privacy, and file metadata before distribution.</x:v>
      </x:c>
      <x:c r="F21" s="46" t="str">
        <x:v>Release note: this check set is transparent internal QA, not an independent certification. Also review source quality, method, accounting, regulatory/tax/legal treatment, compatibility, privacy, and file metadata before distribution.</x:v>
      </x:c>
      <x:c r="G21" s="46" t="str">
        <x:v>Release note: this check set is transparent internal QA, not an independent certification. Also review source quality, method, accounting, regulatory/tax/legal treatment, compatibility, privacy, and file metadata before distribution.</x:v>
      </x:c>
      <x:c r="H21" s="46" t="str">
        <x:v>Release note: this check set is transparent internal QA, not an independent certification. Also review source quality, method, accounting, regulatory/tax/legal treatment, compatibility, privacy, and file metadata before distribution.</x:v>
      </x:c>
      <x:c r="I21" s="47" t="str">
        <x:v>Release note: this check set is transparent internal QA, not an independent certification. Also review source quality, method, accounting, regulatory/tax/legal treatment, compatibility, privacy, and file metadata before distribution.</x:v>
      </x:c>
    </x:row>
    <x:row r="22">
      <x:c r="A22" s="48" t="str">
        <x:v>Release note: this check set is transparent internal QA, not an independent certification. Also review source quality, method, accounting, regulatory/tax/legal treatment, compatibility, privacy, and file metadata before distribution.</x:v>
      </x:c>
      <x:c r="B22" s="49" t="str">
        <x:v>Release note: this check set is transparent internal QA, not an independent certification. Also review source quality, method, accounting, regulatory/tax/legal treatment, compatibility, privacy, and file metadata before distribution.</x:v>
      </x:c>
      <x:c r="C22" s="49" t="str">
        <x:v>Release note: this check set is transparent internal QA, not an independent certification. Also review source quality, method, accounting, regulatory/tax/legal treatment, compatibility, privacy, and file metadata before distribution.</x:v>
      </x:c>
      <x:c r="D22" s="49" t="str">
        <x:v>Release note: this check set is transparent internal QA, not an independent certification. Also review source quality, method, accounting, regulatory/tax/legal treatment, compatibility, privacy, and file metadata before distribution.</x:v>
      </x:c>
      <x:c r="E22" s="49" t="str">
        <x:v>Release note: this check set is transparent internal QA, not an independent certification. Also review source quality, method, accounting, regulatory/tax/legal treatment, compatibility, privacy, and file metadata before distribution.</x:v>
      </x:c>
      <x:c r="F22" s="49" t="str">
        <x:v>Release note: this check set is transparent internal QA, not an independent certification. Also review source quality, method, accounting, regulatory/tax/legal treatment, compatibility, privacy, and file metadata before distribution.</x:v>
      </x:c>
      <x:c r="G22" s="49" t="str">
        <x:v>Release note: this check set is transparent internal QA, not an independent certification. Also review source quality, method, accounting, regulatory/tax/legal treatment, compatibility, privacy, and file metadata before distribution.</x:v>
      </x:c>
      <x:c r="H22" s="49" t="str">
        <x:v>Release note: this check set is transparent internal QA, not an independent certification. Also review source quality, method, accounting, regulatory/tax/legal treatment, compatibility, privacy, and file metadata before distribution.</x:v>
      </x:c>
      <x:c r="I22" s="50" t="str">
        <x:v>Release note: this check set is transparent internal QA, not an independent certification. Also review source quality, method, accounting, regulatory/tax/legal treatment, compatibility, privacy, and file metadata before distribution.</x:v>
      </x:c>
    </x:row>
    <x:row r="24">
      <x:c r="A24" s="53" t="str">
        <x:v>TDAT Model Library  |  Trust builds the brand. Insight builds the decision.</x:v>
      </x:c>
      <x:c r="B24" s="53" t="str">
        <x:v>TDAT Model Library  |  Trust builds the brand. Insight builds the decision.</x:v>
      </x:c>
      <x:c r="C24" s="53" t="str">
        <x:v>TDAT Model Library  |  Trust builds the brand. Insight builds the decision.</x:v>
      </x:c>
      <x:c r="D24" s="53" t="str">
        <x:v>TDAT Model Library  |  Trust builds the brand. Insight builds the decision.</x:v>
      </x:c>
      <x:c r="E24" s="53" t="str">
        <x:v>TDAT Model Library  |  Trust builds the brand. Insight builds the decision.</x:v>
      </x:c>
      <x:c r="F24" s="53" t="str">
        <x:v>TDAT Model Library  |  Trust builds the brand. Insight builds the decision.</x:v>
      </x:c>
      <x:c r="G24" s="53" t="str">
        <x:v>TDAT Model Library  |  Trust builds the brand. Insight builds the decision.</x:v>
      </x:c>
      <x:c r="H24" s="53" t="str">
        <x:v>TDAT Model Library  |  Trust builds the brand. Insight builds the decision.</x:v>
      </x:c>
      <x:c r="I24" s="53" t="str">
        <x:v>TDAT Model Library  |  Trust builds the brand. Insight builds the decision.</x:v>
      </x:c>
    </x:row>
  </x:sheetData>
  <x:mergeCells>
    <x:mergeCell ref="A1:I1"/>
    <x:mergeCell ref="A2:I2"/>
    <x:mergeCell ref="B5:C5"/>
    <x:mergeCell ref="D5:I5"/>
    <x:mergeCell ref="A20:I22"/>
    <x:mergeCell ref="A24:I24"/>
  </x:mergeCells>
  <x:conditionalFormatting sqref="G8:G18">
    <x:cfRule type="containsText" dxfId="0" priority="1" operator="containsText" text="PASS"/>
    <x:cfRule type="containsText" dxfId="1" priority="2" operator="containsText" text="FAIL"/>
  </x:conditionalFormatting>
  <x:pageMargins left="0.7" right="0.7" top="0.75" bottom="0.75" header="0.3" footer="0.3"/>
</x:worksheet>
</file>

<file path=xl/worksheets/sheet9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6" hidden="0" customWidth="1"/>
    <x:col min="2" max="2" width="28" hidden="0" customWidth="1"/>
    <x:col min="3" max="3" width="16" hidden="0" customWidth="1"/>
    <x:col min="4" max="4" width="16" hidden="0" customWidth="1"/>
    <x:col min="5" max="5" width="22" hidden="0" customWidth="1"/>
    <x:col min="6" max="6" width="28" hidden="0" customWidth="1"/>
    <x:col min="7" max="7" width="18" hidden="0" customWidth="1"/>
    <x:col min="8" max="8" width="18" hidden="0" customWidth="1"/>
    <x:col min="9" max="9" width="16" hidden="0" customWidth="1"/>
    <x:col min="10" max="10" width="30" hidden="0" customWidth="1"/>
  </x:cols>
  <x:sheetData>
    <x:row r="1" ht="34" customHeight="1">
      <x:c r="A1" s="3" t="str">
        <x:v>SOURCES &amp; VERSION</x:v>
      </x:c>
      <x:c r="B1" s="3" t="str">
        <x:v>SOURCES &amp; VERSION</x:v>
      </x:c>
      <x:c r="C1" s="3" t="str">
        <x:v>SOURCES &amp; VERSION</x:v>
      </x:c>
      <x:c r="D1" s="3" t="str">
        <x:v>SOURCES &amp; VERSION</x:v>
      </x:c>
      <x:c r="E1" s="3" t="str">
        <x:v>SOURCES &amp; VERSION</x:v>
      </x:c>
      <x:c r="F1" s="3" t="str">
        <x:v>SOURCES &amp; VERSION</x:v>
      </x:c>
      <x:c r="G1" s="3" t="str">
        <x:v>SOURCES &amp; VERSION</x:v>
      </x:c>
      <x:c r="H1" s="3" t="str">
        <x:v>SOURCES &amp; VERSION</x:v>
      </x:c>
      <x:c r="I1" s="3" t="str">
        <x:v>SOURCES &amp; VERSION</x:v>
      </x:c>
      <x:c r="J1" s="3" t="str">
        <x:v>SOURCES &amp; VERSION</x:v>
      </x:c>
    </x:row>
    <x:row r="2" ht="24" customHeight="1">
      <x:c r="A2" s="6" t="str">
        <x:v>Budget &amp; Rolling Forecast  |  Assumption register, release facts, and distribution controls</x:v>
      </x:c>
      <x:c r="B2" s="6" t="str">
        <x:v>Budget &amp; Rolling Forecast  |  Assumption register, release facts, and distribution controls</x:v>
      </x:c>
      <x:c r="C2" s="6" t="str">
        <x:v>Budget &amp; Rolling Forecast  |  Assumption register, release facts, and distribution controls</x:v>
      </x:c>
      <x:c r="D2" s="6" t="str">
        <x:v>Budget &amp; Rolling Forecast  |  Assumption register, release facts, and distribution controls</x:v>
      </x:c>
      <x:c r="E2" s="6" t="str">
        <x:v>Budget &amp; Rolling Forecast  |  Assumption register, release facts, and distribution controls</x:v>
      </x:c>
      <x:c r="F2" s="6" t="str">
        <x:v>Budget &amp; Rolling Forecast  |  Assumption register, release facts, and distribution controls</x:v>
      </x:c>
      <x:c r="G2" s="6" t="str">
        <x:v>Budget &amp; Rolling Forecast  |  Assumption register, release facts, and distribution controls</x:v>
      </x:c>
      <x:c r="H2" s="6" t="str">
        <x:v>Budget &amp; Rolling Forecast  |  Assumption register, release facts, and distribution controls</x:v>
      </x:c>
      <x:c r="I2" s="6" t="str">
        <x:v>Budget &amp; Rolling Forecast  |  Assumption register, release facts, and distribution controls</x:v>
      </x:c>
      <x:c r="J2" s="6" t="str">
        <x:v>Budget &amp; Rolling Forecast  |  Assumption register, release facts, and distribution controls</x:v>
      </x:c>
    </x:row>
    <x:row r="3" ht="4" customHeight="1">
      <x:c r="A3" s="7"/>
      <x:c r="B3" s="7"/>
      <x:c r="C3" s="7"/>
      <x:c r="D3" s="7"/>
      <x:c r="E3" s="7"/>
      <x:c r="F3" s="7"/>
      <x:c r="G3" s="7"/>
      <x:c r="H3" s="7"/>
      <x:c r="I3" s="7"/>
      <x:c r="J3" s="7"/>
    </x:row>
    <x:row r="5" ht="22" customHeight="1">
      <x:c r="A5" s="9" t="str">
        <x:v>SOURCE / ASSUMPTION REGISTER</x:v>
      </x:c>
      <x:c r="B5" s="9" t="str">
        <x:v>SOURCE / ASSUMPTION REGISTER</x:v>
      </x:c>
      <x:c r="C5" s="9" t="str">
        <x:v>SOURCE / ASSUMPTION REGISTER</x:v>
      </x:c>
      <x:c r="D5" s="9" t="str">
        <x:v>SOURCE / ASSUMPTION REGISTER</x:v>
      </x:c>
      <x:c r="E5" s="9" t="str">
        <x:v>SOURCE / ASSUMPTION REGISTER</x:v>
      </x:c>
      <x:c r="F5" s="9" t="str">
        <x:v>SOURCE / ASSUMPTION REGISTER</x:v>
      </x:c>
      <x:c r="G5" s="9" t="str">
        <x:v>SOURCE / ASSUMPTION REGISTER</x:v>
      </x:c>
      <x:c r="H5" s="9" t="str">
        <x:v>SOURCE / ASSUMPTION REGISTER</x:v>
      </x:c>
      <x:c r="I5" s="9" t="str">
        <x:v>SOURCE / ASSUMPTION REGISTER</x:v>
      </x:c>
    </x:row>
    <x:row r="6" ht="24" customHeight="1">
      <x:c r="A6" s="66" t="str">
        <x:v>Item</x:v>
      </x:c>
      <x:c r="B6" s="67" t="str">
        <x:v>Value / definition</x:v>
      </x:c>
      <x:c r="C6" s="67" t="str">
        <x:v>Units</x:v>
      </x:c>
      <x:c r="D6" s="67" t="str">
        <x:v>Period / as-of</x:v>
      </x:c>
      <x:c r="E6" s="67" t="str">
        <x:v>Source type</x:v>
      </x:c>
      <x:c r="F6" s="67" t="str">
        <x:v>Source / owner</x:v>
      </x:c>
      <x:c r="G6" s="67" t="str">
        <x:v>Ref</x:v>
      </x:c>
      <x:c r="H6" s="67" t="str">
        <x:v>Confidence</x:v>
      </x:c>
      <x:c r="I6" s="68" t="str">
        <x:v>Notes</x:v>
      </x:c>
    </x:row>
    <x:row r="7">
      <x:c r="A7" s="146" t="str">
        <x:v>Worked example</x:v>
      </x:c>
      <x:c r="B7" s="147" t="str">
        <x:v>Synthetic case values</x:v>
      </x:c>
      <x:c r="C7" s="147" t="str">
        <x:v>LCY millions</x:v>
      </x:c>
      <x:c r="D7" s="147" t="str">
        <x:v>2026-07-13</x:v>
      </x:c>
      <x:c r="E7" s="147" t="str">
        <x:v>Illustrative</x:v>
      </x:c>
      <x:c r="F7" s="147" t="str">
        <x:v>TDAT model build</x:v>
      </x:c>
      <x:c r="G7" s="147" t="str">
        <x:v>SYN-001</x:v>
      </x:c>
      <x:c r="H7" s="147" t="str">
        <x:v>Illustrative</x:v>
      </x:c>
      <x:c r="I7" s="148" t="str">
        <x:v>Replace before use.</x:v>
      </x:c>
    </x:row>
    <x:row r="8">
      <x:c r="A8" s="149" t="str">
        <x:v>Scenario drivers</x:v>
      </x:c>
      <x:c r="B8" s="150" t="str">
        <x:v>Base / Upside / Downside</x:v>
      </x:c>
      <x:c r="C8" s="150" t="str">
        <x:v>Mixed</x:v>
      </x:c>
      <x:c r="D8" s="150" t="str">
        <x:v>Model horizon</x:v>
      </x:c>
      <x:c r="E8" s="150" t="str">
        <x:v>Assumption</x:v>
      </x:c>
      <x:c r="F8" s="150" t="str">
        <x:v>User / finance owner</x:v>
      </x:c>
      <x:c r="G8" s="150" t="str">
        <x:v>ASM-001</x:v>
      </x:c>
      <x:c r="H8" s="150" t="str">
        <x:v>Open</x:v>
      </x:c>
      <x:c r="I8" s="151" t="str">
        <x:v>Confirm rationale and owner.</x:v>
      </x:c>
    </x:row>
    <x:row r="9">
      <x:c r="A9" s="152" t="str">
        <x:v>Method</x:v>
      </x:c>
      <x:c r="B9" s="153" t="str">
        <x:v>Rolling Forecast</x:v>
      </x:c>
      <x:c r="C9" s="153" t="str">
        <x:v>Method</x:v>
      </x:c>
      <x:c r="D9" s="153" t="str">
        <x:v>Version 1.0.0</x:v>
      </x:c>
      <x:c r="E9" s="153" t="str">
        <x:v>Model method</x:v>
      </x:c>
      <x:c r="F9" s="153" t="str">
        <x:v>Model Guide</x:v>
      </x:c>
      <x:c r="G9" s="153" t="str">
        <x:v>MTH-001</x:v>
      </x:c>
      <x:c r="H9" s="153" t="str">
        <x:v>Template</x:v>
      </x:c>
      <x:c r="I9" s="154" t="str">
        <x:v>Validate for the intended use and jurisdiction.</x:v>
      </x:c>
    </x:row>
    <x:row r="11" ht="22" customHeight="1">
      <x:c r="A11" s="9" t="str">
        <x:v>RELEASE FACTS</x:v>
      </x:c>
      <x:c r="B11" s="9" t="str">
        <x:v>RELEASE FACTS</x:v>
      </x:c>
      <x:c r="C11" s="9" t="str">
        <x:v>RELEASE FACTS</x:v>
      </x:c>
      <x:c r="D11" s="9" t="str">
        <x:v>RELEASE FACTS</x:v>
      </x:c>
      <x:c r="E11" s="9" t="str">
        <x:v>RELEASE FACTS</x:v>
      </x:c>
      <x:c r="F11" s="9" t="str">
        <x:v>RELEASE FACTS</x:v>
      </x:c>
      <x:c r="G11" s="9" t="str">
        <x:v>RELEASE FACTS</x:v>
      </x:c>
      <x:c r="H11" s="9" t="str">
        <x:v>RELEASE FACTS</x:v>
      </x:c>
      <x:c r="I11" s="9" t="str">
        <x:v>RELEASE FACTS</x:v>
      </x:c>
    </x:row>
    <x:row r="12">
      <x:c r="A12" s="208" t="str">
        <x:v>Owner</x:v>
      </x:c>
      <x:c r="B12" s="147" t="str">
        <x:v>Truong Dinh Anh Tu</x:v>
      </x:c>
      <x:c r="C12" s="210" t="str">
        <x:v>Version</x:v>
      </x:c>
      <x:c r="D12" s="147" t="str">
        <x:v>1.0.0</x:v>
      </x:c>
      <x:c r="E12" s="210" t="str">
        <x:v>Standard</x:v>
      </x:c>
      <x:c r="F12" s="147" t="str">
        <x:v>TDAT Model Standard 1.0</x:v>
      </x:c>
      <x:c r="G12" s="210" t="str">
        <x:v>Last QA</x:v>
      </x:c>
      <x:c r="H12" s="147" t="str">
        <x:v>2026-07-13</x:v>
      </x:c>
      <x:c r="I12" s="210" t="str">
        <x:v>Status</x:v>
      </x:c>
      <x:c r="J12" s="148" t="str">
        <x:v>Available after release gates</x:v>
      </x:c>
    </x:row>
    <x:row r="13">
      <x:c r="A13" s="209" t="str">
        <x:v>Compatibility</x:v>
      </x:c>
      <x:c r="B13" s="153" t="str">
        <x:v>Excel 365</x:v>
      </x:c>
      <x:c r="C13" s="211" t="str">
        <x:v>Macros</x:v>
      </x:c>
      <x:c r="D13" s="153" t="str">
        <x:v>None</x:v>
      </x:c>
      <x:c r="E13" s="211" t="str">
        <x:v>External links</x:v>
      </x:c>
      <x:c r="F13" s="153" t="str">
        <x:v>None</x:v>
      </x:c>
      <x:c r="G13" s="211" t="str">
        <x:v>Circularity</x:v>
      </x:c>
      <x:c r="H13" s="153" t="str">
        <x:v>None</x:v>
      </x:c>
      <x:c r="I13" s="211" t="str">
        <x:v>Evidence</x:v>
      </x:c>
      <x:c r="J13" s="154" t="str">
        <x:v>Synthetic worked template</x:v>
      </x:c>
    </x:row>
    <x:row r="15" ht="22" customHeight="1">
      <x:c r="A15" s="9" t="str">
        <x:v>CHANGE LOG</x:v>
      </x:c>
      <x:c r="B15" s="9" t="str">
        <x:v>CHANGE LOG</x:v>
      </x:c>
      <x:c r="C15" s="9" t="str">
        <x:v>CHANGE LOG</x:v>
      </x:c>
      <x:c r="D15" s="9" t="str">
        <x:v>CHANGE LOG</x:v>
      </x:c>
      <x:c r="E15" s="9" t="str">
        <x:v>CHANGE LOG</x:v>
      </x:c>
      <x:c r="F15" s="9" t="str">
        <x:v>CHANGE LOG</x:v>
      </x:c>
      <x:c r="G15" s="9" t="str">
        <x:v>CHANGE LOG</x:v>
      </x:c>
      <x:c r="H15" s="9" t="str">
        <x:v>CHANGE LOG</x:v>
      </x:c>
      <x:c r="I15" s="9" t="str">
        <x:v>CHANGE LOG</x:v>
      </x:c>
    </x:row>
    <x:row r="16" ht="24" customHeight="1">
      <x:c r="A16" s="66" t="str">
        <x:v>Version</x:v>
      </x:c>
      <x:c r="B16" s="67" t="str">
        <x:v>Date</x:v>
      </x:c>
      <x:c r="C16" s="67" t="str">
        <x:v>Changed sheets</x:v>
      </x:c>
      <x:c r="D16" s="67" t="str">
        <x:v>Change</x:v>
      </x:c>
      <x:c r="E16" s="67" t="str">
        <x:v>Impact</x:v>
      </x:c>
      <x:c r="F16" s="67" t="str">
        <x:v>Migration note</x:v>
      </x:c>
      <x:c r="G16" s="67" t="str">
        <x:v>Owner</x:v>
      </x:c>
      <x:c r="H16" s="67" t="str">
        <x:v>Reviewer</x:v>
      </x:c>
      <x:c r="I16" s="68" t="str">
        <x:v>Status</x:v>
      </x:c>
    </x:row>
    <x:row r="17">
      <x:c r="A17" s="215" t="str">
        <x:v>1.0.0</x:v>
      </x:c>
      <x:c r="B17" s="216" t="str">
        <x:v>2026-07-13</x:v>
      </x:c>
      <x:c r="C17" s="216" t="str">
        <x:v>All</x:v>
      </x:c>
      <x:c r="D17" s="216" t="str">
        <x:v>Initial public reusable template</x:v>
      </x:c>
      <x:c r="E17" s="216" t="str">
        <x:v>New model release</x:v>
      </x:c>
      <x:c r="F17" s="216" t="str">
        <x:v>None</x:v>
      </x:c>
      <x:c r="G17" s="216" t="str">
        <x:v>Truong Dinh Anh Tu</x:v>
      </x:c>
      <x:c r="H17" s="216" t="str">
        <x:v>TDAT QA review</x:v>
      </x:c>
      <x:c r="I17" s="217" t="str">
        <x:v>Released</x:v>
      </x:c>
    </x:row>
    <x:row r="19" ht="22" customHeight="1">
      <x:c r="A19" s="9" t="str">
        <x:v>DISTRIBUTION &amp; PRIVACY</x:v>
      </x:c>
      <x:c r="B19" s="9" t="str">
        <x:v>DISTRIBUTION &amp; PRIVACY</x:v>
      </x:c>
      <x:c r="C19" s="9" t="str">
        <x:v>DISTRIBUTION &amp; PRIVACY</x:v>
      </x:c>
      <x:c r="D19" s="9" t="str">
        <x:v>DISTRIBUTION &amp; PRIVACY</x:v>
      </x:c>
      <x:c r="E19" s="9" t="str">
        <x:v>DISTRIBUTION &amp; PRIVACY</x:v>
      </x:c>
      <x:c r="F19" s="9" t="str">
        <x:v>DISTRIBUTION &amp; PRIVACY</x:v>
      </x:c>
      <x:c r="G19" s="9" t="str">
        <x:v>DISTRIBUTION &amp; PRIVACY</x:v>
      </x:c>
      <x:c r="H19" s="9" t="str">
        <x:v>DISTRIBUTION &amp; PRIVACY</x:v>
      </x:c>
      <x:c r="I19" s="9" t="str">
        <x:v>DISTRIBUTION &amp; PRIVACY</x:v>
      </x:c>
    </x:row>
    <x:row r="20" ht="32" customHeight="1">
      <x:c r="A20" s="21" t="str">
        <x:v>Public-safe evidence</x:v>
      </x:c>
      <x:c r="B20" s="17" t="str">
        <x:v>Synthetic company/case values only</x:v>
      </x:c>
      <x:c r="C20" s="17" t="str"/>
      <x:c r="D20" s="17" t="str"/>
      <x:c r="E20" s="17" t="str"/>
      <x:c r="F20" s="17" t="str"/>
      <x:c r="G20" s="17" t="str"/>
      <x:c r="H20" s="17" t="str"/>
      <x:c r="I20" s="17" t="str"/>
    </x:row>
    <x:row r="21" ht="32" customHeight="1">
      <x:c r="A21" s="21" t="str">
        <x:v>Excluded content</x:v>
      </x:c>
      <x:c r="B21" s="17" t="str">
        <x:v>No real customer, employee, vendor, borrower, issuer, position, policyholder, transaction, or household record</x:v>
      </x:c>
      <x:c r="C21" s="17" t="str"/>
      <x:c r="D21" s="17" t="str"/>
      <x:c r="E21" s="17" t="str"/>
      <x:c r="F21" s="17" t="str"/>
      <x:c r="G21" s="17" t="str"/>
      <x:c r="H21" s="17" t="str"/>
      <x:c r="I21" s="17" t="str"/>
    </x:row>
    <x:row r="22" ht="32" customHeight="1">
      <x:c r="A22" s="21" t="str">
        <x:v>Dependencies</x:v>
      </x:c>
      <x:c r="B22" s="17" t="str">
        <x:v>Macro-free .xlsx; no external workbooks, add-ins, live connections, or intentional circular references</x:v>
      </x:c>
      <x:c r="C22" s="17" t="str"/>
      <x:c r="D22" s="17" t="str"/>
      <x:c r="E22" s="17" t="str"/>
      <x:c r="F22" s="17" t="str"/>
      <x:c r="G22" s="17" t="str"/>
      <x:c r="H22" s="17" t="str"/>
      <x:c r="I22" s="17" t="str"/>
    </x:row>
    <x:row r="23" ht="32" customHeight="1">
      <x:c r="A23" s="21" t="str">
        <x:v>Usage</x:v>
      </x:c>
      <x:c r="B23" s="17" t="str">
        <x:v>Adapt for learning, interview cases, internal planning, or analysis. Do not resell an unchanged copy as your own product.</x:v>
      </x:c>
      <x:c r="C23" s="17" t="str"/>
      <x:c r="D23" s="17" t="str"/>
      <x:c r="E23" s="17" t="str"/>
      <x:c r="F23" s="17" t="str"/>
      <x:c r="G23" s="17" t="str"/>
      <x:c r="H23" s="17" t="str"/>
      <x:c r="I23" s="17" t="str"/>
    </x:row>
    <x:row r="24" ht="32" customHeight="1">
      <x:c r="A24" s="21" t="str">
        <x:v>Responsibility</x:v>
      </x:c>
      <x:c r="B24" s="17" t="str">
        <x:v>Validate sources, assumptions, formulas, methods, policies, and suitability before real-world use. Provided without warranty.</x:v>
      </x:c>
      <x:c r="C24" s="17" t="str"/>
      <x:c r="D24" s="17" t="str"/>
      <x:c r="E24" s="17" t="str"/>
      <x:c r="F24" s="17" t="str"/>
      <x:c r="G24" s="17" t="str"/>
      <x:c r="H24" s="17" t="str"/>
      <x:c r="I24" s="17" t="str"/>
    </x:row>
    <x:row r="26">
      <x:c r="A26" s="42" t="str">
        <x:v>Before distributing a populated copy, inspect visible and hidden sheets, formulas, comments, names, links, connections, metadata, caches, embedded objects, local paths, user identifiers, and deleted-looking data. Password protection is not a privacy control.</x:v>
      </x:c>
      <x:c r="B26" s="43" t="str">
        <x:v>Before distributing a populated copy, inspect visible and hidden sheets, formulas, comments, names, links, connections, metadata, caches, embedded objects, local paths, user identifiers, and deleted-looking data. Password protection is not a privacy control.</x:v>
      </x:c>
      <x:c r="C26" s="43" t="str">
        <x:v>Before distributing a populated copy, inspect visible and hidden sheets, formulas, comments, names, links, connections, metadata, caches, embedded objects, local paths, user identifiers, and deleted-looking data. Password protection is not a privacy control.</x:v>
      </x:c>
      <x:c r="D26" s="43" t="str">
        <x:v>Before distributing a populated copy, inspect visible and hidden sheets, formulas, comments, names, links, connections, metadata, caches, embedded objects, local paths, user identifiers, and deleted-looking data. Password protection is not a privacy control.</x:v>
      </x:c>
      <x:c r="E26" s="43" t="str">
        <x:v>Before distributing a populated copy, inspect visible and hidden sheets, formulas, comments, names, links, connections, metadata, caches, embedded objects, local paths, user identifiers, and deleted-looking data. Password protection is not a privacy control.</x:v>
      </x:c>
      <x:c r="F26" s="43" t="str">
        <x:v>Before distributing a populated copy, inspect visible and hidden sheets, formulas, comments, names, links, connections, metadata, caches, embedded objects, local paths, user identifiers, and deleted-looking data. Password protection is not a privacy control.</x:v>
      </x:c>
      <x:c r="G26" s="43" t="str">
        <x:v>Before distributing a populated copy, inspect visible and hidden sheets, formulas, comments, names, links, connections, metadata, caches, embedded objects, local paths, user identifiers, and deleted-looking data. Password protection is not a privacy control.</x:v>
      </x:c>
      <x:c r="H26" s="43" t="str">
        <x:v>Before distributing a populated copy, inspect visible and hidden sheets, formulas, comments, names, links, connections, metadata, caches, embedded objects, local paths, user identifiers, and deleted-looking data. Password protection is not a privacy control.</x:v>
      </x:c>
      <x:c r="I26" s="44" t="str">
        <x:v>Before distributing a populated copy, inspect visible and hidden sheets, formulas, comments, names, links, connections, metadata, caches, embedded objects, local paths, user identifiers, and deleted-looking data. Password protection is not a privacy control.</x:v>
      </x:c>
    </x:row>
    <x:row r="27">
      <x:c r="A27" s="45" t="str">
        <x:v>Before distributing a populated copy, inspect visible and hidden sheets, formulas, comments, names, links, connections, metadata, caches, embedded objects, local paths, user identifiers, and deleted-looking data. Password protection is not a privacy control.</x:v>
      </x:c>
      <x:c r="B27" s="46" t="str">
        <x:v>Before distributing a populated copy, inspect visible and hidden sheets, formulas, comments, names, links, connections, metadata, caches, embedded objects, local paths, user identifiers, and deleted-looking data. Password protection is not a privacy control.</x:v>
      </x:c>
      <x:c r="C27" s="46" t="str">
        <x:v>Before distributing a populated copy, inspect visible and hidden sheets, formulas, comments, names, links, connections, metadata, caches, embedded objects, local paths, user identifiers, and deleted-looking data. Password protection is not a privacy control.</x:v>
      </x:c>
      <x:c r="D27" s="46" t="str">
        <x:v>Before distributing a populated copy, inspect visible and hidden sheets, formulas, comments, names, links, connections, metadata, caches, embedded objects, local paths, user identifiers, and deleted-looking data. Password protection is not a privacy control.</x:v>
      </x:c>
      <x:c r="E27" s="46" t="str">
        <x:v>Before distributing a populated copy, inspect visible and hidden sheets, formulas, comments, names, links, connections, metadata, caches, embedded objects, local paths, user identifiers, and deleted-looking data. Password protection is not a privacy control.</x:v>
      </x:c>
      <x:c r="F27" s="46" t="str">
        <x:v>Before distributing a populated copy, inspect visible and hidden sheets, formulas, comments, names, links, connections, metadata, caches, embedded objects, local paths, user identifiers, and deleted-looking data. Password protection is not a privacy control.</x:v>
      </x:c>
      <x:c r="G27" s="46" t="str">
        <x:v>Before distributing a populated copy, inspect visible and hidden sheets, formulas, comments, names, links, connections, metadata, caches, embedded objects, local paths, user identifiers, and deleted-looking data. Password protection is not a privacy control.</x:v>
      </x:c>
      <x:c r="H27" s="46" t="str">
        <x:v>Before distributing a populated copy, inspect visible and hidden sheets, formulas, comments, names, links, connections, metadata, caches, embedded objects, local paths, user identifiers, and deleted-looking data. Password protection is not a privacy control.</x:v>
      </x:c>
      <x:c r="I27" s="47" t="str">
        <x:v>Before distributing a populated copy, inspect visible and hidden sheets, formulas, comments, names, links, connections, metadata, caches, embedded objects, local paths, user identifiers, and deleted-looking data. Password protection is not a privacy control.</x:v>
      </x:c>
    </x:row>
    <x:row r="28">
      <x:c r="A28" s="48" t="str">
        <x:v>Before distributing a populated copy, inspect visible and hidden sheets, formulas, comments, names, links, connections, metadata, caches, embedded objects, local paths, user identifiers, and deleted-looking data. Password protection is not a privacy control.</x:v>
      </x:c>
      <x:c r="B28" s="49" t="str">
        <x:v>Before distributing a populated copy, inspect visible and hidden sheets, formulas, comments, names, links, connections, metadata, caches, embedded objects, local paths, user identifiers, and deleted-looking data. Password protection is not a privacy control.</x:v>
      </x:c>
      <x:c r="C28" s="49" t="str">
        <x:v>Before distributing a populated copy, inspect visible and hidden sheets, formulas, comments, names, links, connections, metadata, caches, embedded objects, local paths, user identifiers, and deleted-looking data. Password protection is not a privacy control.</x:v>
      </x:c>
      <x:c r="D28" s="49" t="str">
        <x:v>Before distributing a populated copy, inspect visible and hidden sheets, formulas, comments, names, links, connections, metadata, caches, embedded objects, local paths, user identifiers, and deleted-looking data. Password protection is not a privacy control.</x:v>
      </x:c>
      <x:c r="E28" s="49" t="str">
        <x:v>Before distributing a populated copy, inspect visible and hidden sheets, formulas, comments, names, links, connections, metadata, caches, embedded objects, local paths, user identifiers, and deleted-looking data. Password protection is not a privacy control.</x:v>
      </x:c>
      <x:c r="F28" s="49" t="str">
        <x:v>Before distributing a populated copy, inspect visible and hidden sheets, formulas, comments, names, links, connections, metadata, caches, embedded objects, local paths, user identifiers, and deleted-looking data. Password protection is not a privacy control.</x:v>
      </x:c>
      <x:c r="G28" s="49" t="str">
        <x:v>Before distributing a populated copy, inspect visible and hidden sheets, formulas, comments, names, links, connections, metadata, caches, embedded objects, local paths, user identifiers, and deleted-looking data. Password protection is not a privacy control.</x:v>
      </x:c>
      <x:c r="H28" s="49" t="str">
        <x:v>Before distributing a populated copy, inspect visible and hidden sheets, formulas, comments, names, links, connections, metadata, caches, embedded objects, local paths, user identifiers, and deleted-looking data. Password protection is not a privacy control.</x:v>
      </x:c>
      <x:c r="I28" s="50" t="str">
        <x:v>Before distributing a populated copy, inspect visible and hidden sheets, formulas, comments, names, links, connections, metadata, caches, embedded objects, local paths, user identifiers, and deleted-looking data. Password protection is not a privacy control.</x:v>
      </x:c>
    </x:row>
    <x:row r="30">
      <x:c r="A30" s="53" t="str">
        <x:v>TDAT Model Library  |  Trust builds the brand. Insight builds the decision.</x:v>
      </x:c>
      <x:c r="B30" s="53" t="str">
        <x:v>TDAT Model Library  |  Trust builds the brand. Insight builds the decision.</x:v>
      </x:c>
      <x:c r="C30" s="53" t="str">
        <x:v>TDAT Model Library  |  Trust builds the brand. Insight builds the decision.</x:v>
      </x:c>
      <x:c r="D30" s="53" t="str">
        <x:v>TDAT Model Library  |  Trust builds the brand. Insight builds the decision.</x:v>
      </x:c>
      <x:c r="E30" s="53" t="str">
        <x:v>TDAT Model Library  |  Trust builds the brand. Insight builds the decision.</x:v>
      </x:c>
      <x:c r="F30" s="53" t="str">
        <x:v>TDAT Model Library  |  Trust builds the brand. Insight builds the decision.</x:v>
      </x:c>
      <x:c r="G30" s="53" t="str">
        <x:v>TDAT Model Library  |  Trust builds the brand. Insight builds the decision.</x:v>
      </x:c>
      <x:c r="H30" s="53" t="str">
        <x:v>TDAT Model Library  |  Trust builds the brand. Insight builds the decision.</x:v>
      </x:c>
      <x:c r="I30" s="53" t="str">
        <x:v>TDAT Model Library  |  Trust builds the brand. Insight builds the decision.</x:v>
      </x:c>
      <x:c r="J30" s="53" t="str">
        <x:v>TDAT Model Library  |  Trust builds the brand. Insight builds the decision.</x:v>
      </x:c>
    </x:row>
  </x:sheetData>
  <x:mergeCells>
    <x:mergeCell ref="A1:J1"/>
    <x:mergeCell ref="A2:J2"/>
    <x:mergeCell ref="A5:I5"/>
    <x:mergeCell ref="A11:I11"/>
    <x:mergeCell ref="A15:I15"/>
    <x:mergeCell ref="A19:I19"/>
    <x:mergeCell ref="B20:I20"/>
    <x:mergeCell ref="B21:I21"/>
    <x:mergeCell ref="B22:I22"/>
    <x:mergeCell ref="B23:I23"/>
    <x:mergeCell ref="B24:I24"/>
    <x:mergeCell ref="A26:I28"/>
    <x:mergeCell ref="A30:J30"/>
  </x:mergeCells>
  <x:pageMargins left="0.7" right="0.7" top="0.75" bottom="0.75" header="0.3" footer="0.3"/>
</x:worksheet>
</file>