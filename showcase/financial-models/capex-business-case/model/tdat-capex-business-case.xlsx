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1fb6b2fe904f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" sheetId="1" r:id="R5e676768ba08467b"/>
    <x:sheet xmlns:r="http://schemas.openxmlformats.org/officeDocument/2006/relationships" name="Inputs" sheetId="2" r:id="R871454ac79614b26"/>
    <x:sheet xmlns:r="http://schemas.openxmlformats.org/officeDocument/2006/relationships" name="Model" sheetId="3" r:id="Ree0224e41c0343f4"/>
    <x:sheet xmlns:r="http://schemas.openxmlformats.org/officeDocument/2006/relationships" name="Results" sheetId="4" r:id="Rb01a80ec443a4b1e"/>
    <x:sheet xmlns:r="http://schemas.openxmlformats.org/officeDocument/2006/relationships" name="Checks" sheetId="5" r:id="R5194de0cfb6f4e1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0;[Red](#,##0.0);-"/>
    <x:numFmt numFmtId="201" formatCode="0.0%;[Red](0.0%);-"/>
    <x:numFmt numFmtId="202" formatCode="#,##0;[Red](#,##0);-"/>
    <x:numFmt numFmtId="203" formatCode="0.00;[Red](0.00);-"/>
  </x:numFmts>
  <x:fonts count="14">
    <x:font>
      <x:sz val="11"/>
      <x:name val="Carlito"/>
    </x:font>
    <x:font>
      <x:sz val="11"/>
      <x:color rgb="FF202833"/>
      <x:name val="Carlito"/>
    </x:font>
    <x:font>
      <x:b/>
      <x:sz val="11"/>
      <x:color rgb="FFFFFFFF"/>
      <x:name val="Carlito"/>
    </x:font>
    <x:font>
      <x:b/>
      <x:sz val="11"/>
      <x:color rgb="FF202833"/>
      <x:name val="Carlito"/>
    </x:font>
    <x:font>
      <x:b/>
      <x:sz val="11"/>
      <x:color rgb="FF0000FF"/>
      <x:name val="Carlito"/>
    </x:font>
    <x:font>
      <x:sz val="11"/>
      <x:color rgb="FF68717C"/>
      <x:name val="Carlito"/>
    </x:font>
    <x:font>
      <x:sz val="11"/>
      <x:color rgb="FF805C19"/>
      <x:name val="Carlito"/>
    </x:font>
    <x:font>
      <x:b/>
      <x:sz val="11"/>
      <x:color rgb="FF68717C"/>
      <x:name val="Carlito"/>
    </x:font>
    <x:font>
      <x:sz val="11"/>
      <x:color rgb="FF202833"/>
      <x:name val="Carlito"/>
    </x:font>
    <x:font>
      <x:sz val="11"/>
      <x:color rgb="FF008000"/>
      <x:name val="Carlito"/>
    </x:font>
    <x:font>
      <x:b/>
      <x:sz val="11"/>
      <x:color rgb="FFB5883A"/>
      <x:name val="Carlito"/>
    </x:font>
    <x:font>
      <x:b/>
      <x:sz val="11"/>
      <x:color rgb="FF805C19"/>
      <x:name val="Carlito"/>
    </x:font>
    <x:font>
      <x:b/>
      <x:sz val="11"/>
      <x:color rgb="FF247252"/>
      <x:name val="Carlito"/>
    </x:font>
    <x:font>
      <x:sz val="11"/>
      <x:color rgb="FFF5F6F8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F5F6F8"/>
      </x:patternFill>
    </x:fill>
    <x:fill>
      <x:patternFill patternType="solid">
        <x:fgColor rgb="FF1C2430"/>
      </x:patternFill>
    </x:fill>
    <x:fill>
      <x:patternFill patternType="solid">
        <x:fgColor rgb="FFB5883A"/>
      </x:patternFill>
    </x:fill>
    <x:fill>
      <x:patternFill patternType="solid">
        <x:fgColor rgb="FFF2E8D5"/>
      </x:patternFill>
    </x:fill>
    <x:fill>
      <x:patternFill patternType="solid">
        <x:fgColor rgb="FF303B49"/>
      </x:patternFill>
    </x:fill>
    <x:fill>
      <x:patternFill patternType="solid">
        <x:fgColor rgb="FFECEFF2"/>
      </x:patternFill>
    </x:fill>
    <x:fill>
      <x:patternFill patternType="solid">
        <x:fgColor rgb="FFFFFFFF"/>
      </x:patternFill>
    </x:fill>
    <x:fill>
      <x:patternFill patternType="solid">
        <x:fgColor rgb="FFF8EBCF"/>
      </x:patternFill>
    </x:fill>
    <x:fill>
      <x:patternFill patternType="solid">
        <x:fgColor rgb="FFE6F2EB"/>
      </x:patternFill>
    </x:fill>
  </x:fills>
  <x:borders count="29">
    <x:border/>
    <x:border>
      <x:left style="thin">
        <x:color rgb="FFD7DBE0"/>
      </x:left>
      <x:top style="thin">
        <x:color rgb="FFD7DBE0"/>
      </x:top>
    </x:border>
    <x:border>
      <x:top style="thin">
        <x:color rgb="FFD7DBE0"/>
      </x:top>
    </x:border>
    <x:border>
      <x:right style="thin">
        <x:color rgb="FFD7DBE0"/>
      </x:right>
      <x:top style="thin">
        <x:color rgb="FFD7DBE0"/>
      </x:top>
    </x:border>
    <x:border>
      <x:left style="thin">
        <x:color rgb="FFD7DBE0"/>
      </x:left>
      <x:bottom style="thin">
        <x:color rgb="FFD7DBE0"/>
      </x:bottom>
    </x:border>
    <x:border>
      <x:bottom style="thin">
        <x:color rgb="FFD7DBE0"/>
      </x:bottom>
    </x:border>
    <x:border>
      <x:right style="thin">
        <x:color rgb="FFD7DBE0"/>
      </x:right>
      <x:bottom style="thin">
        <x:color rgb="FFD7DBE0"/>
      </x:bottom>
    </x:border>
    <x:border>
      <x:bottom style="medium">
        <x:color rgb="FFB5883A"/>
      </x:bottom>
    </x:border>
    <x:border>
      <x:left style="thin">
        <x:color rgb="FFD3AE64"/>
      </x:left>
      <x:right style="thin">
        <x:color rgb="FFD3AE64"/>
      </x:right>
      <x:top style="thin">
        <x:color rgb="FFD3AE64"/>
      </x:top>
      <x:bottom style="thin">
        <x:color rgb="FFD3AE64"/>
      </x:bottom>
    </x:border>
    <x:border>
      <x:left style="thin">
        <x:color rgb="FFD3AE64"/>
      </x:left>
      <x:right style="thin">
        <x:color rgb="FFD3AE64"/>
      </x:right>
    </x:border>
    <x:border>
      <x:left style="thin">
        <x:color rgb="FFD3AE64"/>
      </x:left>
      <x:top style="thin">
        <x:color rgb="FFD3AE64"/>
      </x:top>
    </x:border>
    <x:border>
      <x:top style="thin">
        <x:color rgb="FFD3AE64"/>
      </x:top>
    </x:border>
    <x:border>
      <x:right style="thin">
        <x:color rgb="FFD3AE64"/>
      </x:right>
      <x:top style="thin">
        <x:color rgb="FFD3AE64"/>
      </x:top>
    </x:border>
    <x:border>
      <x:left style="thin">
        <x:color rgb="FFD3AE64"/>
      </x:left>
      <x:bottom style="thin">
        <x:color rgb="FFD3AE64"/>
      </x:bottom>
    </x:border>
    <x:border>
      <x:bottom style="thin">
        <x:color rgb="FFD3AE64"/>
      </x:bottom>
    </x:border>
    <x:border>
      <x:right style="thin">
        <x:color rgb="FFD3AE64"/>
      </x:right>
      <x:bottom style="thin">
        <x:color rgb="FFD3AE64"/>
      </x:bottom>
    </x:border>
    <x:border>
      <x:left style="thin">
        <x:color rgb="FF1C2430"/>
      </x:left>
      <x:top style="thin">
        <x:color rgb="FF1C2430"/>
      </x:top>
      <x:bottom style="thin">
        <x:color rgb="FF1C2430"/>
      </x:bottom>
    </x:border>
    <x:border>
      <x:right style="thin">
        <x:color rgb="FF1C2430"/>
      </x:right>
      <x:top style="thin">
        <x:color rgb="FF1C2430"/>
      </x:top>
      <x:bottom style="thin">
        <x:color rgb="FF1C2430"/>
      </x:bottom>
    </x:border>
    <x:border>
      <x:left style="thin">
        <x:color rgb="FFD7DBE0"/>
      </x:left>
    </x:border>
    <x:border>
      <x:right style="thin">
        <x:color rgb="FFD7DBE0"/>
      </x:right>
    </x:border>
    <x:border>
      <x:left style="thin">
        <x:color rgb="FFF2D58A"/>
      </x:left>
      <x:top style="thin">
        <x:color rgb="FFF2D58A"/>
      </x:top>
    </x:border>
    <x:border>
      <x:top style="thin">
        <x:color rgb="FFF2D58A"/>
      </x:top>
    </x:border>
    <x:border>
      <x:right style="thin">
        <x:color rgb="FFF2D58A"/>
      </x:right>
      <x:top style="thin">
        <x:color rgb="FFF2D58A"/>
      </x:top>
    </x:border>
    <x:border>
      <x:left style="thin">
        <x:color rgb="FFF2D58A"/>
      </x:left>
      <x:bottom style="thin">
        <x:color rgb="FFF2D58A"/>
      </x:bottom>
    </x:border>
    <x:border>
      <x:bottom style="thin">
        <x:color rgb="FFF2D58A"/>
      </x:bottom>
    </x:border>
    <x:border>
      <x:right style="thin">
        <x:color rgb="FFF2D58A"/>
      </x:right>
      <x:bottom style="thin">
        <x:color rgb="FFF2D58A"/>
      </x:bottom>
    </x:border>
    <x:border>
      <x:left style="thin">
        <x:color rgb="FFD7DBE0"/>
      </x:left>
      <x:top style="thin">
        <x:color rgb="FFD7DBE0"/>
      </x:top>
      <x:bottom style="thin">
        <x:color rgb="FFD7DBE0"/>
      </x:bottom>
    </x:border>
    <x:border>
      <x:right style="thin">
        <x:color rgb="FFD7DBE0"/>
      </x:right>
      <x:top style="thin">
        <x:color rgb="FFD7DBE0"/>
      </x:top>
      <x:bottom style="thin">
        <x:color rgb="FFD7DBE0"/>
      </x:bottom>
    </x:border>
    <x:border>
      <x:top style="thin">
        <x:color rgb="FFD7DBE0"/>
      </x:top>
      <x:bottom style="thin">
        <x:color rgb="FFD7DBE0"/>
      </x:bottom>
    </x:border>
  </x:borders>
  <x:cellStyleXfs count="1">
    <x:xf numFmtId="0" fontId="0" fillId="0" borderId="0"/>
  </x:cellStyleXfs>
  <x:cellXfs count="27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horizontal="left" vertical="center"/>
    </x:xf>
    <x:xf numFmtId="0" fontId="1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horizontal="left" vertical="center"/>
    </x:xf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vertical="center"/>
    </x:xf>
    <x:xf numFmtId="0" fontId="3" fillId="5" borderId="2" xfId="0" applyNumberFormat="1" applyFont="1" applyFill="1" applyBorder="1" applyAlignment="1">
      <x:alignment vertical="center"/>
    </x:xf>
    <x:xf numFmtId="0" fontId="3" fillId="5" borderId="3" xfId="0" applyNumberFormat="1" applyFont="1" applyFill="1" applyBorder="1" applyAlignment="1">
      <x:alignment vertical="center"/>
    </x:xf>
    <x:xf numFmtId="0" fontId="3" fillId="5" borderId="4" xfId="0" applyNumberFormat="1" applyFont="1" applyFill="1" applyBorder="1" applyAlignment="1">
      <x:alignment vertical="center"/>
    </x:xf>
    <x:xf numFmtId="0" fontId="3" fillId="5" borderId="5" xfId="0" applyNumberFormat="1" applyFont="1" applyFill="1" applyBorder="1" applyAlignment="1">
      <x:alignment vertical="center"/>
    </x:xf>
    <x:xf numFmtId="0" fontId="3" fillId="5" borderId="6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vertical="center" wrapText="1"/>
    </x:xf>
    <x:xf numFmtId="0" fontId="3" fillId="5" borderId="2" xfId="0" applyNumberFormat="1" applyFont="1" applyFill="1" applyBorder="1" applyAlignment="1">
      <x:alignment vertical="center" wrapText="1"/>
    </x:xf>
    <x:xf numFmtId="0" fontId="3" fillId="5" borderId="3" xfId="0" applyNumberFormat="1" applyFont="1" applyFill="1" applyBorder="1" applyAlignment="1">
      <x:alignment vertical="center" wrapText="1"/>
    </x:xf>
    <x:xf numFmtId="0" fontId="3" fillId="5" borderId="4" xfId="0" applyNumberFormat="1" applyFont="1" applyFill="1" applyBorder="1" applyAlignment="1">
      <x:alignment vertical="center" wrapText="1"/>
    </x:xf>
    <x:xf numFmtId="0" fontId="3" fillId="5" borderId="5" xfId="0" applyNumberFormat="1" applyFont="1" applyFill="1" applyBorder="1" applyAlignment="1">
      <x:alignment vertical="center" wrapText="1"/>
    </x:xf>
    <x:xf numFmtId="0" fontId="3" fillId="5" borderId="6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 applyAlignment="1">
      <x:alignment vertical="center"/>
    </x:xf>
    <x:xf numFmtId="0" fontId="2" fillId="6" borderId="7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0" fontId="4" fillId="8" borderId="0" xfId="0" applyNumberFormat="1" applyFont="1" applyFill="1" applyBorder="1" applyAlignment="1">
      <x:alignment vertical="center"/>
    </x:xf>
    <x:xf numFmtId="0" fontId="4" fillId="8" borderId="8" xfId="0" applyNumberFormat="1" applyFont="1" applyFill="1" applyBorder="1" applyAlignment="1">
      <x:alignment vertical="center"/>
    </x:xf>
    <x:xf numFmtId="200" fontId="4" fillId="8" borderId="8" xfId="0" applyNumberFormat="1" applyFont="1" applyFill="1" applyBorder="1" applyAlignment="1">
      <x:alignment vertical="center"/>
    </x:xf>
    <x:xf numFmtId="200" fontId="4" fillId="8" borderId="8" xfId="0" applyNumberFormat="1" applyFont="1" applyFill="1" applyBorder="1" applyAlignment="1">
      <x:alignment horizontal="right" vertical="center"/>
    </x:xf>
    <x:xf numFmtId="0" fontId="5" fillId="8" borderId="0" xfId="0" applyNumberFormat="1" applyFont="1" applyFill="1" applyBorder="1" applyAlignment="1">
      <x:alignment vertical="center"/>
    </x:xf>
    <x:xf numFmtId="0" fontId="5" fillId="8" borderId="4" xfId="0" applyNumberFormat="1" applyFont="1" applyFill="1" applyBorder="1" applyAlignment="1">
      <x:alignment vertical="center"/>
    </x:xf>
    <x:xf numFmtId="0" fontId="5" fillId="8" borderId="5" xfId="0" applyNumberFormat="1" applyFont="1" applyFill="1" applyBorder="1" applyAlignment="1">
      <x:alignment vertical="center"/>
    </x:xf>
    <x:xf numFmtId="0" fontId="5" fillId="8" borderId="4" xfId="0" applyNumberFormat="1" applyFont="1" applyFill="1" applyBorder="1" applyAlignment="1">
      <x:alignment vertical="center" wrapText="1"/>
    </x:xf>
    <x:xf numFmtId="0" fontId="5" fillId="8" borderId="5" xfId="0" applyNumberFormat="1" applyFont="1" applyFill="1" applyBorder="1" applyAlignment="1">
      <x:alignment vertical="center" wrapText="1"/>
    </x:xf>
    <x:xf numFmtId="200" fontId="4" fillId="8" borderId="9" xfId="0" applyNumberFormat="1" applyFont="1" applyFill="1" applyBorder="1" applyAlignment="1">
      <x:alignment horizontal="right" vertical="center"/>
    </x:xf>
    <x:xf numFmtId="201" fontId="4" fillId="8" borderId="8" xfId="0" applyNumberFormat="1" applyFont="1" applyFill="1" applyBorder="1" applyAlignment="1">
      <x:alignment vertical="center"/>
    </x:xf>
    <x:xf numFmtId="201" fontId="4" fillId="8" borderId="8" xfId="0" applyNumberFormat="1" applyFont="1" applyFill="1" applyBorder="1" applyAlignment="1">
      <x:alignment horizontal="right" vertical="center"/>
    </x:xf>
    <x:xf numFmtId="201" fontId="4" fillId="8" borderId="9" xfId="0" applyNumberFormat="1" applyFont="1" applyFill="1" applyBorder="1" applyAlignment="1">
      <x:alignment horizontal="right" vertical="center"/>
    </x:xf>
    <x:xf numFmtId="202" fontId="4" fillId="8" borderId="8" xfId="0" applyNumberFormat="1" applyFont="1" applyFill="1" applyBorder="1" applyAlignment="1">
      <x:alignment vertical="center"/>
    </x:xf>
    <x:xf numFmtId="202" fontId="4" fillId="8" borderId="8" xfId="0" applyNumberFormat="1" applyFont="1" applyFill="1" applyBorder="1" applyAlignment="1">
      <x:alignment horizontal="right" vertical="center"/>
    </x:xf>
    <x:xf numFmtId="202" fontId="4" fillId="8" borderId="9" xfId="0" applyNumberFormat="1" applyFont="1" applyFill="1" applyBorder="1" applyAlignment="1">
      <x:alignment horizontal="right" vertical="center"/>
    </x:xf>
    <x:xf numFmtId="0" fontId="1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/>
    </x:xf>
    <x:xf numFmtId="0" fontId="6" fillId="9" borderId="10" xfId="0" applyNumberFormat="1" applyFont="1" applyFill="1" applyBorder="1" applyAlignment="1">
      <x:alignment vertical="center"/>
    </x:xf>
    <x:xf numFmtId="0" fontId="6" fillId="9" borderId="11" xfId="0" applyNumberFormat="1" applyFont="1" applyFill="1" applyBorder="1" applyAlignment="1">
      <x:alignment vertical="center"/>
    </x:xf>
    <x:xf numFmtId="0" fontId="6" fillId="9" borderId="12" xfId="0" applyNumberFormat="1" applyFont="1" applyFill="1" applyBorder="1" applyAlignment="1">
      <x:alignment vertical="center"/>
    </x:xf>
    <x:xf numFmtId="0" fontId="6" fillId="9" borderId="13" xfId="0" applyNumberFormat="1" applyFont="1" applyFill="1" applyBorder="1" applyAlignment="1">
      <x:alignment vertical="center"/>
    </x:xf>
    <x:xf numFmtId="0" fontId="6" fillId="9" borderId="14" xfId="0" applyNumberFormat="1" applyFont="1" applyFill="1" applyBorder="1" applyAlignment="1">
      <x:alignment vertical="center"/>
    </x:xf>
    <x:xf numFmtId="0" fontId="6" fillId="9" borderId="15" xfId="0" applyNumberFormat="1" applyFont="1" applyFill="1" applyBorder="1" applyAlignment="1">
      <x:alignment vertical="center"/>
    </x:xf>
    <x:xf numFmtId="0" fontId="6" fillId="9" borderId="10" xfId="0" applyNumberFormat="1" applyFont="1" applyFill="1" applyBorder="1" applyAlignment="1">
      <x:alignment vertical="center" wrapText="1"/>
    </x:xf>
    <x:xf numFmtId="0" fontId="6" fillId="9" borderId="11" xfId="0" applyNumberFormat="1" applyFont="1" applyFill="1" applyBorder="1" applyAlignment="1">
      <x:alignment vertical="center" wrapText="1"/>
    </x:xf>
    <x:xf numFmtId="0" fontId="6" fillId="9" borderId="12" xfId="0" applyNumberFormat="1" applyFont="1" applyFill="1" applyBorder="1" applyAlignment="1">
      <x:alignment vertical="center" wrapText="1"/>
    </x:xf>
    <x:xf numFmtId="0" fontId="6" fillId="9" borderId="13" xfId="0" applyNumberFormat="1" applyFont="1" applyFill="1" applyBorder="1" applyAlignment="1">
      <x:alignment vertical="center" wrapText="1"/>
    </x:xf>
    <x:xf numFmtId="0" fontId="6" fillId="9" borderId="14" xfId="0" applyNumberFormat="1" applyFont="1" applyFill="1" applyBorder="1" applyAlignment="1">
      <x:alignment vertical="center" wrapText="1"/>
    </x:xf>
    <x:xf numFmtId="0" fontId="6" fillId="9" borderId="15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horizontal="center" vertical="center"/>
    </x:xf>
    <x:xf numFmtId="0" fontId="2" fillId="6" borderId="7" xfId="0" applyNumberFormat="1" applyFont="1" applyFill="1" applyBorder="1" applyAlignment="1">
      <x:alignment horizontal="left" vertical="center"/>
    </x:xf>
    <x:xf numFmtId="0" fontId="3" fillId="7" borderId="0" xfId="0" applyNumberFormat="1" applyFont="1" applyFill="1" applyBorder="1" applyAlignment="1">
      <x:alignment horizontal="right" vertical="center"/>
    </x:xf>
    <x:xf numFmtId="0" fontId="3" fillId="7" borderId="0" xfId="0" applyNumberFormat="1" applyFont="1" applyFill="1" applyBorder="1" applyAlignment="1">
      <x:alignment horizontal="left" vertical="center"/>
    </x:xf>
    <x:xf numFmtId="0" fontId="7" fillId="7" borderId="0" xfId="0" applyNumberFormat="1" applyFont="1" applyFill="1" applyBorder="1" applyAlignment="1">
      <x:alignment vertical="center"/>
    </x:xf>
    <x:xf numFmtId="0" fontId="7" fillId="7" borderId="4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vertical="center"/>
    </x:xf>
    <x:xf numFmtId="200" fontId="8" fillId="2" borderId="0" xfId="0" applyNumberFormat="1" applyFont="1" applyFill="1" applyBorder="1" applyAlignment="1">
      <x:alignment vertical="center"/>
    </x:xf>
    <x:xf numFmtId="200" fontId="8" fillId="2" borderId="0" xfId="0" applyNumberFormat="1" applyFont="1" applyFill="1" applyBorder="1" applyAlignment="1">
      <x:alignment horizontal="right" vertical="center"/>
    </x:xf>
    <x:xf numFmtId="0" fontId="9" fillId="2" borderId="0" xfId="0" applyNumberFormat="1" applyFont="1" applyFill="1" applyBorder="1" applyAlignment="1">
      <x:alignment vertical="center"/>
    </x:xf>
    <x:xf numFmtId="200" fontId="9" fillId="2" borderId="0" xfId="0" applyNumberFormat="1" applyFont="1" applyFill="1" applyBorder="1" applyAlignment="1">
      <x:alignment vertical="center"/>
    </x:xf>
    <x:xf numFmtId="200" fontId="9" fillId="2" borderId="0" xfId="0" applyNumberFormat="1" applyFont="1" applyFill="1" applyBorder="1" applyAlignment="1">
      <x:alignment horizontal="right" vertical="center"/>
    </x:xf>
    <x:xf numFmtId="200" fontId="8" fillId="8" borderId="0" xfId="0" applyNumberFormat="1" applyFont="1" applyFill="1" applyBorder="1" applyAlignment="1">
      <x:alignment horizontal="right" vertical="center"/>
    </x:xf>
    <x:xf numFmtId="200" fontId="9" fillId="8" borderId="0" xfId="0" applyNumberFormat="1" applyFont="1" applyFill="1" applyBorder="1" applyAlignment="1">
      <x:alignment horizontal="right" vertical="center"/>
    </x:xf>
    <x:xf numFmtId="0" fontId="3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horizontal="right" vertical="center"/>
    </x:xf>
    <x:xf numFmtId="200" fontId="3" fillId="5" borderId="0" xfId="0" applyNumberFormat="1" applyFont="1" applyFill="1" applyBorder="1" applyAlignment="1">
      <x:alignment horizontal="right"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4" xfId="0" applyNumberFormat="1" applyFont="1" applyFill="1" applyBorder="1" applyAlignment="1">
      <x:alignment vertical="center"/>
    </x:xf>
    <x:xf numFmtId="0" fontId="5" fillId="5" borderId="4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/>
    </x:xf>
    <x:xf numFmtId="200" fontId="3" fillId="10" borderId="0" xfId="0" applyNumberFormat="1" applyFont="1" applyFill="1" applyBorder="1" applyAlignment="1">
      <x:alignment horizontal="right" vertical="center"/>
    </x:xf>
    <x:xf numFmtId="0" fontId="3" fillId="10" borderId="0" xfId="0" applyNumberFormat="1" applyFont="1" applyFill="1" applyBorder="1" applyAlignment="1">
      <x:alignment vertical="center"/>
    </x:xf>
    <x:xf numFmtId="0" fontId="5" fillId="10" borderId="0" xfId="0" applyNumberFormat="1" applyFont="1" applyFill="1" applyBorder="1" applyAlignment="1">
      <x:alignment vertical="center"/>
    </x:xf>
    <x:xf numFmtId="0" fontId="5" fillId="10" borderId="4" xfId="0" applyNumberFormat="1" applyFont="1" applyFill="1" applyBorder="1" applyAlignment="1">
      <x:alignment vertical="center"/>
    </x:xf>
    <x:xf numFmtId="0" fontId="5" fillId="10" borderId="4" xfId="0" applyNumberFormat="1" applyFont="1" applyFill="1" applyBorder="1" applyAlignment="1">
      <x:alignment vertical="center" wrapText="1"/>
    </x:xf>
    <x:xf numFmtId="203" fontId="8" fillId="2" borderId="0" xfId="0" applyNumberFormat="1" applyFont="1" applyFill="1" applyBorder="1" applyAlignment="1">
      <x:alignment vertical="center"/>
    </x:xf>
    <x:xf numFmtId="203" fontId="8" fillId="2" borderId="0" xfId="0" applyNumberFormat="1" applyFont="1" applyFill="1" applyBorder="1" applyAlignment="1">
      <x:alignment horizontal="right" vertical="center"/>
    </x:xf>
    <x:xf numFmtId="203" fontId="9" fillId="2" borderId="0" xfId="0" applyNumberFormat="1" applyFont="1" applyFill="1" applyBorder="1" applyAlignment="1">
      <x:alignment vertical="center"/>
    </x:xf>
    <x:xf numFmtId="203" fontId="9" fillId="2" borderId="0" xfId="0" applyNumberFormat="1" applyFont="1" applyFill="1" applyBorder="1" applyAlignment="1">
      <x:alignment horizontal="right" vertical="center"/>
    </x:xf>
    <x:xf numFmtId="203" fontId="8" fillId="8" borderId="0" xfId="0" applyNumberFormat="1" applyFont="1" applyFill="1" applyBorder="1" applyAlignment="1">
      <x:alignment horizontal="right" vertical="center"/>
    </x:xf>
    <x:xf numFmtId="203" fontId="9" fillId="8" borderId="0" xfId="0" applyNumberFormat="1" applyFont="1" applyFill="1" applyBorder="1" applyAlignment="1">
      <x:alignment horizontal="right" vertical="center"/>
    </x:xf>
    <x:xf numFmtId="0" fontId="3" fillId="7" borderId="4" xfId="0" applyNumberFormat="1" applyFont="1" applyFill="1" applyBorder="1" applyAlignment="1">
      <x:alignment vertical="center"/>
    </x:xf>
    <x:xf numFmtId="0" fontId="3" fillId="7" borderId="5" xfId="0" applyNumberFormat="1" applyFont="1" applyFill="1" applyBorder="1" applyAlignment="1">
      <x:alignment vertical="center"/>
    </x:xf>
    <x:xf numFmtId="200" fontId="3" fillId="5" borderId="0" xfId="0" applyNumberFormat="1" applyFont="1" applyFill="1" applyBorder="1" applyAlignment="1">
      <x:alignment vertical="center"/>
    </x:xf>
    <x:xf numFmtId="0" fontId="5" fillId="5" borderId="5" xfId="0" applyNumberFormat="1" applyFont="1" applyFill="1" applyBorder="1" applyAlignment="1">
      <x:alignment vertical="center"/>
    </x:xf>
    <x:xf numFmtId="0" fontId="5" fillId="5" borderId="5" xfId="0" applyNumberFormat="1" applyFont="1" applyFill="1" applyBorder="1" applyAlignment="1">
      <x:alignment vertical="center" wrapText="1"/>
    </x:xf>
    <x:xf numFmtId="201" fontId="3" fillId="5" borderId="0" xfId="0" applyNumberFormat="1" applyFont="1" applyFill="1" applyBorder="1" applyAlignment="1">
      <x:alignment vertical="center"/>
    </x:xf>
    <x:xf numFmtId="201" fontId="3" fillId="5" borderId="0" xfId="0" applyNumberFormat="1" applyFont="1" applyFill="1" applyBorder="1" applyAlignment="1">
      <x:alignment horizontal="right" vertical="center"/>
    </x:xf>
    <x:xf numFmtId="0" fontId="8" fillId="8" borderId="0" xfId="0" applyNumberFormat="1" applyFont="1" applyFill="1" applyBorder="1" applyAlignment="1">
      <x:alignment vertical="center"/>
    </x:xf>
    <x:xf numFmtId="203" fontId="8" fillId="8" borderId="0" xfId="0" applyNumberFormat="1" applyFont="1" applyFill="1" applyBorder="1" applyAlignment="1">
      <x:alignment vertical="center"/>
    </x:xf>
    <x:xf numFmtId="0" fontId="9" fillId="8" borderId="0" xfId="0" applyNumberFormat="1" applyFont="1" applyFill="1" applyBorder="1" applyAlignment="1">
      <x:alignment vertical="center"/>
    </x:xf>
    <x:xf numFmtId="200" fontId="9" fillId="8" borderId="0" xfId="0" applyNumberFormat="1" applyFont="1" applyFill="1" applyBorder="1" applyAlignment="1">
      <x:alignment vertical="center"/>
    </x:xf>
    <x:xf numFmtId="0" fontId="2" fillId="3" borderId="16" xfId="0" applyNumberFormat="1" applyFont="1" applyFill="1" applyBorder="1" applyAlignment="1">
      <x:alignment vertical="center"/>
    </x:xf>
    <x:xf numFmtId="0" fontId="2" fillId="3" borderId="17" xfId="0" applyNumberFormat="1" applyFont="1" applyFill="1" applyBorder="1" applyAlignment="1">
      <x:alignment vertical="center"/>
    </x:xf>
    <x:xf numFmtId="0" fontId="2" fillId="3" borderId="16" xfId="0" applyNumberFormat="1" applyFont="1" applyFill="1" applyBorder="1" applyAlignment="1">
      <x:alignment horizontal="center" vertical="center"/>
    </x:xf>
    <x:xf numFmtId="0" fontId="2" fillId="3" borderId="17" xfId="0" applyNumberFormat="1" applyFont="1" applyFill="1" applyBorder="1" applyAlignment="1">
      <x:alignment horizontal="center" vertical="center"/>
    </x:xf>
    <x:xf numFmtId="0" fontId="10" fillId="8" borderId="0" xfId="0" applyNumberFormat="1" applyFont="1" applyFill="1" applyBorder="1" applyAlignment="1">
      <x:alignment vertical="center"/>
    </x:xf>
    <x:xf numFmtId="0" fontId="10" fillId="8" borderId="1" xfId="0" applyNumberFormat="1" applyFont="1" applyFill="1" applyBorder="1" applyAlignment="1">
      <x:alignment vertical="center"/>
    </x:xf>
    <x:xf numFmtId="0" fontId="10" fillId="8" borderId="3" xfId="0" applyNumberFormat="1" applyFont="1" applyFill="1" applyBorder="1" applyAlignment="1">
      <x:alignment vertical="center"/>
    </x:xf>
    <x:xf numFmtId="0" fontId="10" fillId="8" borderId="18" xfId="0" applyNumberFormat="1" applyFont="1" applyFill="1" applyBorder="1" applyAlignment="1">
      <x:alignment vertical="center"/>
    </x:xf>
    <x:xf numFmtId="0" fontId="10" fillId="8" borderId="19" xfId="0" applyNumberFormat="1" applyFont="1" applyFill="1" applyBorder="1" applyAlignment="1">
      <x:alignment vertical="center"/>
    </x:xf>
    <x:xf numFmtId="0" fontId="10" fillId="8" borderId="4" xfId="0" applyNumberFormat="1" applyFont="1" applyFill="1" applyBorder="1" applyAlignment="1">
      <x:alignment vertical="center"/>
    </x:xf>
    <x:xf numFmtId="0" fontId="10" fillId="8" borderId="6" xfId="0" applyNumberFormat="1" applyFont="1" applyFill="1" applyBorder="1" applyAlignment="1">
      <x:alignment vertical="center"/>
    </x:xf>
    <x:xf numFmtId="200" fontId="10" fillId="8" borderId="1" xfId="0" applyNumberFormat="1" applyFont="1" applyFill="1" applyBorder="1" applyAlignment="1">
      <x:alignment vertical="center"/>
    </x:xf>
    <x:xf numFmtId="200" fontId="10" fillId="8" borderId="3" xfId="0" applyNumberFormat="1" applyFont="1" applyFill="1" applyBorder="1" applyAlignment="1">
      <x:alignment vertical="center"/>
    </x:xf>
    <x:xf numFmtId="200" fontId="10" fillId="8" borderId="18" xfId="0" applyNumberFormat="1" applyFont="1" applyFill="1" applyBorder="1" applyAlignment="1">
      <x:alignment vertical="center"/>
    </x:xf>
    <x:xf numFmtId="200" fontId="10" fillId="8" borderId="19" xfId="0" applyNumberFormat="1" applyFont="1" applyFill="1" applyBorder="1" applyAlignment="1">
      <x:alignment vertical="center"/>
    </x:xf>
    <x:xf numFmtId="200" fontId="10" fillId="8" borderId="4" xfId="0" applyNumberFormat="1" applyFont="1" applyFill="1" applyBorder="1" applyAlignment="1">
      <x:alignment vertical="center"/>
    </x:xf>
    <x:xf numFmtId="200" fontId="10" fillId="8" borderId="6" xfId="0" applyNumberFormat="1" applyFont="1" applyFill="1" applyBorder="1" applyAlignment="1">
      <x:alignment vertical="center"/>
    </x:xf>
    <x:xf numFmtId="200" fontId="10" fillId="8" borderId="1" xfId="0" applyNumberFormat="1" applyFont="1" applyFill="1" applyBorder="1" applyAlignment="1">
      <x:alignment horizontal="center" vertical="center"/>
    </x:xf>
    <x:xf numFmtId="200" fontId="10" fillId="8" borderId="3" xfId="0" applyNumberFormat="1" applyFont="1" applyFill="1" applyBorder="1" applyAlignment="1">
      <x:alignment horizontal="center" vertical="center"/>
    </x:xf>
    <x:xf numFmtId="200" fontId="10" fillId="8" borderId="18" xfId="0" applyNumberFormat="1" applyFont="1" applyFill="1" applyBorder="1" applyAlignment="1">
      <x:alignment horizontal="center" vertical="center"/>
    </x:xf>
    <x:xf numFmtId="200" fontId="10" fillId="8" borderId="19" xfId="0" applyNumberFormat="1" applyFont="1" applyFill="1" applyBorder="1" applyAlignment="1">
      <x:alignment horizontal="center" vertical="center"/>
    </x:xf>
    <x:xf numFmtId="200" fontId="10" fillId="8" borderId="4" xfId="0" applyNumberFormat="1" applyFont="1" applyFill="1" applyBorder="1" applyAlignment="1">
      <x:alignment horizontal="center" vertical="center"/>
    </x:xf>
    <x:xf numFmtId="200" fontId="10" fillId="8" borderId="6" xfId="0" applyNumberFormat="1" applyFont="1" applyFill="1" applyBorder="1" applyAlignment="1">
      <x:alignment horizontal="center" vertical="center"/>
    </x:xf>
    <x:xf numFmtId="201" fontId="10" fillId="8" borderId="1" xfId="0" applyNumberFormat="1" applyFont="1" applyFill="1" applyBorder="1" applyAlignment="1">
      <x:alignment vertical="center"/>
    </x:xf>
    <x:xf numFmtId="201" fontId="10" fillId="8" borderId="3" xfId="0" applyNumberFormat="1" applyFont="1" applyFill="1" applyBorder="1" applyAlignment="1">
      <x:alignment vertical="center"/>
    </x:xf>
    <x:xf numFmtId="201" fontId="10" fillId="8" borderId="18" xfId="0" applyNumberFormat="1" applyFont="1" applyFill="1" applyBorder="1" applyAlignment="1">
      <x:alignment vertical="center"/>
    </x:xf>
    <x:xf numFmtId="201" fontId="10" fillId="8" borderId="19" xfId="0" applyNumberFormat="1" applyFont="1" applyFill="1" applyBorder="1" applyAlignment="1">
      <x:alignment vertical="center"/>
    </x:xf>
    <x:xf numFmtId="201" fontId="10" fillId="8" borderId="4" xfId="0" applyNumberFormat="1" applyFont="1" applyFill="1" applyBorder="1" applyAlignment="1">
      <x:alignment vertical="center"/>
    </x:xf>
    <x:xf numFmtId="201" fontId="10" fillId="8" borderId="6" xfId="0" applyNumberFormat="1" applyFont="1" applyFill="1" applyBorder="1" applyAlignment="1">
      <x:alignment vertical="center"/>
    </x:xf>
    <x:xf numFmtId="201" fontId="10" fillId="8" borderId="1" xfId="0" applyNumberFormat="1" applyFont="1" applyFill="1" applyBorder="1" applyAlignment="1">
      <x:alignment horizontal="center" vertical="center"/>
    </x:xf>
    <x:xf numFmtId="201" fontId="10" fillId="8" borderId="3" xfId="0" applyNumberFormat="1" applyFont="1" applyFill="1" applyBorder="1" applyAlignment="1">
      <x:alignment horizontal="center" vertical="center"/>
    </x:xf>
    <x:xf numFmtId="201" fontId="10" fillId="8" borderId="18" xfId="0" applyNumberFormat="1" applyFont="1" applyFill="1" applyBorder="1" applyAlignment="1">
      <x:alignment horizontal="center" vertical="center"/>
    </x:xf>
    <x:xf numFmtId="201" fontId="10" fillId="8" borderId="19" xfId="0" applyNumberFormat="1" applyFont="1" applyFill="1" applyBorder="1" applyAlignment="1">
      <x:alignment horizontal="center" vertical="center"/>
    </x:xf>
    <x:xf numFmtId="201" fontId="10" fillId="8" borderId="4" xfId="0" applyNumberFormat="1" applyFont="1" applyFill="1" applyBorder="1" applyAlignment="1">
      <x:alignment horizontal="center" vertical="center"/>
    </x:xf>
    <x:xf numFmtId="201" fontId="10" fillId="8" borderId="6" xfId="0" applyNumberFormat="1" applyFont="1" applyFill="1" applyBorder="1" applyAlignment="1">
      <x:alignment horizontal="center" vertical="center"/>
    </x:xf>
    <x:xf numFmtId="203" fontId="10" fillId="8" borderId="1" xfId="0" applyNumberFormat="1" applyFont="1" applyFill="1" applyBorder="1" applyAlignment="1">
      <x:alignment vertical="center"/>
    </x:xf>
    <x:xf numFmtId="203" fontId="10" fillId="8" borderId="3" xfId="0" applyNumberFormat="1" applyFont="1" applyFill="1" applyBorder="1" applyAlignment="1">
      <x:alignment vertical="center"/>
    </x:xf>
    <x:xf numFmtId="203" fontId="10" fillId="8" borderId="18" xfId="0" applyNumberFormat="1" applyFont="1" applyFill="1" applyBorder="1" applyAlignment="1">
      <x:alignment vertical="center"/>
    </x:xf>
    <x:xf numFmtId="203" fontId="10" fillId="8" borderId="19" xfId="0" applyNumberFormat="1" applyFont="1" applyFill="1" applyBorder="1" applyAlignment="1">
      <x:alignment vertical="center"/>
    </x:xf>
    <x:xf numFmtId="203" fontId="10" fillId="8" borderId="4" xfId="0" applyNumberFormat="1" applyFont="1" applyFill="1" applyBorder="1" applyAlignment="1">
      <x:alignment vertical="center"/>
    </x:xf>
    <x:xf numFmtId="203" fontId="10" fillId="8" borderId="6" xfId="0" applyNumberFormat="1" applyFont="1" applyFill="1" applyBorder="1" applyAlignment="1">
      <x:alignment vertical="center"/>
    </x:xf>
    <x:xf numFmtId="203" fontId="10" fillId="8" borderId="1" xfId="0" applyNumberFormat="1" applyFont="1" applyFill="1" applyBorder="1" applyAlignment="1">
      <x:alignment horizontal="center" vertical="center"/>
    </x:xf>
    <x:xf numFmtId="203" fontId="10" fillId="8" borderId="3" xfId="0" applyNumberFormat="1" applyFont="1" applyFill="1" applyBorder="1" applyAlignment="1">
      <x:alignment horizontal="center" vertical="center"/>
    </x:xf>
    <x:xf numFmtId="203" fontId="10" fillId="8" borderId="18" xfId="0" applyNumberFormat="1" applyFont="1" applyFill="1" applyBorder="1" applyAlignment="1">
      <x:alignment horizontal="center" vertical="center"/>
    </x:xf>
    <x:xf numFmtId="203" fontId="10" fillId="8" borderId="19" xfId="0" applyNumberFormat="1" applyFont="1" applyFill="1" applyBorder="1" applyAlignment="1">
      <x:alignment horizontal="center" vertical="center"/>
    </x:xf>
    <x:xf numFmtId="203" fontId="10" fillId="8" borderId="4" xfId="0" applyNumberFormat="1" applyFont="1" applyFill="1" applyBorder="1" applyAlignment="1">
      <x:alignment horizontal="center" vertical="center"/>
    </x:xf>
    <x:xf numFmtId="203" fontId="10" fillId="8" borderId="6" xfId="0" applyNumberFormat="1" applyFont="1" applyFill="1" applyBorder="1" applyAlignment="1">
      <x:alignment horizontal="center" vertical="center"/>
    </x:xf>
    <x:xf numFmtId="0" fontId="11" fillId="9" borderId="0" xfId="0" applyNumberFormat="1" applyFont="1" applyFill="1" applyBorder="1" applyAlignment="1">
      <x:alignment vertical="center"/>
    </x:xf>
    <x:xf numFmtId="0" fontId="11" fillId="9" borderId="20" xfId="0" applyNumberFormat="1" applyFont="1" applyFill="1" applyBorder="1" applyAlignment="1">
      <x:alignment vertical="center"/>
    </x:xf>
    <x:xf numFmtId="0" fontId="11" fillId="9" borderId="21" xfId="0" applyNumberFormat="1" applyFont="1" applyFill="1" applyBorder="1" applyAlignment="1">
      <x:alignment vertical="center"/>
    </x:xf>
    <x:xf numFmtId="0" fontId="11" fillId="9" borderId="22" xfId="0" applyNumberFormat="1" applyFont="1" applyFill="1" applyBorder="1" applyAlignment="1">
      <x:alignment vertical="center"/>
    </x:xf>
    <x:xf numFmtId="0" fontId="11" fillId="9" borderId="23" xfId="0" applyNumberFormat="1" applyFont="1" applyFill="1" applyBorder="1" applyAlignment="1">
      <x:alignment vertical="center"/>
    </x:xf>
    <x:xf numFmtId="0" fontId="11" fillId="9" borderId="24" xfId="0" applyNumberFormat="1" applyFont="1" applyFill="1" applyBorder="1" applyAlignment="1">
      <x:alignment vertical="center"/>
    </x:xf>
    <x:xf numFmtId="0" fontId="11" fillId="9" borderId="25" xfId="0" applyNumberFormat="1" applyFont="1" applyFill="1" applyBorder="1" applyAlignment="1">
      <x:alignment vertical="center"/>
    </x:xf>
    <x:xf numFmtId="0" fontId="11" fillId="9" borderId="20" xfId="0" applyNumberFormat="1" applyFont="1" applyFill="1" applyBorder="1" applyAlignment="1">
      <x:alignment vertical="center" wrapText="1"/>
    </x:xf>
    <x:xf numFmtId="0" fontId="11" fillId="9" borderId="21" xfId="0" applyNumberFormat="1" applyFont="1" applyFill="1" applyBorder="1" applyAlignment="1">
      <x:alignment vertical="center" wrapText="1"/>
    </x:xf>
    <x:xf numFmtId="0" fontId="11" fillId="9" borderId="22" xfId="0" applyNumberFormat="1" applyFont="1" applyFill="1" applyBorder="1" applyAlignment="1">
      <x:alignment vertical="center" wrapText="1"/>
    </x:xf>
    <x:xf numFmtId="0" fontId="11" fillId="9" borderId="23" xfId="0" applyNumberFormat="1" applyFont="1" applyFill="1" applyBorder="1" applyAlignment="1">
      <x:alignment vertical="center" wrapText="1"/>
    </x:xf>
    <x:xf numFmtId="0" fontId="11" fillId="9" borderId="24" xfId="0" applyNumberFormat="1" applyFont="1" applyFill="1" applyBorder="1" applyAlignment="1">
      <x:alignment vertical="center" wrapText="1"/>
    </x:xf>
    <x:xf numFmtId="0" fontId="11" fillId="9" borderId="25" xfId="0" applyNumberFormat="1" applyFont="1" applyFill="1" applyBorder="1" applyAlignment="1">
      <x:alignment vertical="center" wrapText="1"/>
    </x:xf>
    <x:xf numFmtId="0" fontId="11" fillId="9" borderId="20" xfId="0" applyNumberFormat="1" applyFont="1" applyFill="1" applyBorder="1" applyAlignment="1">
      <x:alignment horizontal="center" vertical="center" wrapText="1"/>
    </x:xf>
    <x:xf numFmtId="0" fontId="11" fillId="9" borderId="21" xfId="0" applyNumberFormat="1" applyFont="1" applyFill="1" applyBorder="1" applyAlignment="1">
      <x:alignment horizontal="center" vertical="center" wrapText="1"/>
    </x:xf>
    <x:xf numFmtId="0" fontId="11" fillId="9" borderId="22" xfId="0" applyNumberFormat="1" applyFont="1" applyFill="1" applyBorder="1" applyAlignment="1">
      <x:alignment horizontal="center" vertical="center" wrapText="1"/>
    </x:xf>
    <x:xf numFmtId="0" fontId="11" fillId="9" borderId="23" xfId="0" applyNumberFormat="1" applyFont="1" applyFill="1" applyBorder="1" applyAlignment="1">
      <x:alignment horizontal="center" vertical="center" wrapText="1"/>
    </x:xf>
    <x:xf numFmtId="0" fontId="11" fillId="9" borderId="24" xfId="0" applyNumberFormat="1" applyFont="1" applyFill="1" applyBorder="1" applyAlignment="1">
      <x:alignment horizontal="center" vertical="center" wrapText="1"/>
    </x:xf>
    <x:xf numFmtId="0" fontId="11" fillId="9" borderId="25" xfId="0" applyNumberFormat="1" applyFont="1" applyFill="1" applyBorder="1" applyAlignment="1">
      <x:alignment horizontal="center" vertical="center" wrapText="1"/>
    </x:xf>
    <x:xf numFmtId="0" fontId="7" fillId="7" borderId="0" xfId="0" applyNumberFormat="1" applyFont="1" applyFill="1" applyBorder="1" applyAlignment="1">
      <x:alignment horizontal="center" vertical="center"/>
    </x:xf>
    <x:xf numFmtId="0" fontId="12" fillId="8" borderId="0" xfId="0" applyNumberFormat="1" applyFont="1" applyFill="1" applyBorder="1" applyAlignment="1">
      <x:alignment vertical="center"/>
    </x:xf>
    <x:xf numFmtId="0" fontId="12" fillId="8" borderId="26" xfId="0" applyNumberFormat="1" applyFont="1" applyFill="1" applyBorder="1" applyAlignment="1">
      <x:alignment vertical="center"/>
    </x:xf>
    <x:xf numFmtId="0" fontId="12" fillId="8" borderId="27" xfId="0" applyNumberFormat="1" applyFont="1" applyFill="1" applyBorder="1" applyAlignment="1">
      <x:alignment vertical="center"/>
    </x:xf>
    <x:xf numFmtId="0" fontId="12" fillId="8" borderId="26" xfId="0" applyNumberFormat="1" applyFont="1" applyFill="1" applyBorder="1" applyAlignment="1">
      <x:alignment horizontal="center" vertical="center"/>
    </x:xf>
    <x:xf numFmtId="0" fontId="12" fillId="8" borderId="27" xfId="0" applyNumberFormat="1" applyFont="1" applyFill="1" applyBorder="1" applyAlignment="1">
      <x:alignment horizontal="center" vertical="center"/>
    </x:xf>
    <x:xf numFmtId="0" fontId="11" fillId="9" borderId="26" xfId="0" applyNumberFormat="1" applyFont="1" applyFill="1" applyBorder="1" applyAlignment="1">
      <x:alignment vertical="center"/>
    </x:xf>
    <x:xf numFmtId="0" fontId="11" fillId="9" borderId="27" xfId="0" applyNumberFormat="1" applyFont="1" applyFill="1" applyBorder="1" applyAlignment="1">
      <x:alignment vertical="center"/>
    </x:xf>
    <x:xf numFmtId="0" fontId="11" fillId="9" borderId="26" xfId="0" applyNumberFormat="1" applyFont="1" applyFill="1" applyBorder="1" applyAlignment="1">
      <x:alignment vertical="center" wrapText="1"/>
    </x:xf>
    <x:xf numFmtId="0" fontId="11" fillId="9" borderId="27" xfId="0" applyNumberFormat="1" applyFont="1" applyFill="1" applyBorder="1" applyAlignment="1">
      <x:alignment vertical="center" wrapText="1"/>
    </x:xf>
    <x:xf numFmtId="0" fontId="11" fillId="9" borderId="26" xfId="0" applyNumberFormat="1" applyFont="1" applyFill="1" applyBorder="1" applyAlignment="1">
      <x:alignment horizontal="center" vertical="center" wrapText="1"/>
    </x:xf>
    <x:xf numFmtId="0" fontId="11" fillId="9" borderId="27" xfId="0" applyNumberFormat="1" applyFont="1" applyFill="1" applyBorder="1" applyAlignment="1">
      <x:alignment horizontal="center" vertical="center" wrapText="1"/>
    </x:xf>
    <x:xf numFmtId="0" fontId="3" fillId="8" borderId="0" xfId="0" applyNumberFormat="1" applyFont="1" applyFill="1" applyBorder="1" applyAlignment="1">
      <x:alignment vertical="center"/>
    </x:xf>
    <x:xf numFmtId="0" fontId="3" fillId="8" borderId="1" xfId="0" applyNumberFormat="1" applyFont="1" applyFill="1" applyBorder="1" applyAlignment="1">
      <x:alignment vertical="center"/>
    </x:xf>
    <x:xf numFmtId="0" fontId="3" fillId="8" borderId="2" xfId="0" applyNumberFormat="1" applyFont="1" applyFill="1" applyBorder="1" applyAlignment="1">
      <x:alignment vertical="center"/>
    </x:xf>
    <x:xf numFmtId="0" fontId="3" fillId="8" borderId="3" xfId="0" applyNumberFormat="1" applyFont="1" applyFill="1" applyBorder="1" applyAlignment="1">
      <x:alignment vertical="center"/>
    </x:xf>
    <x:xf numFmtId="0" fontId="3" fillId="8" borderId="4" xfId="0" applyNumberFormat="1" applyFont="1" applyFill="1" applyBorder="1" applyAlignment="1">
      <x:alignment vertical="center"/>
    </x:xf>
    <x:xf numFmtId="0" fontId="3" fillId="8" borderId="5" xfId="0" applyNumberFormat="1" applyFont="1" applyFill="1" applyBorder="1" applyAlignment="1">
      <x:alignment vertical="center"/>
    </x:xf>
    <x:xf numFmtId="0" fontId="3" fillId="8" borderId="6" xfId="0" applyNumberFormat="1" applyFont="1" applyFill="1" applyBorder="1" applyAlignment="1">
      <x:alignment vertical="center"/>
    </x:xf>
    <x:xf numFmtId="0" fontId="3" fillId="8" borderId="1" xfId="0" applyNumberFormat="1" applyFont="1" applyFill="1" applyBorder="1" applyAlignment="1">
      <x:alignment vertical="center" wrapText="1"/>
    </x:xf>
    <x:xf numFmtId="0" fontId="3" fillId="8" borderId="2" xfId="0" applyNumberFormat="1" applyFont="1" applyFill="1" applyBorder="1" applyAlignment="1">
      <x:alignment vertical="center" wrapText="1"/>
    </x:xf>
    <x:xf numFmtId="0" fontId="3" fillId="8" borderId="3" xfId="0" applyNumberFormat="1" applyFont="1" applyFill="1" applyBorder="1" applyAlignment="1">
      <x:alignment vertical="center" wrapText="1"/>
    </x:xf>
    <x:xf numFmtId="0" fontId="3" fillId="8" borderId="4" xfId="0" applyNumberFormat="1" applyFont="1" applyFill="1" applyBorder="1" applyAlignment="1">
      <x:alignment vertical="center" wrapText="1"/>
    </x:xf>
    <x:xf numFmtId="0" fontId="3" fillId="8" borderId="5" xfId="0" applyNumberFormat="1" applyFont="1" applyFill="1" applyBorder="1" applyAlignment="1">
      <x:alignment vertical="center" wrapText="1"/>
    </x:xf>
    <x:xf numFmtId="0" fontId="3" fillId="8" borderId="6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vertical="center"/>
    </x:xf>
    <x:xf numFmtId="0" fontId="1" fillId="8" borderId="2" xfId="0" applyNumberFormat="1" applyFont="1" applyFill="1" applyBorder="1" applyAlignment="1">
      <x:alignment vertical="center"/>
    </x:xf>
    <x:xf numFmtId="0" fontId="1" fillId="8" borderId="3" xfId="0" applyNumberFormat="1" applyFont="1" applyFill="1" applyBorder="1" applyAlignment="1">
      <x:alignment vertical="center"/>
    </x:xf>
    <x:xf numFmtId="0" fontId="1" fillId="8" borderId="18" xfId="0" applyNumberFormat="1" applyFont="1" applyFill="1" applyBorder="1" applyAlignment="1">
      <x:alignment vertical="center"/>
    </x:xf>
    <x:xf numFmtId="0" fontId="1" fillId="8" borderId="19" xfId="0" applyNumberFormat="1" applyFont="1" applyFill="1" applyBorder="1" applyAlignment="1">
      <x:alignment vertical="center"/>
    </x:xf>
    <x:xf numFmtId="0" fontId="1" fillId="8" borderId="4" xfId="0" applyNumberFormat="1" applyFont="1" applyFill="1" applyBorder="1" applyAlignment="1">
      <x:alignment vertical="center"/>
    </x:xf>
    <x:xf numFmtId="0" fontId="1" fillId="8" borderId="5" xfId="0" applyNumberFormat="1" applyFont="1" applyFill="1" applyBorder="1" applyAlignment="1">
      <x:alignment vertical="center"/>
    </x:xf>
    <x:xf numFmtId="0" fontId="1" fillId="8" borderId="6" xfId="0" applyNumberFormat="1" applyFont="1" applyFill="1" applyBorder="1" applyAlignment="1">
      <x:alignment vertical="center"/>
    </x:xf>
    <x:xf numFmtId="0" fontId="1" fillId="8" borderId="1" xfId="0" applyNumberFormat="1" applyFont="1" applyFill="1" applyBorder="1" applyAlignment="1">
      <x:alignment vertical="center" wrapText="1"/>
    </x:xf>
    <x:xf numFmtId="0" fontId="1" fillId="8" borderId="2" xfId="0" applyNumberFormat="1" applyFont="1" applyFill="1" applyBorder="1" applyAlignment="1">
      <x:alignment vertical="center" wrapText="1"/>
    </x:xf>
    <x:xf numFmtId="0" fontId="1" fillId="8" borderId="3" xfId="0" applyNumberFormat="1" applyFont="1" applyFill="1" applyBorder="1" applyAlignment="1">
      <x:alignment vertical="center" wrapText="1"/>
    </x:xf>
    <x:xf numFmtId="0" fontId="1" fillId="8" borderId="18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19" xfId="0" applyNumberFormat="1" applyFont="1" applyFill="1" applyBorder="1" applyAlignment="1">
      <x:alignment vertical="center" wrapText="1"/>
    </x:xf>
    <x:xf numFmtId="0" fontId="1" fillId="8" borderId="4" xfId="0" applyNumberFormat="1" applyFont="1" applyFill="1" applyBorder="1" applyAlignment="1">
      <x:alignment vertical="center" wrapText="1"/>
    </x:xf>
    <x:xf numFmtId="0" fontId="1" fillId="8" borderId="5" xfId="0" applyNumberFormat="1" applyFont="1" applyFill="1" applyBorder="1" applyAlignment="1">
      <x:alignment vertical="center" wrapText="1"/>
    </x:xf>
    <x:xf numFmtId="0" fontId="1" fillId="8" borderId="6" xfId="0" applyNumberFormat="1" applyFont="1" applyFill="1" applyBorder="1" applyAlignment="1">
      <x:alignment vertical="center" wrapText="1"/>
    </x:xf>
    <x:xf numFmtId="0" fontId="3" fillId="5" borderId="26" xfId="0" applyNumberFormat="1" applyFont="1" applyFill="1" applyBorder="1" applyAlignment="1">
      <x:alignment vertical="center"/>
    </x:xf>
    <x:xf numFmtId="0" fontId="3" fillId="5" borderId="28" xfId="0" applyNumberFormat="1" applyFont="1" applyFill="1" applyBorder="1" applyAlignment="1">
      <x:alignment vertical="center"/>
    </x:xf>
    <x:xf numFmtId="0" fontId="3" fillId="5" borderId="27" xfId="0" applyNumberFormat="1" applyFont="1" applyFill="1" applyBorder="1" applyAlignment="1">
      <x:alignment vertical="center"/>
    </x:xf>
    <x:xf numFmtId="0" fontId="3" fillId="5" borderId="26" xfId="0" applyNumberFormat="1" applyFont="1" applyFill="1" applyBorder="1" applyAlignment="1">
      <x:alignment horizontal="center" vertical="center"/>
    </x:xf>
    <x:xf numFmtId="0" fontId="3" fillId="5" borderId="28" xfId="0" applyNumberFormat="1" applyFont="1" applyFill="1" applyBorder="1" applyAlignment="1">
      <x:alignment horizontal="center" vertical="center"/>
    </x:xf>
    <x:xf numFmtId="0" fontId="3" fillId="5" borderId="27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vertical="center"/>
    </x:xf>
    <x:xf numFmtId="0" fontId="12" fillId="8" borderId="28" xfId="0" applyNumberFormat="1" applyFont="1" applyFill="1" applyBorder="1" applyAlignment="1">
      <x:alignment vertical="center"/>
    </x:xf>
    <x:xf numFmtId="0" fontId="12" fillId="8" borderId="28" xfId="0" applyNumberFormat="1" applyFont="1" applyFill="1" applyBorder="1" applyAlignment="1">
      <x:alignment horizontal="center" vertical="center"/>
    </x:xf>
    <x:xf numFmtId="202" fontId="1" fillId="2" borderId="0" xfId="0" applyNumberFormat="1" applyFont="1" applyFill="1" applyBorder="1" applyAlignment="1">
      <x:alignment vertical="center"/>
    </x:xf>
    <x:xf numFmtId="202" fontId="1" fillId="8" borderId="0" xfId="0" applyNumberFormat="1" applyFont="1" applyFill="1" applyBorder="1" applyAlignment="1">
      <x:alignment vertical="center"/>
    </x:xf>
    <x:xf numFmtId="202" fontId="1" fillId="8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8" borderId="0" xfId="0" applyNumberFormat="1" applyFont="1" applyFill="1" applyBorder="1" applyAlignment="1">
      <x:alignment vertical="center"/>
    </x:xf>
    <x:xf numFmtId="203" fontId="1" fillId="8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vertical="center" wrapText="1"/>
    </x:xf>
    <x:xf numFmtId="0" fontId="6" fillId="9" borderId="26" xfId="0" applyNumberFormat="1" applyFont="1" applyFill="1" applyBorder="1" applyAlignment="1">
      <x:alignment vertical="center"/>
    </x:xf>
    <x:xf numFmtId="0" fontId="6" fillId="9" borderId="28" xfId="0" applyNumberFormat="1" applyFont="1" applyFill="1" applyBorder="1" applyAlignment="1">
      <x:alignment vertical="center"/>
    </x:xf>
    <x:xf numFmtId="0" fontId="6" fillId="9" borderId="27" xfId="0" applyNumberFormat="1" applyFont="1" applyFill="1" applyBorder="1" applyAlignment="1">
      <x:alignment vertical="center"/>
    </x:xf>
    <x:xf numFmtId="0" fontId="6" fillId="9" borderId="26" xfId="0" applyNumberFormat="1" applyFont="1" applyFill="1" applyBorder="1" applyAlignment="1">
      <x:alignment horizontal="center" vertical="center"/>
    </x:xf>
    <x:xf numFmtId="0" fontId="6" fillId="9" borderId="28" xfId="0" applyNumberFormat="1" applyFont="1" applyFill="1" applyBorder="1" applyAlignment="1">
      <x:alignment horizontal="center" vertical="center"/>
    </x:xf>
    <x:xf numFmtId="0" fontId="6" fillId="9" borderId="27" xfId="0" applyNumberFormat="1" applyFont="1" applyFill="1" applyBorder="1" applyAlignment="1">
      <x:alignment horizontal="center" vertical="center"/>
    </x:xf>
    <x:xf numFmtId="0" fontId="3" fillId="5" borderId="18" xfId="0" applyNumberFormat="1" applyFont="1" applyFill="1" applyBorder="1" applyAlignment="1">
      <x:alignment vertical="center"/>
    </x:xf>
    <x:xf numFmtId="0" fontId="3" fillId="5" borderId="19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horizontal="left" vertical="center"/>
    </x:xf>
    <x:xf numFmtId="0" fontId="3" fillId="5" borderId="2" xfId="0" applyNumberFormat="1" applyFont="1" applyFill="1" applyBorder="1" applyAlignment="1">
      <x:alignment horizontal="left" vertical="center"/>
    </x:xf>
    <x:xf numFmtId="0" fontId="3" fillId="5" borderId="3" xfId="0" applyNumberFormat="1" applyFont="1" applyFill="1" applyBorder="1" applyAlignment="1">
      <x:alignment horizontal="left" vertical="center"/>
    </x:xf>
    <x:xf numFmtId="0" fontId="3" fillId="5" borderId="18" xfId="0" applyNumberFormat="1" applyFont="1" applyFill="1" applyBorder="1" applyAlignment="1">
      <x:alignment horizontal="left" vertical="center"/>
    </x:xf>
    <x:xf numFmtId="0" fontId="3" fillId="5" borderId="0" xfId="0" applyNumberFormat="1" applyFont="1" applyFill="1" applyBorder="1" applyAlignment="1">
      <x:alignment horizontal="left" vertical="center"/>
    </x:xf>
    <x:xf numFmtId="0" fontId="3" fillId="5" borderId="19" xfId="0" applyNumberFormat="1" applyFont="1" applyFill="1" applyBorder="1" applyAlignment="1">
      <x:alignment horizontal="left" vertical="center"/>
    </x:xf>
    <x:xf numFmtId="0" fontId="3" fillId="5" borderId="4" xfId="0" applyNumberFormat="1" applyFont="1" applyFill="1" applyBorder="1" applyAlignment="1">
      <x:alignment horizontal="left" vertical="center"/>
    </x:xf>
    <x:xf numFmtId="0" fontId="3" fillId="5" borderId="5" xfId="0" applyNumberFormat="1" applyFont="1" applyFill="1" applyBorder="1" applyAlignment="1">
      <x:alignment horizontal="left" vertical="center"/>
    </x:xf>
    <x:xf numFmtId="0" fontId="3" fillId="5" borderId="6" xfId="0" applyNumberFormat="1" applyFont="1" applyFill="1" applyBorder="1" applyAlignment="1">
      <x:alignment horizontal="left" vertical="center"/>
    </x:xf>
    <x:xf numFmtId="0" fontId="12" fillId="8" borderId="1" xfId="0" applyNumberFormat="1" applyFont="1" applyFill="1" applyBorder="1" applyAlignment="1">
      <x:alignment vertical="center"/>
    </x:xf>
    <x:xf numFmtId="0" fontId="12" fillId="8" borderId="3" xfId="0" applyNumberFormat="1" applyFont="1" applyFill="1" applyBorder="1" applyAlignment="1">
      <x:alignment vertical="center"/>
    </x:xf>
    <x:xf numFmtId="0" fontId="12" fillId="8" borderId="4" xfId="0" applyNumberFormat="1" applyFont="1" applyFill="1" applyBorder="1" applyAlignment="1">
      <x:alignment vertical="center"/>
    </x:xf>
    <x:xf numFmtId="0" fontId="12" fillId="8" borderId="6" xfId="0" applyNumberFormat="1" applyFont="1" applyFill="1" applyBorder="1" applyAlignment="1">
      <x:alignment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8" borderId="3" xfId="0" applyNumberFormat="1" applyFont="1" applyFill="1" applyBorder="1" applyAlignment="1">
      <x:alignment horizontal="center" vertical="center"/>
    </x:xf>
    <x:xf numFmtId="0" fontId="12" fillId="8" borderId="4" xfId="0" applyNumberFormat="1" applyFont="1" applyFill="1" applyBorder="1" applyAlignment="1">
      <x:alignment horizontal="center" vertical="center"/>
    </x:xf>
    <x:xf numFmtId="0" fontId="12" fillId="8" borderId="6" xfId="0" applyNumberFormat="1" applyFont="1" applyFill="1" applyBorder="1" applyAlignment="1">
      <x:alignment horizontal="center" vertical="center"/>
    </x:xf>
    <x:xf numFmtId="0" fontId="10" fillId="5" borderId="0" xfId="0" applyNumberFormat="1" applyFont="1" applyFill="1" applyBorder="1" applyAlignment="1">
      <x:alignment vertical="center"/>
    </x:xf>
    <x:xf numFmtId="0" fontId="10" fillId="5" borderId="26" xfId="0" applyNumberFormat="1" applyFont="1" applyFill="1" applyBorder="1" applyAlignment="1">
      <x:alignment vertical="center"/>
    </x:xf>
    <x:xf numFmtId="0" fontId="10" fillId="5" borderId="27" xfId="0" applyNumberFormat="1" applyFont="1" applyFill="1" applyBorder="1" applyAlignment="1">
      <x:alignment vertical="center"/>
    </x:xf>
    <x:xf numFmtId="0" fontId="10" fillId="5" borderId="26" xfId="0" applyNumberFormat="1" applyFont="1" applyFill="1" applyBorder="1" applyAlignment="1">
      <x:alignment horizontal="center" vertical="center"/>
    </x:xf>
    <x:xf numFmtId="0" fontId="10" fillId="5" borderId="27" xfId="0" applyNumberFormat="1" applyFont="1" applyFill="1" applyBorder="1" applyAlignment="1">
      <x:alignment horizontal="center" vertical="center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1" fillId="8" borderId="3" xfId="0" applyNumberFormat="1" applyFont="1" applyFill="1" applyBorder="1" applyAlignment="1">
      <x:alignment horizontal="center" vertical="center" wrapText="1"/>
    </x:xf>
    <x:xf numFmtId="0" fontId="1" fillId="8" borderId="4" xfId="0" applyNumberFormat="1" applyFont="1" applyFill="1" applyBorder="1" applyAlignment="1">
      <x:alignment horizontal="center" vertical="center" wrapText="1"/>
    </x:xf>
    <x:xf numFmtId="0" fontId="1" fillId="8" borderId="6" xfId="0" applyNumberFormat="1" applyFont="1" applyFill="1" applyBorder="1" applyAlignment="1">
      <x:alignment horizontal="center" vertical="center" wrapText="1"/>
    </x:xf>
    <x:xf numFmtId="0" fontId="6" fillId="9" borderId="1" xfId="0" applyNumberFormat="1" applyFont="1" applyFill="1" applyBorder="1" applyAlignment="1">
      <x:alignment vertical="center"/>
    </x:xf>
    <x:xf numFmtId="0" fontId="6" fillId="9" borderId="2" xfId="0" applyNumberFormat="1" applyFont="1" applyFill="1" applyBorder="1" applyAlignment="1">
      <x:alignment vertical="center"/>
    </x:xf>
    <x:xf numFmtId="0" fontId="6" fillId="9" borderId="3" xfId="0" applyNumberFormat="1" applyFont="1" applyFill="1" applyBorder="1" applyAlignment="1">
      <x:alignment vertical="center"/>
    </x:xf>
    <x:xf numFmtId="0" fontId="6" fillId="9" borderId="4" xfId="0" applyNumberFormat="1" applyFont="1" applyFill="1" applyBorder="1" applyAlignment="1">
      <x:alignment vertical="center"/>
    </x:xf>
    <x:xf numFmtId="0" fontId="6" fillId="9" borderId="5" xfId="0" applyNumberFormat="1" applyFont="1" applyFill="1" applyBorder="1" applyAlignment="1">
      <x:alignment vertical="center"/>
    </x:xf>
    <x:xf numFmtId="0" fontId="6" fillId="9" borderId="6" xfId="0" applyNumberFormat="1" applyFont="1" applyFill="1" applyBorder="1" applyAlignment="1">
      <x:alignment vertical="center"/>
    </x:xf>
    <x:xf numFmtId="0" fontId="6" fillId="9" borderId="1" xfId="0" applyNumberFormat="1" applyFont="1" applyFill="1" applyBorder="1" applyAlignment="1">
      <x:alignment vertical="center" wrapText="1"/>
    </x:xf>
    <x:xf numFmtId="0" fontId="6" fillId="9" borderId="2" xfId="0" applyNumberFormat="1" applyFont="1" applyFill="1" applyBorder="1" applyAlignment="1">
      <x:alignment vertical="center" wrapText="1"/>
    </x:xf>
    <x:xf numFmtId="0" fontId="6" fillId="9" borderId="3" xfId="0" applyNumberFormat="1" applyFont="1" applyFill="1" applyBorder="1" applyAlignment="1">
      <x:alignment vertical="center" wrapText="1"/>
    </x:xf>
    <x:xf numFmtId="0" fontId="6" fillId="9" borderId="4" xfId="0" applyNumberFormat="1" applyFont="1" applyFill="1" applyBorder="1" applyAlignment="1">
      <x:alignment vertical="center" wrapText="1"/>
    </x:xf>
    <x:xf numFmtId="0" fontId="6" fillId="9" borderId="5" xfId="0" applyNumberFormat="1" applyFont="1" applyFill="1" applyBorder="1" applyAlignment="1">
      <x:alignment vertical="center" wrapText="1"/>
    </x:xf>
    <x:xf numFmtId="0" fontId="6" fillId="9" borderId="6" xfId="0" applyNumberFormat="1" applyFont="1" applyFill="1" applyBorder="1" applyAlignment="1">
      <x:alignment vertical="center" wrapText="1"/>
    </x:xf>
    <x:xf numFmtId="0" fontId="7" fillId="8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26"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ee32344530462a" /><Relationship Type="http://schemas.openxmlformats.org/officeDocument/2006/relationships/theme" Target="/xl/theme/theme1.xml" Id="Rcb87b5adf79d4294" /><Relationship Type="http://schemas.openxmlformats.org/officeDocument/2006/relationships/sharedStrings" Target="/xl/sharedStrings.xml" Id="R2d50c61267ed4bd7" /><Relationship Type="http://schemas.openxmlformats.org/officeDocument/2006/relationships/worksheet" Target="/xl/worksheets/sheet1.xml" Id="R5e676768ba08467b" /><Relationship Type="http://schemas.openxmlformats.org/officeDocument/2006/relationships/worksheet" Target="/xl/worksheets/sheet2.xml" Id="R871454ac79614b26" /><Relationship Type="http://schemas.openxmlformats.org/officeDocument/2006/relationships/worksheet" Target="/xl/worksheets/sheet3.xml" Id="Ree0224e41c0343f4" /><Relationship Type="http://schemas.openxmlformats.org/officeDocument/2006/relationships/worksheet" Target="/xl/worksheets/sheet4.xml" Id="Rb01a80ec443a4b1e" /><Relationship Type="http://schemas.openxmlformats.org/officeDocument/2006/relationships/worksheet" Target="/xl/worksheets/sheet5.xml" Id="R5194de0cfb6f4e1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7" customHeight="1">
      <x:c r="A1" s="6" t="str">
        <x:v>TDAT FINANCIAL MODEL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TDAT-FM-INV-001 · Year 0 plus five years · v1.4.0 · Five visible tabs</x:v>
      </x:c>
      <x:c r="B3" s="9"/>
      <x:c r="C3" s="9"/>
      <x:c r="D3" s="9"/>
      <x:c r="E3" s="9"/>
      <x:c r="F3" s="9"/>
      <x:c r="G3" s="9"/>
      <x:c r="H3" s="9"/>
    </x:row>
    <x:row r="4" ht="20" customHeight="1">
      <x:c r="A4" s="3"/>
      <x:c r="B4" s="3"/>
      <x:c r="C4" s="3"/>
      <x:c r="D4" s="3"/>
      <x:c r="E4" s="3"/>
      <x:c r="F4" s="3"/>
      <x:c r="G4" s="3"/>
      <x:c r="H4" s="3"/>
    </x:row>
    <x:row r="5" ht="20" customHeight="1">
      <x:c r="A5" s="239" t="str">
        <x:v>Capex / Business Case</x:v>
      </x:c>
      <x:c r="B5" s="240"/>
      <x:c r="C5" s="240"/>
      <x:c r="D5" s="240"/>
      <x:c r="E5" s="240"/>
      <x:c r="F5" s="241"/>
      <x:c r="G5" s="60" t="str">
        <x:v>MODEL STATUS</x:v>
      </x:c>
      <x:c r="H5" s="60"/>
    </x:row>
    <x:row r="6" ht="20" customHeight="1">
      <x:c r="A6" s="242"/>
      <x:c r="B6" s="243"/>
      <x:c r="C6" s="243"/>
      <x:c r="D6" s="243"/>
      <x:c r="E6" s="243"/>
      <x:c r="F6" s="244"/>
      <x:c r="G6" s="252" t="str">
        <x:f>'Checks'!B4</x:f>
        <x:v>PASS</x:v>
      </x:c>
      <x:c r="H6" s="253"/>
    </x:row>
    <x:row r="7" ht="20" customHeight="1">
      <x:c r="A7" s="245"/>
      <x:c r="B7" s="246"/>
      <x:c r="C7" s="246"/>
      <x:c r="D7" s="246"/>
      <x:c r="E7" s="246"/>
      <x:c r="F7" s="247"/>
      <x:c r="G7" s="254"/>
      <x:c r="H7" s="255"/>
    </x:row>
    <x:row r="8" ht="20" customHeight="1">
      <x:c r="A8" s="3"/>
      <x:c r="B8" s="3"/>
      <x:c r="C8" s="3"/>
      <x:c r="D8" s="3"/>
      <x:c r="E8" s="3"/>
      <x:c r="F8" s="3"/>
      <x:c r="G8" s="3"/>
      <x:c r="H8" s="3"/>
    </x:row>
    <x:row r="9" ht="20" customHeight="1">
      <x:c r="A9" s="61" t="str">
        <x:v>WHAT THIS MODEL IS FOR</x:v>
      </x:c>
      <x:c r="B9" s="61"/>
      <x:c r="C9" s="61"/>
      <x:c r="D9" s="61"/>
      <x:c r="E9" s="61"/>
      <x:c r="F9" s="61"/>
      <x:c r="G9" s="61"/>
      <x:c r="H9" s="61"/>
    </x:row>
    <x:row r="10" ht="20" customHeight="1">
      <x:c r="A10" s="189" t="str">
        <x:v>Does this investment create value and repay itself fast enough?</x:v>
      </x:c>
      <x:c r="B10" s="190"/>
      <x:c r="C10" s="190"/>
      <x:c r="D10" s="190"/>
      <x:c r="E10" s="190"/>
      <x:c r="F10" s="190"/>
      <x:c r="G10" s="190"/>
      <x:c r="H10" s="191"/>
    </x:row>
    <x:row r="11" ht="20" customHeight="1">
      <x:c r="A11" s="192"/>
      <x:c r="B11" s="193"/>
      <x:c r="C11" s="193"/>
      <x:c r="D11" s="193"/>
      <x:c r="E11" s="193"/>
      <x:c r="F11" s="193"/>
      <x:c r="G11" s="193"/>
      <x:c r="H11" s="194"/>
    </x:row>
    <x:row r="12" ht="20" customHeight="1">
      <x:c r="A12" s="3"/>
      <x:c r="B12" s="3"/>
      <x:c r="C12" s="3"/>
      <x:c r="D12" s="3"/>
      <x:c r="E12" s="3"/>
      <x:c r="F12" s="3"/>
      <x:c r="G12" s="3"/>
      <x:c r="H12" s="3"/>
    </x:row>
    <x:row r="13" ht="20" customHeight="1">
      <x:c r="A13" s="61" t="str">
        <x:v>USE IT IN FOUR STEPS</x:v>
      </x:c>
      <x:c r="B13" s="61"/>
      <x:c r="C13" s="61"/>
      <x:c r="D13" s="61"/>
      <x:c r="E13" s="61"/>
      <x:c r="F13" s="61"/>
      <x:c r="G13" s="61"/>
      <x:c r="H13" s="61"/>
    </x:row>
    <x:row r="14" ht="20" customHeight="1">
      <x:c r="A14" s="259" t="str">
        <x:v>1 · INPUTS</x:v>
      </x:c>
      <x:c r="B14" s="260"/>
      <x:c r="C14" s="259" t="str">
        <x:v>2 · MODEL</x:v>
      </x:c>
      <x:c r="D14" s="260"/>
      <x:c r="E14" s="259" t="str">
        <x:v>3 · RESULTS</x:v>
      </x:c>
      <x:c r="F14" s="260"/>
      <x:c r="G14" s="259" t="str">
        <x:v>4 · CHECKS</x:v>
      </x:c>
      <x:c r="H14" s="260"/>
    </x:row>
    <x:row r="15" ht="20" customHeight="1">
      <x:c r="A15" s="261" t="str">
        <x:v>Edit only blue cells</x:v>
      </x:c>
      <x:c r="B15" s="262"/>
      <x:c r="C15" s="261" t="str">
        <x:v>Trace schedules and formulas</x:v>
      </x:c>
      <x:c r="D15" s="262"/>
      <x:c r="E15" s="261" t="str">
        <x:v>Read the linked decision view</x:v>
      </x:c>
      <x:c r="F15" s="262"/>
      <x:c r="G15" s="261" t="str">
        <x:v>Resolve every FAIL</x:v>
      </x:c>
      <x:c r="H15" s="262"/>
    </x:row>
    <x:row r="16" ht="20" customHeight="1">
      <x:c r="A16" s="263"/>
      <x:c r="B16" s="264"/>
      <x:c r="C16" s="263"/>
      <x:c r="D16" s="264"/>
      <x:c r="E16" s="263"/>
      <x:c r="F16" s="264"/>
      <x:c r="G16" s="263"/>
      <x:c r="H16" s="264"/>
    </x:row>
    <x:row r="17" ht="20" customHeight="1">
      <x:c r="A17" s="3"/>
      <x:c r="B17" s="3"/>
      <x:c r="C17" s="3"/>
      <x:c r="D17" s="3"/>
      <x:c r="E17" s="3"/>
      <x:c r="F17" s="3"/>
      <x:c r="G17" s="3"/>
      <x:c r="H17" s="3"/>
    </x:row>
    <x:row r="18" ht="20" customHeight="1">
      <x:c r="A18" s="61" t="str">
        <x:v>DEPTH WITHOUT EXTRA TABS</x:v>
      </x:c>
      <x:c r="B18" s="61"/>
      <x:c r="C18" s="61"/>
      <x:c r="D18" s="61"/>
      <x:c r="E18" s="61"/>
      <x:c r="F18" s="61"/>
      <x:c r="G18" s="61"/>
      <x:c r="H18" s="61"/>
    </x:row>
    <x:row r="19" ht="20" customHeight="1">
      <x:c r="A19" s="64" t="str">
        <x:v>Forecast</x:v>
      </x:c>
      <x:c r="B19" s="64"/>
      <x:c r="C19" s="182" t="str">
        <x:v>Year 0 plus five years</x:v>
      </x:c>
      <x:c r="D19" s="182"/>
      <x:c r="E19" s="182"/>
      <x:c r="F19" s="182"/>
      <x:c r="G19" s="182"/>
      <x:c r="H19" s="182"/>
    </x:row>
    <x:row r="20" ht="20" customHeight="1">
      <x:c r="A20" s="64" t="str">
        <x:v>Editable inputs</x:v>
      </x:c>
      <x:c r="B20" s="64"/>
      <x:c r="C20" s="182" t="str">
        <x:v>10</x:v>
      </x:c>
      <x:c r="D20" s="182"/>
      <x:c r="E20" s="182"/>
      <x:c r="F20" s="182"/>
      <x:c r="G20" s="182"/>
      <x:c r="H20" s="182"/>
    </x:row>
    <x:row r="21" ht="20" customHeight="1">
      <x:c r="A21" s="64" t="str">
        <x:v>Visible sheets</x:v>
      </x:c>
      <x:c r="B21" s="64"/>
      <x:c r="C21" s="182" t="str">
        <x:v>5</x:v>
      </x:c>
      <x:c r="D21" s="182"/>
      <x:c r="E21" s="182"/>
      <x:c r="F21" s="182"/>
      <x:c r="G21" s="182"/>
      <x:c r="H21" s="182"/>
    </x:row>
    <x:row r="22" ht="20" customHeight="1">
      <x:c r="A22" s="64" t="str">
        <x:v>Setup</x:v>
      </x:c>
      <x:c r="B22" s="64"/>
      <x:c r="C22" s="182" t="str">
        <x:v>15–20 minutes</x:v>
      </x:c>
      <x:c r="D22" s="182"/>
      <x:c r="E22" s="182"/>
      <x:c r="F22" s="182"/>
      <x:c r="G22" s="182"/>
      <x:c r="H22" s="182"/>
    </x:row>
    <x:row r="23" ht="20" customHeight="1">
      <x:c r="A23" s="3"/>
      <x:c r="B23" s="3"/>
      <x:c r="C23" s="3"/>
      <x:c r="D23" s="3"/>
      <x:c r="E23" s="3"/>
      <x:c r="F23" s="3"/>
      <x:c r="G23" s="3"/>
      <x:c r="H23" s="3"/>
    </x:row>
    <x:row r="24" ht="20" customHeight="1">
      <x:c r="A24" s="61" t="str">
        <x:v>FIT &amp; SCOPE</x:v>
      </x:c>
      <x:c r="B24" s="61"/>
      <x:c r="C24" s="61"/>
      <x:c r="D24" s="61"/>
      <x:c r="E24" s="61"/>
      <x:c r="F24" s="61"/>
      <x:c r="G24" s="61"/>
      <x:c r="H24" s="61"/>
    </x:row>
    <x:row r="25" ht="20" customHeight="1">
      <x:c r="A25" s="203" t="str">
        <x:v>Included: One investment and one benefit stream · NPV, IRR, and payback · Final salvage and working-capital recovery</x:v>
      </x:c>
      <x:c r="B25" s="204"/>
      <x:c r="C25" s="204"/>
      <x:c r="D25" s="204"/>
      <x:c r="E25" s="204"/>
      <x:c r="F25" s="204"/>
      <x:c r="G25" s="204"/>
      <x:c r="H25" s="205"/>
    </x:row>
    <x:row r="26" ht="20" customHeight="1">
      <x:c r="A26" s="209"/>
      <x:c r="B26" s="210"/>
      <x:c r="C26" s="210"/>
      <x:c r="D26" s="210"/>
      <x:c r="E26" s="210"/>
      <x:c r="F26" s="210"/>
      <x:c r="G26" s="210"/>
      <x:c r="H26" s="211"/>
    </x:row>
    <x:row r="27" ht="20" customHeight="1">
      <x:c r="A27" s="271" t="str">
        <x:v>Scope boundary: Monthly phasing, financing, tax depreciation, scenarios, sensitivities, incentives, and real options.</x:v>
      </x:c>
      <x:c r="B27" s="272"/>
      <x:c r="C27" s="272"/>
      <x:c r="D27" s="272"/>
      <x:c r="E27" s="272"/>
      <x:c r="F27" s="272"/>
      <x:c r="G27" s="272"/>
      <x:c r="H27" s="273"/>
    </x:row>
    <x:row r="28" ht="20" customHeight="1">
      <x:c r="A28" s="274"/>
      <x:c r="B28" s="275"/>
      <x:c r="C28" s="275"/>
      <x:c r="D28" s="275"/>
      <x:c r="E28" s="275"/>
      <x:c r="F28" s="275"/>
      <x:c r="G28" s="275"/>
      <x:c r="H28" s="276"/>
    </x:row>
    <x:row r="29" ht="20" customHeight="1">
      <x:c r="A29" s="278" t="str">
        <x:v>Synthetic demonstration only · Tested 2026-08-17 · Excel 365 · Macro-free · No external links</x:v>
      </x:c>
      <x:c r="B29" s="278"/>
      <x:c r="C29" s="278"/>
      <x:c r="D29" s="278"/>
      <x:c r="E29" s="278"/>
      <x:c r="F29" s="278"/>
      <x:c r="G29" s="278"/>
      <x:c r="H29" s="278"/>
    </x:row>
    <x:row r="30" ht="20" customHeight="1">
      <x:c r="A30" s="3"/>
      <x:c r="B30" s="3"/>
      <x:c r="C30" s="3"/>
      <x:c r="D30" s="3"/>
      <x:c r="E30" s="3"/>
      <x:c r="F30" s="3"/>
      <x:c r="G30" s="3"/>
      <x:c r="H30" s="3"/>
    </x:row>
    <x:row r="31" ht="20" customHeight="1">
      <x:c r="A31" s="60" t="str">
        <x:v>Capex / Business Case · Start → Inputs → Model → Results → Checks</x:v>
      </x:c>
      <x:c r="B31" s="60"/>
      <x:c r="C31" s="60"/>
      <x:c r="D31" s="60"/>
      <x:c r="E31" s="60"/>
      <x:c r="F31" s="60"/>
      <x:c r="G31" s="60"/>
      <x:c r="H31" s="60"/>
    </x:row>
  </x:sheetData>
  <x:mergeCells>
    <x:mergeCell ref="A1:H2"/>
    <x:mergeCell ref="A3:H3"/>
    <x:mergeCell ref="A5:F7"/>
    <x:mergeCell ref="G5:H5"/>
    <x:mergeCell ref="G6:H7"/>
    <x:mergeCell ref="A9:H9"/>
    <x:mergeCell ref="A10:H11"/>
    <x:mergeCell ref="A13:H13"/>
    <x:mergeCell ref="A14:B14"/>
    <x:mergeCell ref="A15:B16"/>
    <x:mergeCell ref="C14:D14"/>
    <x:mergeCell ref="C15:D16"/>
    <x:mergeCell ref="E14:F14"/>
    <x:mergeCell ref="E15:F16"/>
    <x:mergeCell ref="G14:H14"/>
    <x:mergeCell ref="G15:H16"/>
    <x:mergeCell ref="A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4:H24"/>
    <x:mergeCell ref="A25:H26"/>
    <x:mergeCell ref="A27:H28"/>
    <x:mergeCell ref="A29:H29"/>
    <x:mergeCell ref="A31:H31"/>
  </x:mergeCells>
  <x:conditionalFormatting sqref="G6:H7">
    <x:cfRule type="containsText" dxfId="24" priority="1" operator="containsText" text="FAIL"/>
    <x:cfRule type="containsText" dxfId="25" priority="2" operator="containsText" text="PASS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20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27" customHeight="1">
      <x:c r="A1" s="6" t="str">
        <x:v>INPUTS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Capex / Business Case · Only blue cells are editable</x:v>
      </x:c>
      <x:c r="B3" s="9"/>
      <x:c r="C3" s="9"/>
      <x:c r="D3" s="9"/>
      <x:c r="E3" s="9"/>
      <x:c r="F3" s="9"/>
      <x:c r="G3" s="9"/>
      <x:c r="H3" s="9"/>
    </x:row>
    <x:row r="4" ht="20" customHeight="1">
      <x:c r="A4" s="3"/>
      <x:c r="B4" s="3"/>
      <x:c r="C4" s="3"/>
      <x:c r="D4" s="3"/>
      <x:c r="E4" s="3"/>
      <x:c r="F4" s="3"/>
      <x:c r="G4" s="3"/>
      <x:c r="H4" s="3"/>
    </x:row>
    <x:row r="5" ht="20" customHeight="1">
      <x:c r="A5" s="18" t="str">
        <x:v>Change the blue assumptions below. The Model sheet expands them into visible formulas, schedules, and roll-forwards.</x:v>
      </x:c>
      <x:c r="B5" s="19"/>
      <x:c r="C5" s="19"/>
      <x:c r="D5" s="19"/>
      <x:c r="E5" s="19"/>
      <x:c r="F5" s="19"/>
      <x:c r="G5" s="19"/>
      <x:c r="H5" s="20"/>
    </x:row>
    <x:row r="6" ht="20" customHeight="1">
      <x:c r="A6" s="21"/>
      <x:c r="B6" s="22"/>
      <x:c r="C6" s="22"/>
      <x:c r="D6" s="22"/>
      <x:c r="E6" s="22"/>
      <x:c r="F6" s="22"/>
      <x:c r="G6" s="22"/>
      <x:c r="H6" s="23"/>
    </x:row>
    <x:row r="7" ht="20" customHeight="1">
      <x:c r="A7" s="3"/>
      <x:c r="B7" s="3"/>
      <x:c r="C7" s="3"/>
      <x:c r="D7" s="3"/>
      <x:c r="E7" s="3"/>
      <x:c r="F7" s="3"/>
      <x:c r="G7" s="3"/>
      <x:c r="H7" s="3"/>
    </x:row>
    <x:row r="8" ht="20" customHeight="1">
      <x:c r="A8" s="26" t="str">
        <x:v>INITIAL FUNDING</x:v>
      </x:c>
      <x:c r="B8" s="26"/>
      <x:c r="C8" s="26"/>
      <x:c r="D8" s="26"/>
      <x:c r="E8" s="26"/>
      <x:c r="F8" s="26"/>
      <x:c r="G8" s="26"/>
      <x:c r="H8" s="26"/>
    </x:row>
    <x:row r="9" ht="20" customHeight="1">
      <x:c r="A9" s="28" t="str">
        <x:v>Input</x:v>
      </x:c>
      <x:c r="B9" s="28" t="str">
        <x:v>Value</x:v>
      </x:c>
      <x:c r="C9" s="28" t="str">
        <x:v>Unit</x:v>
      </x:c>
      <x:c r="D9" s="28" t="str">
        <x:v>Purpose</x:v>
      </x:c>
      <x:c r="E9" s="28"/>
      <x:c r="F9" s="28"/>
      <x:c r="G9" s="28"/>
      <x:c r="H9" s="28"/>
    </x:row>
    <x:row r="10" ht="20" customHeight="1">
      <x:c r="A10" s="3" t="str">
        <x:v>Initial investment</x:v>
      </x:c>
      <x:c r="B10" s="39" t="n">
        <x:v>300</x:v>
      </x:c>
      <x:c r="C10" s="3" t="str">
        <x:v>LCY000</x:v>
      </x:c>
      <x:c r="D10" s="37" t="str">
        <x:v>Cash paid at year zero</x:v>
      </x:c>
      <x:c r="E10" s="38"/>
      <x:c r="F10" s="38"/>
      <x:c r="G10" s="38"/>
      <x:c r="H10" s="38"/>
    </x:row>
    <x:row r="11" ht="20" customHeight="1">
      <x:c r="A11" s="3" t="str">
        <x:v>Initial working capital</x:v>
      </x:c>
      <x:c r="B11" s="39" t="n">
        <x:v>15</x:v>
      </x:c>
      <x:c r="C11" s="3" t="str">
        <x:v>LCY000</x:v>
      </x:c>
      <x:c r="D11" s="37" t="str">
        <x:v>Invested at start; recovered at end</x:v>
      </x:c>
      <x:c r="E11" s="38"/>
      <x:c r="F11" s="38"/>
      <x:c r="G11" s="38"/>
      <x:c r="H11" s="38"/>
    </x:row>
    <x:row r="12" ht="20" customHeight="1">
      <x:c r="A12" s="26" t="str">
        <x:v>OPERATING CASE</x:v>
      </x:c>
      <x:c r="B12" s="26"/>
      <x:c r="C12" s="26"/>
      <x:c r="D12" s="26"/>
      <x:c r="E12" s="26"/>
      <x:c r="F12" s="26"/>
      <x:c r="G12" s="26"/>
      <x:c r="H12" s="26"/>
    </x:row>
    <x:row r="13" ht="20" customHeight="1">
      <x:c r="A13" s="28" t="str">
        <x:v>Input</x:v>
      </x:c>
      <x:c r="B13" s="28" t="str">
        <x:v>Value</x:v>
      </x:c>
      <x:c r="C13" s="28" t="str">
        <x:v>Unit</x:v>
      </x:c>
      <x:c r="D13" s="28" t="str">
        <x:v>Purpose</x:v>
      </x:c>
      <x:c r="E13" s="28"/>
      <x:c r="F13" s="28"/>
      <x:c r="G13" s="28"/>
      <x:c r="H13" s="28"/>
    </x:row>
    <x:row r="14" ht="20" customHeight="1">
      <x:c r="A14" s="3" t="str">
        <x:v>Annual gross benefit</x:v>
      </x:c>
      <x:c r="B14" s="39" t="n">
        <x:v>180</x:v>
      </x:c>
      <x:c r="C14" s="3" t="str">
        <x:v>LCY000</x:v>
      </x:c>
      <x:c r="D14" s="37" t="str">
        <x:v>Revenue or savings before costs</x:v>
      </x:c>
      <x:c r="E14" s="38"/>
      <x:c r="F14" s="38"/>
      <x:c r="G14" s="38"/>
      <x:c r="H14" s="38"/>
    </x:row>
    <x:row r="15" ht="20" customHeight="1">
      <x:c r="A15" s="3" t="str">
        <x:v>Benefit realization</x:v>
      </x:c>
      <x:c r="B15" s="42" t="n">
        <x:v>0.9</x:v>
      </x:c>
      <x:c r="C15" s="3" t="str">
        <x:v>%</x:v>
      </x:c>
      <x:c r="D15" s="37" t="str">
        <x:v>Share of gross benefit achieved</x:v>
      </x:c>
      <x:c r="E15" s="38"/>
      <x:c r="F15" s="38"/>
      <x:c r="G15" s="38"/>
      <x:c r="H15" s="38"/>
    </x:row>
    <x:row r="16" ht="20" customHeight="1">
      <x:c r="A16" s="3" t="str">
        <x:v>Variable cost / benefit</x:v>
      </x:c>
      <x:c r="B16" s="42" t="n">
        <x:v>0.32</x:v>
      </x:c>
      <x:c r="C16" s="3" t="str">
        <x:v>%</x:v>
      </x:c>
      <x:c r="D16" s="37" t="str">
        <x:v>Cost linked to realized benefit</x:v>
      </x:c>
      <x:c r="E16" s="38"/>
      <x:c r="F16" s="38"/>
      <x:c r="G16" s="38"/>
      <x:c r="H16" s="38"/>
    </x:row>
    <x:row r="17" ht="20" customHeight="1">
      <x:c r="A17" s="3" t="str">
        <x:v>Annual fixed cost</x:v>
      </x:c>
      <x:c r="B17" s="39" t="n">
        <x:v>15</x:v>
      </x:c>
      <x:c r="C17" s="3" t="str">
        <x:v>LCY000</x:v>
      </x:c>
      <x:c r="D17" s="37" t="str">
        <x:v>Recurring operating cost</x:v>
      </x:c>
      <x:c r="E17" s="38"/>
      <x:c r="F17" s="38"/>
      <x:c r="G17" s="38"/>
      <x:c r="H17" s="38"/>
    </x:row>
    <x:row r="18" ht="20" customHeight="1">
      <x:c r="A18" s="26" t="str">
        <x:v>VALUATION</x:v>
      </x:c>
      <x:c r="B18" s="26"/>
      <x:c r="C18" s="26"/>
      <x:c r="D18" s="26"/>
      <x:c r="E18" s="26"/>
      <x:c r="F18" s="26"/>
      <x:c r="G18" s="26"/>
      <x:c r="H18" s="26"/>
    </x:row>
    <x:row r="19" ht="20" customHeight="1">
      <x:c r="A19" s="28" t="str">
        <x:v>Input</x:v>
      </x:c>
      <x:c r="B19" s="28" t="str">
        <x:v>Value</x:v>
      </x:c>
      <x:c r="C19" s="28" t="str">
        <x:v>Unit</x:v>
      </x:c>
      <x:c r="D19" s="28" t="str">
        <x:v>Purpose</x:v>
      </x:c>
      <x:c r="E19" s="28"/>
      <x:c r="F19" s="28"/>
      <x:c r="G19" s="28"/>
      <x:c r="H19" s="28"/>
    </x:row>
    <x:row r="20" ht="20" customHeight="1">
      <x:c r="A20" s="3" t="str">
        <x:v>Project life</x:v>
      </x:c>
      <x:c r="B20" s="45" t="n">
        <x:v>5</x:v>
      </x:c>
      <x:c r="C20" s="3" t="str">
        <x:v>Years</x:v>
      </x:c>
      <x:c r="D20" s="37" t="str">
        <x:v>Whole number from 1 to 5</x:v>
      </x:c>
      <x:c r="E20" s="38"/>
      <x:c r="F20" s="38"/>
      <x:c r="G20" s="38"/>
      <x:c r="H20" s="38"/>
    </x:row>
    <x:row r="21" ht="20" customHeight="1">
      <x:c r="A21" s="3" t="str">
        <x:v>Tax rate</x:v>
      </x:c>
      <x:c r="B21" s="42" t="n">
        <x:v>0.2</x:v>
      </x:c>
      <x:c r="C21" s="3" t="str">
        <x:v>%</x:v>
      </x:c>
      <x:c r="D21" s="37" t="str">
        <x:v>Cash tax on positive EBIT</x:v>
      </x:c>
      <x:c r="E21" s="38"/>
      <x:c r="F21" s="38"/>
      <x:c r="G21" s="38"/>
      <x:c r="H21" s="38"/>
    </x:row>
    <x:row r="22" ht="20" customHeight="1">
      <x:c r="A22" s="3" t="str">
        <x:v>Discount rate</x:v>
      </x:c>
      <x:c r="B22" s="42" t="n">
        <x:v>0.12</x:v>
      </x:c>
      <x:c r="C22" s="3" t="str">
        <x:v>%</x:v>
      </x:c>
      <x:c r="D22" s="37" t="str">
        <x:v>Required return</x:v>
      </x:c>
      <x:c r="E22" s="38"/>
      <x:c r="F22" s="38"/>
      <x:c r="G22" s="38"/>
      <x:c r="H22" s="38"/>
    </x:row>
    <x:row r="23" ht="20" customHeight="1">
      <x:c r="A23" s="3" t="str">
        <x:v>Salvage value</x:v>
      </x:c>
      <x:c r="B23" s="39" t="n">
        <x:v>20</x:v>
      </x:c>
      <x:c r="C23" s="3" t="str">
        <x:v>LCY000</x:v>
      </x:c>
      <x:c r="D23" s="37" t="str">
        <x:v>Recovered in final year</x:v>
      </x:c>
      <x:c r="E23" s="38"/>
      <x:c r="F23" s="38"/>
      <x:c r="G23" s="38"/>
      <x:c r="H23" s="38"/>
    </x:row>
    <x:row r="24" ht="20" customHeight="1">
      <x:c r="A24" s="3"/>
      <x:c r="B24" s="3"/>
      <x:c r="C24" s="3"/>
      <x:c r="D24" s="3"/>
      <x:c r="E24" s="3"/>
      <x:c r="F24" s="3"/>
      <x:c r="G24" s="3"/>
      <x:c r="H24" s="3"/>
    </x:row>
    <x:row r="25" ht="20" customHeight="1">
      <x:c r="A25" s="54" t="str">
        <x:v>Synthetic example. Replace only the blue values, trace the calculation on Model, then review Results and Checks.</x:v>
      </x:c>
      <x:c r="B25" s="55"/>
      <x:c r="C25" s="55"/>
      <x:c r="D25" s="55"/>
      <x:c r="E25" s="55"/>
      <x:c r="F25" s="55"/>
      <x:c r="G25" s="55"/>
      <x:c r="H25" s="56"/>
    </x:row>
    <x:row r="26" ht="20" customHeight="1">
      <x:c r="A26" s="57"/>
      <x:c r="B26" s="58"/>
      <x:c r="C26" s="58"/>
      <x:c r="D26" s="58"/>
      <x:c r="E26" s="58"/>
      <x:c r="F26" s="58"/>
      <x:c r="G26" s="58"/>
      <x:c r="H26" s="59"/>
    </x:row>
    <x:row r="27" ht="20" customHeight="1">
      <x:c r="A27" s="3"/>
      <x:c r="B27" s="3"/>
      <x:c r="C27" s="3"/>
      <x:c r="D27" s="3"/>
      <x:c r="E27" s="3"/>
      <x:c r="F27" s="3"/>
      <x:c r="G27" s="3"/>
      <x:c r="H27" s="3"/>
    </x:row>
    <x:row r="28" ht="20" customHeight="1">
      <x:c r="A28" s="3"/>
      <x:c r="B28" s="3"/>
      <x:c r="C28" s="3"/>
      <x:c r="D28" s="3"/>
      <x:c r="E28" s="3"/>
      <x:c r="F28" s="3"/>
      <x:c r="G28" s="3"/>
      <x:c r="H28" s="3"/>
    </x:row>
    <x:row r="29" ht="20" customHeight="1">
      <x:c r="A29" s="3"/>
      <x:c r="B29" s="3"/>
      <x:c r="C29" s="3"/>
      <x:c r="D29" s="3"/>
      <x:c r="E29" s="3"/>
      <x:c r="F29" s="3"/>
      <x:c r="G29" s="3"/>
      <x:c r="H29" s="3"/>
    </x:row>
    <x:row r="30" ht="20" customHeight="1">
      <x:c r="A30" s="60" t="str">
        <x:v>Capex / Business Case · 10 editable assumptions · v1.4.0</x:v>
      </x:c>
      <x:c r="B30" s="60"/>
      <x:c r="C30" s="60"/>
      <x:c r="D30" s="60"/>
      <x:c r="E30" s="60"/>
      <x:c r="F30" s="60"/>
      <x:c r="G30" s="60"/>
      <x:c r="H30" s="60"/>
    </x:row>
  </x:sheetData>
  <x:mergeCells>
    <x:mergeCell ref="A1:H2"/>
    <x:mergeCell ref="A3:H3"/>
    <x:mergeCell ref="A5:H6"/>
    <x:mergeCell ref="A8:H8"/>
    <x:mergeCell ref="D9:H9"/>
    <x:mergeCell ref="D10:H10"/>
    <x:mergeCell ref="D11:H11"/>
    <x:mergeCell ref="A12:H12"/>
    <x:mergeCell ref="D13:H13"/>
    <x:mergeCell ref="D14:H14"/>
    <x:mergeCell ref="D15:H15"/>
    <x:mergeCell ref="D16:H16"/>
    <x:mergeCell ref="D17:H17"/>
    <x:mergeCell ref="A18:H18"/>
    <x:mergeCell ref="D19:H19"/>
    <x:mergeCell ref="D20:H20"/>
    <x:mergeCell ref="D21:H21"/>
    <x:mergeCell ref="D22:H22"/>
    <x:mergeCell ref="D23:H23"/>
    <x:mergeCell ref="A25:H26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4" hidden="0" customWidth="1"/>
    <x:col min="3" max="3" width="20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27" customHeight="1">
      <x:c r="A1" s="6" t="str">
        <x:v>MODEL DETAIL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Capex / Business Case · Five-year investment test</x:v>
      </x:c>
      <x:c r="B3" s="9"/>
      <x:c r="C3" s="9"/>
      <x:c r="D3" s="9"/>
      <x:c r="E3" s="9"/>
      <x:c r="F3" s="9"/>
      <x:c r="G3" s="9"/>
      <x:c r="H3" s="9"/>
    </x:row>
    <x:row r="4" ht="20" customHeight="1">
      <x:c r="A4" s="3"/>
      <x:c r="B4" s="3"/>
      <x:c r="C4" s="3"/>
      <x:c r="D4" s="3"/>
      <x:c r="E4" s="3"/>
      <x:c r="F4" s="3"/>
      <x:c r="G4" s="3"/>
      <x:c r="H4" s="3"/>
    </x:row>
    <x:row r="5" ht="20" customHeight="1">
      <x:c r="A5" s="106" t="str">
        <x:v>NPV</x:v>
      </x:c>
      <x:c r="B5" s="107"/>
      <x:c r="C5" s="106" t="str">
        <x:v>IRR</x:v>
      </x:c>
      <x:c r="D5" s="107"/>
      <x:c r="E5" s="106" t="str">
        <x:v>PAYBACK</x:v>
      </x:c>
      <x:c r="F5" s="107"/>
      <x:c r="G5" s="106" t="str">
        <x:v>INITIAL FUNDING</x:v>
      </x:c>
      <x:c r="H5" s="107"/>
    </x:row>
    <x:row r="6" ht="20" customHeight="1">
      <x:c r="A6" s="121" t="n">
        <x:f>B27</x:f>
        <x:v>20.271949687537123</x:v>
      </x:c>
      <x:c r="B6" s="122"/>
      <x:c r="C6" s="133" t="n">
        <x:f>B28</x:f>
        <x:v>0.14461913581941233</x:v>
      </x:c>
      <x:c r="D6" s="134"/>
      <x:c r="E6" s="145" t="n">
        <x:f>B29</x:f>
        <x:v>3.5743464052287583</x:v>
      </x:c>
      <x:c r="F6" s="146"/>
      <x:c r="G6" s="121" t="n">
        <x:f>B30</x:f>
        <x:v>315</x:v>
      </x:c>
      <x:c r="H6" s="122"/>
    </x:row>
    <x:row r="7" ht="20" customHeight="1">
      <x:c r="A7" s="123"/>
      <x:c r="B7" s="124"/>
      <x:c r="C7" s="135"/>
      <x:c r="D7" s="136"/>
      <x:c r="E7" s="147"/>
      <x:c r="F7" s="148"/>
      <x:c r="G7" s="123"/>
      <x:c r="H7" s="124"/>
    </x:row>
    <x:row r="8" ht="20" customHeight="1">
      <x:c r="A8" s="125"/>
      <x:c r="B8" s="126"/>
      <x:c r="C8" s="137"/>
      <x:c r="D8" s="138"/>
      <x:c r="E8" s="149"/>
      <x:c r="F8" s="150"/>
      <x:c r="G8" s="125"/>
      <x:c r="H8" s="126"/>
    </x:row>
    <x:row r="9" ht="20" customHeight="1">
      <x:c r="A9" s="3"/>
      <x:c r="B9" s="3"/>
      <x:c r="C9" s="3"/>
      <x:c r="D9" s="3"/>
      <x:c r="E9" s="3"/>
      <x:c r="F9" s="3"/>
      <x:c r="G9" s="3"/>
      <x:c r="H9" s="3"/>
    </x:row>
    <x:row r="10" ht="20" customHeight="1">
      <x:c r="A10" s="61" t="str">
        <x:v>PROJECT CASH FLOW</x:v>
      </x:c>
      <x:c r="B10" s="61"/>
      <x:c r="C10" s="61"/>
      <x:c r="D10" s="61"/>
      <x:c r="E10" s="61"/>
      <x:c r="F10" s="61"/>
      <x:c r="G10" s="61"/>
      <x:c r="H10" s="61"/>
    </x:row>
    <x:row r="11" ht="20" customHeight="1">
      <x:c r="A11" s="63" t="str">
        <x:v>Metric</x:v>
      </x:c>
      <x:c r="B11" s="62" t="str">
        <x:v>Y0</x:v>
      </x:c>
      <x:c r="C11" s="62" t="str">
        <x:v>Y1</x:v>
      </x:c>
      <x:c r="D11" s="62" t="str">
        <x:v>Y2</x:v>
      </x:c>
      <x:c r="E11" s="62" t="str">
        <x:v>Y3</x:v>
      </x:c>
      <x:c r="F11" s="62" t="str">
        <x:v>Y4</x:v>
      </x:c>
      <x:c r="G11" s="62" t="str">
        <x:v>Y5</x:v>
      </x:c>
      <x:c r="H11" s="65" t="str">
        <x:v>Notes</x:v>
      </x:c>
    </x:row>
    <x:row r="12" ht="20" customHeight="1">
      <x:c r="A12" s="29" t="str">
        <x:v>Realized benefit</x:v>
      </x:c>
      <x:c r="B12" s="72" t="n">
        <x:f>0</x:f>
        <x:v>0</x:v>
      </x:c>
      <x:c r="C12" s="73" t="n">
        <x:f>IF(1&lt;='Inputs'!$B$20,'Inputs'!$B$14*'Inputs'!$B$15,0)</x:f>
        <x:v>162</x:v>
      </x:c>
      <x:c r="D12" s="73" t="n">
        <x:f>IF(2&lt;='Inputs'!$B$20,'Inputs'!$B$14*'Inputs'!$B$15,0)</x:f>
        <x:v>162</x:v>
      </x:c>
      <x:c r="E12" s="73" t="n">
        <x:f>IF(3&lt;='Inputs'!$B$20,'Inputs'!$B$14*'Inputs'!$B$15,0)</x:f>
        <x:v>162</x:v>
      </x:c>
      <x:c r="F12" s="73" t="n">
        <x:f>IF(4&lt;='Inputs'!$B$20,'Inputs'!$B$14*'Inputs'!$B$15,0)</x:f>
        <x:v>162</x:v>
      </x:c>
      <x:c r="G12" s="73" t="n">
        <x:f>IF(5&lt;='Inputs'!$B$20,'Inputs'!$B$14*'Inputs'!$B$15,0)</x:f>
        <x:v>162</x:v>
      </x:c>
      <x:c r="H12" s="37" t="str"/>
    </x:row>
    <x:row r="13" ht="20" customHeight="1">
      <x:c r="A13" s="29" t="str">
        <x:v>Variable cost</x:v>
      </x:c>
      <x:c r="B13" s="72" t="n">
        <x:f>0</x:f>
        <x:v>0</x:v>
      </x:c>
      <x:c r="C13" s="73" t="n">
        <x:f>-C12*'Inputs'!$B$16</x:f>
        <x:v>-51.84</x:v>
      </x:c>
      <x:c r="D13" s="73" t="n">
        <x:f>-D12*'Inputs'!$B$16</x:f>
        <x:v>-51.84</x:v>
      </x:c>
      <x:c r="E13" s="73" t="n">
        <x:f>-E12*'Inputs'!$B$16</x:f>
        <x:v>-51.84</x:v>
      </x:c>
      <x:c r="F13" s="73" t="n">
        <x:f>-F12*'Inputs'!$B$16</x:f>
        <x:v>-51.84</x:v>
      </x:c>
      <x:c r="G13" s="73" t="n">
        <x:f>-G12*'Inputs'!$B$16</x:f>
        <x:v>-51.84</x:v>
      </x:c>
      <x:c r="H13" s="37" t="str"/>
    </x:row>
    <x:row r="14" ht="20" customHeight="1">
      <x:c r="A14" s="29" t="str">
        <x:v>Fixed cost</x:v>
      </x:c>
      <x:c r="B14" s="72" t="n">
        <x:f>0</x:f>
        <x:v>0</x:v>
      </x:c>
      <x:c r="C14" s="73" t="n">
        <x:f>IF(1&lt;='Inputs'!$B$20,-'Inputs'!$B$17,0)</x:f>
        <x:v>-15</x:v>
      </x:c>
      <x:c r="D14" s="73" t="n">
        <x:f>IF(2&lt;='Inputs'!$B$20,-'Inputs'!$B$17,0)</x:f>
        <x:v>-15</x:v>
      </x:c>
      <x:c r="E14" s="73" t="n">
        <x:f>IF(3&lt;='Inputs'!$B$20,-'Inputs'!$B$17,0)</x:f>
        <x:v>-15</x:v>
      </x:c>
      <x:c r="F14" s="73" t="n">
        <x:f>IF(4&lt;='Inputs'!$B$20,-'Inputs'!$B$17,0)</x:f>
        <x:v>-15</x:v>
      </x:c>
      <x:c r="G14" s="73" t="n">
        <x:f>IF(5&lt;='Inputs'!$B$20,-'Inputs'!$B$17,0)</x:f>
        <x:v>-15</x:v>
      </x:c>
      <x:c r="H14" s="37" t="str"/>
    </x:row>
    <x:row r="15" ht="20" customHeight="1">
      <x:c r="A15" s="29" t="str">
        <x:v>Depreciation</x:v>
      </x:c>
      <x:c r="B15" s="72" t="n">
        <x:f>0</x:f>
        <x:v>0</x:v>
      </x:c>
      <x:c r="C15" s="73" t="n">
        <x:f>IF(1&lt;='Inputs'!$B$20,-'Inputs'!$B$10/MAX(1,'Inputs'!$B$20),0)</x:f>
        <x:v>-60</x:v>
      </x:c>
      <x:c r="D15" s="73" t="n">
        <x:f>IF(2&lt;='Inputs'!$B$20,-'Inputs'!$B$10/MAX(1,'Inputs'!$B$20),0)</x:f>
        <x:v>-60</x:v>
      </x:c>
      <x:c r="E15" s="73" t="n">
        <x:f>IF(3&lt;='Inputs'!$B$20,-'Inputs'!$B$10/MAX(1,'Inputs'!$B$20),0)</x:f>
        <x:v>-60</x:v>
      </x:c>
      <x:c r="F15" s="73" t="n">
        <x:f>IF(4&lt;='Inputs'!$B$20,-'Inputs'!$B$10/MAX(1,'Inputs'!$B$20),0)</x:f>
        <x:v>-60</x:v>
      </x:c>
      <x:c r="G15" s="73" t="n">
        <x:f>IF(5&lt;='Inputs'!$B$20,-'Inputs'!$B$10/MAX(1,'Inputs'!$B$20),0)</x:f>
        <x:v>-60</x:v>
      </x:c>
      <x:c r="H15" s="37" t="str"/>
    </x:row>
    <x:row r="16" ht="20" customHeight="1">
      <x:c r="A16" s="29" t="str">
        <x:v>EBIT</x:v>
      </x:c>
      <x:c r="B16" s="72" t="n">
        <x:f>SUM(B12:B15)</x:f>
        <x:v>0</x:v>
      </x:c>
      <x:c r="C16" s="72" t="n">
        <x:f>SUM(C12:C15)</x:f>
        <x:v>35.16</x:v>
      </x:c>
      <x:c r="D16" s="72" t="n">
        <x:f>SUM(D12:D15)</x:f>
        <x:v>35.16</x:v>
      </x:c>
      <x:c r="E16" s="72" t="n">
        <x:f>SUM(E12:E15)</x:f>
        <x:v>35.16</x:v>
      </x:c>
      <x:c r="F16" s="72" t="n">
        <x:f>SUM(F12:F15)</x:f>
        <x:v>35.16</x:v>
      </x:c>
      <x:c r="G16" s="72" t="n">
        <x:f>SUM(G12:G15)</x:f>
        <x:v>35.16</x:v>
      </x:c>
      <x:c r="H16" s="37" t="str"/>
    </x:row>
    <x:row r="17" ht="20" customHeight="1">
      <x:c r="A17" s="29" t="str">
        <x:v>Tax</x:v>
      </x:c>
      <x:c r="B17" s="73" t="n">
        <x:f>-MAX(0,B16*'Inputs'!$B$21)</x:f>
        <x:v>0</x:v>
      </x:c>
      <x:c r="C17" s="73" t="n">
        <x:f>-MAX(0,C16*'Inputs'!$B$21)</x:f>
        <x:v>-7.032</x:v>
      </x:c>
      <x:c r="D17" s="73" t="n">
        <x:f>-MAX(0,D16*'Inputs'!$B$21)</x:f>
        <x:v>-7.032</x:v>
      </x:c>
      <x:c r="E17" s="73" t="n">
        <x:f>-MAX(0,E16*'Inputs'!$B$21)</x:f>
        <x:v>-7.032</x:v>
      </x:c>
      <x:c r="F17" s="73" t="n">
        <x:f>-MAX(0,F16*'Inputs'!$B$21)</x:f>
        <x:v>-7.032</x:v>
      </x:c>
      <x:c r="G17" s="73" t="n">
        <x:f>-MAX(0,G16*'Inputs'!$B$21)</x:f>
        <x:v>-7.032</x:v>
      </x:c>
      <x:c r="H17" s="37" t="str"/>
    </x:row>
    <x:row r="18" ht="20" customHeight="1">
      <x:c r="A18" s="11" t="str">
        <x:v>Operating cash flow</x:v>
      </x:c>
      <x:c r="B18" s="77" t="n">
        <x:f>SUM(B16,B17,-B15)</x:f>
        <x:v>0</x:v>
      </x:c>
      <x:c r="C18" s="77" t="n">
        <x:f>SUM(C16,C17,-C15)</x:f>
        <x:v>88.128</x:v>
      </x:c>
      <x:c r="D18" s="77" t="n">
        <x:f>SUM(D16,D17,-D15)</x:f>
        <x:v>88.128</x:v>
      </x:c>
      <x:c r="E18" s="77" t="n">
        <x:f>SUM(E16,E17,-E15)</x:f>
        <x:v>88.128</x:v>
      </x:c>
      <x:c r="F18" s="77" t="n">
        <x:f>SUM(F16,F17,-F15)</x:f>
        <x:v>88.128</x:v>
      </x:c>
      <x:c r="G18" s="77" t="n">
        <x:f>SUM(G16,G17,-G15)</x:f>
        <x:v>88.128</x:v>
      </x:c>
      <x:c r="H18" s="80" t="str"/>
    </x:row>
    <x:row r="19" ht="20" customHeight="1">
      <x:c r="A19" s="29" t="str">
        <x:v>Investment / recovery</x:v>
      </x:c>
      <x:c r="B19" s="73" t="n">
        <x:f>-'Inputs'!$B$10-'Inputs'!$B$11</x:f>
        <x:v>-315</x:v>
      </x:c>
      <x:c r="C19" s="73" t="n">
        <x:f>IF(1='Inputs'!$B$20,'Inputs'!$B$23*(1-'Inputs'!$B$21)+'Inputs'!$B$11,0)</x:f>
        <x:v>0</x:v>
      </x:c>
      <x:c r="D19" s="73" t="n">
        <x:f>IF(2='Inputs'!$B$20,'Inputs'!$B$23*(1-'Inputs'!$B$21)+'Inputs'!$B$11,0)</x:f>
        <x:v>0</x:v>
      </x:c>
      <x:c r="E19" s="73" t="n">
        <x:f>IF(3='Inputs'!$B$20,'Inputs'!$B$23*(1-'Inputs'!$B$21)+'Inputs'!$B$11,0)</x:f>
        <x:v>0</x:v>
      </x:c>
      <x:c r="F19" s="73" t="n">
        <x:f>IF(4='Inputs'!$B$20,'Inputs'!$B$23*(1-'Inputs'!$B$21)+'Inputs'!$B$11,0)</x:f>
        <x:v>0</x:v>
      </x:c>
      <x:c r="G19" s="73" t="n">
        <x:f>IF(5='Inputs'!$B$20,'Inputs'!$B$23*(1-'Inputs'!$B$21)+'Inputs'!$B$11,0)</x:f>
        <x:v>31</x:v>
      </x:c>
      <x:c r="H19" s="37" t="str"/>
    </x:row>
    <x:row r="20" ht="20" customHeight="1">
      <x:c r="A20" s="83" t="str">
        <x:v>Free cash flow</x:v>
      </x:c>
      <x:c r="B20" s="82" t="n">
        <x:f>SUM(B18,B19)</x:f>
        <x:v>-315</x:v>
      </x:c>
      <x:c r="C20" s="82" t="n">
        <x:f>SUM(C18,C19)</x:f>
        <x:v>88.128</x:v>
      </x:c>
      <x:c r="D20" s="82" t="n">
        <x:f>SUM(D18,D19)</x:f>
        <x:v>88.128</x:v>
      </x:c>
      <x:c r="E20" s="82" t="n">
        <x:f>SUM(E18,E19)</x:f>
        <x:v>88.128</x:v>
      </x:c>
      <x:c r="F20" s="82" t="n">
        <x:f>SUM(F18,F19)</x:f>
        <x:v>88.128</x:v>
      </x:c>
      <x:c r="G20" s="82" t="n">
        <x:f>SUM(G18,G19)</x:f>
        <x:v>119.128</x:v>
      </x:c>
      <x:c r="H20" s="86" t="str"/>
    </x:row>
    <x:row r="21" ht="20" customHeight="1">
      <x:c r="A21" s="29" t="str">
        <x:v>Discount factor</x:v>
      </x:c>
      <x:c r="B21" s="91" t="n">
        <x:f>1</x:f>
        <x:v>1</x:v>
      </x:c>
      <x:c r="C21" s="92" t="n">
        <x:f>1/(1+MAX(-99%,'Inputs'!$B$22))^1</x:f>
        <x:v>0.8928571428571428</x:v>
      </x:c>
      <x:c r="D21" s="92" t="n">
        <x:f>1/(1+MAX(-99%,'Inputs'!$B$22))^2</x:f>
        <x:v>0.7971938775510203</x:v>
      </x:c>
      <x:c r="E21" s="92" t="n">
        <x:f>1/(1+MAX(-99%,'Inputs'!$B$22))^3</x:f>
        <x:v>0.7117802478134109</x:v>
      </x:c>
      <x:c r="F21" s="92" t="n">
        <x:f>1/(1+MAX(-99%,'Inputs'!$B$22))^4</x:f>
        <x:v>0.6355180784048311</x:v>
      </x:c>
      <x:c r="G21" s="92" t="n">
        <x:f>1/(1+MAX(-99%,'Inputs'!$B$22))^5</x:f>
        <x:v>0.5674268557185992</x:v>
      </x:c>
      <x:c r="H21" s="37" t="str"/>
    </x:row>
    <x:row r="22" ht="20" customHeight="1">
      <x:c r="A22" s="29" t="str">
        <x:v>Present value</x:v>
      </x:c>
      <x:c r="B22" s="72" t="n">
        <x:f>B20*B21</x:f>
        <x:v>-315</x:v>
      </x:c>
      <x:c r="C22" s="72" t="n">
        <x:f>C20*C21</x:f>
        <x:v>78.68571428571428</x:v>
      </x:c>
      <x:c r="D22" s="72" t="n">
        <x:f>D20*D21</x:f>
        <x:v>70.25510204081633</x:v>
      </x:c>
      <x:c r="E22" s="72" t="n">
        <x:f>E20*E21</x:f>
        <x:v>62.72776967930027</x:v>
      </x:c>
      <x:c r="F22" s="72" t="n">
        <x:f>F20*F21</x:f>
        <x:v>56.006937213660954</x:v>
      </x:c>
      <x:c r="G22" s="72" t="n">
        <x:f>G20*G21</x:f>
        <x:v>67.59642646804528</x:v>
      </x:c>
      <x:c r="H22" s="37" t="str"/>
    </x:row>
    <x:row r="23" ht="20" customHeight="1">
      <x:c r="A23" s="29" t="str">
        <x:v>Cumulative cash</x:v>
      </x:c>
      <x:c r="B23" s="72" t="n">
        <x:f>B20</x:f>
        <x:v>-315</x:v>
      </x:c>
      <x:c r="C23" s="72" t="n">
        <x:f>B23+C20</x:f>
        <x:v>-226.872</x:v>
      </x:c>
      <x:c r="D23" s="72" t="n">
        <x:f>C23+D20</x:f>
        <x:v>-138.74400000000003</x:v>
      </x:c>
      <x:c r="E23" s="72" t="n">
        <x:f>D23+E20</x:f>
        <x:v>-50.61600000000003</x:v>
      </x:c>
      <x:c r="F23" s="72" t="n">
        <x:f>E23+F20</x:f>
        <x:v>37.51199999999997</x:v>
      </x:c>
      <x:c r="G23" s="72" t="n">
        <x:f>F23+G20</x:f>
        <x:v>156.64</x:v>
      </x:c>
      <x:c r="H23" s="37" t="str"/>
    </x:row>
    <x:row r="24" ht="20" customHeight="1">
      <x:c r="A24" s="3"/>
      <x:c r="B24" s="3"/>
      <x:c r="C24" s="3"/>
      <x:c r="D24" s="3"/>
      <x:c r="E24" s="3"/>
      <x:c r="F24" s="3"/>
      <x:c r="G24" s="3"/>
      <x:c r="H24" s="3"/>
    </x:row>
    <x:row r="25" ht="20" customHeight="1">
      <x:c r="A25" s="61" t="str">
        <x:v>INVESTMENT SUMMARY</x:v>
      </x:c>
      <x:c r="B25" s="61"/>
      <x:c r="C25" s="61"/>
      <x:c r="D25" s="61"/>
      <x:c r="E25" s="61"/>
      <x:c r="F25" s="61"/>
      <x:c r="G25" s="61"/>
      <x:c r="H25" s="61"/>
    </x:row>
    <x:row r="26" ht="20" customHeight="1">
      <x:c r="A26" s="28" t="str">
        <x:v>Metric</x:v>
      </x:c>
      <x:c r="B26" s="28" t="str">
        <x:v>Value</x:v>
      </x:c>
      <x:c r="C26" s="28" t="str">
        <x:v>Unit</x:v>
      </x:c>
      <x:c r="D26" s="93" t="str">
        <x:v>Notes</x:v>
      </x:c>
      <x:c r="E26" s="94"/>
      <x:c r="F26" s="94"/>
      <x:c r="G26" s="94"/>
      <x:c r="H26" s="94"/>
    </x:row>
    <x:row r="27" ht="20" customHeight="1">
      <x:c r="A27" s="11" t="str">
        <x:v>Net present value</x:v>
      </x:c>
      <x:c r="B27" s="77" t="n">
        <x:f>SUM(B22:G22)</x:f>
        <x:v>20.271949687537123</x:v>
      </x:c>
      <x:c r="C27" s="11" t="str">
        <x:v>LCY000</x:v>
      </x:c>
      <x:c r="D27" s="80" t="str">
        <x:v>Value created above required return</x:v>
      </x:c>
      <x:c r="E27" s="97"/>
      <x:c r="F27" s="97"/>
      <x:c r="G27" s="97"/>
      <x:c r="H27" s="97"/>
    </x:row>
    <x:row r="28" ht="20" customHeight="1">
      <x:c r="A28" s="11" t="str">
        <x:v>Internal rate of return</x:v>
      </x:c>
      <x:c r="B28" s="99" t="n">
        <x:f>IF(AND(MIN(B20:G20)&lt;0,MAX(B20:G20)&gt;0),IFERROR(IRR(B20:G20),0),0)</x:f>
        <x:v>0.14461913581941233</x:v>
      </x:c>
      <x:c r="C28" s="11" t="str">
        <x:v>%</x:v>
      </x:c>
      <x:c r="D28" s="80" t="str">
        <x:v>Guarded for valid cash-flow signs</x:v>
      </x:c>
      <x:c r="E28" s="97"/>
      <x:c r="F28" s="97"/>
      <x:c r="G28" s="97"/>
      <x:c r="H28" s="97"/>
    </x:row>
    <x:row r="29" ht="20" customHeight="1">
      <x:c r="A29" s="29" t="str">
        <x:v>Payback</x:v>
      </x:c>
      <x:c r="B29" s="91" t="n">
        <x:f>IF(C23&gt;=0,-B23/C20,IF(D23&gt;=0,1-C23/D20,IF(E23&gt;=0,2-D23/E20,IF(F23&gt;=0,3-E23/F20,IF(G23&gt;=0,4-F23/G20,0)))))</x:f>
        <x:v>3.5743464052287583</x:v>
      </x:c>
      <x:c r="C29" s="29" t="str">
        <x:v>Years</x:v>
      </x:c>
      <x:c r="D29" s="37" t="str">
        <x:v>Zero means no payback in five years</x:v>
      </x:c>
      <x:c r="E29" s="38"/>
      <x:c r="F29" s="38"/>
      <x:c r="G29" s="38"/>
      <x:c r="H29" s="38"/>
    </x:row>
    <x:row r="30" ht="20" customHeight="1">
      <x:c r="A30" s="29" t="str">
        <x:v>Initial funding</x:v>
      </x:c>
      <x:c r="B30" s="73" t="n">
        <x:f>'Inputs'!$B$10+'Inputs'!$B$11</x:f>
        <x:v>315</x:v>
      </x:c>
      <x:c r="C30" s="29" t="str">
        <x:v>LCY000</x:v>
      </x:c>
      <x:c r="D30" s="37" t="str">
        <x:v>Investment plus working capital</x:v>
      </x:c>
      <x:c r="E30" s="38"/>
      <x:c r="F30" s="38"/>
      <x:c r="G30" s="38"/>
      <x:c r="H30" s="38"/>
    </x:row>
    <x:row r="31" ht="20" customHeight="1">
      <x:c r="A31" s="3"/>
      <x:c r="B31" s="3"/>
      <x:c r="C31" s="3"/>
      <x:c r="D31" s="3"/>
      <x:c r="E31" s="3"/>
      <x:c r="F31" s="3"/>
      <x:c r="G31" s="3"/>
      <x:c r="H31" s="3"/>
    </x:row>
    <x:row r="32" ht="20" customHeight="1">
      <x:c r="A32" s="164" t="str">
        <x:f>IF(B27&gt;=0,"OUTCOME: The sample has positive NPV.","OUTCOME: The sample has negative NPV.")</x:f>
        <x:v>OUTCOME: The sample has positive NPV.</x:v>
      </x:c>
      <x:c r="B32" s="165"/>
      <x:c r="C32" s="165"/>
      <x:c r="D32" s="165"/>
      <x:c r="E32" s="165"/>
      <x:c r="F32" s="165"/>
      <x:c r="G32" s="165"/>
      <x:c r="H32" s="166"/>
    </x:row>
    <x:row r="33" ht="20" customHeight="1">
      <x:c r="A33" s="167"/>
      <x:c r="B33" s="168"/>
      <x:c r="C33" s="168"/>
      <x:c r="D33" s="168"/>
      <x:c r="E33" s="168"/>
      <x:c r="F33" s="168"/>
      <x:c r="G33" s="168"/>
      <x:c r="H33" s="169"/>
    </x:row>
    <x:row r="34" ht="20" customHeight="1">
      <x:c r="A34" s="60" t="str">
        <x:v>Capex / Business Case · v1.4.0</x:v>
      </x:c>
      <x:c r="B34" s="60"/>
      <x:c r="C34" s="60"/>
      <x:c r="D34" s="60"/>
      <x:c r="E34" s="60"/>
      <x:c r="F34" s="60"/>
      <x:c r="G34" s="60"/>
      <x:c r="H34" s="60"/>
    </x:row>
  </x:sheetData>
  <x:mergeCells>
    <x:mergeCell ref="A1:H2"/>
    <x:mergeCell ref="A3:H3"/>
    <x:mergeCell ref="A10:H10"/>
    <x:mergeCell ref="A25:H25"/>
    <x:mergeCell ref="D26:H26"/>
    <x:mergeCell ref="D27:H27"/>
    <x:mergeCell ref="D28:H28"/>
    <x:mergeCell ref="D29:H29"/>
    <x:mergeCell ref="D30:H30"/>
    <x:mergeCell ref="A5:B5"/>
    <x:mergeCell ref="A6:B8"/>
    <x:mergeCell ref="C5:D5"/>
    <x:mergeCell ref="C6:D8"/>
    <x:mergeCell ref="E5:F5"/>
    <x:mergeCell ref="E6:F8"/>
    <x:mergeCell ref="G5:H5"/>
    <x:mergeCell ref="G6:H8"/>
    <x:mergeCell ref="A32:H33"/>
    <x:mergeCell ref="A34:H3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7" customHeight="1">
      <x:c r="A1" s="6" t="str">
        <x:v>RESULTS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Capex / Business Case · Decision view linked to the detailed Model sheet</x:v>
      </x:c>
      <x:c r="B3" s="9"/>
      <x:c r="C3" s="9"/>
      <x:c r="D3" s="9"/>
      <x:c r="E3" s="9"/>
      <x:c r="F3" s="9"/>
      <x:c r="G3" s="9"/>
      <x:c r="H3" s="9"/>
    </x:row>
    <x:row r="4" ht="20" customHeight="1">
      <x:c r="A4" s="3"/>
      <x:c r="B4" s="3"/>
      <x:c r="C4" s="3"/>
      <x:c r="D4" s="3"/>
      <x:c r="E4" s="3"/>
      <x:c r="F4" s="3"/>
      <x:c r="G4" s="3"/>
      <x:c r="H4" s="3"/>
    </x:row>
    <x:row r="5" ht="20" customHeight="1">
      <x:c r="A5" s="106" t="str">
        <x:v>NPV</x:v>
      </x:c>
      <x:c r="B5" s="107"/>
      <x:c r="C5" s="106" t="str">
        <x:v>IRR</x:v>
      </x:c>
      <x:c r="D5" s="107"/>
      <x:c r="E5" s="106" t="str">
        <x:v>PAYBACK</x:v>
      </x:c>
      <x:c r="F5" s="107"/>
      <x:c r="G5" s="106" t="str">
        <x:v>INITIAL FUNDING</x:v>
      </x:c>
      <x:c r="H5" s="107"/>
    </x:row>
    <x:row r="6" ht="20" customHeight="1">
      <x:c r="A6" s="121" t="n">
        <x:f>'Model'!A6</x:f>
        <x:v>20.271949687537123</x:v>
      </x:c>
      <x:c r="B6" s="122"/>
      <x:c r="C6" s="133" t="n">
        <x:f>'Model'!C6</x:f>
        <x:v>0.14461913581941233</x:v>
      </x:c>
      <x:c r="D6" s="134"/>
      <x:c r="E6" s="145" t="n">
        <x:f>'Model'!E6</x:f>
        <x:v>3.5743464052287583</x:v>
      </x:c>
      <x:c r="F6" s="146"/>
      <x:c r="G6" s="121" t="n">
        <x:f>'Model'!G6</x:f>
        <x:v>315</x:v>
      </x:c>
      <x:c r="H6" s="122"/>
    </x:row>
    <x:row r="7" ht="20" customHeight="1">
      <x:c r="A7" s="123"/>
      <x:c r="B7" s="124"/>
      <x:c r="C7" s="135"/>
      <x:c r="D7" s="136"/>
      <x:c r="E7" s="147"/>
      <x:c r="F7" s="148"/>
      <x:c r="G7" s="123"/>
      <x:c r="H7" s="124"/>
    </x:row>
    <x:row r="8" ht="20" customHeight="1">
      <x:c r="A8" s="125"/>
      <x:c r="B8" s="126"/>
      <x:c r="C8" s="137"/>
      <x:c r="D8" s="138"/>
      <x:c r="E8" s="149"/>
      <x:c r="F8" s="150"/>
      <x:c r="G8" s="125"/>
      <x:c r="H8" s="126"/>
    </x:row>
    <x:row r="9" ht="20" customHeight="1">
      <x:c r="A9" s="3"/>
      <x:c r="B9" s="3"/>
      <x:c r="C9" s="3"/>
      <x:c r="D9" s="3"/>
      <x:c r="E9" s="3"/>
      <x:c r="F9" s="3"/>
      <x:c r="G9" s="3"/>
      <x:c r="H9" s="3"/>
    </x:row>
    <x:row r="10" ht="20" customHeight="1">
      <x:c r="A10" s="61" t="str">
        <x:v>DECISION VIEW</x:v>
      </x:c>
      <x:c r="B10" s="61"/>
      <x:c r="C10" s="61"/>
      <x:c r="D10" s="61"/>
      <x:c r="E10" s="61"/>
      <x:c r="F10" s="61"/>
      <x:c r="G10" s="61"/>
      <x:c r="H10" s="61"/>
    </x:row>
    <x:row r="11" ht="34" customHeight="1">
      <x:c r="A11" s="170" t="str">
        <x:v>CALCULATION STATUS</x:v>
      </x:c>
      <x:c r="B11" s="170"/>
      <x:c r="C11" s="174" t="str">
        <x:f>'Checks'!B4</x:f>
        <x:v>PASS</x:v>
      </x:c>
      <x:c r="D11" s="175"/>
      <x:c r="E11" s="170" t="str">
        <x:v>INVESTMENT OUTCOME</x:v>
      </x:c>
      <x:c r="F11" s="170"/>
      <x:c r="G11" s="180" t="str">
        <x:f>'Model'!A32</x:f>
        <x:v>OUTCOME: The sample has positive NPV.</x:v>
      </x:c>
      <x:c r="H11" s="181"/>
    </x:row>
    <x:row r="12" ht="20" customHeight="1">
      <x:c r="A12" s="3"/>
      <x:c r="B12" s="3"/>
      <x:c r="C12" s="3"/>
      <x:c r="D12" s="3"/>
      <x:c r="E12" s="3"/>
      <x:c r="F12" s="3"/>
      <x:c r="G12" s="3"/>
      <x:c r="H12" s="3"/>
    </x:row>
    <x:row r="13" ht="20" customHeight="1">
      <x:c r="A13" s="61" t="str">
        <x:v>WHAT IT ANSWERS</x:v>
      </x:c>
      <x:c r="B13" s="61"/>
      <x:c r="C13" s="61"/>
      <x:c r="D13" s="61"/>
      <x:c r="E13" s="61"/>
      <x:c r="F13" s="61"/>
      <x:c r="G13" s="61"/>
      <x:c r="H13" s="61"/>
    </x:row>
    <x:row r="14" ht="20" customHeight="1">
      <x:c r="A14" s="189" t="str">
        <x:v>Does this investment create value and repay itself fast enough?</x:v>
      </x:c>
      <x:c r="B14" s="190"/>
      <x:c r="C14" s="190"/>
      <x:c r="D14" s="190"/>
      <x:c r="E14" s="190"/>
      <x:c r="F14" s="190"/>
      <x:c r="G14" s="190"/>
      <x:c r="H14" s="191"/>
    </x:row>
    <x:row r="15" ht="20" customHeight="1">
      <x:c r="A15" s="192"/>
      <x:c r="B15" s="193"/>
      <x:c r="C15" s="193"/>
      <x:c r="D15" s="193"/>
      <x:c r="E15" s="193"/>
      <x:c r="F15" s="193"/>
      <x:c r="G15" s="193"/>
      <x:c r="H15" s="194"/>
    </x:row>
    <x:row r="16" ht="20" customHeight="1">
      <x:c r="A16" s="3"/>
      <x:c r="B16" s="3"/>
      <x:c r="C16" s="3"/>
      <x:c r="D16" s="3"/>
      <x:c r="E16" s="3"/>
      <x:c r="F16" s="3"/>
      <x:c r="G16" s="3"/>
      <x:c r="H16" s="3"/>
    </x:row>
    <x:row r="17" ht="20" customHeight="1">
      <x:c r="A17" s="61" t="str">
        <x:v>MODEL DEPTH</x:v>
      </x:c>
      <x:c r="B17" s="61"/>
      <x:c r="C17" s="61"/>
      <x:c r="D17" s="61"/>
      <x:c r="E17" s="61"/>
      <x:c r="F17" s="61"/>
      <x:c r="G17" s="61"/>
      <x:c r="H17" s="61"/>
    </x:row>
    <x:row r="18" ht="20" customHeight="1">
      <x:c r="A18" s="64" t="str">
        <x:v>Forecast</x:v>
      </x:c>
      <x:c r="B18" s="64"/>
      <x:c r="C18" s="182" t="str">
        <x:v>Year 0 plus five years</x:v>
      </x:c>
      <x:c r="D18" s="182"/>
      <x:c r="E18" s="182"/>
      <x:c r="F18" s="182"/>
      <x:c r="G18" s="182"/>
      <x:c r="H18" s="182"/>
    </x:row>
    <x:row r="19" ht="20" customHeight="1">
      <x:c r="A19" s="64" t="str">
        <x:v>Editable inputs</x:v>
      </x:c>
      <x:c r="B19" s="64"/>
      <x:c r="C19" s="182" t="str">
        <x:v>10</x:v>
      </x:c>
      <x:c r="D19" s="182"/>
      <x:c r="E19" s="182"/>
      <x:c r="F19" s="182"/>
      <x:c r="G19" s="182"/>
      <x:c r="H19" s="182"/>
    </x:row>
    <x:row r="20" ht="20" customHeight="1">
      <x:c r="A20" s="64" t="str">
        <x:v>Calculation detail</x:v>
      </x:c>
      <x:c r="B20" s="64"/>
      <x:c r="C20" s="182" t="str">
        <x:v>Visible formulas, schedules, roll-forwards, and bridges</x:v>
      </x:c>
      <x:c r="D20" s="182"/>
      <x:c r="E20" s="182"/>
      <x:c r="F20" s="182"/>
      <x:c r="G20" s="182"/>
      <x:c r="H20" s="182"/>
    </x:row>
    <x:row r="21" ht="20" customHeight="1">
      <x:c r="A21" s="64" t="str">
        <x:v>Workbook flow</x:v>
      </x:c>
      <x:c r="B21" s="64"/>
      <x:c r="C21" s="182" t="str">
        <x:v>Start → Inputs → Model → Results → Checks</x:v>
      </x:c>
      <x:c r="D21" s="182"/>
      <x:c r="E21" s="182"/>
      <x:c r="F21" s="182"/>
      <x:c r="G21" s="182"/>
      <x:c r="H21" s="182"/>
    </x:row>
    <x:row r="22" ht="20" customHeight="1">
      <x:c r="A22" s="3"/>
      <x:c r="B22" s="3"/>
      <x:c r="C22" s="3"/>
      <x:c r="D22" s="3"/>
      <x:c r="E22" s="3"/>
      <x:c r="F22" s="3"/>
      <x:c r="G22" s="3"/>
      <x:c r="H22" s="3"/>
    </x:row>
    <x:row r="23" ht="20" customHeight="1">
      <x:c r="A23" s="61" t="str">
        <x:v>SCOPE</x:v>
      </x:c>
      <x:c r="B23" s="61"/>
      <x:c r="C23" s="61"/>
      <x:c r="D23" s="61"/>
      <x:c r="E23" s="61"/>
      <x:c r="F23" s="61"/>
      <x:c r="G23" s="61"/>
      <x:c r="H23" s="61"/>
    </x:row>
    <x:row r="24" ht="20" customHeight="1">
      <x:c r="A24" s="203" t="str">
        <x:v>Included: One investment and one benefit stream · NPV, IRR, and payback · Final salvage and working-capital recovery</x:v>
      </x:c>
      <x:c r="B24" s="204"/>
      <x:c r="C24" s="204"/>
      <x:c r="D24" s="204"/>
      <x:c r="E24" s="204"/>
      <x:c r="F24" s="204"/>
      <x:c r="G24" s="204"/>
      <x:c r="H24" s="205"/>
    </x:row>
    <x:row r="25" ht="20" customHeight="1">
      <x:c r="A25" s="206"/>
      <x:c r="B25" s="207"/>
      <x:c r="C25" s="207"/>
      <x:c r="D25" s="207"/>
      <x:c r="E25" s="207"/>
      <x:c r="F25" s="207"/>
      <x:c r="G25" s="207"/>
      <x:c r="H25" s="208"/>
    </x:row>
    <x:row r="26" ht="20" customHeight="1">
      <x:c r="A26" s="209"/>
      <x:c r="B26" s="210"/>
      <x:c r="C26" s="210"/>
      <x:c r="D26" s="210"/>
      <x:c r="E26" s="210"/>
      <x:c r="F26" s="210"/>
      <x:c r="G26" s="210"/>
      <x:c r="H26" s="211"/>
    </x:row>
    <x:row r="27" ht="20" customHeight="1">
      <x:c r="A27" s="54" t="str">
        <x:v>Outside this model: Monthly phasing, financing, tax depreciation, scenarios, sensitivities, incentives, and real options.</x:v>
      </x:c>
      <x:c r="B27" s="55"/>
      <x:c r="C27" s="55"/>
      <x:c r="D27" s="55"/>
      <x:c r="E27" s="55"/>
      <x:c r="F27" s="55"/>
      <x:c r="G27" s="55"/>
      <x:c r="H27" s="56"/>
    </x:row>
    <x:row r="28" ht="20" customHeight="1">
      <x:c r="A28" s="57"/>
      <x:c r="B28" s="58"/>
      <x:c r="C28" s="58"/>
      <x:c r="D28" s="58"/>
      <x:c r="E28" s="58"/>
      <x:c r="F28" s="58"/>
      <x:c r="G28" s="58"/>
      <x:c r="H28" s="59"/>
    </x:row>
    <x:row r="29" ht="20" customHeight="1">
      <x:c r="A29" s="215" t="str">
        <x:v>Five visible tabs · No hidden calculations · Calculation status and business outcome are reported separately.</x:v>
      </x:c>
      <x:c r="B29" s="216"/>
      <x:c r="C29" s="216"/>
      <x:c r="D29" s="216"/>
      <x:c r="E29" s="216"/>
      <x:c r="F29" s="216"/>
      <x:c r="G29" s="216"/>
      <x:c r="H29" s="217"/>
    </x:row>
    <x:row r="30" ht="20" customHeight="1">
      <x:c r="A30" s="3"/>
      <x:c r="B30" s="3"/>
      <x:c r="C30" s="3"/>
      <x:c r="D30" s="3"/>
      <x:c r="E30" s="3"/>
      <x:c r="F30" s="3"/>
      <x:c r="G30" s="3"/>
      <x:c r="H30" s="3"/>
    </x:row>
    <x:row r="31" ht="20" customHeight="1">
      <x:c r="A31" s="60" t="str">
        <x:v>Capex / Business Case · v1.4.0 · Linked summary only · Trace all formulas on Model</x:v>
      </x:c>
      <x:c r="B31" s="60"/>
      <x:c r="C31" s="60"/>
      <x:c r="D31" s="60"/>
      <x:c r="E31" s="60"/>
      <x:c r="F31" s="60"/>
      <x:c r="G31" s="60"/>
      <x:c r="H31" s="60"/>
    </x:row>
  </x:sheetData>
  <x:mergeCells>
    <x:mergeCell ref="A1:H2"/>
    <x:mergeCell ref="A3:H3"/>
    <x:mergeCell ref="A5:B5"/>
    <x:mergeCell ref="A6:B8"/>
    <x:mergeCell ref="C5:D5"/>
    <x:mergeCell ref="C6:D8"/>
    <x:mergeCell ref="E5:F5"/>
    <x:mergeCell ref="E6:F8"/>
    <x:mergeCell ref="G5:H5"/>
    <x:mergeCell ref="G6:H8"/>
    <x:mergeCell ref="A10:H10"/>
    <x:mergeCell ref="A11:B11"/>
    <x:mergeCell ref="C11:D11"/>
    <x:mergeCell ref="E11:F11"/>
    <x:mergeCell ref="G11:H11"/>
    <x:mergeCell ref="A13:H13"/>
    <x:mergeCell ref="A14:H15"/>
    <x:mergeCell ref="A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3:H23"/>
    <x:mergeCell ref="A24:H26"/>
    <x:mergeCell ref="A27:H28"/>
    <x:mergeCell ref="A29:H29"/>
    <x:mergeCell ref="A31:H31"/>
  </x:mergeCells>
  <x:conditionalFormatting sqref="C11:D11">
    <x:cfRule type="containsText" dxfId="0" priority="1" operator="containsText" text="FAIL"/>
    <x:cfRule type="containsText" dxfId="1" priority="2" operator="containsText" text="PASS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23" hidden="0" customWidth="1"/>
    <x:col min="8" max="8" width="16" hidden="0" customWidth="1"/>
  </x:cols>
  <x:sheetData>
    <x:row r="1" ht="27" customHeight="1">
      <x:c r="A1" s="6" t="str">
        <x:v>CHECKS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Capex / Business Case · Calculation controls only; business outcomes are shown separately</x:v>
      </x:c>
      <x:c r="B3" s="9"/>
      <x:c r="C3" s="9"/>
      <x:c r="D3" s="9"/>
      <x:c r="E3" s="9"/>
      <x:c r="F3" s="9"/>
      <x:c r="G3" s="9"/>
      <x:c r="H3" s="9"/>
    </x:row>
    <x:row r="4" ht="12" customHeight="1">
      <x:c r="A4" s="3"/>
      <x:c r="B4" s="218" t="str">
        <x:f>IF(COUNTIF(F9:F18,"PASS")=10,"PASS","FAIL")</x:f>
        <x:v>PASS</x:v>
      </x:c>
      <x:c r="C4" s="218"/>
      <x:c r="D4" s="218"/>
      <x:c r="E4" s="218"/>
      <x:c r="F4" s="218"/>
      <x:c r="G4" s="218"/>
      <x:c r="H4" s="218"/>
    </x:row>
    <x:row r="5" ht="20" customHeight="1">
      <x:c r="A5" s="60" t="str">
        <x:v>MODEL STATUS</x:v>
      </x:c>
      <x:c r="B5" s="60"/>
      <x:c r="C5" s="174" t="str">
        <x:f>B4</x:f>
        <x:v>PASS</x:v>
      </x:c>
      <x:c r="D5" s="220"/>
      <x:c r="E5" s="220"/>
      <x:c r="F5" s="220"/>
      <x:c r="G5" s="220"/>
      <x:c r="H5" s="175"/>
    </x:row>
    <x:row r="6" ht="20" customHeight="1">
      <x:c r="A6" s="3"/>
      <x:c r="B6" s="3"/>
      <x:c r="C6" s="3"/>
      <x:c r="D6" s="3"/>
      <x:c r="E6" s="3"/>
      <x:c r="F6" s="3"/>
      <x:c r="G6" s="3"/>
      <x:c r="H6" s="3"/>
    </x:row>
    <x:row r="7" ht="20" customHeight="1">
      <x:c r="A7" s="61" t="str">
        <x:v>10 CALCULATION CONTROLS</x:v>
      </x:c>
      <x:c r="B7" s="61"/>
      <x:c r="C7" s="61"/>
      <x:c r="D7" s="61"/>
      <x:c r="E7" s="61"/>
      <x:c r="F7" s="61"/>
      <x:c r="G7" s="61"/>
      <x:c r="H7" s="61"/>
    </x:row>
    <x:row r="8" ht="20" customHeight="1">
      <x:c r="A8" s="28" t="str">
        <x:v>Control</x:v>
      </x:c>
      <x:c r="B8" s="28" t="str">
        <x:v>Actual</x:v>
      </x:c>
      <x:c r="C8" s="28" t="str">
        <x:v>Expected</x:v>
      </x:c>
      <x:c r="D8" s="28" t="str">
        <x:v>Difference</x:v>
      </x:c>
      <x:c r="E8" s="28" t="str">
        <x:v>Tolerance</x:v>
      </x:c>
      <x:c r="F8" s="28" t="str">
        <x:v>Status</x:v>
      </x:c>
      <x:c r="G8" s="28" t="str">
        <x:v>Where to fix</x:v>
      </x:c>
      <x:c r="H8" s="28"/>
    </x:row>
    <x:row r="9" ht="26" customHeight="1">
      <x:c r="A9" s="207" t="str">
        <x:v>All editable inputs are numeric</x:v>
      </x:c>
      <x:c r="B9" s="223" t="n">
        <x:f>ROUND(COUNT('Inputs'!B10,'Inputs'!B11,'Inputs'!B14,'Inputs'!B15,'Inputs'!B16,'Inputs'!B17,'Inputs'!B20,'Inputs'!B21,'Inputs'!B22,'Inputs'!B23),6)</x:f>
        <x:v>10</x:v>
      </x:c>
      <x:c r="C9" s="223" t="n">
        <x:f>10</x:f>
        <x:v>10</x:v>
      </x:c>
      <x:c r="D9" s="223" t="n">
        <x:f>ROUND(B9-C9,6)</x:f>
        <x:v>0</x:v>
      </x:c>
      <x:c r="E9" s="223" t="n">
        <x:f>0</x:f>
        <x:v>0</x:v>
      </x:c>
      <x:c r="F9" s="224" t="str">
        <x:f>IF(ABS(ROUND(D9,6))&lt;=E9,"PASS","FAIL")</x:f>
        <x:v>PASS</x:v>
      </x:c>
      <x:c r="G9" s="207" t="str">
        <x:v>Complete the blue cells on Inputs</x:v>
      </x:c>
      <x:c r="H9" s="207"/>
    </x:row>
    <x:row r="10" ht="26" customHeight="1">
      <x:c r="A10" s="207" t="str">
        <x:v>Results headline KPIs reconcile to Model</x:v>
      </x:c>
      <x:c r="B10" s="227" t="n">
        <x:f>ROUND(IFERROR(SUM(ABS('Results'!A6-'Model'!A6),ABS('Results'!C6-'Model'!C6),ABS('Results'!E6-'Model'!E6),ABS('Results'!G6-'Model'!G6)),1E+99),6)</x:f>
        <x:v>0</x:v>
      </x:c>
      <x:c r="C10" s="227" t="n">
        <x:f>0</x:f>
        <x:v>0</x:v>
      </x:c>
      <x:c r="D10" s="227" t="n">
        <x:f>ROUND(B10-C10,6)</x:f>
        <x:v>0</x:v>
      </x:c>
      <x:c r="E10" s="227" t="n">
        <x:f>0.0001</x:f>
        <x:v>0.0001</x:v>
      </x:c>
      <x:c r="F10" s="224" t="str">
        <x:f>IF(ABS(ROUND(D10,6))&lt;=E10,"PASS","FAIL")</x:f>
        <x:v>PASS</x:v>
      </x:c>
      <x:c r="G10" s="207" t="str">
        <x:v>Review Results-to-Model links</x:v>
      </x:c>
      <x:c r="H10" s="207"/>
    </x:row>
    <x:row r="11" ht="26" customHeight="1">
      <x:c r="A11" s="207" t="str">
        <x:v>Project inputs are valid</x:v>
      </x:c>
      <x:c r="B11" s="227" t="n">
        <x:f>ROUND(IF(AND('Inputs'!$B$10&gt;=0,'Inputs'!$B$11&gt;=0,'Inputs'!$B$14&gt;=0,'Inputs'!$B$15&gt;=0,'Inputs'!$B$15&lt;=1,'Inputs'!$B$16&gt;=0,'Inputs'!$B$16&lt;=1,'Inputs'!$B$17&gt;=0,'Inputs'!$B$21&gt;=0,'Inputs'!$B$21&lt;=1,'Inputs'!$B$22&gt;-1,'Inputs'!$B$23&gt;=0),1,0),6)</x:f>
        <x:v>1</x:v>
      </x:c>
      <x:c r="C11" s="227" t="n">
        <x:f>1</x:f>
        <x:v>1</x:v>
      </x:c>
      <x:c r="D11" s="227" t="n">
        <x:f>ROUND(B11-C11,6)</x:f>
        <x:v>0</x:v>
      </x:c>
      <x:c r="E11" s="227" t="n">
        <x:f>0.0001</x:f>
        <x:v>0.0001</x:v>
      </x:c>
      <x:c r="F11" s="224" t="str">
        <x:f>IF(ABS(ROUND(D11,6))&lt;=E11,"PASS","FAIL")</x:f>
        <x:v>PASS</x:v>
      </x:c>
      <x:c r="G11" s="207" t="str">
        <x:v>Inputs: funding, operating, and valuation drivers</x:v>
      </x:c>
      <x:c r="H11" s="207"/>
    </x:row>
    <x:row r="12" ht="26" customHeight="1">
      <x:c r="A12" s="207" t="str">
        <x:v>Project life is valid</x:v>
      </x:c>
      <x:c r="B12" s="227" t="n">
        <x:f>ROUND(IF(AND('Inputs'!$B$20&gt;=1,'Inputs'!$B$20&lt;=5,'Inputs'!$B$20=INT('Inputs'!$B$20)),1,0),6)</x:f>
        <x:v>1</x:v>
      </x:c>
      <x:c r="C12" s="227" t="n">
        <x:f>1</x:f>
        <x:v>1</x:v>
      </x:c>
      <x:c r="D12" s="227" t="n">
        <x:f>ROUND(B12-C12,6)</x:f>
        <x:v>0</x:v>
      </x:c>
      <x:c r="E12" s="227" t="n">
        <x:f>0.0001</x:f>
        <x:v>0.0001</x:v>
      </x:c>
      <x:c r="F12" s="224" t="str">
        <x:f>IF(ABS(ROUND(D12,6))&lt;=E12,"PASS","FAIL")</x:f>
        <x:v>PASS</x:v>
      </x:c>
      <x:c r="G12" s="207" t="str">
        <x:v>Inputs: project life</x:v>
      </x:c>
      <x:c r="H12" s="207"/>
    </x:row>
    <x:row r="13" ht="26" customHeight="1">
      <x:c r="A13" s="207" t="str">
        <x:v>EBIT bridge ties</x:v>
      </x:c>
      <x:c r="B13" s="230" t="n">
        <x:f>ROUND(MAX(ABS('Model'!B16-SUM('Model'!B12,'Model'!B13,'Model'!B14,'Model'!B15)),ABS('Model'!C16-SUM('Model'!C12,'Model'!C13,'Model'!C14,'Model'!C15)),ABS('Model'!D16-SUM('Model'!D12,'Model'!D13,'Model'!D14,'Model'!D15)),ABS('Model'!E16-SUM('Model'!E12,'Model'!E13,'Model'!E14,'Model'!E15)),ABS('Model'!F16-SUM('Model'!F12,'Model'!F13,'Model'!F14,'Model'!F15)),ABS('Model'!G16-SUM('Model'!G12,'Model'!G13,'Model'!G14,'Model'!G15))),6)</x:f>
        <x:v>0</x:v>
      </x:c>
      <x:c r="C13" s="230" t="n">
        <x:f>0</x:f>
        <x:v>0</x:v>
      </x:c>
      <x:c r="D13" s="230" t="n">
        <x:f>ROUND(B13-C13,6)</x:f>
        <x:v>0</x:v>
      </x:c>
      <x:c r="E13" s="230" t="n">
        <x:f>0.0001</x:f>
        <x:v>0.0001</x:v>
      </x:c>
      <x:c r="F13" s="224" t="str">
        <x:f>IF(ABS(ROUND(D13,6))&lt;=E13,"PASS","FAIL")</x:f>
        <x:v>PASS</x:v>
      </x:c>
      <x:c r="G13" s="207" t="str">
        <x:v>Model: EBIT bridge</x:v>
      </x:c>
      <x:c r="H13" s="207"/>
    </x:row>
    <x:row r="14" ht="26" customHeight="1">
      <x:c r="A14" s="207" t="str">
        <x:v>Operating cash bridge ties</x:v>
      </x:c>
      <x:c r="B14" s="230" t="n">
        <x:f>ROUND(MAX(ABS('Model'!B18-SUM('Model'!B16,'Model'!B17,-'Model'!B15)),ABS('Model'!C18-SUM('Model'!C16,'Model'!C17,-'Model'!C15)),ABS('Model'!D18-SUM('Model'!D16,'Model'!D17,-'Model'!D15)),ABS('Model'!E18-SUM('Model'!E16,'Model'!E17,-'Model'!E15)),ABS('Model'!F18-SUM('Model'!F16,'Model'!F17,-'Model'!F15)),ABS('Model'!G18-SUM('Model'!G16,'Model'!G17,-'Model'!G15))),6)</x:f>
        <x:v>0</x:v>
      </x:c>
      <x:c r="C14" s="230" t="n">
        <x:f>0</x:f>
        <x:v>0</x:v>
      </x:c>
      <x:c r="D14" s="230" t="n">
        <x:f>ROUND(B14-C14,6)</x:f>
        <x:v>0</x:v>
      </x:c>
      <x:c r="E14" s="230" t="n">
        <x:f>0.0001</x:f>
        <x:v>0.0001</x:v>
      </x:c>
      <x:c r="F14" s="224" t="str">
        <x:f>IF(ABS(ROUND(D14,6))&lt;=E14,"PASS","FAIL")</x:f>
        <x:v>PASS</x:v>
      </x:c>
      <x:c r="G14" s="207" t="str">
        <x:v>Model: operating cash</x:v>
      </x:c>
      <x:c r="H14" s="207"/>
    </x:row>
    <x:row r="15" ht="26" customHeight="1">
      <x:c r="A15" s="207" t="str">
        <x:v>FCF bridge ties</x:v>
      </x:c>
      <x:c r="B15" s="230" t="n">
        <x:f>ROUND(MAX(ABS('Model'!B20-('Model'!B18+'Model'!B19)),ABS('Model'!C20-('Model'!C18+'Model'!C19)),ABS('Model'!D20-('Model'!D18+'Model'!D19)),ABS('Model'!E20-('Model'!E18+'Model'!E19)),ABS('Model'!F20-('Model'!F18+'Model'!F19)),ABS('Model'!G20-('Model'!G18+'Model'!G19))),6)</x:f>
        <x:v>0</x:v>
      </x:c>
      <x:c r="C15" s="230" t="n">
        <x:f>0</x:f>
        <x:v>0</x:v>
      </x:c>
      <x:c r="D15" s="230" t="n">
        <x:f>ROUND(B15-C15,6)</x:f>
        <x:v>0</x:v>
      </x:c>
      <x:c r="E15" s="230" t="n">
        <x:f>0.0001</x:f>
        <x:v>0.0001</x:v>
      </x:c>
      <x:c r="F15" s="224" t="str">
        <x:f>IF(ABS(ROUND(D15,6))&lt;=E15,"PASS","FAIL")</x:f>
        <x:v>PASS</x:v>
      </x:c>
      <x:c r="G15" s="207" t="str">
        <x:v>Model: free cash flow</x:v>
      </x:c>
      <x:c r="H15" s="207"/>
    </x:row>
    <x:row r="16" ht="26" customHeight="1">
      <x:c r="A16" s="207" t="str">
        <x:v>Discount factors are correct</x:v>
      </x:c>
      <x:c r="B16" s="227" t="n">
        <x:f>ROUND(MAX(ABS('Model'!B21-1),ABS('Model'!C21-1/(1+MAX(-99%,'Inputs'!$B$22))^1),ABS('Model'!D21-1/(1+MAX(-99%,'Inputs'!$B$22))^2),ABS('Model'!E21-1/(1+MAX(-99%,'Inputs'!$B$22))^3),ABS('Model'!F21-1/(1+MAX(-99%,'Inputs'!$B$22))^4),ABS('Model'!G21-1/(1+MAX(-99%,'Inputs'!$B$22))^5)),6)</x:f>
        <x:v>0</x:v>
      </x:c>
      <x:c r="C16" s="227" t="n">
        <x:f>0</x:f>
        <x:v>0</x:v>
      </x:c>
      <x:c r="D16" s="227" t="n">
        <x:f>ROUND(B16-C16,6)</x:f>
        <x:v>0</x:v>
      </x:c>
      <x:c r="E16" s="227" t="n">
        <x:f>0.0001</x:f>
        <x:v>0.0001</x:v>
      </x:c>
      <x:c r="F16" s="224" t="str">
        <x:f>IF(ABS(ROUND(D16,6))&lt;=E16,"PASS","FAIL")</x:f>
        <x:v>PASS</x:v>
      </x:c>
      <x:c r="G16" s="207" t="str">
        <x:v>Model: discount factors</x:v>
      </x:c>
      <x:c r="H16" s="207"/>
    </x:row>
    <x:row r="17" ht="26" customHeight="1">
      <x:c r="A17" s="207" t="str">
        <x:v>NPV equals PV total</x:v>
      </x:c>
      <x:c r="B17" s="230" t="n">
        <x:f>ROUND('Model'!B27,6)</x:f>
        <x:v>20.27195</x:v>
      </x:c>
      <x:c r="C17" s="230" t="n">
        <x:f>SUM('Model'!B22:G22)</x:f>
        <x:v>20.271949687537123</x:v>
      </x:c>
      <x:c r="D17" s="230" t="n">
        <x:f>ROUND(B17-C17,6)</x:f>
        <x:v>0</x:v>
      </x:c>
      <x:c r="E17" s="230" t="n">
        <x:f>0.0001</x:f>
        <x:v>0.0001</x:v>
      </x:c>
      <x:c r="F17" s="224" t="str">
        <x:f>IF(ABS(ROUND(D17,6))&lt;=E17,"PASS","FAIL")</x:f>
        <x:v>PASS</x:v>
      </x:c>
      <x:c r="G17" s="207" t="str">
        <x:v>Model: present values</x:v>
      </x:c>
      <x:c r="H17" s="207"/>
    </x:row>
    <x:row r="18" ht="26" customHeight="1">
      <x:c r="A18" s="207" t="str">
        <x:v>Cumulative cash roll-forward ties</x:v>
      </x:c>
      <x:c r="B18" s="230" t="n">
        <x:f>ROUND(MAX(ABS('Model'!B23-'Model'!B20),ABS('Model'!C23-'Model'!B23-'Model'!C20),ABS('Model'!D23-'Model'!C23-'Model'!D20),ABS('Model'!E23-'Model'!D23-'Model'!E20),ABS('Model'!F23-'Model'!E23-'Model'!F20),ABS('Model'!G23-'Model'!F23-'Model'!G20)),6)</x:f>
        <x:v>0</x:v>
      </x:c>
      <x:c r="C18" s="230" t="n">
        <x:f>0</x:f>
        <x:v>0</x:v>
      </x:c>
      <x:c r="D18" s="230" t="n">
        <x:f>ROUND(B18-C18,6)</x:f>
        <x:v>0</x:v>
      </x:c>
      <x:c r="E18" s="230" t="n">
        <x:f>0.0001</x:f>
        <x:v>0.0001</x:v>
      </x:c>
      <x:c r="F18" s="224" t="str">
        <x:f>IF(ABS(ROUND(D18,6))&lt;=E18,"PASS","FAIL")</x:f>
        <x:v>PASS</x:v>
      </x:c>
      <x:c r="G18" s="207" t="str">
        <x:v>Model: cumulative cash</x:v>
      </x:c>
      <x:c r="H18" s="207"/>
    </x:row>
    <x:row r="19" ht="20" customHeight="1">
      <x:c r="A19" s="234" t="str">
        <x:v>A warning business outcome can still pass these controls; review Model and Results before making a decision.</x:v>
      </x:c>
      <x:c r="B19" s="235"/>
      <x:c r="C19" s="235"/>
      <x:c r="D19" s="235"/>
      <x:c r="E19" s="235"/>
      <x:c r="F19" s="235"/>
      <x:c r="G19" s="235"/>
      <x:c r="H19" s="236"/>
    </x:row>
    <x:row r="20" ht="20" customHeight="1">
      <x:c r="A20" s="60" t="str">
        <x:v>Capex / Business Case · 10 / 10 controls should show PASS · v1.4.0</x:v>
      </x:c>
      <x:c r="B20" s="60"/>
      <x:c r="C20" s="60"/>
      <x:c r="D20" s="60"/>
      <x:c r="E20" s="60"/>
      <x:c r="F20" s="60"/>
      <x:c r="G20" s="60"/>
      <x:c r="H20" s="60"/>
    </x:row>
  </x:sheetData>
  <x:mergeCells>
    <x:mergeCell ref="A1:H2"/>
    <x:mergeCell ref="A3:H3"/>
    <x:mergeCell ref="B4:H4"/>
    <x:mergeCell ref="A5:B5"/>
    <x:mergeCell ref="C5:H5"/>
    <x:mergeCell ref="A7:H7"/>
    <x:mergeCell ref="G8:H8"/>
    <x:mergeCell ref="G9:H9"/>
    <x:mergeCell ref="G10:H10"/>
    <x:mergeCell ref="G11:H11"/>
    <x:mergeCell ref="G12:H12"/>
    <x:mergeCell ref="G13:H13"/>
    <x:mergeCell ref="G14:H14"/>
    <x:mergeCell ref="G15:H15"/>
    <x:mergeCell ref="G16:H16"/>
    <x:mergeCell ref="G17:H17"/>
    <x:mergeCell ref="G18:H18"/>
    <x:mergeCell ref="A19:H19"/>
    <x:mergeCell ref="A20:H20"/>
  </x:mergeCells>
  <x:conditionalFormatting sqref="C5:H5">
    <x:cfRule type="containsText" dxfId="2" priority="1" operator="containsText" text="FAIL"/>
    <x:cfRule type="containsText" dxfId="3" priority="2" operator="containsText" text="PASS"/>
  </x:conditionalFormatting>
  <x:conditionalFormatting sqref="F9:F9">
    <x:cfRule type="containsText" dxfId="4" priority="3" operator="containsText" text="FAIL"/>
    <x:cfRule type="containsText" dxfId="5" priority="4" operator="containsText" text="PASS"/>
  </x:conditionalFormatting>
  <x:conditionalFormatting sqref="F10:F10">
    <x:cfRule type="containsText" dxfId="6" priority="5" operator="containsText" text="FAIL"/>
    <x:cfRule type="containsText" dxfId="7" priority="6" operator="containsText" text="PASS"/>
  </x:conditionalFormatting>
  <x:conditionalFormatting sqref="F11:F11">
    <x:cfRule type="containsText" dxfId="8" priority="7" operator="containsText" text="FAIL"/>
    <x:cfRule type="containsText" dxfId="9" priority="8" operator="containsText" text="PASS"/>
  </x:conditionalFormatting>
  <x:conditionalFormatting sqref="F12:F12">
    <x:cfRule type="containsText" dxfId="10" priority="9" operator="containsText" text="FAIL"/>
    <x:cfRule type="containsText" dxfId="11" priority="10" operator="containsText" text="PASS"/>
  </x:conditionalFormatting>
  <x:conditionalFormatting sqref="F13:F13">
    <x:cfRule type="containsText" dxfId="12" priority="11" operator="containsText" text="FAIL"/>
    <x:cfRule type="containsText" dxfId="13" priority="12" operator="containsText" text="PASS"/>
  </x:conditionalFormatting>
  <x:conditionalFormatting sqref="F14:F14">
    <x:cfRule type="containsText" dxfId="14" priority="13" operator="containsText" text="FAIL"/>
    <x:cfRule type="containsText" dxfId="15" priority="14" operator="containsText" text="PASS"/>
  </x:conditionalFormatting>
  <x:conditionalFormatting sqref="F15:F15">
    <x:cfRule type="containsText" dxfId="16" priority="15" operator="containsText" text="FAIL"/>
    <x:cfRule type="containsText" dxfId="17" priority="16" operator="containsText" text="PASS"/>
  </x:conditionalFormatting>
  <x:conditionalFormatting sqref="F16:F16">
    <x:cfRule type="containsText" dxfId="18" priority="17" operator="containsText" text="FAIL"/>
    <x:cfRule type="containsText" dxfId="19" priority="18" operator="containsText" text="PASS"/>
  </x:conditionalFormatting>
  <x:conditionalFormatting sqref="F17:F17">
    <x:cfRule type="containsText" dxfId="20" priority="19" operator="containsText" text="FAIL"/>
    <x:cfRule type="containsText" dxfId="21" priority="20" operator="containsText" text="PASS"/>
  </x:conditionalFormatting>
  <x:conditionalFormatting sqref="F18:F18">
    <x:cfRule type="containsText" dxfId="22" priority="21" operator="containsText" text="FAIL"/>
    <x:cfRule type="containsText" dxfId="23" priority="22" operator="containsText" text="PASS"/>
  </x:conditionalFormatting>
  <x:pageMargins left="0.7" right="0.7" top="0.75" bottom="0.75" header="0.3" footer="0.3"/>
</x:worksheet>
</file>