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f8a960a3247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45e4b85504745f4"/>
    <x:sheet xmlns:r="http://schemas.openxmlformats.org/officeDocument/2006/relationships" name="Guide" sheetId="2" r:id="R442f70fab00546da"/>
    <x:sheet xmlns:r="http://schemas.openxmlformats.org/officeDocument/2006/relationships" name="Assumptions" sheetId="3" r:id="R0c57878b38844e75"/>
    <x:sheet xmlns:r="http://schemas.openxmlformats.org/officeDocument/2006/relationships" name="Project Inputs" sheetId="4" r:id="R612e496cfa3a4a14"/>
    <x:sheet xmlns:r="http://schemas.openxmlformats.org/officeDocument/2006/relationships" name="Incremental Cash Flow" sheetId="5" r:id="Rd0ebba0522c34f80"/>
    <x:sheet xmlns:r="http://schemas.openxmlformats.org/officeDocument/2006/relationships" name="Sensitivity" sheetId="6" r:id="Ra0f8d937efa14771"/>
    <x:sheet xmlns:r="http://schemas.openxmlformats.org/officeDocument/2006/relationships" name="Summary" sheetId="7" r:id="R760377d289e94f35"/>
    <x:sheet xmlns:r="http://schemas.openxmlformats.org/officeDocument/2006/relationships" name="Checks" sheetId="8" r:id="R2121c6ab750c47ed"/>
    <x:sheet xmlns:r="http://schemas.openxmlformats.org/officeDocument/2006/relationships" name="Sources &amp; Version" sheetId="9" r:id="R030417a277df4c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;(0.0%);-"/>
    <x:numFmt numFmtId="201" formatCode="#,##0;(#,##0);-"/>
    <x:numFmt numFmtId="202" formatCode="#,##0.0;(#,##0.0);-"/>
    <x:numFmt numFmtId="203" formatCode="0.00;(0.00);-"/>
    <x:numFmt numFmtId="204" formatCode="0.0x;(0.0x);-"/>
  </x:numFmts>
  <x:fonts count="36">
    <x:font>
      <x:sz val="11"/>
      <x:name val="Carlito"/>
    </x:font>
    <x:font>
      <x:b/>
      <x:sz val="20"/>
      <x:color rgb="FFFFFFFF"/>
      <x:name val="Aptos Display"/>
    </x:font>
    <x:font>
      <x:sz val="9"/>
      <x:color rgb="FFDCE6F2"/>
      <x:name val="Aptos"/>
    </x:font>
    <x:font>
      <x:b/>
      <x:sz val="10"/>
      <x:color rgb="FFFFFFFF"/>
      <x:name val="Aptos"/>
    </x:font>
    <x:font>
      <x:sz val="10"/>
      <x:color rgb="FF101827"/>
      <x:name val="Carlito"/>
    </x:font>
    <x:font>
      <x:b/>
      <x:sz val="11"/>
      <x:color rgb="FFFFFFFF"/>
      <x:name val="Carlito"/>
    </x:font>
    <x:font>
      <x:b/>
      <x:sz val="11"/>
      <x:color rgb="FF101827"/>
      <x:name val="Carlito"/>
    </x:font>
    <x:font>
      <x:sz val="9"/>
      <x:color rgb="FF5B687A"/>
      <x:name val="Carlito"/>
    </x:font>
    <x:font>
      <x:b/>
      <x:sz val="11"/>
      <x:color rgb="FF075CCF"/>
      <x:name val="Carlito"/>
    </x:font>
    <x:font>
      <x:sz val="9"/>
      <x:color rgb="FF8A5A00"/>
      <x:name val="Aptos"/>
    </x:font>
    <x:font>
      <x:b/>
      <x:sz val="9"/>
      <x:color rgb="FFFFFFFF"/>
      <x:name val="Aptos"/>
    </x:font>
    <x:font>
      <x:b/>
      <x:sz val="11"/>
      <x:color rgb="FF8A5A00"/>
      <x:name val="Carlito"/>
    </x:font>
    <x:font>
      <x:sz val="10"/>
      <x:color rgb="FF0000FF"/>
      <x:name val="Aptos"/>
    </x:font>
    <x:font>
      <x:sz val="10"/>
      <x:color rgb="FF000000"/>
      <x:name val="Aptos"/>
    </x:font>
    <x:font>
      <x:sz val="11"/>
      <x:color rgb="FF101827"/>
      <x:name val="Carlito"/>
    </x:font>
    <x:font>
      <x:sz val="11"/>
      <x:color rgb="FF101827"/>
      <x:name val="Carlito"/>
    </x:font>
    <x:font>
      <x:sz val="10"/>
      <x:color rgb="FF008000"/>
      <x:name val="Aptos"/>
    </x:font>
    <x:font>
      <x:b/>
      <x:sz val="9"/>
      <x:color rgb="FFFFFFFF"/>
      <x:name val="Carlito"/>
    </x:font>
    <x:font>
      <x:b/>
      <x:sz val="18"/>
      <x:color rgb="FF075CCF"/>
      <x:name val="Aptos"/>
    </x:font>
    <x:font>
      <x:b/>
      <x:sz val="18"/>
      <x:color rgb="FF0F9F8F"/>
      <x:name val="Aptos"/>
    </x:font>
    <x:font>
      <x:b/>
      <x:sz val="8"/>
      <x:color rgb="FFFFFFFF"/>
      <x:name val="Carlito"/>
    </x:font>
    <x:font>
      <x:b/>
      <x:sz val="14"/>
      <x:color rgb="FF0F9F8F"/>
      <x:name val="Carlito"/>
    </x:font>
    <x:font>
      <x:b/>
      <x:sz val="12"/>
      <x:color rgb="FF8A5A00"/>
      <x:name val="Carlito"/>
    </x:font>
    <x:font>
      <x:sz val="11"/>
      <x:color rgb="FF008000"/>
      <x:name val="Carlito"/>
    </x:font>
    <x:font>
      <x:b/>
      <x:sz val="9"/>
      <x:color rgb="FF075CCF"/>
      <x:name val="Carlito"/>
    </x:font>
    <x:font>
      <x:b/>
      <x:sz val="16"/>
      <x:color rgb="FF0F9F8F"/>
      <x:name val="Carlito"/>
    </x:font>
    <x:font>
      <x:b/>
      <x:sz val="11"/>
      <x:color rgb="FF0F9F8F"/>
      <x:name val="Carlito"/>
    </x:font>
    <x:font>
      <x:b/>
      <x:sz val="11"/>
      <x:color rgb="FF5B687A"/>
      <x:name val="Carlito"/>
    </x:font>
    <x:font>
      <x:b/>
      <x:sz val="22"/>
      <x:color rgb="FF101827"/>
      <x:name val="Aptos Display"/>
    </x:font>
    <x:font>
      <x:b/>
      <x:sz val="20"/>
      <x:color rgb="FF0F9F8F"/>
      <x:name val="Carlito"/>
    </x:font>
    <x:font>
      <x:b/>
      <x:sz val="11"/>
      <x:color rgb="FF008000"/>
      <x:name val="Carlito"/>
    </x:font>
    <x:font>
      <x:b/>
      <x:sz val="11"/>
      <x:color rgb="FF075CCF"/>
      <x:name val="Aptos"/>
    </x:font>
    <x:font>
      <x:sz val="9"/>
      <x:color rgb="FF101827"/>
      <x:name val="Carlito"/>
    </x:font>
    <x:font>
      <x:b/>
      <x:sz val="9"/>
      <x:color rgb="FF0000FF"/>
      <x:name val="Carlito"/>
    </x:font>
    <x:font>
      <x:b/>
      <x:sz val="9"/>
      <x:color rgb="FF000000"/>
      <x:name val="Carlito"/>
    </x:font>
    <x:font>
      <x:b/>
      <x:sz val="9"/>
      <x:color rgb="FF008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7111F"/>
      </x:patternFill>
    </x:fill>
    <x:fill>
      <x:patternFill patternType="solid">
        <x:fgColor rgb="FF101827"/>
      </x:patternFill>
    </x:fill>
    <x:fill>
      <x:patternFill patternType="solid">
        <x:fgColor rgb="FF1479FF"/>
      </x:patternFill>
    </x:fill>
    <x:fill>
      <x:patternFill patternType="solid">
        <x:fgColor rgb="FFEEF5FF"/>
      </x:patternFill>
    </x:fill>
    <x:fill>
      <x:patternFill patternType="solid">
        <x:fgColor rgb="FFF7F9FC"/>
      </x:patternFill>
    </x:fill>
    <x:fill>
      <x:patternFill patternType="solid">
        <x:fgColor rgb="FFFFF4DB"/>
      </x:patternFill>
    </x:fill>
    <x:fill>
      <x:patternFill patternType="solid">
        <x:fgColor rgb="FFE5F6F3"/>
      </x:patternFill>
    </x:fill>
    <x:fill>
      <x:patternFill patternType="solid">
        <x:fgColor rgb="FFFFFFFF"/>
      </x:patternFill>
    </x:fill>
  </x:fills>
  <x:borders count="26">
    <x:border/>
    <x:border>
      <x:left style="thin">
        <x:color rgb="FFC88922"/>
      </x:left>
      <x:top style="thin">
        <x:color rgb="FFC88922"/>
      </x:top>
    </x:border>
    <x:border>
      <x:top style="thin">
        <x:color rgb="FFC88922"/>
      </x:top>
    </x:border>
    <x:border>
      <x:right style="thin">
        <x:color rgb="FFC88922"/>
      </x:right>
      <x:top style="thin">
        <x:color rgb="FFC88922"/>
      </x:top>
    </x:border>
    <x:border>
      <x:left style="thin">
        <x:color rgb="FFC88922"/>
      </x:left>
    </x:border>
    <x:border>
      <x:right style="thin">
        <x:color rgb="FFC88922"/>
      </x:right>
    </x:border>
    <x:border>
      <x:left style="thin">
        <x:color rgb="FFC88922"/>
      </x:left>
      <x:bottom style="thin">
        <x:color rgb="FFC88922"/>
      </x:bottom>
    </x:border>
    <x:border>
      <x:bottom style="thin">
        <x:color rgb="FFC88922"/>
      </x:bottom>
    </x:border>
    <x:border>
      <x:right style="thin">
        <x:color rgb="FFC88922"/>
      </x:right>
      <x:bottom style="thin">
        <x:color rgb="FFC88922"/>
      </x:bottom>
    </x:border>
    <x:border>
      <x:right style="thin">
        <x:color rgb="FFDBE4EF"/>
      </x:right>
    </x:border>
    <x:border>
      <x:left style="thin">
        <x:color rgb="FFDBE4EF"/>
      </x:left>
      <x:right style="thin">
        <x:color rgb="FFDBE4EF"/>
      </x:right>
    </x:border>
    <x:border>
      <x:left style="thin">
        <x:color rgb="FFDBE4EF"/>
      </x:left>
    </x:border>
    <x:border>
      <x:right style="thin">
        <x:color rgb="FFDBE4EF"/>
      </x:right>
      <x:bottom style="thin">
        <x:color rgb="FFDBE4EF"/>
      </x:bottom>
    </x:border>
    <x:border>
      <x:left style="thin">
        <x:color rgb="FFDBE4EF"/>
      </x:left>
      <x:right style="thin">
        <x:color rgb="FFDBE4EF"/>
      </x:right>
      <x:bottom style="thin">
        <x:color rgb="FFDBE4EF"/>
      </x:bottom>
    </x:border>
    <x:border>
      <x:left style="thin">
        <x:color rgb="FFDBE4EF"/>
      </x:left>
      <x:bottom style="thin">
        <x:color rgb="FFDBE4EF"/>
      </x:bottom>
    </x:border>
    <x:border>
      <x:right style="thin">
        <x:color rgb="FFDBE4EF"/>
      </x:right>
      <x:top style="thin">
        <x:color rgb="FFDBE4EF"/>
      </x:top>
      <x:bottom style="thin">
        <x:color rgb="FFDBE4EF"/>
      </x:bottom>
    </x:border>
    <x:border>
      <x:left style="thin">
        <x:color rgb="FFDBE4EF"/>
      </x:left>
      <x:right style="thin">
        <x:color rgb="FFDBE4EF"/>
      </x:right>
      <x:top style="thin">
        <x:color rgb="FFDBE4EF"/>
      </x:top>
      <x:bottom style="thin">
        <x:color rgb="FFDBE4EF"/>
      </x:bottom>
    </x:border>
    <x:border>
      <x:left style="thin">
        <x:color rgb="FFDBE4EF"/>
      </x:left>
      <x:top style="thin">
        <x:color rgb="FFDBE4EF"/>
      </x:top>
      <x:bottom style="thin">
        <x:color rgb="FFDBE4EF"/>
      </x:bottom>
    </x:border>
    <x:border>
      <x:right style="thin">
        <x:color rgb="FFDBE4EF"/>
      </x:right>
      <x:top style="thin">
        <x:color rgb="FFDBE4EF"/>
      </x:top>
    </x:border>
    <x:border>
      <x:left style="thin">
        <x:color rgb="FFDBE4EF"/>
      </x:left>
      <x:right style="thin">
        <x:color rgb="FFDBE4EF"/>
      </x:right>
      <x:top style="thin">
        <x:color rgb="FFDBE4EF"/>
      </x:top>
    </x:border>
    <x:border>
      <x:left style="thin">
        <x:color rgb="FFDBE4EF"/>
      </x:left>
      <x:top style="thin">
        <x:color rgb="FFDBE4EF"/>
      </x:top>
    </x:border>
    <x:border>
      <x:bottom style="thin">
        <x:color rgb="FFDBE4EF"/>
      </x:bottom>
    </x:border>
    <x:border>
      <x:top style="thin">
        <x:color rgb="FFDBE4EF"/>
      </x:top>
      <x:bottom style="thin">
        <x:color rgb="FFDBE4EF"/>
      </x:bottom>
    </x:border>
    <x:border>
      <x:top style="thin">
        <x:color rgb="FFDBE4EF"/>
      </x:top>
    </x:border>
    <x:border>
      <x:top style="thin">
        <x:color rgb="FF101827"/>
      </x:top>
    </x:border>
    <x:border>
      <x:top style="thin">
        <x:color rgb="FF101827"/>
      </x:top>
      <x:bottom style="thin">
        <x:color rgb="FFDBE4EF"/>
      </x:bottom>
    </x:border>
  </x:borders>
  <x:cellStyleXfs count="1">
    <x:xf numFmtId="0" fontId="0" fillId="0" borderId="0"/>
  </x:cellStyleXfs>
  <x:cellXfs count="2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9" fillId="7" borderId="2" xfId="0" applyNumberFormat="1" applyFont="1" applyFill="1" applyBorder="1"/>
    <x:xf numFmtId="0" fontId="9" fillId="7" borderId="3" xfId="0" applyNumberFormat="1" applyFont="1" applyFill="1" applyBorder="1"/>
    <x:xf numFmtId="0" fontId="9" fillId="7" borderId="4" xfId="0" applyNumberFormat="1" applyFont="1" applyFill="1" applyBorder="1"/>
    <x:xf numFmtId="0" fontId="9" fillId="7" borderId="5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2" xfId="0" applyNumberFormat="1" applyFont="1" applyFill="1" applyBorder="1" applyAlignment="1">
      <x:alignment wrapText="1"/>
    </x:xf>
    <x:xf numFmtId="0" fontId="9" fillId="7" borderId="3" xfId="0" applyNumberFormat="1" applyFont="1" applyFill="1" applyBorder="1" applyAlignment="1">
      <x:alignment wrapText="1"/>
    </x:xf>
    <x:xf numFmtId="0" fontId="9" fillId="7" borderId="4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9" fillId="7" borderId="5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vertical="center" wrapText="1"/>
    </x:xf>
    <x:xf numFmtId="0" fontId="9" fillId="7" borderId="2" xfId="0" applyNumberFormat="1" applyFont="1" applyFill="1" applyBorder="1" applyAlignment="1">
      <x:alignment vertical="center" wrapText="1"/>
    </x:xf>
    <x:xf numFmtId="0" fontId="9" fillId="7" borderId="3" xfId="0" applyNumberFormat="1" applyFont="1" applyFill="1" applyBorder="1" applyAlignment="1">
      <x:alignment vertical="center" wrapText="1"/>
    </x:xf>
    <x:xf numFmtId="0" fontId="9" fillId="7" borderId="4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5" xfId="0" applyNumberFormat="1" applyFont="1" applyFill="1" applyBorder="1" applyAlignment="1">
      <x:alignment vertical="center" wrapText="1"/>
    </x:xf>
    <x:xf numFmtId="0" fontId="9" fillId="7" borderId="6" xfId="0" applyNumberFormat="1" applyFont="1" applyFill="1" applyBorder="1" applyAlignment="1">
      <x:alignment vertical="center" wrapText="1"/>
    </x:xf>
    <x:xf numFmtId="0" fontId="9" fillId="7" borderId="7" xfId="0" applyNumberFormat="1" applyFont="1" applyFill="1" applyBorder="1" applyAlignment="1">
      <x:alignment vertical="center" wrapText="1"/>
    </x:xf>
    <x:xf numFmtId="0" fontId="9" fillId="7" borderId="8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horizontal="center"/>
    </x:xf>
    <x:xf numFmtId="0" fontId="10" fillId="3" borderId="9" xfId="0" applyNumberFormat="1" applyFont="1" applyFill="1" applyBorder="1"/>
    <x:xf numFmtId="0" fontId="10" fillId="3" borderId="10" xfId="0" applyNumberFormat="1" applyFont="1" applyFill="1" applyBorder="1"/>
    <x:xf numFmtId="0" fontId="10" fillId="3" borderId="11" xfId="0" applyNumberFormat="1" applyFont="1" applyFill="1" applyBorder="1"/>
    <x:xf numFmtId="0" fontId="10" fillId="3" borderId="9" xfId="0" applyNumberFormat="1" applyFont="1" applyFill="1" applyBorder="1" applyAlignment="1">
      <x:alignment wrapText="1"/>
    </x:xf>
    <x:xf numFmtId="0" fontId="10" fillId="3" borderId="10" xfId="0" applyNumberFormat="1" applyFont="1" applyFill="1" applyBorder="1" applyAlignment="1">
      <x:alignment wrapText="1"/>
    </x:xf>
    <x:xf numFmtId="0" fontId="10" fillId="3" borderId="11" xfId="0" applyNumberFormat="1" applyFont="1" applyFill="1" applyBorder="1" applyAlignment="1">
      <x:alignment wrapText="1"/>
    </x:xf>
    <x:xf numFmtId="0" fontId="10" fillId="3" borderId="9" xfId="0" applyNumberFormat="1" applyFont="1" applyFill="1" applyBorder="1" applyAlignment="1">
      <x:alignment horizontal="center" wrapText="1"/>
    </x:xf>
    <x:xf numFmtId="0" fontId="10" fillId="3" borderId="10" xfId="0" applyNumberFormat="1" applyFont="1" applyFill="1" applyBorder="1" applyAlignment="1">
      <x:alignment horizontal="center" wrapText="1"/>
    </x:xf>
    <x:xf numFmtId="0" fontId="10" fillId="3" borderId="11" xfId="0" applyNumberFormat="1" applyFont="1" applyFill="1" applyBorder="1" applyAlignment="1">
      <x:alignment horizontal="center" wrapText="1"/>
    </x:xf>
    <x:xf numFmtId="0" fontId="10" fillId="3" borderId="9" xfId="0" applyNumberFormat="1" applyFont="1" applyFill="1" applyBorder="1" applyAlignment="1">
      <x:alignment horizontal="center" vertical="center" wrapText="1"/>
    </x:xf>
    <x:xf numFmtId="0" fontId="10" fillId="3" borderId="10" xfId="0" applyNumberFormat="1" applyFont="1" applyFill="1" applyBorder="1" applyAlignment="1">
      <x:alignment horizontal="center" vertical="center" wrapText="1"/>
    </x:xf>
    <x:xf numFmtId="0" fontId="10" fillId="3" borderId="11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/>
    <x:xf numFmtId="200" fontId="12" fillId="5" borderId="0" xfId="0" applyNumberFormat="1" applyFont="1" applyFill="1" applyBorder="1"/>
    <x:xf numFmtId="200" fontId="12" fillId="5" borderId="0" xfId="0" applyNumberFormat="1" applyFont="1" applyFill="1" applyBorder="1" applyAlignment="1">
      <x:alignment horizontal="right"/>
    </x:xf>
    <x:xf numFmtId="0" fontId="13" fillId="0" borderId="0" xfId="0" applyNumberFormat="1" applyFont="1" applyFill="1" applyBorder="1"/>
    <x:xf numFmtId="200" fontId="13" fillId="0" borderId="0" xfId="0" applyNumberFormat="1" applyFont="1" applyFill="1" applyBorder="1"/>
    <x:xf numFmtId="200" fontId="13" fillId="0" borderId="0" xfId="0" applyNumberFormat="1" applyFont="1" applyFill="1" applyBorder="1" applyAlignment="1">
      <x:alignment horizontal="right"/>
    </x:xf>
    <x:xf numFmtId="201" fontId="12" fillId="5" borderId="0" xfId="0" applyNumberFormat="1" applyFont="1" applyFill="1" applyBorder="1"/>
    <x:xf numFmtId="201" fontId="12" fillId="5" borderId="0" xfId="0" applyNumberFormat="1" applyFont="1" applyFill="1" applyBorder="1" applyAlignment="1">
      <x:alignment horizontal="right"/>
    </x:xf>
    <x:xf numFmtId="201" fontId="13" fillId="0" borderId="0" xfId="0" applyNumberFormat="1" applyFont="1" applyFill="1" applyBorder="1"/>
    <x:xf numFmtId="201" fontId="13" fillId="0" borderId="0" xfId="0" applyNumberFormat="1" applyFont="1" applyFill="1" applyBorder="1" applyAlignment="1">
      <x:alignment horizontal="right"/>
    </x:xf>
    <x:xf numFmtId="202" fontId="12" fillId="5" borderId="0" xfId="0" applyNumberFormat="1" applyFont="1" applyFill="1" applyBorder="1"/>
    <x:xf numFmtId="202" fontId="12" fillId="5" borderId="0" xfId="0" applyNumberFormat="1" applyFont="1" applyFill="1" applyBorder="1" applyAlignment="1">
      <x:alignment horizontal="right"/>
    </x:xf>
    <x:xf numFmtId="202" fontId="13" fillId="0" borderId="0" xfId="0" applyNumberFormat="1" applyFont="1" applyFill="1" applyBorder="1"/>
    <x:xf numFmtId="202" fontId="13" fillId="0" borderId="0" xfId="0" applyNumberFormat="1" applyFont="1" applyFill="1" applyBorder="1" applyAlignment="1">
      <x:alignment horizontal="right"/>
    </x:xf>
    <x:xf numFmtId="0" fontId="14" fillId="0" borderId="0" xfId="0" applyNumberFormat="1" applyFont="1" applyFill="1" applyBorder="1"/>
    <x:xf numFmtId="0" fontId="14" fillId="0" borderId="12" xfId="0" applyNumberFormat="1" applyFont="1" applyFill="1" applyBorder="1"/>
    <x:xf numFmtId="0" fontId="14" fillId="0" borderId="13" xfId="0" applyNumberFormat="1" applyFont="1" applyFill="1" applyBorder="1"/>
    <x:xf numFmtId="200" fontId="12" fillId="5" borderId="13" xfId="0" applyNumberFormat="1" applyFont="1" applyFill="1" applyBorder="1" applyAlignment="1">
      <x:alignment horizontal="right"/>
    </x:xf>
    <x:xf numFmtId="200" fontId="13" fillId="0" borderId="13" xfId="0" applyNumberFormat="1" applyFont="1" applyFill="1" applyBorder="1" applyAlignment="1">
      <x:alignment horizontal="right"/>
    </x:xf>
    <x:xf numFmtId="0" fontId="7" fillId="0" borderId="14" xfId="0" applyNumberFormat="1" applyFont="1" applyFill="1" applyBorder="1" applyAlignment="1">
      <x:alignment wrapText="1"/>
    </x:xf>
    <x:xf numFmtId="0" fontId="14" fillId="0" borderId="15" xfId="0" applyNumberFormat="1" applyFont="1" applyFill="1" applyBorder="1"/>
    <x:xf numFmtId="0" fontId="14" fillId="0" borderId="16" xfId="0" applyNumberFormat="1" applyFont="1" applyFill="1" applyBorder="1"/>
    <x:xf numFmtId="200" fontId="12" fillId="5" borderId="16" xfId="0" applyNumberFormat="1" applyFont="1" applyFill="1" applyBorder="1" applyAlignment="1">
      <x:alignment horizontal="right"/>
    </x:xf>
    <x:xf numFmtId="200" fontId="13" fillId="0" borderId="16" xfId="0" applyNumberFormat="1" applyFont="1" applyFill="1" applyBorder="1" applyAlignment="1">
      <x:alignment horizontal="right"/>
    </x:xf>
    <x:xf numFmtId="0" fontId="7" fillId="0" borderId="17" xfId="0" applyNumberFormat="1" applyFont="1" applyFill="1" applyBorder="1" applyAlignment="1">
      <x:alignment wrapText="1"/>
    </x:xf>
    <x:xf numFmtId="201" fontId="12" fillId="5" borderId="16" xfId="0" applyNumberFormat="1" applyFont="1" applyFill="1" applyBorder="1" applyAlignment="1">
      <x:alignment horizontal="right"/>
    </x:xf>
    <x:xf numFmtId="201" fontId="13" fillId="0" borderId="16" xfId="0" applyNumberFormat="1" applyFont="1" applyFill="1" applyBorder="1" applyAlignment="1">
      <x:alignment horizontal="right"/>
    </x:xf>
    <x:xf numFmtId="0" fontId="14" fillId="0" borderId="18" xfId="0" applyNumberFormat="1" applyFont="1" applyFill="1" applyBorder="1"/>
    <x:xf numFmtId="0" fontId="14" fillId="0" borderId="19" xfId="0" applyNumberFormat="1" applyFont="1" applyFill="1" applyBorder="1"/>
    <x:xf numFmtId="202" fontId="12" fillId="5" borderId="19" xfId="0" applyNumberFormat="1" applyFont="1" applyFill="1" applyBorder="1" applyAlignment="1">
      <x:alignment horizontal="right"/>
    </x:xf>
    <x:xf numFmtId="202" fontId="13" fillId="0" borderId="19" xfId="0" applyNumberFormat="1" applyFont="1" applyFill="1" applyBorder="1" applyAlignment="1">
      <x:alignment horizontal="right"/>
    </x:xf>
    <x:xf numFmtId="0" fontId="7" fillId="0" borderId="20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  <x:xf numFmtId="0" fontId="15" fillId="0" borderId="21" xfId="0" applyNumberFormat="1" applyFont="1" applyFill="1" applyBorder="1"/>
    <x:xf numFmtId="202" fontId="12" fillId="5" borderId="21" xfId="0" applyNumberFormat="1" applyFont="1" applyFill="1" applyBorder="1" applyAlignment="1">
      <x:alignment horizontal="right"/>
    </x:xf>
    <x:xf numFmtId="0" fontId="15" fillId="0" borderId="22" xfId="0" applyNumberFormat="1" applyFont="1" applyFill="1" applyBorder="1"/>
    <x:xf numFmtId="202" fontId="12" fillId="5" borderId="22" xfId="0" applyNumberFormat="1" applyFont="1" applyFill="1" applyBorder="1" applyAlignment="1">
      <x:alignment horizontal="right"/>
    </x:xf>
    <x:xf numFmtId="0" fontId="15" fillId="0" borderId="23" xfId="0" applyNumberFormat="1" applyFont="1" applyFill="1" applyBorder="1"/>
    <x:xf numFmtId="202" fontId="12" fillId="5" borderId="23" xfId="0" applyNumberFormat="1" applyFont="1" applyFill="1" applyBorder="1" applyAlignment="1">
      <x:alignment horizontal="right"/>
    </x:xf>
    <x:xf numFmtId="0" fontId="16" fillId="0" borderId="0" xfId="0" applyNumberFormat="1" applyFont="1" applyFill="1" applyBorder="1"/>
    <x:xf numFmtId="202" fontId="16" fillId="0" borderId="0" xfId="0" applyNumberFormat="1" applyFont="1" applyFill="1" applyBorder="1"/>
    <x:xf numFmtId="202" fontId="16" fillId="0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 applyAlignment="1">
      <x:alignment wrapText="1"/>
    </x:xf>
    <x:xf numFmtId="0" fontId="6" fillId="0" borderId="24" xfId="0" applyNumberFormat="1" applyFont="1" applyFill="1" applyBorder="1" applyAlignment="1">
      <x:alignment wrapText="1"/>
    </x:xf>
    <x:xf numFmtId="202" fontId="16" fillId="0" borderId="24" xfId="0" applyNumberFormat="1" applyFont="1" applyFill="1" applyBorder="1" applyAlignment="1">
      <x:alignment horizontal="right"/>
    </x:xf>
    <x:xf numFmtId="0" fontId="6" fillId="8" borderId="24" xfId="0" applyNumberFormat="1" applyFont="1" applyFill="1" applyBorder="1" applyAlignment="1">
      <x:alignment wrapText="1"/>
    </x:xf>
    <x:xf numFmtId="202" fontId="16" fillId="8" borderId="24" xfId="0" applyNumberFormat="1" applyFont="1" applyFill="1" applyBorder="1" applyAlignment="1">
      <x:alignment horizontal="right"/>
    </x:xf>
    <x:xf numFmtId="0" fontId="15" fillId="0" borderId="0" xfId="0" applyNumberFormat="1" applyFont="1" applyFill="1" applyBorder="1" applyAlignment="1">
      <x:alignment wrapText="1"/>
    </x:xf>
    <x:xf numFmtId="202" fontId="13" fillId="0" borderId="24" xfId="0" applyNumberFormat="1" applyFont="1" applyFill="1" applyBorder="1" applyAlignment="1">
      <x:alignment horizontal="right"/>
    </x:xf>
    <x:xf numFmtId="0" fontId="6" fillId="6" borderId="24" xfId="0" applyNumberFormat="1" applyFont="1" applyFill="1" applyBorder="1" applyAlignment="1">
      <x:alignment wrapText="1"/>
    </x:xf>
    <x:xf numFmtId="202" fontId="13" fillId="6" borderId="24" xfId="0" applyNumberFormat="1" applyFont="1" applyFill="1" applyBorder="1" applyAlignment="1">
      <x:alignment horizontal="right"/>
    </x:xf>
    <x:xf numFmtId="202" fontId="13" fillId="8" borderId="24" xfId="0" applyNumberFormat="1" applyFont="1" applyFill="1" applyBorder="1" applyAlignment="1">
      <x:alignment horizontal="right"/>
    </x:xf>
    <x:xf numFmtId="203" fontId="16" fillId="0" borderId="0" xfId="0" applyNumberFormat="1" applyFont="1" applyFill="1" applyBorder="1"/>
    <x:xf numFmtId="203" fontId="16" fillId="0" borderId="0" xfId="0" applyNumberFormat="1" applyFont="1" applyFill="1" applyBorder="1" applyAlignment="1">
      <x:alignment horizontal="right"/>
    </x:xf>
    <x:xf numFmtId="0" fontId="6" fillId="8" borderId="25" xfId="0" applyNumberFormat="1" applyFont="1" applyFill="1" applyBorder="1" applyAlignment="1">
      <x:alignment wrapText="1"/>
    </x:xf>
    <x:xf numFmtId="202" fontId="16" fillId="8" borderId="25" xfId="0" applyNumberFormat="1" applyFont="1" applyFill="1" applyBorder="1" applyAlignment="1">
      <x:alignment horizontal="right"/>
    </x:xf>
    <x:xf numFmtId="0" fontId="15" fillId="0" borderId="22" xfId="0" applyNumberFormat="1" applyFont="1" applyFill="1" applyBorder="1" applyAlignment="1">
      <x:alignment wrapText="1"/>
    </x:xf>
    <x:xf numFmtId="202" fontId="16" fillId="0" borderId="22" xfId="0" applyNumberFormat="1" applyFont="1" applyFill="1" applyBorder="1" applyAlignment="1">
      <x:alignment horizontal="right"/>
    </x:xf>
    <x:xf numFmtId="0" fontId="6" fillId="6" borderId="22" xfId="0" applyNumberFormat="1" applyFont="1" applyFill="1" applyBorder="1" applyAlignment="1">
      <x:alignment wrapText="1"/>
    </x:xf>
    <x:xf numFmtId="202" fontId="13" fillId="6" borderId="22" xfId="0" applyNumberFormat="1" applyFont="1" applyFill="1" applyBorder="1" applyAlignment="1">
      <x:alignment horizontal="right"/>
    </x:xf>
    <x:xf numFmtId="202" fontId="13" fillId="0" borderId="22" xfId="0" applyNumberFormat="1" applyFont="1" applyFill="1" applyBorder="1" applyAlignment="1">
      <x:alignment horizontal="right"/>
    </x:xf>
    <x:xf numFmtId="0" fontId="6" fillId="8" borderId="22" xfId="0" applyNumberFormat="1" applyFont="1" applyFill="1" applyBorder="1" applyAlignment="1">
      <x:alignment wrapText="1"/>
    </x:xf>
    <x:xf numFmtId="202" fontId="13" fillId="8" borderId="22" xfId="0" applyNumberFormat="1" applyFont="1" applyFill="1" applyBorder="1" applyAlignment="1">
      <x:alignment horizontal="right"/>
    </x:xf>
    <x:xf numFmtId="203" fontId="16" fillId="0" borderId="22" xfId="0" applyNumberFormat="1" applyFont="1" applyFill="1" applyBorder="1" applyAlignment="1">
      <x:alignment horizontal="right"/>
    </x:xf>
    <x:xf numFmtId="0" fontId="15" fillId="0" borderId="23" xfId="0" applyNumberFormat="1" applyFont="1" applyFill="1" applyBorder="1" applyAlignment="1">
      <x:alignment wrapText="1"/>
    </x:xf>
    <x:xf numFmtId="202" fontId="13" fillId="0" borderId="23" xfId="0" applyNumberFormat="1" applyFont="1" applyFill="1" applyBorder="1" applyAlignment="1">
      <x:alignment horizontal="right"/>
    </x:xf>
    <x:xf numFmtId="0" fontId="5" fillId="3" borderId="0" xfId="0" applyNumberFormat="1" applyFont="1" applyFill="1" applyBorder="1" applyAlignment="1">
      <x:alignment horizontal="center"/>
    </x:xf>
    <x:xf numFmtId="202" fontId="16" fillId="6" borderId="0" xfId="0" applyNumberFormat="1" applyFont="1" applyFill="1" applyBorder="1" applyAlignment="1">
      <x:alignment horizontal="right"/>
    </x:xf>
    <x:xf numFmtId="202" fontId="16" fillId="6" borderId="16" xfId="0" applyNumberFormat="1" applyFont="1" applyFill="1" applyBorder="1" applyAlignment="1">
      <x:alignment horizontal="right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17" fillId="3" borderId="0" xfId="0" applyNumberFormat="1" applyFont="1" applyFill="1" applyBorder="1"/>
    <x:xf numFmtId="0" fontId="17" fillId="3" borderId="0" xfId="0" applyNumberFormat="1" applyFont="1" applyFill="1" applyBorder="1" applyAlignment="1">
      <x:alignment horizontal="center"/>
    </x:xf>
    <x:xf numFmtId="202" fontId="16" fillId="5" borderId="0" xfId="0" applyNumberFormat="1" applyFont="1" applyFill="1" applyBorder="1" applyAlignment="1">
      <x:alignment horizontal="right"/>
    </x:xf>
    <x:xf numFmtId="202" fontId="18" fillId="5" borderId="0" xfId="0" applyNumberFormat="1" applyFont="1" applyFill="1" applyBorder="1" applyAlignment="1">
      <x:alignment horizontal="right"/>
    </x:xf>
    <x:xf numFmtId="202" fontId="18" fillId="5" borderId="0" xfId="0" applyNumberFormat="1" applyFont="1" applyFill="1" applyBorder="1" applyAlignment="1">
      <x:alignment horizontal="center"/>
    </x:xf>
    <x:xf numFmtId="202" fontId="18" fillId="5" borderId="0" xfId="0" applyNumberFormat="1" applyFont="1" applyFill="1" applyBorder="1" applyAlignment="1">
      <x:alignment horizontal="center" vertical="center"/>
    </x:xf>
    <x:xf numFmtId="202" fontId="16" fillId="8" borderId="0" xfId="0" applyNumberFormat="1" applyFont="1" applyFill="1" applyBorder="1" applyAlignment="1">
      <x:alignment horizontal="right"/>
    </x:xf>
    <x:xf numFmtId="202" fontId="19" fillId="8" borderId="0" xfId="0" applyNumberFormat="1" applyFont="1" applyFill="1" applyBorder="1" applyAlignment="1">
      <x:alignment horizontal="right"/>
    </x:xf>
    <x:xf numFmtId="202" fontId="19" fillId="8" borderId="0" xfId="0" applyNumberFormat="1" applyFont="1" applyFill="1" applyBorder="1" applyAlignment="1">
      <x:alignment horizontal="center"/>
    </x:xf>
    <x:xf numFmtId="202" fontId="19" fillId="8" borderId="0" xfId="0" applyNumberFormat="1" applyFont="1" applyFill="1" applyBorder="1" applyAlignment="1">
      <x:alignment horizontal="center" vertical="center"/>
    </x:xf>
    <x:xf numFmtId="204" fontId="16" fillId="0" borderId="0" xfId="0" applyNumberFormat="1" applyFont="1" applyFill="1" applyBorder="1"/>
    <x:xf numFmtId="204" fontId="16" fillId="0" borderId="0" xfId="0" applyNumberFormat="1" applyFont="1" applyFill="1" applyBorder="1" applyAlignment="1">
      <x:alignment horizontal="right"/>
    </x:xf>
    <x:xf numFmtId="204" fontId="16" fillId="5" borderId="0" xfId="0" applyNumberFormat="1" applyFont="1" applyFill="1" applyBorder="1" applyAlignment="1">
      <x:alignment horizontal="right"/>
    </x:xf>
    <x:xf numFmtId="204" fontId="18" fillId="5" borderId="0" xfId="0" applyNumberFormat="1" applyFont="1" applyFill="1" applyBorder="1" applyAlignment="1">
      <x:alignment horizontal="right"/>
    </x:xf>
    <x:xf numFmtId="204" fontId="18" fillId="5" borderId="0" xfId="0" applyNumberFormat="1" applyFont="1" applyFill="1" applyBorder="1" applyAlignment="1">
      <x:alignment horizontal="center"/>
    </x:xf>
    <x:xf numFmtId="204" fontId="18" fillId="5" borderId="0" xfId="0" applyNumberFormat="1" applyFont="1" applyFill="1" applyBorder="1" applyAlignment="1">
      <x:alignment horizontal="center" vertical="center"/>
    </x:xf>
    <x:xf numFmtId="0" fontId="20" fillId="3" borderId="0" xfId="0" applyNumberFormat="1" applyFont="1" applyFill="1" applyBorder="1"/>
    <x:xf numFmtId="0" fontId="20" fillId="3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21" fillId="8" borderId="0" xfId="0" applyNumberFormat="1" applyFont="1" applyFill="1" applyBorder="1"/>
    <x:xf numFmtId="0" fontId="21" fillId="8" borderId="0" xfId="0" applyNumberFormat="1" applyFont="1" applyFill="1" applyBorder="1" applyAlignment="1">
      <x:alignment horizontal="center"/>
    </x:xf>
    <x:xf numFmtId="0" fontId="21" fillId="8" borderId="0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/>
    <x:xf numFmtId="0" fontId="22" fillId="7" borderId="0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23" fillId="0" borderId="0" xfId="0" applyNumberFormat="1" applyFont="1" applyFill="1" applyBorder="1"/>
    <x:xf numFmtId="0" fontId="24" fillId="6" borderId="0" xfId="0" applyNumberFormat="1" applyFont="1" applyFill="1" applyBorder="1"/>
    <x:xf numFmtId="0" fontId="24" fillId="6" borderId="0" xfId="0" applyNumberFormat="1" applyFont="1" applyFill="1" applyBorder="1" applyAlignment="1">
      <x:alignment wrapText="1"/>
    </x:xf>
    <x:xf numFmtId="0" fontId="25" fillId="8" borderId="0" xfId="0" applyNumberFormat="1" applyFont="1" applyFill="1" applyBorder="1"/>
    <x:xf numFmtId="0" fontId="25" fillId="8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23" fillId="0" borderId="0" xfId="0" applyNumberFormat="1" applyFont="1" applyFill="1" applyBorder="1"/>
    <x:xf numFmtId="0" fontId="23" fillId="8" borderId="0" xfId="0" applyNumberFormat="1" applyFont="1" applyFill="1" applyBorder="1"/>
    <x:xf numFmtId="0" fontId="26" fillId="8" borderId="0" xfId="0" applyNumberFormat="1" applyFont="1" applyFill="1" applyBorder="1"/>
    <x:xf numFmtId="0" fontId="26" fillId="8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23" fillId="0" borderId="0" xfId="0" applyNumberFormat="1" applyFont="1" applyFill="1" applyBorder="1"/>
    <x:xf numFmtId="201" fontId="0" fillId="0" borderId="0" xfId="0" applyNumberFormat="1" applyFont="1" applyFill="1" applyBorder="1"/>
    <x:xf numFmtId="201" fontId="23" fillId="0" borderId="0" xfId="0" applyNumberFormat="1" applyFont="1" applyFill="1" applyBorder="1"/>
    <x:xf numFmtId="0" fontId="0" fillId="0" borderId="21" xfId="0" applyNumberFormat="1" applyFont="1" applyFill="1" applyBorder="1"/>
    <x:xf numFmtId="202" fontId="23" fillId="0" borderId="21" xfId="0" applyNumberFormat="1" applyFont="1" applyFill="1" applyBorder="1"/>
    <x:xf numFmtId="0" fontId="26" fillId="8" borderId="21" xfId="0" applyNumberFormat="1" applyFont="1" applyFill="1" applyBorder="1" applyAlignment="1">
      <x:alignment horizontal="center"/>
    </x:xf>
    <x:xf numFmtId="0" fontId="7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/>
    <x:xf numFmtId="202" fontId="23" fillId="0" borderId="22" xfId="0" applyNumberFormat="1" applyFont="1" applyFill="1" applyBorder="1"/>
    <x:xf numFmtId="0" fontId="26" fillId="8" borderId="22" xfId="0" applyNumberFormat="1" applyFont="1" applyFill="1" applyBorder="1" applyAlignment="1">
      <x:alignment horizontal="center"/>
    </x:xf>
    <x:xf numFmtId="0" fontId="7" fillId="0" borderId="22" xfId="0" applyNumberFormat="1" applyFont="1" applyFill="1" applyBorder="1" applyAlignment="1">
      <x:alignment wrapText="1"/>
    </x:xf>
    <x:xf numFmtId="203" fontId="23" fillId="0" borderId="22" xfId="0" applyNumberFormat="1" applyFont="1" applyFill="1" applyBorder="1"/>
    <x:xf numFmtId="201" fontId="23" fillId="0" borderId="22" xfId="0" applyNumberFormat="1" applyFont="1" applyFill="1" applyBorder="1"/>
    <x:xf numFmtId="0" fontId="0" fillId="0" borderId="23" xfId="0" applyNumberFormat="1" applyFont="1" applyFill="1" applyBorder="1"/>
    <x:xf numFmtId="201" fontId="23" fillId="0" borderId="23" xfId="0" applyNumberFormat="1" applyFont="1" applyFill="1" applyBorder="1"/>
    <x:xf numFmtId="0" fontId="26" fillId="8" borderId="23" xfId="0" applyNumberFormat="1" applyFont="1" applyFill="1" applyBorder="1" applyAlignment="1">
      <x:alignment horizontal="center"/>
    </x:xf>
    <x:xf numFmtId="0" fontId="7" fillId="0" borderId="23" xfId="0" applyNumberFormat="1" applyFont="1" applyFill="1" applyBorder="1" applyAlignment="1">
      <x:alignment wrapText="1"/>
    </x:xf>
    <x:xf numFmtId="0" fontId="27" fillId="0" borderId="12" xfId="0" applyNumberFormat="1" applyFont="1" applyFill="1" applyBorder="1" applyAlignment="1">
      <x:alignment wrapText="1"/>
    </x:xf>
    <x:xf numFmtId="0" fontId="27" fillId="0" borderId="18" xfId="0" applyNumberFormat="1" applyFont="1" applyFill="1" applyBorder="1" applyAlignment="1">
      <x:alignment wrapText="1"/>
    </x:xf>
    <x:xf numFmtId="0" fontId="27" fillId="0" borderId="13" xfId="0" applyNumberFormat="1" applyFont="1" applyFill="1" applyBorder="1" applyAlignment="1">
      <x:alignment wrapText="1"/>
    </x:xf>
    <x:xf numFmtId="0" fontId="27" fillId="0" borderId="19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28" fillId="5" borderId="0" xfId="0" applyNumberFormat="1" applyFont="1" applyFill="1" applyBorder="1"/>
    <x:xf numFmtId="0" fontId="28" fillId="5" borderId="0" xfId="0" applyNumberFormat="1" applyFont="1" applyFill="1" applyBorder="1" applyAlignment="1">
      <x:alignment vertical="center"/>
    </x:xf>
    <x:xf numFmtId="0" fontId="29" fillId="8" borderId="0" xfId="0" applyNumberFormat="1" applyFont="1" applyFill="1" applyBorder="1"/>
    <x:xf numFmtId="0" fontId="29" fillId="8" borderId="0" xfId="0" applyNumberFormat="1" applyFont="1" applyFill="1" applyBorder="1" applyAlignment="1">
      <x:alignment horizontal="center"/>
    </x:xf>
    <x:xf numFmtId="0" fontId="29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center" wrapText="1"/>
    </x:xf>
    <x:xf numFmtId="0" fontId="27" fillId="0" borderId="12" xfId="0" applyNumberFormat="1" applyFont="1" applyFill="1" applyBorder="1"/>
    <x:xf numFmtId="0" fontId="27" fillId="0" borderId="13" xfId="0" applyNumberFormat="1" applyFont="1" applyFill="1" applyBorder="1"/>
    <x:xf numFmtId="0" fontId="27" fillId="0" borderId="15" xfId="0" applyNumberFormat="1" applyFont="1" applyFill="1" applyBorder="1"/>
    <x:xf numFmtId="0" fontId="27" fillId="0" borderId="16" xfId="0" applyNumberFormat="1" applyFont="1" applyFill="1" applyBorder="1"/>
    <x:xf numFmtId="0" fontId="27" fillId="0" borderId="18" xfId="0" applyNumberFormat="1" applyFont="1" applyFill="1" applyBorder="1"/>
    <x:xf numFmtId="0" fontId="27" fillId="0" borderId="19" xfId="0" applyNumberFormat="1" applyFont="1" applyFill="1" applyBorder="1"/>
    <x:xf numFmtId="0" fontId="30" fillId="0" borderId="13" xfId="0" applyNumberFormat="1" applyFont="1" applyFill="1" applyBorder="1"/>
    <x:xf numFmtId="0" fontId="30" fillId="0" borderId="16" xfId="0" applyNumberFormat="1" applyFont="1" applyFill="1" applyBorder="1"/>
    <x:xf numFmtId="0" fontId="30" fillId="0" borderId="19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11" fillId="7" borderId="13" xfId="0" applyNumberFormat="1" applyFont="1" applyFill="1" applyBorder="1"/>
    <x:xf numFmtId="0" fontId="11" fillId="7" borderId="14" xfId="0" applyNumberFormat="1" applyFont="1" applyFill="1" applyBorder="1"/>
    <x:xf numFmtId="0" fontId="11" fillId="7" borderId="16" xfId="0" applyNumberFormat="1" applyFont="1" applyFill="1" applyBorder="1"/>
    <x:xf numFmtId="0" fontId="11" fillId="7" borderId="17" xfId="0" applyNumberFormat="1" applyFont="1" applyFill="1" applyBorder="1"/>
    <x:xf numFmtId="0" fontId="11" fillId="7" borderId="19" xfId="0" applyNumberFormat="1" applyFont="1" applyFill="1" applyBorder="1"/>
    <x:xf numFmtId="0" fontId="11" fillId="7" borderId="20" xfId="0" applyNumberFormat="1" applyFont="1" applyFill="1" applyBorder="1"/>
    <x:xf numFmtId="0" fontId="11" fillId="7" borderId="13" xfId="0" applyNumberFormat="1" applyFont="1" applyFill="1" applyBorder="1" applyAlignment="1">
      <x:alignment wrapText="1"/>
    </x:xf>
    <x:xf numFmtId="0" fontId="11" fillId="7" borderId="14" xfId="0" applyNumberFormat="1" applyFont="1" applyFill="1" applyBorder="1" applyAlignment="1">
      <x:alignment wrapText="1"/>
    </x:xf>
    <x:xf numFmtId="0" fontId="11" fillId="7" borderId="16" xfId="0" applyNumberFormat="1" applyFont="1" applyFill="1" applyBorder="1" applyAlignment="1">
      <x:alignment wrapText="1"/>
    </x:xf>
    <x:xf numFmtId="0" fontId="11" fillId="7" borderId="17" xfId="0" applyNumberFormat="1" applyFont="1" applyFill="1" applyBorder="1" applyAlignment="1">
      <x:alignment wrapText="1"/>
    </x:xf>
    <x:xf numFmtId="0" fontId="11" fillId="7" borderId="19" xfId="0" applyNumberFormat="1" applyFont="1" applyFill="1" applyBorder="1" applyAlignment="1">
      <x:alignment wrapText="1"/>
    </x:xf>
    <x:xf numFmtId="0" fontId="11" fillId="7" borderId="2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7" fillId="0" borderId="15" xfId="0" applyNumberFormat="1" applyFont="1" applyFill="1" applyBorder="1" applyAlignment="1">
      <x:alignment wrapText="1"/>
    </x:xf>
    <x:xf numFmtId="0" fontId="27" fillId="0" borderId="16" xfId="0" applyNumberFormat="1" applyFont="1" applyFill="1" applyBorder="1" applyAlignment="1">
      <x:alignment wrapText="1"/>
    </x:xf>
    <x:xf numFmtId="0" fontId="27" fillId="0" borderId="0" xfId="0" applyNumberFormat="1" applyFont="1" applyFill="1" applyBorder="1"/>
    <x:xf numFmtId="202" fontId="31" fillId="0" borderId="0" xfId="0" applyNumberFormat="1" applyFont="1" applyFill="1" applyBorder="1" applyAlignment="1">
      <x:alignment horizontal="right"/>
    </x:xf>
    <x:xf numFmtId="0" fontId="32" fillId="0" borderId="0" xfId="0" applyNumberFormat="1" applyFont="1" applyFill="1" applyBorder="1"/>
    <x:xf numFmtId="0" fontId="32" fillId="0" borderId="12" xfId="0" applyNumberFormat="1" applyFont="1" applyFill="1" applyBorder="1"/>
    <x:xf numFmtId="0" fontId="32" fillId="0" borderId="13" xfId="0" applyNumberFormat="1" applyFont="1" applyFill="1" applyBorder="1"/>
    <x:xf numFmtId="0" fontId="32" fillId="0" borderId="14" xfId="0" applyNumberFormat="1" applyFont="1" applyFill="1" applyBorder="1"/>
    <x:xf numFmtId="0" fontId="32" fillId="0" borderId="15" xfId="0" applyNumberFormat="1" applyFont="1" applyFill="1" applyBorder="1"/>
    <x:xf numFmtId="0" fontId="32" fillId="0" borderId="16" xfId="0" applyNumberFormat="1" applyFont="1" applyFill="1" applyBorder="1"/>
    <x:xf numFmtId="0" fontId="32" fillId="0" borderId="17" xfId="0" applyNumberFormat="1" applyFont="1" applyFill="1" applyBorder="1"/>
    <x:xf numFmtId="0" fontId="32" fillId="0" borderId="18" xfId="0" applyNumberFormat="1" applyFont="1" applyFill="1" applyBorder="1"/>
    <x:xf numFmtId="0" fontId="32" fillId="0" borderId="19" xfId="0" applyNumberFormat="1" applyFont="1" applyFill="1" applyBorder="1"/>
    <x:xf numFmtId="0" fontId="32" fillId="0" borderId="20" xfId="0" applyNumberFormat="1" applyFont="1" applyFill="1" applyBorder="1"/>
    <x:xf numFmtId="0" fontId="32" fillId="0" borderId="12" xfId="0" applyNumberFormat="1" applyFont="1" applyFill="1" applyBorder="1" applyAlignment="1">
      <x:alignment wrapText="1"/>
    </x:xf>
    <x:xf numFmtId="0" fontId="32" fillId="0" borderId="13" xfId="0" applyNumberFormat="1" applyFont="1" applyFill="1" applyBorder="1" applyAlignment="1">
      <x:alignment wrapText="1"/>
    </x:xf>
    <x:xf numFmtId="0" fontId="32" fillId="0" borderId="14" xfId="0" applyNumberFormat="1" applyFont="1" applyFill="1" applyBorder="1" applyAlignment="1">
      <x:alignment wrapText="1"/>
    </x:xf>
    <x:xf numFmtId="0" fontId="32" fillId="0" borderId="15" xfId="0" applyNumberFormat="1" applyFont="1" applyFill="1" applyBorder="1" applyAlignment="1">
      <x:alignment wrapText="1"/>
    </x:xf>
    <x:xf numFmtId="0" fontId="32" fillId="0" borderId="16" xfId="0" applyNumberFormat="1" applyFont="1" applyFill="1" applyBorder="1" applyAlignment="1">
      <x:alignment wrapText="1"/>
    </x:xf>
    <x:xf numFmtId="0" fontId="32" fillId="0" borderId="17" xfId="0" applyNumberFormat="1" applyFont="1" applyFill="1" applyBorder="1" applyAlignment="1">
      <x:alignment wrapText="1"/>
    </x:xf>
    <x:xf numFmtId="0" fontId="32" fillId="0" borderId="18" xfId="0" applyNumberFormat="1" applyFont="1" applyFill="1" applyBorder="1" applyAlignment="1">
      <x:alignment wrapText="1"/>
    </x:xf>
    <x:xf numFmtId="0" fontId="32" fillId="0" borderId="19" xfId="0" applyNumberFormat="1" applyFont="1" applyFill="1" applyBorder="1" applyAlignment="1">
      <x:alignment wrapText="1"/>
    </x:xf>
    <x:xf numFmtId="0" fontId="32" fillId="0" borderId="20" xfId="0" applyNumberFormat="1" applyFont="1" applyFill="1" applyBorder="1" applyAlignment="1">
      <x:alignment wrapText="1"/>
    </x:xf>
    <x:xf numFmtId="0" fontId="33" fillId="0" borderId="12" xfId="0" applyNumberFormat="1" applyFont="1" applyFill="1" applyBorder="1" applyAlignment="1">
      <x:alignment wrapText="1"/>
    </x:xf>
    <x:xf numFmtId="0" fontId="34" fillId="0" borderId="13" xfId="0" applyNumberFormat="1" applyFont="1" applyFill="1" applyBorder="1" applyAlignment="1">
      <x:alignment wrapText="1"/>
    </x:xf>
    <x:xf numFmtId="0" fontId="35" fillId="0" borderId="13" xfId="0" applyNumberFormat="1" applyFont="1" applyFill="1" applyBorder="1" applyAlignment="1">
      <x:alignment wrapText="1"/>
    </x:xf>
    <x:xf numFmtId="0" fontId="32" fillId="7" borderId="13" xfId="0" applyNumberFormat="1" applyFont="1" applyFill="1" applyBorder="1" applyAlignment="1">
      <x:alignment wrapText="1"/>
    </x:xf>
    <x:xf numFmtId="0" fontId="32" fillId="8" borderId="13" xfId="0" applyNumberFormat="1" applyFont="1" applyFill="1" applyBorder="1" applyAlignment="1">
      <x:alignment wrapText="1"/>
    </x:xf>
    <x:xf numFmtId="0" fontId="32" fillId="8" borderId="14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F9F8F"/>
      </x:font>
      <x:fill>
        <x:patternFill patternType="solid">
          <x:bgColor rgb="FFE5F6F3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7870b9ec724b1e" /><Relationship Type="http://schemas.openxmlformats.org/officeDocument/2006/relationships/theme" Target="/xl/theme/theme1.xml" Id="R60b0eb972ab2409b" /><Relationship Type="http://schemas.openxmlformats.org/officeDocument/2006/relationships/sharedStrings" Target="/xl/sharedStrings.xml" Id="Ra6d37534d93a471f" /><Relationship Type="http://schemas.openxmlformats.org/officeDocument/2006/relationships/worksheet" Target="/xl/worksheets/sheet1.xml" Id="Rb45e4b85504745f4" /><Relationship Type="http://schemas.openxmlformats.org/officeDocument/2006/relationships/worksheet" Target="/xl/worksheets/sheet2.xml" Id="R442f70fab00546da" /><Relationship Type="http://schemas.openxmlformats.org/officeDocument/2006/relationships/worksheet" Target="/xl/worksheets/sheet3.xml" Id="R0c57878b38844e75" /><Relationship Type="http://schemas.openxmlformats.org/officeDocument/2006/relationships/worksheet" Target="/xl/worksheets/sheet4.xml" Id="R612e496cfa3a4a14" /><Relationship Type="http://schemas.openxmlformats.org/officeDocument/2006/relationships/worksheet" Target="/xl/worksheets/sheet5.xml" Id="Rd0ebba0522c34f80" /><Relationship Type="http://schemas.openxmlformats.org/officeDocument/2006/relationships/worksheet" Target="/xl/worksheets/sheet6.xml" Id="Ra0f8d937efa14771" /><Relationship Type="http://schemas.openxmlformats.org/officeDocument/2006/relationships/worksheet" Target="/xl/worksheets/sheet7.xml" Id="R760377d289e94f35" /><Relationship Type="http://schemas.openxmlformats.org/officeDocument/2006/relationships/worksheet" Target="/xl/worksheets/sheet8.xml" Id="R2121c6ab750c47ed" /><Relationship Type="http://schemas.openxmlformats.org/officeDocument/2006/relationships/worksheet" Target="/xl/worksheets/sheet9.xml" Id="R030417a277df4c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5914786fdf4a6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Incremental cash flow and cumulative payback (LCY000)</a:t>
            </a:r>
          </a:p>
        </c:rich>
      </c:tx>
    </c:title>
    <c:plotArea>
      <c:lineChart>
        <c:grouping val="standard"/>
        <c:ser>
          <c:idx val="0"/>
          <c:order val="0"/>
          <c:tx>
            <c:v>Incremental free cash flow</c:v>
          </c:tx>
          <c:marker>
            <c:symbol val="none"/>
          </c:marker>
          <c:cat>
            <c:strRef>
              <c:f>'Summary'!$A$16:$A$27</c:f>
              <c:strCache>
                <c:ptCount val="0"/>
              </c:strCache>
            </c:strRef>
          </c:cat>
          <c:val>
            <c:numRef>
              <c:f>'Summary'!$B$16:$B$27</c:f>
              <c:numCache>
                <c:formatCode>#,##0.0;(#,##0.0);-</c:formatCode>
                <c:ptCount val="0"/>
              </c:numCache>
            </c:numRef>
          </c:val>
        </c:ser>
        <c:ser>
          <c:idx val="1"/>
          <c:order val="1"/>
          <c:tx>
            <c:v>Cumulative nominal cash flow</c:v>
          </c:tx>
          <c:marker>
            <c:symbol val="none"/>
          </c:marker>
          <c:cat>
            <c:strRef>
              <c:f>'Summary'!$A$16:$A$27</c:f>
              <c:strCache>
                <c:ptCount val="0"/>
              </c:strCache>
            </c:strRef>
          </c:cat>
          <c:val>
            <c:numRef>
              <c:f>'Summary'!$C$16:$C$27</c:f>
              <c:numCache>
                <c:formatCode>#,##0.0;(#,##0.0);-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-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13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5914786fdf4a6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1abbee0c85b04b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TDAT FINANCIAL MODELS</x:v>
      </x:c>
      <x:c r="B1" s="3" t="str">
        <x:v>TDAT FINANCIAL MODELS</x:v>
      </x:c>
      <x:c r="C1" s="3" t="str">
        <x:v>TDAT FINANCIAL MODELS</x:v>
      </x:c>
      <x:c r="D1" s="3" t="str">
        <x:v>TDAT FINANCIAL MODELS</x:v>
      </x:c>
      <x:c r="E1" s="3" t="str">
        <x:v>TDAT FINANCIAL MODELS</x:v>
      </x:c>
      <x:c r="F1" s="3" t="str">
        <x:v>TDAT FINANCIAL MODELS</x:v>
      </x:c>
      <x:c r="G1" s="3" t="str">
        <x:v>TDAT FINANCIAL MODELS</x:v>
      </x:c>
      <x:c r="H1" s="3" t="str">
        <x:v>TDAT FINANCIAL MODELS</x:v>
      </x:c>
      <x:c r="I1" s="3" t="str">
        <x:v>TDAT FINANCIAL MODELS</x:v>
      </x:c>
      <x:c r="J1" s="3" t="str">
        <x:v>TDAT FINANCIAL MODELS</x:v>
      </x:c>
    </x:row>
    <x:row r="2" ht="24" customHeight="1">
      <x:c r="A2" s="6" t="str">
        <x:v>TDAT-FM-INV-001  |  Built to flex. Built to tie. Built to trust.</x:v>
      </x:c>
      <x:c r="B2" s="6" t="str">
        <x:v>TDAT-FM-INV-001  |  Built to flex. Built to tie. Built to trust.</x:v>
      </x:c>
      <x:c r="C2" s="6" t="str">
        <x:v>TDAT-FM-INV-001  |  Built to flex. Built to tie. Built to trust.</x:v>
      </x:c>
      <x:c r="D2" s="6" t="str">
        <x:v>TDAT-FM-INV-001  |  Built to flex. Built to tie. Built to trust.</x:v>
      </x:c>
      <x:c r="E2" s="6" t="str">
        <x:v>TDAT-FM-INV-001  |  Built to flex. Built to tie. Built to trust.</x:v>
      </x:c>
      <x:c r="F2" s="6" t="str">
        <x:v>TDAT-FM-INV-001  |  Built to flex. Built to tie. Built to trust.</x:v>
      </x:c>
      <x:c r="G2" s="6" t="str">
        <x:v>TDAT-FM-INV-001  |  Built to flex. Built to tie. Built to trust.</x:v>
      </x:c>
      <x:c r="H2" s="6" t="str">
        <x:v>TDAT-FM-INV-001  |  Built to flex. Built to tie. Built to trust.</x:v>
      </x:c>
      <x:c r="I2" s="6" t="str">
        <x:v>TDAT-FM-INV-001  |  Built to flex. Built to tie. Built to trust.</x:v>
      </x:c>
      <x:c r="J2" s="6" t="str">
        <x:v>TDAT-FM-INV-001  |  Built to flex. Built to tie. Built to trust.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222" t="str">
        <x:v>Capex / Business Case</x:v>
      </x:c>
      <x:c r="B5" s="222" t="str">
        <x:v>Capex / Business Case</x:v>
      </x:c>
      <x:c r="C5" s="222" t="str">
        <x:v>Capex / Business Case</x:v>
      </x:c>
      <x:c r="D5" s="222" t="str">
        <x:v>Capex / Business Case</x:v>
      </x:c>
      <x:c r="E5" s="222" t="str">
        <x:v>Capex / Business Case</x:v>
      </x:c>
      <x:c r="F5" s="222" t="str">
        <x:v>Capex / Business Case</x:v>
      </x:c>
      <x:c r="G5" s="135" t="str">
        <x:v>CALCULATION INTEGRITY</x:v>
      </x:c>
      <x:c r="H5" s="135" t="str">
        <x:v>CALCULATION INTEGRITY</x:v>
      </x:c>
      <x:c r="I5" s="135" t="str">
        <x:v>CALCULATION INTEGRITY</x:v>
      </x:c>
      <x:c r="J5" s="135" t="str">
        <x:v>CALCULATION INTEGRITY</x:v>
      </x:c>
    </x:row>
    <x:row r="6">
      <x:c r="A6" s="222" t="str">
        <x:v>Capex / Business Case</x:v>
      </x:c>
      <x:c r="B6" s="222" t="str">
        <x:v>Capex / Business Case</x:v>
      </x:c>
      <x:c r="C6" s="222" t="str">
        <x:v>Capex / Business Case</x:v>
      </x:c>
      <x:c r="D6" s="222" t="str">
        <x:v>Capex / Business Case</x:v>
      </x:c>
      <x:c r="E6" s="222" t="str">
        <x:v>Capex / Business Case</x:v>
      </x:c>
      <x:c r="F6" s="222" t="str">
        <x:v>Capex / Business Case</x:v>
      </x:c>
      <x:c r="G6" s="225" t="str">
        <x:f>'Checks'!$B$5</x:f>
        <x:v>PASS</x:v>
      </x:c>
      <x:c r="H6" s="225"/>
      <x:c r="I6" s="225"/>
      <x:c r="J6" s="225"/>
    </x:row>
    <x:row r="7">
      <x:c r="A7" s="222" t="str">
        <x:v>Capex / Business Case</x:v>
      </x:c>
      <x:c r="B7" s="222" t="str">
        <x:v>Capex / Business Case</x:v>
      </x:c>
      <x:c r="C7" s="222" t="str">
        <x:v>Capex / Business Case</x:v>
      </x:c>
      <x:c r="D7" s="222" t="str">
        <x:v>Capex / Business Case</x:v>
      </x:c>
      <x:c r="E7" s="222" t="str">
        <x:v>Capex / Business Case</x:v>
      </x:c>
      <x:c r="F7" s="222" t="str">
        <x:v>Capex / Business Case</x:v>
      </x:c>
      <x:c r="G7" s="225"/>
      <x:c r="H7" s="225"/>
      <x:c r="I7" s="225"/>
      <x:c r="J7" s="225"/>
    </x:row>
    <x:row r="9" ht="22" customHeight="1">
      <x:c r="A9" s="9" t="str">
        <x:v>DECISION QUESTION</x:v>
      </x:c>
      <x:c r="B9" s="9" t="str">
        <x:v>DECISION QUESTION</x:v>
      </x:c>
      <x:c r="C9" s="9" t="str">
        <x:v>DECISION QUESTION</x:v>
      </x:c>
      <x:c r="D9" s="9" t="str">
        <x:v>DECISION QUESTION</x:v>
      </x:c>
      <x:c r="E9" s="9" t="str">
        <x:v>DECISION QUESTION</x:v>
      </x:c>
      <x:c r="F9" s="9" t="str">
        <x:v>DECISION QUESTION</x:v>
      </x:c>
      <x:c r="G9" s="9" t="str">
        <x:v>DECISION QUESTION</x:v>
      </x:c>
      <x:c r="H9" s="9" t="str">
        <x:v>DECISION QUESTION</x:v>
      </x:c>
      <x:c r="I9" s="9" t="str">
        <x:v>DECISION QUESTION</x:v>
      </x:c>
      <x:c r="J9" s="9" t="str">
        <x:v>DECISION QUESTION</x:v>
      </x:c>
    </x:row>
    <x:row r="10">
      <x:c r="A10" s="229" t="str">
        <x:v>Should management approve, defer, resize, or reject the investment?</x:v>
      </x:c>
      <x:c r="B10" s="229" t="str">
        <x:v>Should management approve, defer, resize, or reject the investment?</x:v>
      </x:c>
      <x:c r="C10" s="229" t="str">
        <x:v>Should management approve, defer, resize, or reject the investment?</x:v>
      </x:c>
      <x:c r="D10" s="229" t="str">
        <x:v>Should management approve, defer, resize, or reject the investment?</x:v>
      </x:c>
      <x:c r="E10" s="229" t="str">
        <x:v>Should management approve, defer, resize, or reject the investment?</x:v>
      </x:c>
      <x:c r="F10" s="229" t="str">
        <x:v>Should management approve, defer, resize, or reject the investment?</x:v>
      </x:c>
      <x:c r="G10" s="229" t="str">
        <x:v>Should management approve, defer, resize, or reject the investment?</x:v>
      </x:c>
      <x:c r="H10" s="229" t="str">
        <x:v>Should management approve, defer, resize, or reject the investment?</x:v>
      </x:c>
      <x:c r="I10" s="229" t="str">
        <x:v>Should management approve, defer, resize, or reject the investment?</x:v>
      </x:c>
      <x:c r="J10" s="229" t="str">
        <x:v>Should management approve, defer, resize, or reject the investment?</x:v>
      </x:c>
    </x:row>
    <x:row r="11">
      <x:c r="A11" s="229" t="str">
        <x:v>Should management approve, defer, resize, or reject the investment?</x:v>
      </x:c>
      <x:c r="B11" s="229" t="str">
        <x:v>Should management approve, defer, resize, or reject the investment?</x:v>
      </x:c>
      <x:c r="C11" s="229" t="str">
        <x:v>Should management approve, defer, resize, or reject the investment?</x:v>
      </x:c>
      <x:c r="D11" s="229" t="str">
        <x:v>Should management approve, defer, resize, or reject the investment?</x:v>
      </x:c>
      <x:c r="E11" s="229" t="str">
        <x:v>Should management approve, defer, resize, or reject the investment?</x:v>
      </x:c>
      <x:c r="F11" s="229" t="str">
        <x:v>Should management approve, defer, resize, or reject the investment?</x:v>
      </x:c>
      <x:c r="G11" s="229" t="str">
        <x:v>Should management approve, defer, resize, or reject the investment?</x:v>
      </x:c>
      <x:c r="H11" s="229" t="str">
        <x:v>Should management approve, defer, resize, or reject the investment?</x:v>
      </x:c>
      <x:c r="I11" s="229" t="str">
        <x:v>Should management approve, defer, resize, or reject the investment?</x:v>
      </x:c>
      <x:c r="J11" s="229" t="str">
        <x:v>Should management approve, defer, resize, or reject the investment?</x:v>
      </x:c>
    </x:row>
    <x:row r="13" ht="22" customHeight="1">
      <x:c r="A13" s="9" t="str">
        <x:v>FIRST READ</x:v>
      </x:c>
      <x:c r="B13" s="9" t="str">
        <x:v>FIRST READ</x:v>
      </x:c>
      <x:c r="C13" s="9" t="str">
        <x:v>FIRST READ</x:v>
      </x:c>
      <x:c r="D13" s="9" t="str">
        <x:v>FIRST READ</x:v>
      </x:c>
      <x:c r="E13" s="9" t="str">
        <x:v>FIRST READ</x:v>
      </x:c>
      <x:c r="F13" s="9" t="str">
        <x:v>FIRST READ</x:v>
      </x:c>
      <x:c r="G13" s="9" t="str">
        <x:v>FIRST READ</x:v>
      </x:c>
      <x:c r="H13" s="9" t="str">
        <x:v>FIRST READ</x:v>
      </x:c>
      <x:c r="I13" s="9" t="str">
        <x:v>FIRST READ</x:v>
      </x:c>
      <x:c r="J13" s="9" t="str">
        <x:v>FIRST READ</x:v>
      </x:c>
    </x:row>
    <x:row r="14">
      <x:c r="A14" s="230" t="str">
        <x:v>Calculation integrity</x:v>
      </x:c>
      <x:c r="B14" s="231" t="str">
        <x:v>Decision readiness</x:v>
      </x:c>
      <x:c r="C14" s="236" t="str">
        <x:f>'Checks'!$B$5</x:f>
        <x:v>PASS</x:v>
      </x:c>
      <x:c r="D14" s="236"/>
      <x:c r="E14" s="236"/>
      <x:c r="F14" s="251" t="str">
        <x:v>TEMPLATE — VALIDATE INPUTS</x:v>
      </x:c>
      <x:c r="G14" s="251" t="str">
        <x:v>TEMPLATE — VALIDATE INPUTS</x:v>
      </x:c>
      <x:c r="H14" s="251" t="str">
        <x:v>TEMPLATE — VALIDATE INPUTS</x:v>
      </x:c>
      <x:c r="I14" s="251" t="str">
        <x:v>TEMPLATE — VALIDATE INPUTS</x:v>
      </x:c>
      <x:c r="J14" s="252" t="str">
        <x:v>TEMPLATE — VALIDATE INPUTS</x:v>
      </x:c>
    </x:row>
    <x:row r="15">
      <x:c r="A15" s="232" t="str">
        <x:v>Published checks</x:v>
      </x:c>
      <x:c r="B15" s="233" t="str">
        <x:v>Template posture</x:v>
      </x:c>
      <x:c r="C15" s="237" t="str">
        <x:f>"9 / 9 PASS"</x:f>
        <x:v>9 / 9 PASS</x:v>
      </x:c>
      <x:c r="D15" s="237"/>
      <x:c r="E15" s="237"/>
      <x:c r="F15" s="253" t="str">
        <x:v>Illustrative, screen-grade worked example</x:v>
      </x:c>
      <x:c r="G15" s="253" t="str">
        <x:v>Illustrative, screen-grade worked example</x:v>
      </x:c>
      <x:c r="H15" s="253" t="str">
        <x:v>Illustrative, screen-grade worked example</x:v>
      </x:c>
      <x:c r="I15" s="253" t="str">
        <x:v>Illustrative, screen-grade worked example</x:v>
      </x:c>
      <x:c r="J15" s="254" t="str">
        <x:v>Illustrative, screen-grade worked example</x:v>
      </x:c>
    </x:row>
    <x:row r="16">
      <x:c r="A16" s="232" t="str">
        <x:v>Scenario</x:v>
      </x:c>
      <x:c r="B16" s="233" t="str">
        <x:v>Evidence</x:v>
      </x:c>
      <x:c r="C16" s="237" t="str">
        <x:f>'Assumptions'!$B$3</x:f>
        <x:v>Base</x:v>
      </x:c>
      <x:c r="D16" s="237"/>
      <x:c r="E16" s="237"/>
      <x:c r="F16" s="253" t="str">
        <x:v>Synthetic / illustrative</x:v>
      </x:c>
      <x:c r="G16" s="253" t="str">
        <x:v>Synthetic / illustrative</x:v>
      </x:c>
      <x:c r="H16" s="253" t="str">
        <x:v>Synthetic / illustrative</x:v>
      </x:c>
      <x:c r="I16" s="253" t="str">
        <x:v>Synthetic / illustrative</x:v>
      </x:c>
      <x:c r="J16" s="254" t="str">
        <x:v>Synthetic / illustrative</x:v>
      </x:c>
    </x:row>
    <x:row r="17">
      <x:c r="A17" s="234" t="str">
        <x:v>Owner</x:v>
      </x:c>
      <x:c r="B17" s="235" t="str">
        <x:v>Use</x:v>
      </x:c>
      <x:c r="C17" s="238" t="str">
        <x:f>'Sources &amp; Version'!$B$12</x:f>
        <x:v>Truong Dinh Anh Tu</x:v>
      </x:c>
      <x:c r="D17" s="238"/>
      <x:c r="E17" s="238"/>
      <x:c r="F17" s="255" t="str">
        <x:v>FP&amp;A · Corporate Finance · Investment Analyst · Operations Finance</x:v>
      </x:c>
      <x:c r="G17" s="255" t="str">
        <x:v>FP&amp;A · Corporate Finance · Investment Analyst · Operations Finance</x:v>
      </x:c>
      <x:c r="H17" s="255" t="str">
        <x:v>FP&amp;A · Corporate Finance · Investment Analyst · Operations Finance</x:v>
      </x:c>
      <x:c r="I17" s="255" t="str">
        <x:v>FP&amp;A · Corporate Finance · Investment Analyst · Operations Finance</x:v>
      </x:c>
      <x:c r="J17" s="256" t="str">
        <x:v>FP&amp;A · Corporate Finance · Investment Analyst · Operations Finance</x:v>
      </x:c>
    </x:row>
    <x:row r="19" ht="22" customHeight="1">
      <x:c r="A19" s="9" t="str">
        <x:v>MODEL IDENTITY</x:v>
      </x:c>
      <x:c r="B19" s="9" t="str">
        <x:v>MODEL IDENTITY</x:v>
      </x:c>
      <x:c r="C19" s="9" t="str">
        <x:v>MODEL IDENTITY</x:v>
      </x:c>
      <x:c r="D19" s="9" t="str">
        <x:v>MODEL IDENTITY</x:v>
      </x:c>
      <x:c r="E19" s="9" t="str">
        <x:v>MODEL IDENTITY</x:v>
      </x:c>
      <x:c r="F19" s="9" t="str">
        <x:v>MODEL IDENTITY</x:v>
      </x:c>
      <x:c r="G19" s="9" t="str">
        <x:v>KEY OUTPUTS</x:v>
      </x:c>
      <x:c r="H19" s="9" t="str">
        <x:v>KEY OUTPUTS</x:v>
      </x:c>
      <x:c r="I19" s="9" t="str">
        <x:v>KEY OUTPUTS</x:v>
      </x:c>
      <x:c r="J19" s="9" t="str">
        <x:v>KEY OUTPUTS</x:v>
      </x:c>
    </x:row>
    <x:row r="20">
      <x:c r="A20" s="211" t="str">
        <x:v>Model ID</x:v>
      </x:c>
      <x:c r="B20" s="148" t="str">
        <x:v>TDAT-FM-INV-001</x:v>
      </x:c>
      <x:c r="C20" s="213" t="str">
        <x:v>Version</x:v>
      </x:c>
      <x:c r="D20" s="148" t="str">
        <x:v>1.0.0</x:v>
      </x:c>
      <x:c r="E20" s="213" t="str">
        <x:v>Last QA</x:v>
      </x:c>
      <x:c r="F20" s="149" t="str">
        <x:v>2026-07-13</x:v>
      </x:c>
      <x:c r="G20" s="260" t="str">
        <x:v>NPV</x:v>
      </x:c>
      <x:c r="H20" s="260" t="str">
        <x:v>NPV</x:v>
      </x:c>
      <x:c r="I20" s="261" t="n">
        <x:f>'Incremental Cash Flow'!M$21</x:f>
        <x:v>-87.65937071008547</x:v>
      </x:c>
      <x:c r="J20" s="261"/>
    </x:row>
    <x:row r="21">
      <x:c r="A21" s="258" t="str">
        <x:v>Domain</x:v>
      </x:c>
      <x:c r="B21" s="151" t="str">
        <x:v>Investment &amp; Portfolio</x:v>
      </x:c>
      <x:c r="C21" s="259" t="str">
        <x:v>Compatibility</x:v>
      </x:c>
      <x:c r="D21" s="151" t="str">
        <x:v>Excel 365</x:v>
      </x:c>
      <x:c r="E21" s="259" t="str">
        <x:v>Macros</x:v>
      </x:c>
      <x:c r="F21" s="152" t="str">
        <x:v>None</x:v>
      </x:c>
      <x:c r="G21" s="260" t="str">
        <x:v>Total capex</x:v>
      </x:c>
      <x:c r="H21" s="260" t="str">
        <x:v>Total capex</x:v>
      </x:c>
      <x:c r="I21" s="261" t="n">
        <x:f>SUM('Project Inputs'!B$6:'Project Inputs'!M$6)</x:f>
        <x:v>300</x:v>
      </x:c>
      <x:c r="J21" s="261"/>
    </x:row>
    <x:row r="22">
      <x:c r="A22" s="258" t="str">
        <x:v>Horizon</x:v>
      </x:c>
      <x:c r="B22" s="151" t="str">
        <x:v>3–15 years</x:v>
      </x:c>
      <x:c r="C22" s="259" t="str">
        <x:v>Frequency</x:v>
      </x:c>
      <x:c r="D22" s="151" t="str">
        <x:v>Monthly</x:v>
      </x:c>
      <x:c r="E22" s="259" t="str">
        <x:v>External links</x:v>
      </x:c>
      <x:c r="F22" s="152" t="str">
        <x:v>None</x:v>
      </x:c>
      <x:c r="G22" s="260" t="str">
        <x:v>Year-one benefit</x:v>
      </x:c>
      <x:c r="H22" s="260" t="str">
        <x:v>Year-one benefit</x:v>
      </x:c>
      <x:c r="I22" s="261" t="n">
        <x:f>SUM('Incremental Cash Flow'!B6:M6)</x:f>
        <x:v>490.5</x:v>
      </x:c>
      <x:c r="J22" s="261"/>
    </x:row>
    <x:row r="23">
      <x:c r="A23" s="258" t="str">
        <x:v>Currency</x:v>
      </x:c>
      <x:c r="B23" s="151" t="str">
        <x:v>LCY</x:v>
      </x:c>
      <x:c r="C23" s="259" t="str">
        <x:v>Units</x:v>
      </x:c>
      <x:c r="D23" s="151" t="str">
        <x:v>LCY thousands</x:v>
      </x:c>
      <x:c r="E23" s="259" t="str">
        <x:v>Scenario</x:v>
      </x:c>
      <x:c r="F23" s="152" t="str">
        <x:v>Base / Upside / Downside</x:v>
      </x:c>
      <x:c r="G23" s="260" t="str">
        <x:v>Year-one EBITDA</x:v>
      </x:c>
      <x:c r="H23" s="260" t="str">
        <x:v>Year-one EBITDA</x:v>
      </x:c>
      <x:c r="I23" s="261" t="n">
        <x:f>SUM('Incremental Cash Flow'!B9:M9)</x:f>
        <x:v>252.54</x:v>
      </x:c>
      <x:c r="J23" s="261"/>
    </x:row>
    <x:row r="24">
      <x:c r="A24" s="212" t="str">
        <x:v>Owner</x:v>
      </x:c>
      <x:c r="B24" s="154" t="str">
        <x:v>Truong Dinh Anh Tu</x:v>
      </x:c>
      <x:c r="C24" s="214" t="str">
        <x:v>Standard</x:v>
      </x:c>
      <x:c r="D24" s="154" t="str">
        <x:v>TDAT Model Standard 1.0</x:v>
      </x:c>
      <x:c r="E24" s="214" t="str">
        <x:v>Evidence</x:v>
      </x:c>
      <x:c r="F24" s="155" t="str">
        <x:v>Synthetic worked template</x:v>
      </x:c>
      <x:c r="G24" s="260" t="str">
        <x:v>Closing cumulative cash</x:v>
      </x:c>
      <x:c r="H24" s="260" t="str">
        <x:v>Closing cumulative cash</x:v>
      </x:c>
      <x:c r="I24" s="261" t="n">
        <x:f>'Incremental Cash Flow'!M$22</x:f>
        <x:v>-72.76799999999996</x:v>
      </x:c>
      <x:c r="J24" s="261"/>
    </x:row>
    <x:row r="26" ht="22" customHeight="1">
      <x:c r="A26" s="9" t="str">
        <x:v>CELL COLOR LEGEND</x:v>
      </x:c>
      <x:c r="B26" s="9" t="str">
        <x:v>CELL COLOR LEGEND</x:v>
      </x:c>
      <x:c r="C26" s="9" t="str">
        <x:v>CELL COLOR LEGEND</x:v>
      </x:c>
      <x:c r="D26" s="9" t="str">
        <x:v>CELL COLOR LEGEND</x:v>
      </x:c>
      <x:c r="E26" s="9" t="str">
        <x:v>CELL COLOR LEGEND</x:v>
      </x:c>
      <x:c r="F26" s="9" t="str">
        <x:v>CELL COLOR LEGEND</x:v>
      </x:c>
      <x:c r="G26" s="9" t="str">
        <x:v>CELL COLOR LEGEND</x:v>
      </x:c>
      <x:c r="H26" s="9" t="str">
        <x:v>CELL COLOR LEGEND</x:v>
      </x:c>
      <x:c r="I26" s="9" t="str">
        <x:v>CELL COLOR LEGEND</x:v>
      </x:c>
      <x:c r="J26" s="9" t="str">
        <x:v>CELL COLOR LEGEND</x:v>
      </x:c>
    </x:row>
    <x:row r="27">
      <x:c r="A27" s="281" t="str">
        <x:v>Blue font</x:v>
      </x:c>
      <x:c r="B27" s="273" t="str">
        <x:v>Editable hardcode</x:v>
      </x:c>
      <x:c r="C27" s="282" t="str">
        <x:v>Black font</x:v>
      </x:c>
      <x:c r="D27" s="273" t="str">
        <x:v>In-sheet formula</x:v>
      </x:c>
      <x:c r="E27" s="283" t="str">
        <x:v>Green font</x:v>
      </x:c>
      <x:c r="F27" s="273" t="str">
        <x:v>Cross-sheet formula</x:v>
      </x:c>
      <x:c r="G27" s="284" t="str">
        <x:v>Pale amber</x:v>
      </x:c>
      <x:c r="H27" s="284" t="str">
        <x:v>Scenario / review cue</x:v>
      </x:c>
      <x:c r="I27" s="285" t="str">
        <x:v>Teal</x:v>
      </x:c>
      <x:c r="J27" s="286" t="str">
        <x:v>PASS / trusted output</x:v>
      </x:c>
    </x:row>
    <x:row r="28">
      <x:c r="A28" s="275" t="str">
        <x:v>Actual</x:v>
      </x:c>
      <x:c r="B28" s="276" t="str">
        <x:v>Neutral period band</x:v>
      </x:c>
      <x:c r="C28" s="276" t="str">
        <x:v>Forecast</x:v>
      </x:c>
      <x:c r="D28" s="276" t="str">
        <x:v>Pale-blue period band</x:v>
      </x:c>
      <x:c r="E28" s="276" t="str">
        <x:v>Zero</x:v>
      </x:c>
      <x:c r="F28" s="276" t="str">
        <x:v>Displayed as an en dash</x:v>
      </x:c>
      <x:c r="G28" s="276" t="str">
        <x:v>Rule</x:v>
      </x:c>
      <x:c r="H28" s="276" t="str">
        <x:v>Keep formulas copy-across</x:v>
      </x:c>
      <x:c r="I28" s="276" t="str">
        <x:v>Rule</x:v>
      </x:c>
      <x:c r="J28" s="277" t="str">
        <x:v>Recheck after every change</x:v>
      </x:c>
    </x:row>
    <x:row r="29">
      <x:c r="A29" s="278" t="str">
        <x:v>Status</x:v>
      </x:c>
      <x:c r="B29" s="279" t="str">
        <x:v>PASS means controls tie</x:v>
      </x:c>
      <x:c r="C29" s="279" t="str">
        <x:v>Readiness</x:v>
      </x:c>
      <x:c r="D29" s="279" t="str">
        <x:v>Inputs still require review</x:v>
      </x:c>
      <x:c r="E29" s="279" t="str">
        <x:v>Privacy</x:v>
      </x:c>
      <x:c r="F29" s="279" t="str">
        <x:v>Public-safe example</x:v>
      </x:c>
      <x:c r="G29" s="279" t="str">
        <x:v>Use</x:v>
      </x:c>
      <x:c r="H29" s="279" t="str">
        <x:v>Adapt and validate</x:v>
      </x:c>
      <x:c r="I29" s="279" t="str">
        <x:v>Support</x:v>
      </x:c>
      <x:c r="J29" s="280" t="str">
        <x:v>Model notes + web guide</x:v>
      </x:c>
    </x:row>
    <x:row r="31">
      <x:c r="A31" s="42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B31" s="43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C31" s="43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D31" s="43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E31" s="43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F31" s="43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G31" s="43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H31" s="43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I31" s="43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J31" s="44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</x:row>
    <x:row r="32">
      <x:c r="A32" s="45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B32" s="46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C32" s="46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D32" s="46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E32" s="46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F32" s="46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G32" s="46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H32" s="46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I32" s="46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J32" s="47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</x:row>
    <x:row r="33">
      <x:c r="A33" s="48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B33" s="49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C33" s="49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D33" s="49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E33" s="49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F33" s="49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G33" s="49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H33" s="49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I33" s="49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J33" s="50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</x:row>
    <x:row r="35">
      <x:c r="A35" s="53" t="str">
        <x:v>TDAT Model Library  |  Trust builds the brand. Insight builds the decision.</x:v>
      </x:c>
      <x:c r="B35" s="53" t="str">
        <x:v>TDAT Model Library  |  Trust builds the brand. Insight builds the decision.</x:v>
      </x:c>
      <x:c r="C35" s="53" t="str">
        <x:v>TDAT Model Library  |  Trust builds the brand. Insight builds the decision.</x:v>
      </x:c>
      <x:c r="D35" s="53" t="str">
        <x:v>TDAT Model Library  |  Trust builds the brand. Insight builds the decision.</x:v>
      </x:c>
      <x:c r="E35" s="53" t="str">
        <x:v>TDAT Model Library  |  Trust builds the brand. Insight builds the decision.</x:v>
      </x:c>
      <x:c r="F35" s="53" t="str">
        <x:v>TDAT Model Library  |  Trust builds the brand. Insight builds the decision.</x:v>
      </x:c>
      <x:c r="G35" s="53" t="str">
        <x:v>TDAT Model Library  |  Trust builds the brand. Insight builds the decision.</x:v>
      </x:c>
      <x:c r="H35" s="53" t="str">
        <x:v>TDAT Model Library  |  Trust builds the brand. Insight builds the decision.</x:v>
      </x:c>
      <x:c r="I35" s="53" t="str">
        <x:v>TDAT Model Library  |  Trust builds the brand. Insight builds the decision.</x:v>
      </x:c>
      <x:c r="J35" s="53" t="str">
        <x:v>TDAT Model Library  |  Trust builds the brand. Insight builds the decision.</x:v>
      </x:c>
    </x:row>
  </x:sheetData>
  <x:mergeCells>
    <x:mergeCell ref="A1:J1"/>
    <x:mergeCell ref="A2:J2"/>
    <x:mergeCell ref="A5:F7"/>
    <x:mergeCell ref="G5:J5"/>
    <x:mergeCell ref="G6:J7"/>
    <x:mergeCell ref="A9:J9"/>
    <x:mergeCell ref="A10:J11"/>
    <x:mergeCell ref="A13:J13"/>
    <x:mergeCell ref="C14:E14"/>
    <x:mergeCell ref="F14:J14"/>
    <x:mergeCell ref="C15:E15"/>
    <x:mergeCell ref="F15:J15"/>
    <x:mergeCell ref="C16:E16"/>
    <x:mergeCell ref="F16:J16"/>
    <x:mergeCell ref="C17:E17"/>
    <x:mergeCell ref="F17:J17"/>
    <x:mergeCell ref="A19:J19"/>
    <x:mergeCell ref="G19:J19"/>
    <x:mergeCell ref="G20:H20"/>
    <x:mergeCell ref="I20:J20"/>
    <x:mergeCell ref="G21:H21"/>
    <x:mergeCell ref="I21:J21"/>
    <x:mergeCell ref="G22:H22"/>
    <x:mergeCell ref="I22:J22"/>
    <x:mergeCell ref="G23:H23"/>
    <x:mergeCell ref="I23:J23"/>
    <x:mergeCell ref="G24:H24"/>
    <x:mergeCell ref="I24:J24"/>
    <x:mergeCell ref="A26:J26"/>
    <x:mergeCell ref="A31:J33"/>
    <x:mergeCell ref="A35:J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4" customHeight="1">
      <x:c r="A1" s="3" t="str">
        <x:v>MODEL GUIDE</x:v>
      </x:c>
      <x:c r="B1" s="3" t="str">
        <x:v>MODEL GUIDE</x:v>
      </x:c>
      <x:c r="C1" s="3" t="str">
        <x:v>MODEL GUIDE</x:v>
      </x:c>
      <x:c r="D1" s="3" t="str">
        <x:v>MODEL GUIDE</x:v>
      </x:c>
      <x:c r="E1" s="3" t="str">
        <x:v>MODEL GUIDE</x:v>
      </x:c>
      <x:c r="F1" s="3" t="str">
        <x:v>MODEL GUIDE</x:v>
      </x:c>
      <x:c r="G1" s="3" t="str">
        <x:v>MODEL GUIDE</x:v>
      </x:c>
      <x:c r="H1" s="3" t="str">
        <x:v>MODEL GUIDE</x:v>
      </x:c>
      <x:c r="I1" s="3" t="str">
        <x:v>MODEL GUIDE</x:v>
      </x:c>
      <x:c r="J1" s="3" t="str">
        <x:v>MODEL GUIDE</x:v>
      </x:c>
    </x:row>
    <x:row r="2" ht="24" customHeight="1">
      <x:c r="A2" s="6" t="str">
        <x:v>Capex / Business Case  |  Scope, setup, flexibility, and limitations</x:v>
      </x:c>
      <x:c r="B2" s="6" t="str">
        <x:v>Capex / Business Case  |  Scope, setup, flexibility, and limitations</x:v>
      </x:c>
      <x:c r="C2" s="6" t="str">
        <x:v>Capex / Business Case  |  Scope, setup, flexibility, and limitations</x:v>
      </x:c>
      <x:c r="D2" s="6" t="str">
        <x:v>Capex / Business Case  |  Scope, setup, flexibility, and limitations</x:v>
      </x:c>
      <x:c r="E2" s="6" t="str">
        <x:v>Capex / Business Case  |  Scope, setup, flexibility, and limitations</x:v>
      </x:c>
      <x:c r="F2" s="6" t="str">
        <x:v>Capex / Business Case  |  Scope, setup, flexibility, and limitations</x:v>
      </x:c>
      <x:c r="G2" s="6" t="str">
        <x:v>Capex / Business Case  |  Scope, setup, flexibility, and limitations</x:v>
      </x:c>
      <x:c r="H2" s="6" t="str">
        <x:v>Capex / Business Case  |  Scope, setup, flexibility, and limitations</x:v>
      </x:c>
      <x:c r="I2" s="6" t="str">
        <x:v>Capex / Business Case  |  Scope, setup, flexibility, and limitations</x:v>
      </x:c>
      <x:c r="J2" s="6" t="str">
        <x:v>Capex / Business Case  |  Scope, setup, flexibility, and limitations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22" customHeight="1">
      <x:c r="A5" s="9" t="str">
        <x:v>PURPOSE AND USERS</x:v>
      </x:c>
      <x:c r="B5" s="9" t="str">
        <x:v>PURPOSE AND USERS</x:v>
      </x:c>
      <x:c r="C5" s="9" t="str">
        <x:v>PURPOSE AND USERS</x:v>
      </x:c>
      <x:c r="D5" s="9" t="str">
        <x:v>PURPOSE AND USERS</x:v>
      </x:c>
      <x:c r="E5" s="9" t="str">
        <x:v>PURPOSE AND USERS</x:v>
      </x:c>
      <x:c r="F5" s="9" t="str">
        <x:v>PURPOSE AND USERS</x:v>
      </x:c>
      <x:c r="G5" s="9" t="str">
        <x:v>PURPOSE AND USERS</x:v>
      </x:c>
      <x:c r="H5" s="9" t="str">
        <x:v>PURPOSE AND USERS</x:v>
      </x:c>
      <x:c r="I5" s="9" t="str">
        <x:v>PURPOSE AND USERS</x:v>
      </x:c>
      <x:c r="J5" s="9" t="str">
        <x:v>PURPOSE AND USERS</x:v>
      </x:c>
    </x:row>
    <x:row r="6">
      <x:c r="A6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B6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C6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D6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E6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F6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G6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H6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I6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J6" s="12" t="str">
        <x:v>Incremental cash flow, NPV, IRR, payback, scenario, and implementation-risk framework.
Primary users: FP&amp;A, Corporate Finance, Investment Analyst, Operations Finance. Typical use: Investment approval, NPV, Payback.</x:v>
      </x:c>
    </x:row>
    <x:row r="7">
      <x:c r="A7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B7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C7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D7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E7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F7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G7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H7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I7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J7" s="12" t="str">
        <x:v>Incremental cash flow, NPV, IRR, payback, scenario, and implementation-risk framework.
Primary users: FP&amp;A, Corporate Finance, Investment Analyst, Operations Finance. Typical use: Investment approval, NPV, Payback.</x:v>
      </x:c>
    </x:row>
    <x:row r="8">
      <x:c r="A8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B8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C8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D8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E8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F8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G8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H8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I8" s="12" t="str">
        <x:v>Incremental cash flow, NPV, IRR, payback, scenario, and implementation-risk framework.
Primary users: FP&amp;A, Corporate Finance, Investment Analyst, Operations Finance. Typical use: Investment approval, NPV, Payback.</x:v>
      </x:c>
      <x:c r="J8" s="12" t="str">
        <x:v>Incremental cash flow, NPV, IRR, payback, scenario, and implementation-risk framework.
Primary users: FP&amp;A, Corporate Finance, Investment Analyst, Operations Finance. Typical use: Investment approval, NPV, Payback.</x:v>
      </x:c>
    </x:row>
    <x:row r="10" ht="22" customHeight="1">
      <x:c r="A10" s="9" t="str">
        <x:v>QUICK START</x:v>
      </x:c>
      <x:c r="B10" s="9" t="str">
        <x:v>QUICK START</x:v>
      </x:c>
      <x:c r="C10" s="9" t="str">
        <x:v>QUICK START</x:v>
      </x:c>
      <x:c r="D10" s="9" t="str">
        <x:v>QUICK START</x:v>
      </x:c>
      <x:c r="E10" s="9" t="str">
        <x:v>QUICK START</x:v>
      </x:c>
      <x:c r="F10" s="9" t="str">
        <x:v>QUICK START</x:v>
      </x:c>
      <x:c r="G10" s="9" t="str">
        <x:v>QUICK START</x:v>
      </x:c>
      <x:c r="H10" s="9" t="str">
        <x:v>QUICK START</x:v>
      </x:c>
      <x:c r="I10" s="9" t="str">
        <x:v>QUICK START</x:v>
      </x:c>
      <x:c r="J10" s="9" t="str">
        <x:v>QUICK START</x:v>
      </x:c>
    </x:row>
    <x:row r="11" ht="30" customHeight="1">
      <x:c r="A11" s="14" t="str">
        <x:v>01</x:v>
      </x:c>
      <x:c r="B11" s="15" t="str">
        <x:v>Confirm the decision</x:v>
      </x:c>
      <x:c r="C11" s="17" t="str">
        <x:v>Should management approve, defer, resize, or reject the investment?</x:v>
      </x:c>
      <x:c r="D11" s="17" t="str"/>
      <x:c r="E11" s="17" t="str"/>
      <x:c r="F11" s="17" t="str"/>
      <x:c r="G11" s="17" t="str"/>
      <x:c r="H11" s="17" t="str"/>
      <x:c r="I11" s="17" t="str"/>
      <x:c r="J11" s="17" t="str"/>
    </x:row>
    <x:row r="12" ht="30" customHeight="1">
      <x:c r="A12" s="14" t="str">
        <x:v>02</x:v>
      </x:c>
      <x:c r="B12" s="15" t="str">
        <x:v>Set model controls</x:v>
      </x:c>
      <x:c r="C12" s="17" t="str">
        <x:v>Select Base, Upside, or Downside; confirm currency, units, horizon, and calculation method.</x:v>
      </x:c>
      <x:c r="D12" s="17" t="str"/>
      <x:c r="E12" s="17" t="str"/>
      <x:c r="F12" s="17" t="str"/>
      <x:c r="G12" s="17" t="str"/>
      <x:c r="H12" s="17" t="str"/>
      <x:c r="I12" s="17" t="str"/>
      <x:c r="J12" s="17" t="str"/>
    </x:row>
    <x:row r="13" ht="30" customHeight="1">
      <x:c r="A13" s="14" t="str">
        <x:v>03</x:v>
      </x:c>
      <x:c r="B13" s="15" t="str">
        <x:v>Replace blue inputs</x:v>
      </x:c>
      <x:c r="C13" s="17" t="str">
        <x:v>Update the synthetic values on Project Inputs and the scenario drivers on Assumptions.</x:v>
      </x:c>
      <x:c r="D13" s="17" t="str"/>
      <x:c r="E13" s="17" t="str"/>
      <x:c r="F13" s="17" t="str"/>
      <x:c r="G13" s="17" t="str"/>
      <x:c r="H13" s="17" t="str"/>
      <x:c r="I13" s="17" t="str"/>
      <x:c r="J13" s="17" t="str"/>
    </x:row>
    <x:row r="14" ht="30" customHeight="1">
      <x:c r="A14" s="14" t="str">
        <x:v>04</x:v>
      </x:c>
      <x:c r="B14" s="15" t="str">
        <x:v>Review the engine</x:v>
      </x:c>
      <x:c r="C14" s="17" t="str">
        <x:v>Trace the calculations on Incremental Cash Flow; challenge definitions, signs, timing, and edge cases.</x:v>
      </x:c>
      <x:c r="D14" s="17" t="str"/>
      <x:c r="E14" s="17" t="str"/>
      <x:c r="F14" s="17" t="str"/>
      <x:c r="G14" s="17" t="str"/>
      <x:c r="H14" s="17" t="str"/>
      <x:c r="I14" s="17" t="str"/>
      <x:c r="J14" s="17" t="str"/>
    </x:row>
    <x:row r="15" ht="30" customHeight="1">
      <x:c r="A15" s="14" t="str">
        <x:v>05</x:v>
      </x:c>
      <x:c r="B15" s="15" t="str">
        <x:v>Use the summary</x:v>
      </x:c>
      <x:c r="C15" s="17" t="str">
        <x:v>Read headline outputs, sensitivities, breakpoints, and the owner/action prompts.</x:v>
      </x:c>
      <x:c r="D15" s="17" t="str"/>
      <x:c r="E15" s="17" t="str"/>
      <x:c r="F15" s="17" t="str"/>
      <x:c r="G15" s="17" t="str"/>
      <x:c r="H15" s="17" t="str"/>
      <x:c r="I15" s="17" t="str"/>
      <x:c r="J15" s="17" t="str"/>
    </x:row>
    <x:row r="16" ht="30" customHeight="1">
      <x:c r="A16" s="14" t="str">
        <x:v>06</x:v>
      </x:c>
      <x:c r="B16" s="15" t="str">
        <x:v>Resolve Checks</x:v>
      </x:c>
      <x:c r="C16" s="17" t="str">
        <x:v>Do not rely on the output until every published control passes and source readiness is reviewed.</x:v>
      </x:c>
      <x:c r="D16" s="17" t="str"/>
      <x:c r="E16" s="17" t="str"/>
      <x:c r="F16" s="17" t="str"/>
      <x:c r="G16" s="17" t="str"/>
      <x:c r="H16" s="17" t="str"/>
      <x:c r="I16" s="17" t="str"/>
      <x:c r="J16" s="17" t="str"/>
    </x:row>
    <x:row r="18" ht="22" customHeight="1">
      <x:c r="A18" s="9" t="str">
        <x:v>WORKBOOK MAP</x:v>
      </x:c>
      <x:c r="B18" s="9" t="str">
        <x:v>WORKBOOK MAP</x:v>
      </x:c>
      <x:c r="C18" s="9" t="str">
        <x:v>WORKBOOK MAP</x:v>
      </x:c>
      <x:c r="D18" s="9" t="str">
        <x:v>WORKBOOK MAP</x:v>
      </x:c>
      <x:c r="E18" s="9" t="str">
        <x:v>WORKBOOK MAP</x:v>
      </x:c>
      <x:c r="F18" s="9" t="str">
        <x:v>WORKBOOK MAP</x:v>
      </x:c>
      <x:c r="G18" s="9" t="str">
        <x:v>WORKBOOK MAP</x:v>
      </x:c>
      <x:c r="H18" s="9" t="str">
        <x:v>WORKBOOK MAP</x:v>
      </x:c>
      <x:c r="I18" s="9" t="str">
        <x:v>WORKBOOK MAP</x:v>
      </x:c>
      <x:c r="J18" s="9" t="str">
        <x:v>WORKBOOK MAP</x:v>
      </x:c>
    </x:row>
    <x:row r="19">
      <x:c r="A19" s="19" t="str">
        <x:v>Cover</x:v>
      </x:c>
      <x:c r="B19" s="17" t="str">
        <x:v>First-read status, model identity, key outputs, readiness, and cell-color legend.</x:v>
      </x:c>
      <x:c r="C19" s="17" t="str"/>
      <x:c r="D19" s="17" t="str"/>
      <x:c r="E19" s="17" t="str"/>
      <x:c r="F19" s="17" t="str"/>
      <x:c r="G19" s="17" t="str"/>
      <x:c r="H19" s="17" t="str"/>
      <x:c r="I19" s="17" t="str"/>
      <x:c r="J19" s="17" t="str"/>
    </x:row>
    <x:row r="20">
      <x:c r="A20" s="19" t="str">
        <x:v>Guide</x:v>
      </x:c>
      <x:c r="B20" s="17" t="str">
        <x:v>Purpose, quick start, workbook map, flexibility rules, Q&amp;A, and limitations.</x:v>
      </x:c>
      <x:c r="C20" s="17" t="str"/>
      <x:c r="D20" s="17" t="str"/>
      <x:c r="E20" s="17" t="str"/>
      <x:c r="F20" s="17" t="str"/>
      <x:c r="G20" s="17" t="str"/>
      <x:c r="H20" s="17" t="str"/>
      <x:c r="I20" s="17" t="str"/>
      <x:c r="J20" s="17" t="str"/>
    </x:row>
    <x:row r="21">
      <x:c r="A21" s="19" t="str">
        <x:v>Assumptions</x:v>
      </x:c>
      <x:c r="B21" s="17" t="str">
        <x:v>Base, Upside, Downside, selector, units, and selected driver values.</x:v>
      </x:c>
      <x:c r="C21" s="17" t="str"/>
      <x:c r="D21" s="17" t="str"/>
      <x:c r="E21" s="17" t="str"/>
      <x:c r="F21" s="17" t="str"/>
      <x:c r="G21" s="17" t="str"/>
      <x:c r="H21" s="17" t="str"/>
      <x:c r="I21" s="17" t="str"/>
      <x:c r="J21" s="17" t="str"/>
    </x:row>
    <x:row r="22">
      <x:c r="A22" s="19" t="str">
        <x:v>Project Inputs</x:v>
      </x:c>
      <x:c r="B22" s="17" t="str">
        <x:v>Synthetic worked source inputs. Replace blue cells and keep the layout or extend it carefully.</x:v>
      </x:c>
      <x:c r="C22" s="17" t="str"/>
      <x:c r="D22" s="17" t="str"/>
      <x:c r="E22" s="17" t="str"/>
      <x:c r="F22" s="17" t="str"/>
      <x:c r="G22" s="17" t="str"/>
      <x:c r="H22" s="17" t="str"/>
      <x:c r="I22" s="17" t="str"/>
      <x:c r="J22" s="17" t="str"/>
    </x:row>
    <x:row r="23">
      <x:c r="A23" s="19" t="str">
        <x:v>Incremental Cash Flow</x:v>
      </x:c>
      <x:c r="B23" s="17" t="str">
        <x:v>Formula-driven calculations and core finance mechanics.</x:v>
      </x:c>
      <x:c r="C23" s="17" t="str"/>
      <x:c r="D23" s="17" t="str"/>
      <x:c r="E23" s="17" t="str"/>
      <x:c r="F23" s="17" t="str"/>
      <x:c r="G23" s="17" t="str"/>
      <x:c r="H23" s="17" t="str"/>
      <x:c r="I23" s="17" t="str"/>
      <x:c r="J23" s="17" t="str"/>
    </x:row>
    <x:row r="24">
      <x:c r="A24" s="19" t="str">
        <x:v>Sensitivity</x:v>
      </x:c>
      <x:c r="B24" s="17" t="str">
        <x:v>Capex overrun × Benefit realization recalculation of Illustrative NPV.</x:v>
      </x:c>
      <x:c r="C24" s="17" t="str"/>
      <x:c r="D24" s="17" t="str"/>
      <x:c r="E24" s="17" t="str"/>
      <x:c r="F24" s="17" t="str"/>
      <x:c r="G24" s="17" t="str"/>
      <x:c r="H24" s="17" t="str"/>
      <x:c r="I24" s="17" t="str"/>
      <x:c r="J24" s="17" t="str"/>
    </x:row>
    <x:row r="25">
      <x:c r="A25" s="19" t="str">
        <x:v>Summary</x:v>
      </x:c>
      <x:c r="B25" s="17" t="str">
        <x:v>Decision KPIs, trend, scenario, status, management questions, and next actions.</x:v>
      </x:c>
      <x:c r="C25" s="17" t="str"/>
      <x:c r="D25" s="17" t="str"/>
      <x:c r="E25" s="17" t="str"/>
      <x:c r="F25" s="17" t="str"/>
      <x:c r="G25" s="17" t="str"/>
      <x:c r="H25" s="17" t="str"/>
      <x:c r="I25" s="17" t="str"/>
      <x:c r="J25" s="17" t="str"/>
    </x:row>
    <x:row r="26">
      <x:c r="A26" s="19" t="str">
        <x:v>Checks</x:v>
      </x:c>
      <x:c r="B26" s="17" t="str">
        <x:v>One assertion per row with actual, expected, difference, tolerance, status, and fix location.</x:v>
      </x:c>
      <x:c r="C26" s="17" t="str"/>
      <x:c r="D26" s="17" t="str"/>
      <x:c r="E26" s="17" t="str"/>
      <x:c r="F26" s="17" t="str"/>
      <x:c r="G26" s="17" t="str"/>
      <x:c r="H26" s="17" t="str"/>
      <x:c r="I26" s="17" t="str"/>
      <x:c r="J26" s="17" t="str"/>
    </x:row>
    <x:row r="27">
      <x:c r="A27" s="19" t="str">
        <x:v>Sources &amp; Version</x:v>
      </x:c>
      <x:c r="B27" s="17" t="str">
        <x:v>Source/assumption register, release facts, version history, distribution and privacy notes.</x:v>
      </x:c>
      <x:c r="C27" s="17" t="str"/>
      <x:c r="D27" s="17" t="str"/>
      <x:c r="E27" s="17" t="str"/>
      <x:c r="F27" s="17" t="str"/>
      <x:c r="G27" s="17" t="str"/>
      <x:c r="H27" s="17" t="str"/>
      <x:c r="I27" s="17" t="str"/>
      <x:c r="J27" s="17" t="str"/>
    </x:row>
    <x:row r="29" ht="22" customHeight="1">
      <x:c r="A29" s="9" t="str">
        <x:v>PRACTICAL Q&amp;A</x:v>
      </x:c>
      <x:c r="B29" s="9" t="str">
        <x:v>PRACTICAL Q&amp;A</x:v>
      </x:c>
      <x:c r="C29" s="9" t="str">
        <x:v>PRACTICAL Q&amp;A</x:v>
      </x:c>
      <x:c r="D29" s="9" t="str">
        <x:v>PRACTICAL Q&amp;A</x:v>
      </x:c>
      <x:c r="E29" s="9" t="str">
        <x:v>PRACTICAL Q&amp;A</x:v>
      </x:c>
      <x:c r="F29" s="9" t="str">
        <x:v>PRACTICAL Q&amp;A</x:v>
      </x:c>
      <x:c r="G29" s="9" t="str">
        <x:v>PRACTICAL Q&amp;A</x:v>
      </x:c>
      <x:c r="H29" s="9" t="str">
        <x:v>PRACTICAL Q&amp;A</x:v>
      </x:c>
      <x:c r="I29" s="9" t="str">
        <x:v>PRACTICAL Q&amp;A</x:v>
      </x:c>
      <x:c r="J29" s="9" t="str">
        <x:v>PRACTICAL Q&amp;A</x:v>
      </x:c>
    </x:row>
    <x:row r="30" ht="34" customHeight="1">
      <x:c r="A30" s="22" t="str">
        <x:v>What should I replace first?</x:v>
      </x:c>
      <x:c r="B30" s="17" t="str">
        <x:v>Replace blue cells on Project Inputs, then review scenario drivers and selected values on Assumptions.</x:v>
      </x:c>
      <x:c r="C30" s="17" t="str"/>
      <x:c r="D30" s="17" t="str"/>
      <x:c r="E30" s="17" t="str"/>
      <x:c r="F30" s="17" t="str"/>
      <x:c r="G30" s="17" t="str"/>
      <x:c r="H30" s="17" t="str"/>
      <x:c r="I30" s="17" t="str"/>
      <x:c r="J30" s="17" t="str"/>
    </x:row>
    <x:row r="31" ht="34" customHeight="1">
      <x:c r="A31" s="22" t="str">
        <x:v>How do I flex the template?</x:v>
      </x:c>
      <x:c r="B31" s="17" t="str">
        <x:v>Add periods or input rows in the source layer, extend formulas and formats together, and reconcile the new dimension back to Incremental Cash Flow and Checks.</x:v>
      </x:c>
      <x:c r="C31" s="17" t="str"/>
      <x:c r="D31" s="17" t="str"/>
      <x:c r="E31" s="17" t="str"/>
      <x:c r="F31" s="17" t="str"/>
      <x:c r="G31" s="17" t="str"/>
      <x:c r="H31" s="17" t="str"/>
      <x:c r="I31" s="17" t="str"/>
      <x:c r="J31" s="17" t="str"/>
    </x:row>
    <x:row r="32" ht="34" customHeight="1">
      <x:c r="A32" s="22" t="str">
        <x:v>What does PASS mean?</x:v>
      </x:c>
      <x:c r="B32" s="17" t="str">
        <x:v>The published calculations and tie-outs are within tolerance. PASS does not confirm source quality, policy, accounting, regulation, tax, legal treatment, or suitability.</x:v>
      </x:c>
      <x:c r="C32" s="17" t="str"/>
      <x:c r="D32" s="17" t="str"/>
      <x:c r="E32" s="17" t="str"/>
      <x:c r="F32" s="17" t="str"/>
      <x:c r="G32" s="17" t="str"/>
      <x:c r="H32" s="17" t="str"/>
      <x:c r="I32" s="17" t="str"/>
      <x:c r="J32" s="17" t="str"/>
    </x:row>
    <x:row r="33" ht="34" customHeight="1">
      <x:c r="A33" s="22" t="str">
        <x:v>Can I use real company data?</x:v>
      </x:c>
      <x:c r="B33" s="17" t="str">
        <x:v>Yes, in your private copy. Confirm permissions, source ownership, privacy requirements, and distribution restrictions before sharing.</x:v>
      </x:c>
      <x:c r="C33" s="17" t="str"/>
      <x:c r="D33" s="17" t="str"/>
      <x:c r="E33" s="17" t="str"/>
      <x:c r="F33" s="17" t="str"/>
      <x:c r="G33" s="17" t="str"/>
      <x:c r="H33" s="17" t="str"/>
      <x:c r="I33" s="17" t="str"/>
      <x:c r="J33" s="17" t="str"/>
    </x:row>
    <x:row r="34" ht="34" customHeight="1">
      <x:c r="A34" s="22" t="str">
        <x:v>Does it work in Google Sheets or LibreOffice?</x:v>
      </x:c>
      <x:c r="B34" s="17" t="str">
        <x:v>Not verified. Excel 365 is the supported target; test formulas, charts, validations, formats, and checks after conversion.</x:v>
      </x:c>
      <x:c r="C34" s="17" t="str"/>
      <x:c r="D34" s="17" t="str"/>
      <x:c r="E34" s="17" t="str"/>
      <x:c r="F34" s="17" t="str"/>
      <x:c r="G34" s="17" t="str"/>
      <x:c r="H34" s="17" t="str"/>
      <x:c r="I34" s="17" t="str"/>
      <x:c r="J34" s="17" t="str"/>
    </x:row>
    <x:row r="35" ht="34" customHeight="1">
      <x:c r="A35" s="22" t="str">
        <x:v>Can this replace professional review?</x:v>
      </x:c>
      <x:c r="B35" s="17" t="str">
        <x:v>No. It is an educational analytical template; obtain appropriate finance, accounting, tax, legal, regulatory, credit, actuarial, or investment review for real decisions.</x:v>
      </x:c>
      <x:c r="C35" s="17" t="str"/>
      <x:c r="D35" s="17" t="str"/>
      <x:c r="E35" s="17" t="str"/>
      <x:c r="F35" s="17" t="str"/>
      <x:c r="G35" s="17" t="str"/>
      <x:c r="H35" s="17" t="str"/>
      <x:c r="I35" s="17" t="str"/>
      <x:c r="J35" s="17" t="str"/>
    </x:row>
    <x:row r="37">
      <x:c r="A37" s="42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B37" s="43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C37" s="43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D37" s="43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E37" s="43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F37" s="43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G37" s="43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H37" s="43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I37" s="43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J37" s="44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</x:row>
    <x:row r="38">
      <x:c r="A38" s="45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B38" s="46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C38" s="46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D38" s="46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E38" s="46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F38" s="46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G38" s="46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H38" s="46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I38" s="46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J38" s="47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</x:row>
    <x:row r="39">
      <x:c r="A39" s="48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B39" s="49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C39" s="49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D39" s="49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E39" s="49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F39" s="49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G39" s="49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H39" s="49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I39" s="49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  <x:c r="J39" s="50" t="str">
        <x:v>Deliberately excluded in version 1.0.0: financing structure; lease accounting; detailed tax depreciation; real options; jurisdiction-specific incentives. Extend only after the underlying method, source availability, checks, and review responsibility are defined.</x:v>
      </x:c>
    </x:row>
    <x:row r="41">
      <x:c r="A41" s="53" t="str">
        <x:v>TDAT Model Library  |  Trust builds the brand. Insight builds the decision.</x:v>
      </x:c>
      <x:c r="B41" s="53" t="str">
        <x:v>TDAT Model Library  |  Trust builds the brand. Insight builds the decision.</x:v>
      </x:c>
      <x:c r="C41" s="53" t="str">
        <x:v>TDAT Model Library  |  Trust builds the brand. Insight builds the decision.</x:v>
      </x:c>
      <x:c r="D41" s="53" t="str">
        <x:v>TDAT Model Library  |  Trust builds the brand. Insight builds the decision.</x:v>
      </x:c>
      <x:c r="E41" s="53" t="str">
        <x:v>TDAT Model Library  |  Trust builds the brand. Insight builds the decision.</x:v>
      </x:c>
      <x:c r="F41" s="53" t="str">
        <x:v>TDAT Model Library  |  Trust builds the brand. Insight builds the decision.</x:v>
      </x:c>
      <x:c r="G41" s="53" t="str">
        <x:v>TDAT Model Library  |  Trust builds the brand. Insight builds the decision.</x:v>
      </x:c>
      <x:c r="H41" s="53" t="str">
        <x:v>TDAT Model Library  |  Trust builds the brand. Insight builds the decision.</x:v>
      </x:c>
      <x:c r="I41" s="53" t="str">
        <x:v>TDAT Model Library  |  Trust builds the brand. Insight builds the decision.</x:v>
      </x:c>
      <x:c r="J41" s="53" t="str">
        <x:v>TDAT Model Library  |  Trust builds the brand. Insight builds the decision.</x:v>
      </x:c>
    </x:row>
  </x:sheetData>
  <x:mergeCells>
    <x:mergeCell ref="A1:J1"/>
    <x:mergeCell ref="A2:J2"/>
    <x:mergeCell ref="A5:J5"/>
    <x:mergeCell ref="A6:J8"/>
    <x:mergeCell ref="A10:J10"/>
    <x:mergeCell ref="C11:J11"/>
    <x:mergeCell ref="C12:J12"/>
    <x:mergeCell ref="C13:J13"/>
    <x:mergeCell ref="C14:J14"/>
    <x:mergeCell ref="C15:J15"/>
    <x:mergeCell ref="C16:J16"/>
    <x:mergeCell ref="A18:J18"/>
    <x:mergeCell ref="B19:J19"/>
    <x:mergeCell ref="B20:J20"/>
    <x:mergeCell ref="B21:J21"/>
    <x:mergeCell ref="B22:J22"/>
    <x:mergeCell ref="B23:J23"/>
    <x:mergeCell ref="B24:J24"/>
    <x:mergeCell ref="B25:J25"/>
    <x:mergeCell ref="B26:J26"/>
    <x:mergeCell ref="B27:J27"/>
    <x:mergeCell ref="A29:J29"/>
    <x:mergeCell ref="B30:J30"/>
    <x:mergeCell ref="B31:J31"/>
    <x:mergeCell ref="B32:J32"/>
    <x:mergeCell ref="B33:J33"/>
    <x:mergeCell ref="B34:J34"/>
    <x:mergeCell ref="B35:J35"/>
    <x:mergeCell ref="A37:J39"/>
    <x:mergeCell ref="A41:J4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44" hidden="0" customWidth="1"/>
  </x:cols>
  <x:sheetData>
    <x:row r="1" ht="34" customHeight="1">
      <x:c r="A1" s="3" t="str">
        <x:v>ASSUMPTIONS &amp; SCENARIOS</x:v>
      </x:c>
      <x:c r="B1" s="3" t="str">
        <x:v>ASSUMPTIONS &amp; SCENARIOS</x:v>
      </x:c>
      <x:c r="C1" s="3" t="str">
        <x:v>ASSUMPTIONS &amp; SCENARIOS</x:v>
      </x:c>
      <x:c r="D1" s="3" t="str">
        <x:v>ASSUMPTIONS &amp; SCENARIOS</x:v>
      </x:c>
      <x:c r="E1" s="3" t="str">
        <x:v>ASSUMPTIONS &amp; SCENARIOS</x:v>
      </x:c>
      <x:c r="F1" s="3" t="str">
        <x:v>ASSUMPTIONS &amp; SCENARIOS</x:v>
      </x:c>
      <x:c r="G1" s="3" t="str">
        <x:v>ASSUMPTIONS &amp; SCENARIOS</x:v>
      </x:c>
    </x:row>
    <x:row r="2" ht="24" customHeight="1">
      <x:c r="A2" s="6" t="str">
        <x:v>Capex / Business Case  |  One controlled selector and visible driver cases</x:v>
      </x:c>
      <x:c r="B2" s="6" t="str">
        <x:v>Capex / Business Case  |  One controlled selector and visible driver cases</x:v>
      </x:c>
      <x:c r="C2" s="6" t="str">
        <x:v>Capex / Business Case  |  One controlled selector and visible driver cases</x:v>
      </x:c>
      <x:c r="D2" s="6" t="str">
        <x:v>Capex / Business Case  |  One controlled selector and visible driver cases</x:v>
      </x:c>
      <x:c r="E2" s="6" t="str">
        <x:v>Capex / Business Case  |  One controlled selector and visible driver cases</x:v>
      </x:c>
      <x:c r="F2" s="6" t="str">
        <x:v>Capex / Business Case  |  One controlled selector and visible driver cases</x:v>
      </x:c>
      <x:c r="G2" s="6" t="str">
        <x:v>Capex / Business Case  |  One controlled selector and visible driver cases</x:v>
      </x:c>
    </x:row>
    <x:row r="3" ht="4" customHeight="1">
      <x:c r="A3" s="54" t="str">
        <x:v>Selected Scenario</x:v>
      </x:c>
      <x:c r="B3" s="56" t="str">
        <x:v>Base</x:v>
      </x:c>
      <x:c r="C3" s="7"/>
      <x:c r="D3" s="7"/>
      <x:c r="E3" s="7"/>
      <x:c r="F3" s="7"/>
      <x:c r="G3" s="7"/>
    </x:row>
    <x:row r="5" ht="24" customHeight="1">
      <x:c r="A5" s="66" t="str">
        <x:v>Driver</x:v>
      </x:c>
      <x:c r="B5" s="67" t="str">
        <x:v>Unit</x:v>
      </x:c>
      <x:c r="C5" s="67" t="str">
        <x:v>Base</x:v>
      </x:c>
      <x:c r="D5" s="67" t="str">
        <x:v>Upside</x:v>
      </x:c>
      <x:c r="E5" s="67" t="str">
        <x:v>Downside</x:v>
      </x:c>
      <x:c r="F5" s="67" t="str">
        <x:v>Selected</x:v>
      </x:c>
      <x:c r="G5" s="68" t="str">
        <x:v>Rationale / edit cue</x:v>
      </x:c>
    </x:row>
    <x:row r="6">
      <x:c r="A6" s="84" t="str">
        <x:v>Benefit realization</x:v>
      </x:c>
      <x:c r="B6" s="85" t="str">
        <x:v>%</x:v>
      </x:c>
      <x:c r="C6" s="86" t="n">
        <x:v>0.9</x:v>
      </x:c>
      <x:c r="D6" s="86" t="n">
        <x:v>1.05</x:v>
      </x:c>
      <x:c r="E6" s="86" t="n">
        <x:v>0.7</x:v>
      </x:c>
      <x:c r="F6" s="87" t="n">
        <x:f>IF($B$3="Base",C6,IF($B$3="Upside",D6,E6))</x:f>
        <x:v>0.9</x:v>
      </x:c>
      <x:c r="G6" s="88" t="str">
        <x:v>Replace with an approved, sourced assumption.</x:v>
      </x:c>
    </x:row>
    <x:row r="7">
      <x:c r="A7" s="89" t="str">
        <x:v>Variable cost / benefit</x:v>
      </x:c>
      <x:c r="B7" s="90" t="str">
        <x:v>%</x:v>
      </x:c>
      <x:c r="C7" s="91" t="n">
        <x:v>0.32</x:v>
      </x:c>
      <x:c r="D7" s="91" t="n">
        <x:v>0.28</x:v>
      </x:c>
      <x:c r="E7" s="91" t="n">
        <x:v>0.4</x:v>
      </x:c>
      <x:c r="F7" s="92" t="n">
        <x:f>IF($B$3="Base",C7,IF($B$3="Upside",D7,E7))</x:f>
        <x:v>0.32</x:v>
      </x:c>
      <x:c r="G7" s="93" t="str">
        <x:v>Replace with an approved, sourced assumption.</x:v>
      </x:c>
    </x:row>
    <x:row r="8">
      <x:c r="A8" s="89" t="str">
        <x:v>Cash tax rate</x:v>
      </x:c>
      <x:c r="B8" s="90" t="str">
        <x:v>%</x:v>
      </x:c>
      <x:c r="C8" s="91" t="n">
        <x:v>0.2</x:v>
      </x:c>
      <x:c r="D8" s="91" t="n">
        <x:v>0.2</x:v>
      </x:c>
      <x:c r="E8" s="91" t="n">
        <x:v>0.2</x:v>
      </x:c>
      <x:c r="F8" s="92" t="n">
        <x:f>IF($B$3="Base",C8,IF($B$3="Upside",D8,E8))</x:f>
        <x:v>0.2</x:v>
      </x:c>
      <x:c r="G8" s="93" t="str">
        <x:v>Replace with an approved, sourced assumption.</x:v>
      </x:c>
    </x:row>
    <x:row r="9">
      <x:c r="A9" s="89" t="str">
        <x:v>Annual discount rate</x:v>
      </x:c>
      <x:c r="B9" s="90" t="str">
        <x:v>%</x:v>
      </x:c>
      <x:c r="C9" s="91" t="n">
        <x:v>0.12</x:v>
      </x:c>
      <x:c r="D9" s="91" t="n">
        <x:v>0.1</x:v>
      </x:c>
      <x:c r="E9" s="91" t="n">
        <x:v>0.16</x:v>
      </x:c>
      <x:c r="F9" s="92" t="n">
        <x:f>IF($B$3="Base",C9,IF($B$3="Upside",D9,E9))</x:f>
        <x:v>0.12</x:v>
      </x:c>
      <x:c r="G9" s="93" t="str">
        <x:v>Replace with an approved, sourced assumption.</x:v>
      </x:c>
    </x:row>
    <x:row r="10">
      <x:c r="A10" s="89" t="str">
        <x:v>Useful life</x:v>
      </x:c>
      <x:c r="B10" s="90" t="str">
        <x:v>months</x:v>
      </x:c>
      <x:c r="C10" s="94" t="n">
        <x:v>60</x:v>
      </x:c>
      <x:c r="D10" s="94" t="n">
        <x:v>72</x:v>
      </x:c>
      <x:c r="E10" s="94" t="n">
        <x:v>48</x:v>
      </x:c>
      <x:c r="F10" s="95" t="n">
        <x:f>IF($B$3="Base",C10,IF($B$3="Upside",D10,E10))</x:f>
        <x:v>60</x:v>
      </x:c>
      <x:c r="G10" s="93" t="str">
        <x:v>Replace with an approved, sourced assumption.</x:v>
      </x:c>
    </x:row>
    <x:row r="11">
      <x:c r="A11" s="96" t="str">
        <x:v>Final-period salvage value</x:v>
      </x:c>
      <x:c r="B11" s="97" t="str">
        <x:v>LCY000</x:v>
      </x:c>
      <x:c r="C11" s="98" t="n">
        <x:v>20</x:v>
      </x:c>
      <x:c r="D11" s="98" t="n">
        <x:v>30</x:v>
      </x:c>
      <x:c r="E11" s="98" t="n">
        <x:v>10</x:v>
      </x:c>
      <x:c r="F11" s="99" t="n">
        <x:f>IF($B$3="Base",C11,IF($B$3="Upside",D11,E11))</x:f>
        <x:v>20</x:v>
      </x:c>
      <x:c r="G11" s="100" t="str">
        <x:v>Replace with an approved, sourced assumption.</x:v>
      </x:c>
    </x:row>
    <x:row r="13">
      <x:c r="A13" s="42" t="str">
        <x:v>Scenario discipline: change a small number of decision-relevant drivers, preserve the core formula architecture, and document what changed, why, who owns it, and what action follows.</x:v>
      </x:c>
      <x:c r="B13" s="43" t="str">
        <x:v>Scenario discipline: change a small number of decision-relevant drivers, preserve the core formula architecture, and document what changed, why, who owns it, and what action follows.</x:v>
      </x:c>
      <x:c r="C13" s="43" t="str">
        <x:v>Scenario discipline: change a small number of decision-relevant drivers, preserve the core formula architecture, and document what changed, why, who owns it, and what action follows.</x:v>
      </x:c>
      <x:c r="D13" s="43" t="str">
        <x:v>Scenario discipline: change a small number of decision-relevant drivers, preserve the core formula architecture, and document what changed, why, who owns it, and what action follows.</x:v>
      </x:c>
      <x:c r="E13" s="43" t="str">
        <x:v>Scenario discipline: change a small number of decision-relevant drivers, preserve the core formula architecture, and document what changed, why, who owns it, and what action follows.</x:v>
      </x:c>
      <x:c r="F13" s="43" t="str">
        <x:v>Scenario discipline: change a small number of decision-relevant drivers, preserve the core formula architecture, and document what changed, why, who owns it, and what action follows.</x:v>
      </x:c>
      <x:c r="G13" s="44" t="str">
        <x:v>Scenario discipline: change a small number of decision-relevant drivers, preserve the core formula architecture, and document what changed, why, who owns it, and what action follows.</x:v>
      </x:c>
    </x:row>
    <x:row r="14">
      <x:c r="A14" s="45" t="str">
        <x:v>Scenario discipline: change a small number of decision-relevant drivers, preserve the core formula architecture, and document what changed, why, who owns it, and what action follows.</x:v>
      </x:c>
      <x:c r="B14" s="46" t="str">
        <x:v>Scenario discipline: change a small number of decision-relevant drivers, preserve the core formula architecture, and document what changed, why, who owns it, and what action follows.</x:v>
      </x:c>
      <x:c r="C14" s="46" t="str">
        <x:v>Scenario discipline: change a small number of decision-relevant drivers, preserve the core formula architecture, and document what changed, why, who owns it, and what action follows.</x:v>
      </x:c>
      <x:c r="D14" s="46" t="str">
        <x:v>Scenario discipline: change a small number of decision-relevant drivers, preserve the core formula architecture, and document what changed, why, who owns it, and what action follows.</x:v>
      </x:c>
      <x:c r="E14" s="46" t="str">
        <x:v>Scenario discipline: change a small number of decision-relevant drivers, preserve the core formula architecture, and document what changed, why, who owns it, and what action follows.</x:v>
      </x:c>
      <x:c r="F14" s="46" t="str">
        <x:v>Scenario discipline: change a small number of decision-relevant drivers, preserve the core formula architecture, and document what changed, why, who owns it, and what action follows.</x:v>
      </x:c>
      <x:c r="G14" s="47" t="str">
        <x:v>Scenario discipline: change a small number of decision-relevant drivers, preserve the core formula architecture, and document what changed, why, who owns it, and what action follows.</x:v>
      </x:c>
    </x:row>
    <x:row r="15">
      <x:c r="A15" s="48" t="str">
        <x:v>Scenario discipline: change a small number of decision-relevant drivers, preserve the core formula architecture, and document what changed, why, who owns it, and what action follows.</x:v>
      </x:c>
      <x:c r="B15" s="49" t="str">
        <x:v>Scenario discipline: change a small number of decision-relevant drivers, preserve the core formula architecture, and document what changed, why, who owns it, and what action follows.</x:v>
      </x:c>
      <x:c r="C15" s="49" t="str">
        <x:v>Scenario discipline: change a small number of decision-relevant drivers, preserve the core formula architecture, and document what changed, why, who owns it, and what action follows.</x:v>
      </x:c>
      <x:c r="D15" s="49" t="str">
        <x:v>Scenario discipline: change a small number of decision-relevant drivers, preserve the core formula architecture, and document what changed, why, who owns it, and what action follows.</x:v>
      </x:c>
      <x:c r="E15" s="49" t="str">
        <x:v>Scenario discipline: change a small number of decision-relevant drivers, preserve the core formula architecture, and document what changed, why, who owns it, and what action follows.</x:v>
      </x:c>
      <x:c r="F15" s="49" t="str">
        <x:v>Scenario discipline: change a small number of decision-relevant drivers, preserve the core formula architecture, and document what changed, why, who owns it, and what action follows.</x:v>
      </x:c>
      <x:c r="G15" s="50" t="str">
        <x:v>Scenario discipline: change a small number of decision-relevant drivers, preserve the core formula architecture, and document what changed, why, who owns it, and what action follows.</x:v>
      </x:c>
    </x:row>
    <x:row r="17">
      <x:c r="A17" s="53" t="str">
        <x:v>TDAT Model Library  |  Trust builds the brand. Insight builds the decision.</x:v>
      </x:c>
      <x:c r="B17" s="53" t="str">
        <x:v>TDAT Model Library  |  Trust builds the brand. Insight builds the decision.</x:v>
      </x:c>
      <x:c r="C17" s="53" t="str">
        <x:v>TDAT Model Library  |  Trust builds the brand. Insight builds the decision.</x:v>
      </x:c>
      <x:c r="D17" s="53" t="str">
        <x:v>TDAT Model Library  |  Trust builds the brand. Insight builds the decision.</x:v>
      </x:c>
      <x:c r="E17" s="53" t="str">
        <x:v>TDAT Model Library  |  Trust builds the brand. Insight builds the decision.</x:v>
      </x:c>
      <x:c r="F17" s="53" t="str">
        <x:v>TDAT Model Library  |  Trust builds the brand. Insight builds the decision.</x:v>
      </x:c>
      <x:c r="G17" s="53" t="str">
        <x:v>TDAT Model Library  |  Trust builds the brand. Insight builds the decision.</x:v>
      </x:c>
    </x:row>
  </x:sheetData>
  <x:mergeCells>
    <x:mergeCell ref="A1:G1"/>
    <x:mergeCell ref="A2:G2"/>
    <x:mergeCell ref="A13:G15"/>
    <x:mergeCell ref="A17:G17"/>
  </x:mergeCells>
  <x:dataValidations count="1">
    <x:dataValidation type="list" sqref="B3">
      <x:formula1>"Base,Upside,Downside"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34" customHeight="1">
      <x:c r="A1" s="3" t="str">
        <x:v>PROJECT INPUTS</x:v>
      </x:c>
      <x:c r="B1" s="3" t="str">
        <x:v>PROJECT INPUTS</x:v>
      </x:c>
      <x:c r="C1" s="3" t="str">
        <x:v>PROJECT INPUTS</x:v>
      </x:c>
      <x:c r="D1" s="3" t="str">
        <x:v>PROJECT INPUTS</x:v>
      </x:c>
      <x:c r="E1" s="3" t="str">
        <x:v>PROJECT INPUTS</x:v>
      </x:c>
      <x:c r="F1" s="3" t="str">
        <x:v>PROJECT INPUTS</x:v>
      </x:c>
      <x:c r="G1" s="3" t="str">
        <x:v>PROJECT INPUTS</x:v>
      </x:c>
      <x:c r="H1" s="3" t="str">
        <x:v>PROJECT INPUTS</x:v>
      </x:c>
      <x:c r="I1" s="3" t="str">
        <x:v>PROJECT INPUTS</x:v>
      </x:c>
      <x:c r="J1" s="3" t="str">
        <x:v>PROJECT INPUTS</x:v>
      </x:c>
      <x:c r="K1" s="3" t="str">
        <x:v>PROJECT INPUTS</x:v>
      </x:c>
      <x:c r="L1" s="3" t="str">
        <x:v>PROJECT INPUTS</x:v>
      </x:c>
      <x:c r="M1" s="3" t="str">
        <x:v>PROJECT INPUTS</x:v>
      </x:c>
    </x:row>
    <x:row r="2" ht="24" customHeight="1">
      <x:c r="A2" s="6" t="str">
        <x:v>Capex / Business Case  |  Synthetic worked inputs — replace blue cells</x:v>
      </x:c>
      <x:c r="B2" s="6" t="str">
        <x:v>Capex / Business Case  |  Synthetic worked inputs — replace blue cells</x:v>
      </x:c>
      <x:c r="C2" s="6" t="str">
        <x:v>Capex / Business Case  |  Synthetic worked inputs — replace blue cells</x:v>
      </x:c>
      <x:c r="D2" s="6" t="str">
        <x:v>Capex / Business Case  |  Synthetic worked inputs — replace blue cells</x:v>
      </x:c>
      <x:c r="E2" s="6" t="str">
        <x:v>Capex / Business Case  |  Synthetic worked inputs — replace blue cells</x:v>
      </x:c>
      <x:c r="F2" s="6" t="str">
        <x:v>Capex / Business Case  |  Synthetic worked inputs — replace blue cells</x:v>
      </x:c>
      <x:c r="G2" s="6" t="str">
        <x:v>Capex / Business Case  |  Synthetic worked inputs — replace blue cells</x:v>
      </x:c>
      <x:c r="H2" s="6" t="str">
        <x:v>Capex / Business Case  |  Synthetic worked inputs — replace blue cells</x:v>
      </x:c>
      <x:c r="I2" s="6" t="str">
        <x:v>Capex / Business Case  |  Synthetic worked inputs — replace blue cells</x:v>
      </x:c>
      <x:c r="J2" s="6" t="str">
        <x:v>Capex / Business Case  |  Synthetic worked inputs — replace blue cells</x:v>
      </x:c>
      <x:c r="K2" s="6" t="str">
        <x:v>Capex / Business Case  |  Synthetic worked inputs — replace blue cells</x:v>
      </x:c>
      <x:c r="L2" s="6" t="str">
        <x:v>Capex / Business Case  |  Synthetic worked inputs — replace blue cells</x:v>
      </x:c>
      <x:c r="M2" s="6" t="str">
        <x:v>Capex / Business Case  |  Synthetic worked inputs — replace blue cells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5" ht="24" customHeight="1">
      <x:c r="A5" s="66" t="str">
        <x:v>Input / Period</x:v>
      </x:c>
      <x:c r="B5" s="67" t="str">
        <x:v>Jan</x:v>
      </x:c>
      <x:c r="C5" s="67" t="str">
        <x:v>Feb</x:v>
      </x:c>
      <x:c r="D5" s="67" t="str">
        <x:v>Mar</x:v>
      </x:c>
      <x:c r="E5" s="67" t="str">
        <x:v>Apr</x:v>
      </x:c>
      <x:c r="F5" s="67" t="str">
        <x:v>May</x:v>
      </x:c>
      <x:c r="G5" s="67" t="str">
        <x:v>Jun</x:v>
      </x:c>
      <x:c r="H5" s="67" t="str">
        <x:v>Jul</x:v>
      </x:c>
      <x:c r="I5" s="67" t="str">
        <x:v>Aug</x:v>
      </x:c>
      <x:c r="J5" s="67" t="str">
        <x:v>Sep</x:v>
      </x:c>
      <x:c r="K5" s="67" t="str">
        <x:v>Oct</x:v>
      </x:c>
      <x:c r="L5" s="67" t="str">
        <x:v>Nov</x:v>
      </x:c>
      <x:c r="M5" s="68" t="str">
        <x:v>Dec</x:v>
      </x:c>
    </x:row>
    <x:row r="6">
      <x:c r="A6" s="102" t="str">
        <x:v>Capex phasing</x:v>
      </x:c>
      <x:c r="B6" s="103" t="n">
        <x:v>180</x:v>
      </x:c>
      <x:c r="C6" s="103" t="n">
        <x:v>90</x:v>
      </x:c>
      <x:c r="D6" s="103" t="n">
        <x:v>30</x:v>
      </x:c>
      <x:c r="E6" s="103" t="n">
        <x:v>0</x:v>
      </x:c>
      <x:c r="F6" s="103" t="n">
        <x:v>0</x:v>
      </x:c>
      <x:c r="G6" s="103" t="n">
        <x:v>0</x:v>
      </x:c>
      <x:c r="H6" s="103" t="n">
        <x:v>0</x:v>
      </x:c>
      <x:c r="I6" s="103" t="n">
        <x:v>0</x:v>
      </x:c>
      <x:c r="J6" s="103" t="n">
        <x:v>0</x:v>
      </x:c>
      <x:c r="K6" s="103" t="n">
        <x:v>0</x:v>
      </x:c>
      <x:c r="L6" s="103" t="n">
        <x:v>0</x:v>
      </x:c>
      <x:c r="M6" s="103" t="n">
        <x:v>0</x:v>
      </x:c>
    </x:row>
    <x:row r="7">
      <x:c r="A7" s="104" t="str">
        <x:v>Gross monthly revenue / savings potential</x:v>
      </x:c>
      <x:c r="B7" s="105" t="n">
        <x:v>0</x:v>
      </x:c>
      <x:c r="C7" s="105" t="n">
        <x:v>0</x:v>
      </x:c>
      <x:c r="D7" s="105" t="n">
        <x:v>20</x:v>
      </x:c>
      <x:c r="E7" s="105" t="n">
        <x:v>35</x:v>
      </x:c>
      <x:c r="F7" s="105" t="n">
        <x:v>45</x:v>
      </x:c>
      <x:c r="G7" s="105" t="n">
        <x:v>55</x:v>
      </x:c>
      <x:c r="H7" s="105" t="n">
        <x:v>60</x:v>
      </x:c>
      <x:c r="I7" s="105" t="n">
        <x:v>62</x:v>
      </x:c>
      <x:c r="J7" s="105" t="n">
        <x:v>64</x:v>
      </x:c>
      <x:c r="K7" s="105" t="n">
        <x:v>66</x:v>
      </x:c>
      <x:c r="L7" s="105" t="n">
        <x:v>68</x:v>
      </x:c>
      <x:c r="M7" s="105" t="n">
        <x:v>70</x:v>
      </x:c>
    </x:row>
    <x:row r="8">
      <x:c r="A8" s="104" t="str">
        <x:v>Incremental fixed operating cost</x:v>
      </x:c>
      <x:c r="B8" s="105" t="n">
        <x:v>2</x:v>
      </x:c>
      <x:c r="C8" s="105" t="n">
        <x:v>2</x:v>
      </x:c>
      <x:c r="D8" s="105" t="n">
        <x:v>5</x:v>
      </x:c>
      <x:c r="E8" s="105" t="n">
        <x:v>8</x:v>
      </x:c>
      <x:c r="F8" s="105" t="n">
        <x:v>8</x:v>
      </x:c>
      <x:c r="G8" s="105" t="n">
        <x:v>8</x:v>
      </x:c>
      <x:c r="H8" s="105" t="n">
        <x:v>8</x:v>
      </x:c>
      <x:c r="I8" s="105" t="n">
        <x:v>8</x:v>
      </x:c>
      <x:c r="J8" s="105" t="n">
        <x:v>8</x:v>
      </x:c>
      <x:c r="K8" s="105" t="n">
        <x:v>8</x:v>
      </x:c>
      <x:c r="L8" s="105" t="n">
        <x:v>8</x:v>
      </x:c>
      <x:c r="M8" s="105" t="n">
        <x:v>8</x:v>
      </x:c>
    </x:row>
    <x:row r="9">
      <x:c r="A9" s="106" t="str">
        <x:v>Incremental working-capital investment</x:v>
      </x:c>
      <x:c r="B9" s="107" t="n">
        <x:v>0</x:v>
      </x:c>
      <x:c r="C9" s="107" t="n">
        <x:v>0</x:v>
      </x:c>
      <x:c r="D9" s="107" t="n">
        <x:v>5</x:v>
      </x:c>
      <x:c r="E9" s="107" t="n">
        <x:v>4</x:v>
      </x:c>
      <x:c r="F9" s="107" t="n">
        <x:v>3</x:v>
      </x:c>
      <x:c r="G9" s="107" t="n">
        <x:v>2</x:v>
      </x:c>
      <x:c r="H9" s="107" t="n">
        <x:v>2</x:v>
      </x:c>
      <x:c r="I9" s="107" t="n">
        <x:v>1</x:v>
      </x:c>
      <x:c r="J9" s="107" t="n">
        <x:v>1</x:v>
      </x:c>
      <x:c r="K9" s="107" t="n">
        <x:v>1</x:v>
      </x:c>
      <x:c r="L9" s="107" t="n">
        <x:v>1</x:v>
      </x:c>
      <x:c r="M9" s="107" t="n">
        <x:v>-20</x:v>
      </x:c>
    </x:row>
    <x:row r="11">
      <x:c r="A11" s="42" t="str">
        <x:v>Synthetic input pack. Preserve source definitions, units, period basis, and sign convention when replacing values.</x:v>
      </x:c>
      <x:c r="B11" s="43" t="str">
        <x:v>Synthetic input pack. Preserve source definitions, units, period basis, and sign convention when replacing values.</x:v>
      </x:c>
      <x:c r="C11" s="43" t="str">
        <x:v>Synthetic input pack. Preserve source definitions, units, period basis, and sign convention when replacing values.</x:v>
      </x:c>
      <x:c r="D11" s="43" t="str">
        <x:v>Synthetic input pack. Preserve source definitions, units, period basis, and sign convention when replacing values.</x:v>
      </x:c>
      <x:c r="E11" s="43" t="str">
        <x:v>Synthetic input pack. Preserve source definitions, units, period basis, and sign convention when replacing values.</x:v>
      </x:c>
      <x:c r="F11" s="43" t="str">
        <x:v>Synthetic input pack. Preserve source definitions, units, period basis, and sign convention when replacing values.</x:v>
      </x:c>
      <x:c r="G11" s="43" t="str">
        <x:v>Synthetic input pack. Preserve source definitions, units, period basis, and sign convention when replacing values.</x:v>
      </x:c>
      <x:c r="H11" s="43" t="str">
        <x:v>Synthetic input pack. Preserve source definitions, units, period basis, and sign convention when replacing values.</x:v>
      </x:c>
      <x:c r="I11" s="43" t="str">
        <x:v>Synthetic input pack. Preserve source definitions, units, period basis, and sign convention when replacing values.</x:v>
      </x:c>
      <x:c r="J11" s="43" t="str">
        <x:v>Synthetic input pack. Preserve source definitions, units, period basis, and sign convention when replacing values.</x:v>
      </x:c>
      <x:c r="K11" s="43" t="str">
        <x:v>Synthetic input pack. Preserve source definitions, units, period basis, and sign convention when replacing values.</x:v>
      </x:c>
      <x:c r="L11" s="43" t="str">
        <x:v>Synthetic input pack. Preserve source definitions, units, period basis, and sign convention when replacing values.</x:v>
      </x:c>
      <x:c r="M11" s="44" t="str">
        <x:v>Synthetic input pack. Preserve source definitions, units, period basis, and sign convention when replacing values.</x:v>
      </x:c>
    </x:row>
    <x:row r="12">
      <x:c r="A12" s="45" t="str">
        <x:v>Synthetic input pack. Preserve source definitions, units, period basis, and sign convention when replacing values.</x:v>
      </x:c>
      <x:c r="B12" s="46" t="str">
        <x:v>Synthetic input pack. Preserve source definitions, units, period basis, and sign convention when replacing values.</x:v>
      </x:c>
      <x:c r="C12" s="46" t="str">
        <x:v>Synthetic input pack. Preserve source definitions, units, period basis, and sign convention when replacing values.</x:v>
      </x:c>
      <x:c r="D12" s="46" t="str">
        <x:v>Synthetic input pack. Preserve source definitions, units, period basis, and sign convention when replacing values.</x:v>
      </x:c>
      <x:c r="E12" s="46" t="str">
        <x:v>Synthetic input pack. Preserve source definitions, units, period basis, and sign convention when replacing values.</x:v>
      </x:c>
      <x:c r="F12" s="46" t="str">
        <x:v>Synthetic input pack. Preserve source definitions, units, period basis, and sign convention when replacing values.</x:v>
      </x:c>
      <x:c r="G12" s="46" t="str">
        <x:v>Synthetic input pack. Preserve source definitions, units, period basis, and sign convention when replacing values.</x:v>
      </x:c>
      <x:c r="H12" s="46" t="str">
        <x:v>Synthetic input pack. Preserve source definitions, units, period basis, and sign convention when replacing values.</x:v>
      </x:c>
      <x:c r="I12" s="46" t="str">
        <x:v>Synthetic input pack. Preserve source definitions, units, period basis, and sign convention when replacing values.</x:v>
      </x:c>
      <x:c r="J12" s="46" t="str">
        <x:v>Synthetic input pack. Preserve source definitions, units, period basis, and sign convention when replacing values.</x:v>
      </x:c>
      <x:c r="K12" s="46" t="str">
        <x:v>Synthetic input pack. Preserve source definitions, units, period basis, and sign convention when replacing values.</x:v>
      </x:c>
      <x:c r="L12" s="46" t="str">
        <x:v>Synthetic input pack. Preserve source definitions, units, period basis, and sign convention when replacing values.</x:v>
      </x:c>
      <x:c r="M12" s="47" t="str">
        <x:v>Synthetic input pack. Preserve source definitions, units, period basis, and sign convention when replacing values.</x:v>
      </x:c>
    </x:row>
    <x:row r="13">
      <x:c r="A13" s="48" t="str">
        <x:v>Synthetic input pack. Preserve source definitions, units, period basis, and sign convention when replacing values.</x:v>
      </x:c>
      <x:c r="B13" s="49" t="str">
        <x:v>Synthetic input pack. Preserve source definitions, units, period basis, and sign convention when replacing values.</x:v>
      </x:c>
      <x:c r="C13" s="49" t="str">
        <x:v>Synthetic input pack. Preserve source definitions, units, period basis, and sign convention when replacing values.</x:v>
      </x:c>
      <x:c r="D13" s="49" t="str">
        <x:v>Synthetic input pack. Preserve source definitions, units, period basis, and sign convention when replacing values.</x:v>
      </x:c>
      <x:c r="E13" s="49" t="str">
        <x:v>Synthetic input pack. Preserve source definitions, units, period basis, and sign convention when replacing values.</x:v>
      </x:c>
      <x:c r="F13" s="49" t="str">
        <x:v>Synthetic input pack. Preserve source definitions, units, period basis, and sign convention when replacing values.</x:v>
      </x:c>
      <x:c r="G13" s="49" t="str">
        <x:v>Synthetic input pack. Preserve source definitions, units, period basis, and sign convention when replacing values.</x:v>
      </x:c>
      <x:c r="H13" s="49" t="str">
        <x:v>Synthetic input pack. Preserve source definitions, units, period basis, and sign convention when replacing values.</x:v>
      </x:c>
      <x:c r="I13" s="49" t="str">
        <x:v>Synthetic input pack. Preserve source definitions, units, period basis, and sign convention when replacing values.</x:v>
      </x:c>
      <x:c r="J13" s="49" t="str">
        <x:v>Synthetic input pack. Preserve source definitions, units, period basis, and sign convention when replacing values.</x:v>
      </x:c>
      <x:c r="K13" s="49" t="str">
        <x:v>Synthetic input pack. Preserve source definitions, units, period basis, and sign convention when replacing values.</x:v>
      </x:c>
      <x:c r="L13" s="49" t="str">
        <x:v>Synthetic input pack. Preserve source definitions, units, period basis, and sign convention when replacing values.</x:v>
      </x:c>
      <x:c r="M13" s="50" t="str">
        <x:v>Synthetic input pack. Preserve source definitions, units, period basis, and sign convention when replacing values.</x:v>
      </x:c>
    </x:row>
    <x:row r="15">
      <x:c r="A15" s="53" t="str">
        <x:v>TDAT Model Library  |  Trust builds the brand. Insight builds the decision.</x:v>
      </x:c>
      <x:c r="B15" s="53" t="str">
        <x:v>TDAT Model Library  |  Trust builds the brand. Insight builds the decision.</x:v>
      </x:c>
      <x:c r="C15" s="53" t="str">
        <x:v>TDAT Model Library  |  Trust builds the brand. Insight builds the decision.</x:v>
      </x:c>
      <x:c r="D15" s="53" t="str">
        <x:v>TDAT Model Library  |  Trust builds the brand. Insight builds the decision.</x:v>
      </x:c>
      <x:c r="E15" s="53" t="str">
        <x:v>TDAT Model Library  |  Trust builds the brand. Insight builds the decision.</x:v>
      </x:c>
      <x:c r="F15" s="53" t="str">
        <x:v>TDAT Model Library  |  Trust builds the brand. Insight builds the decision.</x:v>
      </x:c>
      <x:c r="G15" s="53" t="str">
        <x:v>TDAT Model Library  |  Trust builds the brand. Insight builds the decision.</x:v>
      </x:c>
      <x:c r="H15" s="53" t="str">
        <x:v>TDAT Model Library  |  Trust builds the brand. Insight builds the decision.</x:v>
      </x:c>
      <x:c r="I15" s="53" t="str">
        <x:v>TDAT Model Library  |  Trust builds the brand. Insight builds the decision.</x:v>
      </x:c>
      <x:c r="J15" s="53" t="str">
        <x:v>TDAT Model Library  |  Trust builds the brand. Insight builds the decision.</x:v>
      </x:c>
      <x:c r="K15" s="53" t="str">
        <x:v>TDAT Model Library  |  Trust builds the brand. Insight builds the decision.</x:v>
      </x:c>
      <x:c r="L15" s="53" t="str">
        <x:v>TDAT Model Library  |  Trust builds the brand. Insight builds the decision.</x:v>
      </x:c>
      <x:c r="M15" s="53" t="str">
        <x:v>TDAT Model Library  |  Trust builds the brand. Insight builds the decision.</x:v>
      </x:c>
    </x:row>
  </x:sheetData>
  <x:mergeCells>
    <x:mergeCell ref="A1:M1"/>
    <x:mergeCell ref="A2:M2"/>
    <x:mergeCell ref="A11:M13"/>
    <x:mergeCell ref="A15:M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34" customHeight="1">
      <x:c r="A1" s="3" t="str">
        <x:v>INCREMENTAL CASH FLOW</x:v>
      </x:c>
      <x:c r="B1" s="3" t="str">
        <x:v>INCREMENTAL CASH FLOW</x:v>
      </x:c>
      <x:c r="C1" s="3" t="str">
        <x:v>INCREMENTAL CASH FLOW</x:v>
      </x:c>
      <x:c r="D1" s="3" t="str">
        <x:v>INCREMENTAL CASH FLOW</x:v>
      </x:c>
      <x:c r="E1" s="3" t="str">
        <x:v>INCREMENTAL CASH FLOW</x:v>
      </x:c>
      <x:c r="F1" s="3" t="str">
        <x:v>INCREMENTAL CASH FLOW</x:v>
      </x:c>
      <x:c r="G1" s="3" t="str">
        <x:v>INCREMENTAL CASH FLOW</x:v>
      </x:c>
      <x:c r="H1" s="3" t="str">
        <x:v>INCREMENTAL CASH FLOW</x:v>
      </x:c>
      <x:c r="I1" s="3" t="str">
        <x:v>INCREMENTAL CASH FLOW</x:v>
      </x:c>
      <x:c r="J1" s="3" t="str">
        <x:v>INCREMENTAL CASH FLOW</x:v>
      </x:c>
      <x:c r="K1" s="3" t="str">
        <x:v>INCREMENTAL CASH FLOW</x:v>
      </x:c>
      <x:c r="L1" s="3" t="str">
        <x:v>INCREMENTAL CASH FLOW</x:v>
      </x:c>
      <x:c r="M1" s="3" t="str">
        <x:v>INCREMENTAL CASH FLOW</x:v>
      </x:c>
    </x:row>
    <x:row r="2" ht="24" customHeight="1">
      <x:c r="A2" s="6" t="str">
        <x:v>Capex / Business Case  |  Formula-driven core mechanics</x:v>
      </x:c>
      <x:c r="B2" s="6" t="str">
        <x:v>Capex / Business Case  |  Formula-driven core mechanics</x:v>
      </x:c>
      <x:c r="C2" s="6" t="str">
        <x:v>Capex / Business Case  |  Formula-driven core mechanics</x:v>
      </x:c>
      <x:c r="D2" s="6" t="str">
        <x:v>Capex / Business Case  |  Formula-driven core mechanics</x:v>
      </x:c>
      <x:c r="E2" s="6" t="str">
        <x:v>Capex / Business Case  |  Formula-driven core mechanics</x:v>
      </x:c>
      <x:c r="F2" s="6" t="str">
        <x:v>Capex / Business Case  |  Formula-driven core mechanics</x:v>
      </x:c>
      <x:c r="G2" s="6" t="str">
        <x:v>Capex / Business Case  |  Formula-driven core mechanics</x:v>
      </x:c>
      <x:c r="H2" s="6" t="str">
        <x:v>Capex / Business Case  |  Formula-driven core mechanics</x:v>
      </x:c>
      <x:c r="I2" s="6" t="str">
        <x:v>Capex / Business Case  |  Formula-driven core mechanics</x:v>
      </x:c>
      <x:c r="J2" s="6" t="str">
        <x:v>Capex / Business Case  |  Formula-driven core mechanics</x:v>
      </x:c>
      <x:c r="K2" s="6" t="str">
        <x:v>Capex / Business Case  |  Formula-driven core mechanics</x:v>
      </x:c>
      <x:c r="L2" s="6" t="str">
        <x:v>Capex / Business Case  |  Formula-driven core mechanics</x:v>
      </x:c>
      <x:c r="M2" s="6" t="str">
        <x:v>Capex / Business Case  |  Formula-driven core mechanics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5" ht="24" customHeight="1">
      <x:c r="A5" s="66" t="str">
        <x:v>Calculation / Period</x:v>
      </x:c>
      <x:c r="B5" s="67" t="str">
        <x:v>Jan</x:v>
      </x:c>
      <x:c r="C5" s="67" t="str">
        <x:v>Feb</x:v>
      </x:c>
      <x:c r="D5" s="67" t="str">
        <x:v>Mar</x:v>
      </x:c>
      <x:c r="E5" s="67" t="str">
        <x:v>Apr</x:v>
      </x:c>
      <x:c r="F5" s="67" t="str">
        <x:v>May</x:v>
      </x:c>
      <x:c r="G5" s="67" t="str">
        <x:v>Jun</x:v>
      </x:c>
      <x:c r="H5" s="67" t="str">
        <x:v>Jul</x:v>
      </x:c>
      <x:c r="I5" s="67" t="str">
        <x:v>Aug</x:v>
      </x:c>
      <x:c r="J5" s="67" t="str">
        <x:v>Sep</x:v>
      </x:c>
      <x:c r="K5" s="67" t="str">
        <x:v>Oct</x:v>
      </x:c>
      <x:c r="L5" s="67" t="str">
        <x:v>Nov</x:v>
      </x:c>
      <x:c r="M5" s="68" t="str">
        <x:v>Dec</x:v>
      </x:c>
    </x:row>
    <x:row r="6">
      <x:c r="A6" s="123" t="str">
        <x:v>Incremental revenue / savings</x:v>
      </x:c>
      <x:c r="B6" s="124" t="n">
        <x:f>'Project Inputs'!B$7*'Assumptions'!$F$6</x:f>
        <x:v>0</x:v>
      </x:c>
      <x:c r="C6" s="124" t="n">
        <x:f>'Project Inputs'!C$7*'Assumptions'!$F$6</x:f>
        <x:v>0</x:v>
      </x:c>
      <x:c r="D6" s="124" t="n">
        <x:f>'Project Inputs'!D$7*'Assumptions'!$F$6</x:f>
        <x:v>18</x:v>
      </x:c>
      <x:c r="E6" s="124" t="n">
        <x:f>'Project Inputs'!E$7*'Assumptions'!$F$6</x:f>
        <x:v>31.5</x:v>
      </x:c>
      <x:c r="F6" s="124" t="n">
        <x:f>'Project Inputs'!F$7*'Assumptions'!$F$6</x:f>
        <x:v>40.5</x:v>
      </x:c>
      <x:c r="G6" s="124" t="n">
        <x:f>'Project Inputs'!G$7*'Assumptions'!$F$6</x:f>
        <x:v>49.5</x:v>
      </x:c>
      <x:c r="H6" s="124" t="n">
        <x:f>'Project Inputs'!H$7*'Assumptions'!$F$6</x:f>
        <x:v>54</x:v>
      </x:c>
      <x:c r="I6" s="124" t="n">
        <x:f>'Project Inputs'!I$7*'Assumptions'!$F$6</x:f>
        <x:v>55.800000000000004</x:v>
      </x:c>
      <x:c r="J6" s="124" t="n">
        <x:f>'Project Inputs'!J$7*'Assumptions'!$F$6</x:f>
        <x:v>57.6</x:v>
      </x:c>
      <x:c r="K6" s="124" t="n">
        <x:f>'Project Inputs'!K$7*'Assumptions'!$F$6</x:f>
        <x:v>59.4</x:v>
      </x:c>
      <x:c r="L6" s="124" t="n">
        <x:f>'Project Inputs'!L$7*'Assumptions'!$F$6</x:f>
        <x:v>61.2</x:v>
      </x:c>
      <x:c r="M6" s="124" t="n">
        <x:f>'Project Inputs'!M$7*'Assumptions'!$F$6</x:f>
        <x:v>63</x:v>
      </x:c>
    </x:row>
    <x:row r="7">
      <x:c r="A7" s="125" t="str">
        <x:v>Variable operating cost</x:v>
      </x:c>
      <x:c r="B7" s="126" t="n">
        <x:f>-B$6*'Assumptions'!$F$7</x:f>
        <x:v>0</x:v>
      </x:c>
      <x:c r="C7" s="126" t="n">
        <x:f>-C$6*'Assumptions'!$F$7</x:f>
        <x:v>0</x:v>
      </x:c>
      <x:c r="D7" s="126" t="n">
        <x:f>-D$6*'Assumptions'!$F$7</x:f>
        <x:v>-5.76</x:v>
      </x:c>
      <x:c r="E7" s="126" t="n">
        <x:f>-E$6*'Assumptions'!$F$7</x:f>
        <x:v>-10.08</x:v>
      </x:c>
      <x:c r="F7" s="126" t="n">
        <x:f>-F$6*'Assumptions'!$F$7</x:f>
        <x:v>-12.96</x:v>
      </x:c>
      <x:c r="G7" s="126" t="n">
        <x:f>-G$6*'Assumptions'!$F$7</x:f>
        <x:v>-15.84</x:v>
      </x:c>
      <x:c r="H7" s="126" t="n">
        <x:f>-H$6*'Assumptions'!$F$7</x:f>
        <x:v>-17.28</x:v>
      </x:c>
      <x:c r="I7" s="126" t="n">
        <x:f>-I$6*'Assumptions'!$F$7</x:f>
        <x:v>-17.856</x:v>
      </x:c>
      <x:c r="J7" s="126" t="n">
        <x:f>-J$6*'Assumptions'!$F$7</x:f>
        <x:v>-18.432000000000002</x:v>
      </x:c>
      <x:c r="K7" s="126" t="n">
        <x:f>-K$6*'Assumptions'!$F$7</x:f>
        <x:v>-19.008</x:v>
      </x:c>
      <x:c r="L7" s="126" t="n">
        <x:f>-L$6*'Assumptions'!$F$7</x:f>
        <x:v>-19.584</x:v>
      </x:c>
      <x:c r="M7" s="126" t="n">
        <x:f>-M$6*'Assumptions'!$F$7</x:f>
        <x:v>-20.16</x:v>
      </x:c>
    </x:row>
    <x:row r="8">
      <x:c r="A8" s="125" t="str">
        <x:v>Fixed operating cost</x:v>
      </x:c>
      <x:c r="B8" s="126" t="n">
        <x:f>-'Project Inputs'!B$8</x:f>
        <x:v>-2</x:v>
      </x:c>
      <x:c r="C8" s="126" t="n">
        <x:f>-'Project Inputs'!C$8</x:f>
        <x:v>-2</x:v>
      </x:c>
      <x:c r="D8" s="126" t="n">
        <x:f>-'Project Inputs'!D$8</x:f>
        <x:v>-5</x:v>
      </x:c>
      <x:c r="E8" s="126" t="n">
        <x:f>-'Project Inputs'!E$8</x:f>
        <x:v>-8</x:v>
      </x:c>
      <x:c r="F8" s="126" t="n">
        <x:f>-'Project Inputs'!F$8</x:f>
        <x:v>-8</x:v>
      </x:c>
      <x:c r="G8" s="126" t="n">
        <x:f>-'Project Inputs'!G$8</x:f>
        <x:v>-8</x:v>
      </x:c>
      <x:c r="H8" s="126" t="n">
        <x:f>-'Project Inputs'!H$8</x:f>
        <x:v>-8</x:v>
      </x:c>
      <x:c r="I8" s="126" t="n">
        <x:f>-'Project Inputs'!I$8</x:f>
        <x:v>-8</x:v>
      </x:c>
      <x:c r="J8" s="126" t="n">
        <x:f>-'Project Inputs'!J$8</x:f>
        <x:v>-8</x:v>
      </x:c>
      <x:c r="K8" s="126" t="n">
        <x:f>-'Project Inputs'!K$8</x:f>
        <x:v>-8</x:v>
      </x:c>
      <x:c r="L8" s="126" t="n">
        <x:f>-'Project Inputs'!L$8</x:f>
        <x:v>-8</x:v>
      </x:c>
      <x:c r="M8" s="126" t="n">
        <x:f>-'Project Inputs'!M$8</x:f>
        <x:v>-8</x:v>
      </x:c>
    </x:row>
    <x:row r="9">
      <x:c r="A9" s="127" t="str">
        <x:v>Incremental EBITDA</x:v>
      </x:c>
      <x:c r="B9" s="128" t="n">
        <x:f>SUM(B$6:B$8)</x:f>
        <x:v>-2</x:v>
      </x:c>
      <x:c r="C9" s="128" t="n">
        <x:f>SUM(C$6:C$8)</x:f>
        <x:v>-2</x:v>
      </x:c>
      <x:c r="D9" s="128" t="n">
        <x:f>SUM(D$6:D$8)</x:f>
        <x:v>7.24</x:v>
      </x:c>
      <x:c r="E9" s="128" t="n">
        <x:f>SUM(E$6:E$8)</x:f>
        <x:v>13.420000000000002</x:v>
      </x:c>
      <x:c r="F9" s="128" t="n">
        <x:f>SUM(F$6:F$8)</x:f>
        <x:v>19.54</x:v>
      </x:c>
      <x:c r="G9" s="128" t="n">
        <x:f>SUM(G$6:G$8)</x:f>
        <x:v>25.659999999999997</x:v>
      </x:c>
      <x:c r="H9" s="128" t="n">
        <x:f>SUM(H$6:H$8)</x:f>
        <x:v>28.72</x:v>
      </x:c>
      <x:c r="I9" s="128" t="n">
        <x:f>SUM(I$6:I$8)</x:f>
        <x:v>29.944000000000003</x:v>
      </x:c>
      <x:c r="J9" s="128" t="n">
        <x:f>SUM(J$6:J$8)</x:f>
        <x:v>31.168</x:v>
      </x:c>
      <x:c r="K9" s="128" t="n">
        <x:f>SUM(K$6:K$8)</x:f>
        <x:v>32.391999999999996</x:v>
      </x:c>
      <x:c r="L9" s="128" t="n">
        <x:f>SUM(L$6:L$8)</x:f>
        <x:v>33.616</x:v>
      </x:c>
      <x:c r="M9" s="128" t="n">
        <x:f>SUM(M$6:M$8)</x:f>
        <x:v>34.84</x:v>
      </x:c>
    </x:row>
    <x:row r="10">
      <x:c r="A10" s="125" t="str">
        <x:v>Depreciation</x:v>
      </x:c>
      <x:c r="B10" s="126" t="n">
        <x:f>-SUM('Project Inputs'!B$6:'Project Inputs'!M$6)/'Assumptions'!$F$10</x:f>
        <x:v>-5</x:v>
      </x:c>
      <x:c r="C10" s="126" t="n">
        <x:f>-SUM('Project Inputs'!B$6:'Project Inputs'!M$6)/'Assumptions'!$F$10</x:f>
        <x:v>-5</x:v>
      </x:c>
      <x:c r="D10" s="126" t="n">
        <x:f>-SUM('Project Inputs'!B$6:'Project Inputs'!M$6)/'Assumptions'!$F$10</x:f>
        <x:v>-5</x:v>
      </x:c>
      <x:c r="E10" s="126" t="n">
        <x:f>-SUM('Project Inputs'!B$6:'Project Inputs'!M$6)/'Assumptions'!$F$10</x:f>
        <x:v>-5</x:v>
      </x:c>
      <x:c r="F10" s="126" t="n">
        <x:f>-SUM('Project Inputs'!B$6:'Project Inputs'!M$6)/'Assumptions'!$F$10</x:f>
        <x:v>-5</x:v>
      </x:c>
      <x:c r="G10" s="126" t="n">
        <x:f>-SUM('Project Inputs'!B$6:'Project Inputs'!M$6)/'Assumptions'!$F$10</x:f>
        <x:v>-5</x:v>
      </x:c>
      <x:c r="H10" s="126" t="n">
        <x:f>-SUM('Project Inputs'!B$6:'Project Inputs'!M$6)/'Assumptions'!$F$10</x:f>
        <x:v>-5</x:v>
      </x:c>
      <x:c r="I10" s="126" t="n">
        <x:f>-SUM('Project Inputs'!B$6:'Project Inputs'!M$6)/'Assumptions'!$F$10</x:f>
        <x:v>-5</x:v>
      </x:c>
      <x:c r="J10" s="126" t="n">
        <x:f>-SUM('Project Inputs'!B$6:'Project Inputs'!M$6)/'Assumptions'!$F$10</x:f>
        <x:v>-5</x:v>
      </x:c>
      <x:c r="K10" s="126" t="n">
        <x:f>-SUM('Project Inputs'!B$6:'Project Inputs'!M$6)/'Assumptions'!$F$10</x:f>
        <x:v>-5</x:v>
      </x:c>
      <x:c r="L10" s="126" t="n">
        <x:f>-SUM('Project Inputs'!B$6:'Project Inputs'!M$6)/'Assumptions'!$F$10</x:f>
        <x:v>-5</x:v>
      </x:c>
      <x:c r="M10" s="126" t="n">
        <x:f>-SUM('Project Inputs'!B$6:'Project Inputs'!M$6)/'Assumptions'!$F$10</x:f>
        <x:v>-5</x:v>
      </x:c>
    </x:row>
    <x:row r="11">
      <x:c r="A11" s="127" t="str">
        <x:v>Incremental EBIT</x:v>
      </x:c>
      <x:c r="B11" s="128" t="n">
        <x:f>B$9+B$10</x:f>
        <x:v>-7</x:v>
      </x:c>
      <x:c r="C11" s="128" t="n">
        <x:f>C$9+C$10</x:f>
        <x:v>-7</x:v>
      </x:c>
      <x:c r="D11" s="128" t="n">
        <x:f>D$9+D$10</x:f>
        <x:v>2.24</x:v>
      </x:c>
      <x:c r="E11" s="128" t="n">
        <x:f>E$9+E$10</x:f>
        <x:v>8.420000000000002</x:v>
      </x:c>
      <x:c r="F11" s="128" t="n">
        <x:f>F$9+F$10</x:f>
        <x:v>14.54</x:v>
      </x:c>
      <x:c r="G11" s="128" t="n">
        <x:f>G$9+G$10</x:f>
        <x:v>20.659999999999997</x:v>
      </x:c>
      <x:c r="H11" s="128" t="n">
        <x:f>H$9+H$10</x:f>
        <x:v>23.72</x:v>
      </x:c>
      <x:c r="I11" s="128" t="n">
        <x:f>I$9+I$10</x:f>
        <x:v>24.944000000000003</x:v>
      </x:c>
      <x:c r="J11" s="128" t="n">
        <x:f>J$9+J$10</x:f>
        <x:v>26.168</x:v>
      </x:c>
      <x:c r="K11" s="128" t="n">
        <x:f>K$9+K$10</x:f>
        <x:v>27.391999999999996</x:v>
      </x:c>
      <x:c r="L11" s="128" t="n">
        <x:f>L$9+L$10</x:f>
        <x:v>28.616</x:v>
      </x:c>
      <x:c r="M11" s="128" t="n">
        <x:f>M$9+M$10</x:f>
        <x:v>29.840000000000003</x:v>
      </x:c>
    </x:row>
    <x:row r="12">
      <x:c r="A12" s="125" t="str">
        <x:v>Cash tax</x:v>
      </x:c>
      <x:c r="B12" s="126" t="n">
        <x:f>-MAX(0,B$11*'Assumptions'!$F$8)</x:f>
        <x:v>0</x:v>
      </x:c>
      <x:c r="C12" s="126" t="n">
        <x:f>-MAX(0,C$11*'Assumptions'!$F$8)</x:f>
        <x:v>0</x:v>
      </x:c>
      <x:c r="D12" s="126" t="n">
        <x:f>-MAX(0,D$11*'Assumptions'!$F$8)</x:f>
        <x:v>-0.44800000000000006</x:v>
      </x:c>
      <x:c r="E12" s="126" t="n">
        <x:f>-MAX(0,E$11*'Assumptions'!$F$8)</x:f>
        <x:v>-1.6840000000000004</x:v>
      </x:c>
      <x:c r="F12" s="126" t="n">
        <x:f>-MAX(0,F$11*'Assumptions'!$F$8)</x:f>
        <x:v>-2.908</x:v>
      </x:c>
      <x:c r="G12" s="126" t="n">
        <x:f>-MAX(0,G$11*'Assumptions'!$F$8)</x:f>
        <x:v>-4.132</x:v>
      </x:c>
      <x:c r="H12" s="126" t="n">
        <x:f>-MAX(0,H$11*'Assumptions'!$F$8)</x:f>
        <x:v>-4.744</x:v>
      </x:c>
      <x:c r="I12" s="126" t="n">
        <x:f>-MAX(0,I$11*'Assumptions'!$F$8)</x:f>
        <x:v>-4.988800000000001</x:v>
      </x:c>
      <x:c r="J12" s="126" t="n">
        <x:f>-MAX(0,J$11*'Assumptions'!$F$8)</x:f>
        <x:v>-5.2336</x:v>
      </x:c>
      <x:c r="K12" s="126" t="n">
        <x:f>-MAX(0,K$11*'Assumptions'!$F$8)</x:f>
        <x:v>-5.4784</x:v>
      </x:c>
      <x:c r="L12" s="126" t="n">
        <x:f>-MAX(0,L$11*'Assumptions'!$F$8)</x:f>
        <x:v>-5.7232</x:v>
      </x:c>
      <x:c r="M12" s="126" t="n">
        <x:f>-MAX(0,M$11*'Assumptions'!$F$8)</x:f>
        <x:v>-5.968000000000001</x:v>
      </x:c>
    </x:row>
    <x:row r="13">
      <x:c r="A13" s="125" t="str">
        <x:v>NOPAT</x:v>
      </x:c>
      <x:c r="B13" s="129" t="n">
        <x:f>B$11+B$12</x:f>
        <x:v>-7</x:v>
      </x:c>
      <x:c r="C13" s="129" t="n">
        <x:f>C$11+C$12</x:f>
        <x:v>-7</x:v>
      </x:c>
      <x:c r="D13" s="129" t="n">
        <x:f>D$11+D$12</x:f>
        <x:v>1.7920000000000003</x:v>
      </x:c>
      <x:c r="E13" s="129" t="n">
        <x:f>E$11+E$12</x:f>
        <x:v>6.7360000000000015</x:v>
      </x:c>
      <x:c r="F13" s="129" t="n">
        <x:f>F$11+F$12</x:f>
        <x:v>11.632</x:v>
      </x:c>
      <x:c r="G13" s="129" t="n">
        <x:f>G$11+G$12</x:f>
        <x:v>16.528</x:v>
      </x:c>
      <x:c r="H13" s="129" t="n">
        <x:f>H$11+H$12</x:f>
        <x:v>18.976</x:v>
      </x:c>
      <x:c r="I13" s="129" t="n">
        <x:f>I$11+I$12</x:f>
        <x:v>19.9552</x:v>
      </x:c>
      <x:c r="J13" s="129" t="n">
        <x:f>J$11+J$12</x:f>
        <x:v>20.9344</x:v>
      </x:c>
      <x:c r="K13" s="129" t="n">
        <x:f>K$11+K$12</x:f>
        <x:v>21.913599999999995</x:v>
      </x:c>
      <x:c r="L13" s="129" t="n">
        <x:f>L$11+L$12</x:f>
        <x:v>22.8928</x:v>
      </x:c>
      <x:c r="M13" s="129" t="n">
        <x:f>M$11+M$12</x:f>
        <x:v>23.872000000000003</x:v>
      </x:c>
    </x:row>
    <x:row r="14">
      <x:c r="A14" s="125" t="str">
        <x:v>D&amp;A add-back</x:v>
      </x:c>
      <x:c r="B14" s="129" t="n">
        <x:f>-B$10</x:f>
        <x:v>5</x:v>
      </x:c>
      <x:c r="C14" s="129" t="n">
        <x:f>-C$10</x:f>
        <x:v>5</x:v>
      </x:c>
      <x:c r="D14" s="129" t="n">
        <x:f>-D$10</x:f>
        <x:v>5</x:v>
      </x:c>
      <x:c r="E14" s="129" t="n">
        <x:f>-E$10</x:f>
        <x:v>5</x:v>
      </x:c>
      <x:c r="F14" s="129" t="n">
        <x:f>-F$10</x:f>
        <x:v>5</x:v>
      </x:c>
      <x:c r="G14" s="129" t="n">
        <x:f>-G$10</x:f>
        <x:v>5</x:v>
      </x:c>
      <x:c r="H14" s="129" t="n">
        <x:f>-H$10</x:f>
        <x:v>5</x:v>
      </x:c>
      <x:c r="I14" s="129" t="n">
        <x:f>-I$10</x:f>
        <x:v>5</x:v>
      </x:c>
      <x:c r="J14" s="129" t="n">
        <x:f>-J$10</x:f>
        <x:v>5</x:v>
      </x:c>
      <x:c r="K14" s="129" t="n">
        <x:f>-K$10</x:f>
        <x:v>5</x:v>
      </x:c>
      <x:c r="L14" s="129" t="n">
        <x:f>-L$10</x:f>
        <x:v>5</x:v>
      </x:c>
      <x:c r="M14" s="129" t="n">
        <x:f>-M$10</x:f>
        <x:v>5</x:v>
      </x:c>
    </x:row>
    <x:row r="15">
      <x:c r="A15" s="125" t="str">
        <x:v>Capital expenditure</x:v>
      </x:c>
      <x:c r="B15" s="126" t="n">
        <x:f>-'Project Inputs'!B$6</x:f>
        <x:v>-180</x:v>
      </x:c>
      <x:c r="C15" s="126" t="n">
        <x:f>-'Project Inputs'!C$6</x:f>
        <x:v>-90</x:v>
      </x:c>
      <x:c r="D15" s="126" t="n">
        <x:f>-'Project Inputs'!D$6</x:f>
        <x:v>-30</x:v>
      </x:c>
      <x:c r="E15" s="126" t="n">
        <x:f>-'Project Inputs'!E$6</x:f>
        <x:v>0</x:v>
      </x:c>
      <x:c r="F15" s="126" t="n">
        <x:f>-'Project Inputs'!F$6</x:f>
        <x:v>0</x:v>
      </x:c>
      <x:c r="G15" s="126" t="n">
        <x:f>-'Project Inputs'!G$6</x:f>
        <x:v>0</x:v>
      </x:c>
      <x:c r="H15" s="126" t="n">
        <x:f>-'Project Inputs'!H$6</x:f>
        <x:v>0</x:v>
      </x:c>
      <x:c r="I15" s="126" t="n">
        <x:f>-'Project Inputs'!I$6</x:f>
        <x:v>0</x:v>
      </x:c>
      <x:c r="J15" s="126" t="n">
        <x:f>-'Project Inputs'!J$6</x:f>
        <x:v>0</x:v>
      </x:c>
      <x:c r="K15" s="126" t="n">
        <x:f>-'Project Inputs'!K$6</x:f>
        <x:v>0</x:v>
      </x:c>
      <x:c r="L15" s="126" t="n">
        <x:f>-'Project Inputs'!L$6</x:f>
        <x:v>0</x:v>
      </x:c>
      <x:c r="M15" s="126" t="n">
        <x:f>-'Project Inputs'!M$6</x:f>
        <x:v>0</x:v>
      </x:c>
    </x:row>
    <x:row r="16">
      <x:c r="A16" s="125" t="str">
        <x:v>Change in working capital</x:v>
      </x:c>
      <x:c r="B16" s="126" t="n">
        <x:f>-'Project Inputs'!B$9</x:f>
        <x:v>0</x:v>
      </x:c>
      <x:c r="C16" s="126" t="n">
        <x:f>-'Project Inputs'!C$9</x:f>
        <x:v>0</x:v>
      </x:c>
      <x:c r="D16" s="126" t="n">
        <x:f>-'Project Inputs'!D$9</x:f>
        <x:v>-5</x:v>
      </x:c>
      <x:c r="E16" s="126" t="n">
        <x:f>-'Project Inputs'!E$9</x:f>
        <x:v>-4</x:v>
      </x:c>
      <x:c r="F16" s="126" t="n">
        <x:f>-'Project Inputs'!F$9</x:f>
        <x:v>-3</x:v>
      </x:c>
      <x:c r="G16" s="126" t="n">
        <x:f>-'Project Inputs'!G$9</x:f>
        <x:v>-2</x:v>
      </x:c>
      <x:c r="H16" s="126" t="n">
        <x:f>-'Project Inputs'!H$9</x:f>
        <x:v>-2</x:v>
      </x:c>
      <x:c r="I16" s="126" t="n">
        <x:f>-'Project Inputs'!I$9</x:f>
        <x:v>-1</x:v>
      </x:c>
      <x:c r="J16" s="126" t="n">
        <x:f>-'Project Inputs'!J$9</x:f>
        <x:v>-1</x:v>
      </x:c>
      <x:c r="K16" s="126" t="n">
        <x:f>-'Project Inputs'!K$9</x:f>
        <x:v>-1</x:v>
      </x:c>
      <x:c r="L16" s="126" t="n">
        <x:f>-'Project Inputs'!L$9</x:f>
        <x:v>-1</x:v>
      </x:c>
      <x:c r="M16" s="126" t="n">
        <x:f>-'Project Inputs'!M$9</x:f>
        <x:v>20</x:v>
      </x:c>
    </x:row>
    <x:row r="17">
      <x:c r="A17" s="125" t="str">
        <x:v>After-tax salvage</x:v>
      </x:c>
      <x:c r="B17" s="126" t="n">
        <x:f>0</x:f>
        <x:v>0</x:v>
      </x:c>
      <x:c r="C17" s="126" t="n">
        <x:f>0</x:f>
        <x:v>0</x:v>
      </x:c>
      <x:c r="D17" s="126" t="n">
        <x:f>0</x:f>
        <x:v>0</x:v>
      </x:c>
      <x:c r="E17" s="126" t="n">
        <x:f>0</x:f>
        <x:v>0</x:v>
      </x:c>
      <x:c r="F17" s="126" t="n">
        <x:f>0</x:f>
        <x:v>0</x:v>
      </x:c>
      <x:c r="G17" s="126" t="n">
        <x:f>0</x:f>
        <x:v>0</x:v>
      </x:c>
      <x:c r="H17" s="126" t="n">
        <x:f>0</x:f>
        <x:v>0</x:v>
      </x:c>
      <x:c r="I17" s="126" t="n">
        <x:f>0</x:f>
        <x:v>0</x:v>
      </x:c>
      <x:c r="J17" s="126" t="n">
        <x:f>0</x:f>
        <x:v>0</x:v>
      </x:c>
      <x:c r="K17" s="126" t="n">
        <x:f>0</x:f>
        <x:v>0</x:v>
      </x:c>
      <x:c r="L17" s="126" t="n">
        <x:f>0</x:f>
        <x:v>0</x:v>
      </x:c>
      <x:c r="M17" s="126" t="n">
        <x:f>'Assumptions'!$F$11*(1-'Assumptions'!$F$8)</x:f>
        <x:v>16</x:v>
      </x:c>
    </x:row>
    <x:row r="18">
      <x:c r="A18" s="130" t="str">
        <x:v>Incremental free cash flow</x:v>
      </x:c>
      <x:c r="B18" s="131" t="n">
        <x:f>SUM(B$13:B$17)</x:f>
        <x:v>-182</x:v>
      </x:c>
      <x:c r="C18" s="131" t="n">
        <x:f>SUM(C$13:C$17)</x:f>
        <x:v>-92</x:v>
      </x:c>
      <x:c r="D18" s="131" t="n">
        <x:f>SUM(D$13:D$17)</x:f>
        <x:v>-28.208</x:v>
      </x:c>
      <x:c r="E18" s="131" t="n">
        <x:f>SUM(E$13:E$17)</x:f>
        <x:v>7.736000000000001</x:v>
      </x:c>
      <x:c r="F18" s="131" t="n">
        <x:f>SUM(F$13:F$17)</x:f>
        <x:v>13.631999999999998</x:v>
      </x:c>
      <x:c r="G18" s="131" t="n">
        <x:f>SUM(G$13:G$17)</x:f>
        <x:v>19.528</x:v>
      </x:c>
      <x:c r="H18" s="131" t="n">
        <x:f>SUM(H$13:H$17)</x:f>
        <x:v>21.976</x:v>
      </x:c>
      <x:c r="I18" s="131" t="n">
        <x:f>SUM(I$13:I$17)</x:f>
        <x:v>23.9552</x:v>
      </x:c>
      <x:c r="J18" s="131" t="n">
        <x:f>SUM(J$13:J$17)</x:f>
        <x:v>24.9344</x:v>
      </x:c>
      <x:c r="K18" s="131" t="n">
        <x:f>SUM(K$13:K$17)</x:f>
        <x:v>25.913599999999995</x:v>
      </x:c>
      <x:c r="L18" s="131" t="n">
        <x:f>SUM(L$13:L$17)</x:f>
        <x:v>26.8928</x:v>
      </x:c>
      <x:c r="M18" s="131" t="n">
        <x:f>SUM(M$13:M$17)</x:f>
        <x:v>64.872</x:v>
      </x:c>
    </x:row>
    <x:row r="19">
      <x:c r="A19" s="125" t="str">
        <x:v>Discount factor</x:v>
      </x:c>
      <x:c r="B19" s="132" t="n">
        <x:f>1/(1+'Assumptions'!$F$9)^(1/12)</x:f>
        <x:v>0.9906003979430033</x:v>
      </x:c>
      <x:c r="C19" s="132" t="n">
        <x:f>1/(1+'Assumptions'!$F$9)^(2/12)</x:f>
        <x:v>0.9812891484048366</x:v>
      </x:c>
      <x:c r="D19" s="132" t="n">
        <x:f>1/(1+'Assumptions'!$F$9)^(3/12)</x:f>
        <x:v>0.972065420906982</x:v>
      </x:c>
      <x:c r="E19" s="132" t="n">
        <x:f>1/(1+'Assumptions'!$F$9)^(4/12)</x:f>
        <x:v>0.9629283927770894</x:v>
      </x:c>
      <x:c r="F19" s="132" t="n">
        <x:f>1/(1+'Assumptions'!$F$9)^(5/12)</x:f>
        <x:v>0.9538772490756013</x:v>
      </x:c>
      <x:c r="G19" s="132" t="n">
        <x:f>1/(1+'Assumptions'!$F$9)^(6/12)</x:f>
        <x:v>0.9449111825230679</x:v>
      </x:c>
      <x:c r="H19" s="132" t="n">
        <x:f>1/(1+'Assumptions'!$F$9)^(7/12)</x:f>
        <x:v>0.9360293934281451</x:v>
      </x:c>
      <x:c r="I19" s="132" t="n">
        <x:f>1/(1+'Assumptions'!$F$9)^(8/12)</x:f>
        <x:v>0.9272310896162685</x:v>
      </x:c>
      <x:c r="J19" s="132" t="n">
        <x:f>1/(1+'Assumptions'!$F$9)^(9/12)</x:f>
        <x:v>0.9185154863590003</x:v>
      </x:c>
      <x:c r="K19" s="132" t="n">
        <x:f>1/(1+'Assumptions'!$F$9)^(10/12)</x:f>
        <x:v>0.9098818063040368</x:v>
      </x:c>
      <x:c r="L19" s="132" t="n">
        <x:f>1/(1+'Assumptions'!$F$9)^(11/12)</x:f>
        <x:v>0.9013292794058776</x:v>
      </x:c>
      <x:c r="M19" s="132" t="n">
        <x:f>1/(1+'Assumptions'!$F$9)^(12/12)</x:f>
        <x:v>0.8928571428571428</x:v>
      </x:c>
    </x:row>
    <x:row r="20">
      <x:c r="A20" s="125" t="str">
        <x:v>Present value of FCF</x:v>
      </x:c>
      <x:c r="B20" s="129" t="n">
        <x:f>B$18*B$19</x:f>
        <x:v>-180.2892724256266</x:v>
      </x:c>
      <x:c r="C20" s="129" t="n">
        <x:f>C$18*C$19</x:f>
        <x:v>-90.27860165324496</x:v>
      </x:c>
      <x:c r="D20" s="129" t="n">
        <x:f>D$18*D$19</x:f>
        <x:v>-27.420021392944147</x:v>
      </x:c>
      <x:c r="E20" s="129" t="n">
        <x:f>E$18*E$19</x:f>
        <x:v>7.449214046523564</x:v>
      </x:c>
      <x:c r="F20" s="129" t="n">
        <x:f>F$18*F$19</x:f>
        <x:v>13.003254659398596</x:v>
      </x:c>
      <x:c r="G20" s="129" t="n">
        <x:f>G$18*G$19</x:f>
        <x:v>18.452225572310468</x:v>
      </x:c>
      <x:c r="H20" s="129" t="n">
        <x:f>H$18*H$19</x:f>
        <x:v>20.570181949976917</x:v>
      </x:c>
      <x:c r="I20" s="129" t="n">
        <x:f>I$18*I$19</x:f>
        <x:v>22.212006197975636</x:v>
      </x:c>
      <x:c r="J20" s="129" t="n">
        <x:f>J$18*J$19</x:f>
        <x:v>22.902632543069856</x:v>
      </x:c>
      <x:c r="K20" s="129" t="n">
        <x:f>K$18*K$19</x:f>
        <x:v>23.578313175840282</x:v>
      </x:c>
      <x:c r="L20" s="129" t="n">
        <x:f>L$18*L$19</x:f>
        <x:v>24.239268045206387</x:v>
      </x:c>
      <x:c r="M20" s="129" t="n">
        <x:f>M$18*M$19</x:f>
        <x:v>57.921428571428564</x:v>
      </x:c>
    </x:row>
    <x:row r="21">
      <x:c r="A21" s="130" t="str">
        <x:v>Cumulative NPV</x:v>
      </x:c>
      <x:c r="B21" s="131" t="n">
        <x:f>B$20</x:f>
        <x:v>-180.2892724256266</x:v>
      </x:c>
      <x:c r="C21" s="131" t="n">
        <x:f>B$21+C$20</x:f>
        <x:v>-270.56787407887157</x:v>
      </x:c>
      <x:c r="D21" s="131" t="n">
        <x:f>C$21+D$20</x:f>
        <x:v>-297.9878954718157</x:v>
      </x:c>
      <x:c r="E21" s="131" t="n">
        <x:f>D$21+E$20</x:f>
        <x:v>-290.53868142529217</x:v>
      </x:c>
      <x:c r="F21" s="131" t="n">
        <x:f>E$21+F$20</x:f>
        <x:v>-277.5354267658936</x:v>
      </x:c>
      <x:c r="G21" s="131" t="n">
        <x:f>F$21+G$20</x:f>
        <x:v>-259.08320119358314</x:v>
      </x:c>
      <x:c r="H21" s="131" t="n">
        <x:f>G$21+H$20</x:f>
        <x:v>-238.5130192436062</x:v>
      </x:c>
      <x:c r="I21" s="131" t="n">
        <x:f>H$21+I$20</x:f>
        <x:v>-216.30101304563058</x:v>
      </x:c>
      <x:c r="J21" s="131" t="n">
        <x:f>I$21+J$20</x:f>
        <x:v>-193.3983805025607</x:v>
      </x:c>
      <x:c r="K21" s="131" t="n">
        <x:f>J$21+K$20</x:f>
        <x:v>-169.82006732672042</x:v>
      </x:c>
      <x:c r="L21" s="131" t="n">
        <x:f>K$21+L$20</x:f>
        <x:v>-145.58079928151403</x:v>
      </x:c>
      <x:c r="M21" s="131" t="n">
        <x:f>L$21+M$20</x:f>
        <x:v>-87.65937071008547</x:v>
      </x:c>
    </x:row>
    <x:row r="22">
      <x:c r="A22" s="133" t="str">
        <x:v>Cumulative nominal cash flow</x:v>
      </x:c>
      <x:c r="B22" s="134" t="n">
        <x:f>B$18</x:f>
        <x:v>-182</x:v>
      </x:c>
      <x:c r="C22" s="134" t="n">
        <x:f>B$22+C$18</x:f>
        <x:v>-274</x:v>
      </x:c>
      <x:c r="D22" s="134" t="n">
        <x:f>C$22+D$18</x:f>
        <x:v>-302.20799999999997</x:v>
      </x:c>
      <x:c r="E22" s="134" t="n">
        <x:f>D$22+E$18</x:f>
        <x:v>-294.472</x:v>
      </x:c>
      <x:c r="F22" s="134" t="n">
        <x:f>E$22+F$18</x:f>
        <x:v>-280.84</x:v>
      </x:c>
      <x:c r="G22" s="134" t="n">
        <x:f>F$22+G$18</x:f>
        <x:v>-261.31199999999995</x:v>
      </x:c>
      <x:c r="H22" s="134" t="n">
        <x:f>G$22+H$18</x:f>
        <x:v>-239.33599999999996</x:v>
      </x:c>
      <x:c r="I22" s="134" t="n">
        <x:f>H$22+I$18</x:f>
        <x:v>-215.38079999999997</x:v>
      </x:c>
      <x:c r="J22" s="134" t="n">
        <x:f>I$22+J$18</x:f>
        <x:v>-190.44639999999995</x:v>
      </x:c>
      <x:c r="K22" s="134" t="n">
        <x:f>J$22+K$18</x:f>
        <x:v>-164.53279999999995</x:v>
      </x:c>
      <x:c r="L22" s="134" t="n">
        <x:f>K$22+L$18</x:f>
        <x:v>-137.63999999999996</x:v>
      </x:c>
      <x:c r="M22" s="134" t="n">
        <x:f>L$22+M$18</x:f>
        <x:v>-72.76799999999996</x:v>
      </x:c>
    </x:row>
    <x:row r="24">
      <x:c r="A24" s="42" t="str">
        <x:v>Review row definitions, sign convention, period basis, scenario mechanics, and every breakpoint before relying on the output.</x:v>
      </x:c>
      <x:c r="B24" s="43" t="str">
        <x:v>Review row definitions, sign convention, period basis, scenario mechanics, and every breakpoint before relying on the output.</x:v>
      </x:c>
      <x:c r="C24" s="43" t="str">
        <x:v>Review row definitions, sign convention, period basis, scenario mechanics, and every breakpoint before relying on the output.</x:v>
      </x:c>
      <x:c r="D24" s="43" t="str">
        <x:v>Review row definitions, sign convention, period basis, scenario mechanics, and every breakpoint before relying on the output.</x:v>
      </x:c>
      <x:c r="E24" s="43" t="str">
        <x:v>Review row definitions, sign convention, period basis, scenario mechanics, and every breakpoint before relying on the output.</x:v>
      </x:c>
      <x:c r="F24" s="43" t="str">
        <x:v>Review row definitions, sign convention, period basis, scenario mechanics, and every breakpoint before relying on the output.</x:v>
      </x:c>
      <x:c r="G24" s="43" t="str">
        <x:v>Review row definitions, sign convention, period basis, scenario mechanics, and every breakpoint before relying on the output.</x:v>
      </x:c>
      <x:c r="H24" s="43" t="str">
        <x:v>Review row definitions, sign convention, period basis, scenario mechanics, and every breakpoint before relying on the output.</x:v>
      </x:c>
      <x:c r="I24" s="43" t="str">
        <x:v>Review row definitions, sign convention, period basis, scenario mechanics, and every breakpoint before relying on the output.</x:v>
      </x:c>
      <x:c r="J24" s="43" t="str">
        <x:v>Review row definitions, sign convention, period basis, scenario mechanics, and every breakpoint before relying on the output.</x:v>
      </x:c>
      <x:c r="K24" s="43" t="str">
        <x:v>Review row definitions, sign convention, period basis, scenario mechanics, and every breakpoint before relying on the output.</x:v>
      </x:c>
      <x:c r="L24" s="43" t="str">
        <x:v>Review row definitions, sign convention, period basis, scenario mechanics, and every breakpoint before relying on the output.</x:v>
      </x:c>
      <x:c r="M24" s="44" t="str">
        <x:v>Review row definitions, sign convention, period basis, scenario mechanics, and every breakpoint before relying on the output.</x:v>
      </x:c>
    </x:row>
    <x:row r="25">
      <x:c r="A25" s="45" t="str">
        <x:v>Review row definitions, sign convention, period basis, scenario mechanics, and every breakpoint before relying on the output.</x:v>
      </x:c>
      <x:c r="B25" s="46" t="str">
        <x:v>Review row definitions, sign convention, period basis, scenario mechanics, and every breakpoint before relying on the output.</x:v>
      </x:c>
      <x:c r="C25" s="46" t="str">
        <x:v>Review row definitions, sign convention, period basis, scenario mechanics, and every breakpoint before relying on the output.</x:v>
      </x:c>
      <x:c r="D25" s="46" t="str">
        <x:v>Review row definitions, sign convention, period basis, scenario mechanics, and every breakpoint before relying on the output.</x:v>
      </x:c>
      <x:c r="E25" s="46" t="str">
        <x:v>Review row definitions, sign convention, period basis, scenario mechanics, and every breakpoint before relying on the output.</x:v>
      </x:c>
      <x:c r="F25" s="46" t="str">
        <x:v>Review row definitions, sign convention, period basis, scenario mechanics, and every breakpoint before relying on the output.</x:v>
      </x:c>
      <x:c r="G25" s="46" t="str">
        <x:v>Review row definitions, sign convention, period basis, scenario mechanics, and every breakpoint before relying on the output.</x:v>
      </x:c>
      <x:c r="H25" s="46" t="str">
        <x:v>Review row definitions, sign convention, period basis, scenario mechanics, and every breakpoint before relying on the output.</x:v>
      </x:c>
      <x:c r="I25" s="46" t="str">
        <x:v>Review row definitions, sign convention, period basis, scenario mechanics, and every breakpoint before relying on the output.</x:v>
      </x:c>
      <x:c r="J25" s="46" t="str">
        <x:v>Review row definitions, sign convention, period basis, scenario mechanics, and every breakpoint before relying on the output.</x:v>
      </x:c>
      <x:c r="K25" s="46" t="str">
        <x:v>Review row definitions, sign convention, period basis, scenario mechanics, and every breakpoint before relying on the output.</x:v>
      </x:c>
      <x:c r="L25" s="46" t="str">
        <x:v>Review row definitions, sign convention, period basis, scenario mechanics, and every breakpoint before relying on the output.</x:v>
      </x:c>
      <x:c r="M25" s="47" t="str">
        <x:v>Review row definitions, sign convention, period basis, scenario mechanics, and every breakpoint before relying on the output.</x:v>
      </x:c>
    </x:row>
    <x:row r="26">
      <x:c r="A26" s="48" t="str">
        <x:v>Review row definitions, sign convention, period basis, scenario mechanics, and every breakpoint before relying on the output.</x:v>
      </x:c>
      <x:c r="B26" s="49" t="str">
        <x:v>Review row definitions, sign convention, period basis, scenario mechanics, and every breakpoint before relying on the output.</x:v>
      </x:c>
      <x:c r="C26" s="49" t="str">
        <x:v>Review row definitions, sign convention, period basis, scenario mechanics, and every breakpoint before relying on the output.</x:v>
      </x:c>
      <x:c r="D26" s="49" t="str">
        <x:v>Review row definitions, sign convention, period basis, scenario mechanics, and every breakpoint before relying on the output.</x:v>
      </x:c>
      <x:c r="E26" s="49" t="str">
        <x:v>Review row definitions, sign convention, period basis, scenario mechanics, and every breakpoint before relying on the output.</x:v>
      </x:c>
      <x:c r="F26" s="49" t="str">
        <x:v>Review row definitions, sign convention, period basis, scenario mechanics, and every breakpoint before relying on the output.</x:v>
      </x:c>
      <x:c r="G26" s="49" t="str">
        <x:v>Review row definitions, sign convention, period basis, scenario mechanics, and every breakpoint before relying on the output.</x:v>
      </x:c>
      <x:c r="H26" s="49" t="str">
        <x:v>Review row definitions, sign convention, period basis, scenario mechanics, and every breakpoint before relying on the output.</x:v>
      </x:c>
      <x:c r="I26" s="49" t="str">
        <x:v>Review row definitions, sign convention, period basis, scenario mechanics, and every breakpoint before relying on the output.</x:v>
      </x:c>
      <x:c r="J26" s="49" t="str">
        <x:v>Review row definitions, sign convention, period basis, scenario mechanics, and every breakpoint before relying on the output.</x:v>
      </x:c>
      <x:c r="K26" s="49" t="str">
        <x:v>Review row definitions, sign convention, period basis, scenario mechanics, and every breakpoint before relying on the output.</x:v>
      </x:c>
      <x:c r="L26" s="49" t="str">
        <x:v>Review row definitions, sign convention, period basis, scenario mechanics, and every breakpoint before relying on the output.</x:v>
      </x:c>
      <x:c r="M26" s="50" t="str">
        <x:v>Review row definitions, sign convention, period basis, scenario mechanics, and every breakpoint before relying on the output.</x:v>
      </x:c>
    </x:row>
    <x:row r="28">
      <x:c r="A28" s="53" t="str">
        <x:v>TDAT Model Library  |  Trust builds the brand. Insight builds the decision.</x:v>
      </x:c>
      <x:c r="B28" s="53" t="str">
        <x:v>TDAT Model Library  |  Trust builds the brand. Insight builds the decision.</x:v>
      </x:c>
      <x:c r="C28" s="53" t="str">
        <x:v>TDAT Model Library  |  Trust builds the brand. Insight builds the decision.</x:v>
      </x:c>
      <x:c r="D28" s="53" t="str">
        <x:v>TDAT Model Library  |  Trust builds the brand. Insight builds the decision.</x:v>
      </x:c>
      <x:c r="E28" s="53" t="str">
        <x:v>TDAT Model Library  |  Trust builds the brand. Insight builds the decision.</x:v>
      </x:c>
      <x:c r="F28" s="53" t="str">
        <x:v>TDAT Model Library  |  Trust builds the brand. Insight builds the decision.</x:v>
      </x:c>
      <x:c r="G28" s="53" t="str">
        <x:v>TDAT Model Library  |  Trust builds the brand. Insight builds the decision.</x:v>
      </x:c>
      <x:c r="H28" s="53" t="str">
        <x:v>TDAT Model Library  |  Trust builds the brand. Insight builds the decision.</x:v>
      </x:c>
      <x:c r="I28" s="53" t="str">
        <x:v>TDAT Model Library  |  Trust builds the brand. Insight builds the decision.</x:v>
      </x:c>
      <x:c r="J28" s="53" t="str">
        <x:v>TDAT Model Library  |  Trust builds the brand. Insight builds the decision.</x:v>
      </x:c>
      <x:c r="K28" s="53" t="str">
        <x:v>TDAT Model Library  |  Trust builds the brand. Insight builds the decision.</x:v>
      </x:c>
      <x:c r="L28" s="53" t="str">
        <x:v>TDAT Model Library  |  Trust builds the brand. Insight builds the decision.</x:v>
      </x:c>
      <x:c r="M28" s="53" t="str">
        <x:v>TDAT Model Library  |  Trust builds the brand. Insight builds the decision.</x:v>
      </x:c>
    </x:row>
  </x:sheetData>
  <x:mergeCells>
    <x:mergeCell ref="A1:M1"/>
    <x:mergeCell ref="A2:M2"/>
    <x:mergeCell ref="A24:M26"/>
    <x:mergeCell ref="A28:M2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SCENARIOS &amp; SENSITIVITY</x:v>
      </x:c>
      <x:c r="B1" s="3" t="str">
        <x:v>SCENARIOS &amp; SENSITIVITY</x:v>
      </x:c>
      <x:c r="C1" s="3" t="str">
        <x:v>SCENARIOS &amp; SENSITIVITY</x:v>
      </x:c>
      <x:c r="D1" s="3" t="str">
        <x:v>SCENARIOS &amp; SENSITIVITY</x:v>
      </x:c>
      <x:c r="E1" s="3" t="str">
        <x:v>SCENARIOS &amp; SENSITIVITY</x:v>
      </x:c>
      <x:c r="F1" s="3" t="str">
        <x:v>SCENARIOS &amp; SENSITIVITY</x:v>
      </x:c>
      <x:c r="G1" s="3" t="str">
        <x:v>SCENARIOS &amp; SENSITIVITY</x:v>
      </x:c>
      <x:c r="H1" s="3" t="str">
        <x:v>SCENARIOS &amp; SENSITIVITY</x:v>
      </x:c>
      <x:c r="I1" s="3" t="str">
        <x:v>SCENARIOS &amp; SENSITIVITY</x:v>
      </x:c>
      <x:c r="J1" s="3" t="str">
        <x:v>SCENARIOS &amp; SENSITIVITY</x:v>
      </x:c>
    </x:row>
    <x:row r="2" ht="24" customHeight="1">
      <x:c r="A2" s="6" t="str">
        <x:v>Capex / Business Case  |  Formula-backed decision range</x:v>
      </x:c>
      <x:c r="B2" s="6" t="str">
        <x:v>Capex / Business Case  |  Formula-backed decision range</x:v>
      </x:c>
      <x:c r="C2" s="6" t="str">
        <x:v>Capex / Business Case  |  Formula-backed decision range</x:v>
      </x:c>
      <x:c r="D2" s="6" t="str">
        <x:v>Capex / Business Case  |  Formula-backed decision range</x:v>
      </x:c>
      <x:c r="E2" s="6" t="str">
        <x:v>Capex / Business Case  |  Formula-backed decision range</x:v>
      </x:c>
      <x:c r="F2" s="6" t="str">
        <x:v>Capex / Business Case  |  Formula-backed decision range</x:v>
      </x:c>
      <x:c r="G2" s="6" t="str">
        <x:v>Capex / Business Case  |  Formula-backed decision range</x:v>
      </x:c>
      <x:c r="H2" s="6" t="str">
        <x:v>Capex / Business Case  |  Formula-backed decision range</x:v>
      </x:c>
      <x:c r="I2" s="6" t="str">
        <x:v>Capex / Business Case  |  Formula-backed decision range</x:v>
      </x:c>
      <x:c r="J2" s="6" t="str">
        <x:v>Capex / Business Case  |  Formula-backed decision range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135" t="str">
        <x:v>Illustrative NPV — Capex overrun by Benefit realization</x:v>
      </x:c>
      <x:c r="B5" s="135" t="str">
        <x:v>Illustrative NPV — Capex overrun by Benefit realization</x:v>
      </x:c>
      <x:c r="C5" s="135" t="str">
        <x:v>Illustrative NPV — Capex overrun by Benefit realization</x:v>
      </x:c>
      <x:c r="D5" s="135" t="str">
        <x:v>Illustrative NPV — Capex overrun by Benefit realization</x:v>
      </x:c>
      <x:c r="E5" s="135" t="str">
        <x:v>Illustrative NPV — Capex overrun by Benefit realization</x:v>
      </x:c>
      <x:c r="F5" s="135" t="str">
        <x:v>Illustrative NPV — Capex overrun by Benefit realization</x:v>
      </x:c>
      <x:c r="G5" s="135" t="str">
        <x:v>Illustrative NPV — Capex overrun by Benefit realization</x:v>
      </x:c>
      <x:c r="H5" s="135" t="str">
        <x:v>Illustrative NPV — Capex overrun by Benefit realization</x:v>
      </x:c>
      <x:c r="I5" s="135" t="str">
        <x:v>Illustrative NPV — Capex overrun by Benefit realization</x:v>
      </x:c>
      <x:c r="J5" s="135" t="str">
        <x:v>Illustrative NPV — Capex overrun by Benefit realization</x:v>
      </x:c>
    </x:row>
    <x:row r="6">
      <x:c r="A6" t="str">
        <x:v>Capex overrun</x:v>
      </x:c>
      <x:c r="B6" t="str">
        <x:v>Benefit realization</x:v>
      </x:c>
    </x:row>
    <x:row r="7">
      <x:c r="B7" s="71" t="n">
        <x:v>0.7</x:v>
      </x:c>
      <x:c r="C7" s="71" t="n">
        <x:v>0.8</x:v>
      </x:c>
      <x:c r="D7" s="71" t="n">
        <x:v>0.9</x:v>
      </x:c>
      <x:c r="E7" s="71" t="n">
        <x:v>1</x:v>
      </x:c>
      <x:c r="F7" s="71" t="n">
        <x:v>1.1</x:v>
      </x:c>
    </x:row>
    <x:row r="8">
      <x:c r="A8" s="71" t="n">
        <x:v>-0.1</x:v>
      </x:c>
      <x:c r="B8" s="137" t="n">
        <x:f>(('Project Inputs'!B$7+'Project Inputs'!C$7+'Project Inputs'!D$7+'Project Inputs'!E$7+'Project Inputs'!F$7+'Project Inputs'!G$7+'Project Inputs'!H$7+'Project Inputs'!I$7+'Project Inputs'!J$7+'Project Inputs'!K$7+'Project Inputs'!L$7+'Project Inputs'!M$7)*B$7*(1-'Assumptions'!$F$7)-('Project Inputs'!B$8+'Project Inputs'!C$8+'Project Inputs'!D$8+'Project Inputs'!E$8+'Project Inputs'!F$8+'Project Inputs'!G$8+'Project Inputs'!H$8+'Project Inputs'!I$8+'Project Inputs'!J$8+'Project Inputs'!K$8+'Project Inputs'!L$8+'Project Inputs'!M$8))*(1-'Assumptions'!$F$8)-SUM('Project Inputs'!B$6:'Project Inputs'!M$6)*(1+$A8)</x:f>
        <x:v>-127.26400000000004</x:v>
      </x:c>
      <x:c r="C8" s="137" t="n">
        <x:f>(('Project Inputs'!B$7+'Project Inputs'!C$7+'Project Inputs'!D$7+'Project Inputs'!E$7+'Project Inputs'!F$7+'Project Inputs'!G$7+'Project Inputs'!H$7+'Project Inputs'!I$7+'Project Inputs'!J$7+'Project Inputs'!K$7+'Project Inputs'!L$7+'Project Inputs'!M$7)*C$7*(1-'Assumptions'!$F$7)-('Project Inputs'!B$8+'Project Inputs'!C$8+'Project Inputs'!D$8+'Project Inputs'!E$8+'Project Inputs'!F$8+'Project Inputs'!G$8+'Project Inputs'!H$8+'Project Inputs'!I$8+'Project Inputs'!J$8+'Project Inputs'!K$8+'Project Inputs'!L$8+'Project Inputs'!M$8))*(1-'Assumptions'!$F$8)-SUM('Project Inputs'!B$6:'Project Inputs'!M$6)*(1+$A8)</x:f>
        <x:v>-97.61600000000001</x:v>
      </x:c>
      <x:c r="D8" s="137" t="n">
        <x:f>(('Project Inputs'!B$7+'Project Inputs'!C$7+'Project Inputs'!D$7+'Project Inputs'!E$7+'Project Inputs'!F$7+'Project Inputs'!G$7+'Project Inputs'!H$7+'Project Inputs'!I$7+'Project Inputs'!J$7+'Project Inputs'!K$7+'Project Inputs'!L$7+'Project Inputs'!M$7)*D$7*(1-'Assumptions'!$F$7)-('Project Inputs'!B$8+'Project Inputs'!C$8+'Project Inputs'!D$8+'Project Inputs'!E$8+'Project Inputs'!F$8+'Project Inputs'!G$8+'Project Inputs'!H$8+'Project Inputs'!I$8+'Project Inputs'!J$8+'Project Inputs'!K$8+'Project Inputs'!L$8+'Project Inputs'!M$8))*(1-'Assumptions'!$F$8)-SUM('Project Inputs'!B$6:'Project Inputs'!M$6)*(1+$A8)</x:f>
        <x:v>-67.96800000000002</x:v>
      </x:c>
      <x:c r="E8" s="137" t="n">
        <x:f>(('Project Inputs'!B$7+'Project Inputs'!C$7+'Project Inputs'!D$7+'Project Inputs'!E$7+'Project Inputs'!F$7+'Project Inputs'!G$7+'Project Inputs'!H$7+'Project Inputs'!I$7+'Project Inputs'!J$7+'Project Inputs'!K$7+'Project Inputs'!L$7+'Project Inputs'!M$7)*E$7*(1-'Assumptions'!$F$7)-('Project Inputs'!B$8+'Project Inputs'!C$8+'Project Inputs'!D$8+'Project Inputs'!E$8+'Project Inputs'!F$8+'Project Inputs'!G$8+'Project Inputs'!H$8+'Project Inputs'!I$8+'Project Inputs'!J$8+'Project Inputs'!K$8+'Project Inputs'!L$8+'Project Inputs'!M$8))*(1-'Assumptions'!$F$8)-SUM('Project Inputs'!B$6:'Project Inputs'!M$6)*(1+$A8)</x:f>
        <x:v>-38.32000000000002</x:v>
      </x:c>
      <x:c r="F8" s="137" t="n">
        <x:f>(('Project Inputs'!B$7+'Project Inputs'!C$7+'Project Inputs'!D$7+'Project Inputs'!E$7+'Project Inputs'!F$7+'Project Inputs'!G$7+'Project Inputs'!H$7+'Project Inputs'!I$7+'Project Inputs'!J$7+'Project Inputs'!K$7+'Project Inputs'!L$7+'Project Inputs'!M$7)*F$7*(1-'Assumptions'!$F$7)-('Project Inputs'!B$8+'Project Inputs'!C$8+'Project Inputs'!D$8+'Project Inputs'!E$8+'Project Inputs'!F$8+'Project Inputs'!G$8+'Project Inputs'!H$8+'Project Inputs'!I$8+'Project Inputs'!J$8+'Project Inputs'!K$8+'Project Inputs'!L$8+'Project Inputs'!M$8))*(1-'Assumptions'!$F$8)-SUM('Project Inputs'!B$6:'Project Inputs'!M$6)*(1+$A8)</x:f>
        <x:v>-8.672000000000025</x:v>
      </x:c>
    </x:row>
    <x:row r="9">
      <x:c r="A9" s="71" t="n">
        <x:v>0</x:v>
      </x:c>
      <x:c r="B9" s="137" t="n">
        <x:f>(('Project Inputs'!B$7+'Project Inputs'!C$7+'Project Inputs'!D$7+'Project Inputs'!E$7+'Project Inputs'!F$7+'Project Inputs'!G$7+'Project Inputs'!H$7+'Project Inputs'!I$7+'Project Inputs'!J$7+'Project Inputs'!K$7+'Project Inputs'!L$7+'Project Inputs'!M$7)*B$7*(1-'Assumptions'!$F$7)-('Project Inputs'!B$8+'Project Inputs'!C$8+'Project Inputs'!D$8+'Project Inputs'!E$8+'Project Inputs'!F$8+'Project Inputs'!G$8+'Project Inputs'!H$8+'Project Inputs'!I$8+'Project Inputs'!J$8+'Project Inputs'!K$8+'Project Inputs'!L$8+'Project Inputs'!M$8))*(1-'Assumptions'!$F$8)-SUM('Project Inputs'!B$6:'Project Inputs'!M$6)*(1+$A9)</x:f>
        <x:v>-157.26400000000004</x:v>
      </x:c>
      <x:c r="C9" s="137" t="n">
        <x:f>(('Project Inputs'!B$7+'Project Inputs'!C$7+'Project Inputs'!D$7+'Project Inputs'!E$7+'Project Inputs'!F$7+'Project Inputs'!G$7+'Project Inputs'!H$7+'Project Inputs'!I$7+'Project Inputs'!J$7+'Project Inputs'!K$7+'Project Inputs'!L$7+'Project Inputs'!M$7)*C$7*(1-'Assumptions'!$F$7)-('Project Inputs'!B$8+'Project Inputs'!C$8+'Project Inputs'!D$8+'Project Inputs'!E$8+'Project Inputs'!F$8+'Project Inputs'!G$8+'Project Inputs'!H$8+'Project Inputs'!I$8+'Project Inputs'!J$8+'Project Inputs'!K$8+'Project Inputs'!L$8+'Project Inputs'!M$8))*(1-'Assumptions'!$F$8)-SUM('Project Inputs'!B$6:'Project Inputs'!M$6)*(1+$A9)</x:f>
        <x:v>-127.61600000000001</x:v>
      </x:c>
      <x:c r="D9" s="137" t="n">
        <x:f>(('Project Inputs'!B$7+'Project Inputs'!C$7+'Project Inputs'!D$7+'Project Inputs'!E$7+'Project Inputs'!F$7+'Project Inputs'!G$7+'Project Inputs'!H$7+'Project Inputs'!I$7+'Project Inputs'!J$7+'Project Inputs'!K$7+'Project Inputs'!L$7+'Project Inputs'!M$7)*D$7*(1-'Assumptions'!$F$7)-('Project Inputs'!B$8+'Project Inputs'!C$8+'Project Inputs'!D$8+'Project Inputs'!E$8+'Project Inputs'!F$8+'Project Inputs'!G$8+'Project Inputs'!H$8+'Project Inputs'!I$8+'Project Inputs'!J$8+'Project Inputs'!K$8+'Project Inputs'!L$8+'Project Inputs'!M$8))*(1-'Assumptions'!$F$8)-SUM('Project Inputs'!B$6:'Project Inputs'!M$6)*(1+$A9)</x:f>
        <x:v>-97.96800000000002</x:v>
      </x:c>
      <x:c r="E9" s="137" t="n">
        <x:f>(('Project Inputs'!B$7+'Project Inputs'!C$7+'Project Inputs'!D$7+'Project Inputs'!E$7+'Project Inputs'!F$7+'Project Inputs'!G$7+'Project Inputs'!H$7+'Project Inputs'!I$7+'Project Inputs'!J$7+'Project Inputs'!K$7+'Project Inputs'!L$7+'Project Inputs'!M$7)*E$7*(1-'Assumptions'!$F$7)-('Project Inputs'!B$8+'Project Inputs'!C$8+'Project Inputs'!D$8+'Project Inputs'!E$8+'Project Inputs'!F$8+'Project Inputs'!G$8+'Project Inputs'!H$8+'Project Inputs'!I$8+'Project Inputs'!J$8+'Project Inputs'!K$8+'Project Inputs'!L$8+'Project Inputs'!M$8))*(1-'Assumptions'!$F$8)-SUM('Project Inputs'!B$6:'Project Inputs'!M$6)*(1+$A9)</x:f>
        <x:v>-68.32000000000002</x:v>
      </x:c>
      <x:c r="F9" s="137" t="n">
        <x:f>(('Project Inputs'!B$7+'Project Inputs'!C$7+'Project Inputs'!D$7+'Project Inputs'!E$7+'Project Inputs'!F$7+'Project Inputs'!G$7+'Project Inputs'!H$7+'Project Inputs'!I$7+'Project Inputs'!J$7+'Project Inputs'!K$7+'Project Inputs'!L$7+'Project Inputs'!M$7)*F$7*(1-'Assumptions'!$F$7)-('Project Inputs'!B$8+'Project Inputs'!C$8+'Project Inputs'!D$8+'Project Inputs'!E$8+'Project Inputs'!F$8+'Project Inputs'!G$8+'Project Inputs'!H$8+'Project Inputs'!I$8+'Project Inputs'!J$8+'Project Inputs'!K$8+'Project Inputs'!L$8+'Project Inputs'!M$8))*(1-'Assumptions'!$F$8)-SUM('Project Inputs'!B$6:'Project Inputs'!M$6)*(1+$A9)</x:f>
        <x:v>-38.672000000000025</x:v>
      </x:c>
    </x:row>
    <x:row r="10">
      <x:c r="A10" s="71" t="n">
        <x:v>0.1</x:v>
      </x:c>
      <x:c r="B10" s="137" t="n">
        <x:f>(('Project Inputs'!B$7+'Project Inputs'!C$7+'Project Inputs'!D$7+'Project Inputs'!E$7+'Project Inputs'!F$7+'Project Inputs'!G$7+'Project Inputs'!H$7+'Project Inputs'!I$7+'Project Inputs'!J$7+'Project Inputs'!K$7+'Project Inputs'!L$7+'Project Inputs'!M$7)*B$7*(1-'Assumptions'!$F$7)-('Project Inputs'!B$8+'Project Inputs'!C$8+'Project Inputs'!D$8+'Project Inputs'!E$8+'Project Inputs'!F$8+'Project Inputs'!G$8+'Project Inputs'!H$8+'Project Inputs'!I$8+'Project Inputs'!J$8+'Project Inputs'!K$8+'Project Inputs'!L$8+'Project Inputs'!M$8))*(1-'Assumptions'!$F$8)-SUM('Project Inputs'!B$6:'Project Inputs'!M$6)*(1+$A10)</x:f>
        <x:v>-187.26400000000004</x:v>
      </x:c>
      <x:c r="C10" s="137" t="n">
        <x:f>(('Project Inputs'!B$7+'Project Inputs'!C$7+'Project Inputs'!D$7+'Project Inputs'!E$7+'Project Inputs'!F$7+'Project Inputs'!G$7+'Project Inputs'!H$7+'Project Inputs'!I$7+'Project Inputs'!J$7+'Project Inputs'!K$7+'Project Inputs'!L$7+'Project Inputs'!M$7)*C$7*(1-'Assumptions'!$F$7)-('Project Inputs'!B$8+'Project Inputs'!C$8+'Project Inputs'!D$8+'Project Inputs'!E$8+'Project Inputs'!F$8+'Project Inputs'!G$8+'Project Inputs'!H$8+'Project Inputs'!I$8+'Project Inputs'!J$8+'Project Inputs'!K$8+'Project Inputs'!L$8+'Project Inputs'!M$8))*(1-'Assumptions'!$F$8)-SUM('Project Inputs'!B$6:'Project Inputs'!M$6)*(1+$A10)</x:f>
        <x:v>-157.616</x:v>
      </x:c>
      <x:c r="D10" s="137" t="n">
        <x:f>(('Project Inputs'!B$7+'Project Inputs'!C$7+'Project Inputs'!D$7+'Project Inputs'!E$7+'Project Inputs'!F$7+'Project Inputs'!G$7+'Project Inputs'!H$7+'Project Inputs'!I$7+'Project Inputs'!J$7+'Project Inputs'!K$7+'Project Inputs'!L$7+'Project Inputs'!M$7)*D$7*(1-'Assumptions'!$F$7)-('Project Inputs'!B$8+'Project Inputs'!C$8+'Project Inputs'!D$8+'Project Inputs'!E$8+'Project Inputs'!F$8+'Project Inputs'!G$8+'Project Inputs'!H$8+'Project Inputs'!I$8+'Project Inputs'!J$8+'Project Inputs'!K$8+'Project Inputs'!L$8+'Project Inputs'!M$8))*(1-'Assumptions'!$F$8)-SUM('Project Inputs'!B$6:'Project Inputs'!M$6)*(1+$A10)</x:f>
        <x:v>-127.96800000000002</x:v>
      </x:c>
      <x:c r="E10" s="137" t="n">
        <x:f>(('Project Inputs'!B$7+'Project Inputs'!C$7+'Project Inputs'!D$7+'Project Inputs'!E$7+'Project Inputs'!F$7+'Project Inputs'!G$7+'Project Inputs'!H$7+'Project Inputs'!I$7+'Project Inputs'!J$7+'Project Inputs'!K$7+'Project Inputs'!L$7+'Project Inputs'!M$7)*E$7*(1-'Assumptions'!$F$7)-('Project Inputs'!B$8+'Project Inputs'!C$8+'Project Inputs'!D$8+'Project Inputs'!E$8+'Project Inputs'!F$8+'Project Inputs'!G$8+'Project Inputs'!H$8+'Project Inputs'!I$8+'Project Inputs'!J$8+'Project Inputs'!K$8+'Project Inputs'!L$8+'Project Inputs'!M$8))*(1-'Assumptions'!$F$8)-SUM('Project Inputs'!B$6:'Project Inputs'!M$6)*(1+$A10)</x:f>
        <x:v>-98.32000000000002</x:v>
      </x:c>
      <x:c r="F10" s="137" t="n">
        <x:f>(('Project Inputs'!B$7+'Project Inputs'!C$7+'Project Inputs'!D$7+'Project Inputs'!E$7+'Project Inputs'!F$7+'Project Inputs'!G$7+'Project Inputs'!H$7+'Project Inputs'!I$7+'Project Inputs'!J$7+'Project Inputs'!K$7+'Project Inputs'!L$7+'Project Inputs'!M$7)*F$7*(1-'Assumptions'!$F$7)-('Project Inputs'!B$8+'Project Inputs'!C$8+'Project Inputs'!D$8+'Project Inputs'!E$8+'Project Inputs'!F$8+'Project Inputs'!G$8+'Project Inputs'!H$8+'Project Inputs'!I$8+'Project Inputs'!J$8+'Project Inputs'!K$8+'Project Inputs'!L$8+'Project Inputs'!M$8))*(1-'Assumptions'!$F$8)-SUM('Project Inputs'!B$6:'Project Inputs'!M$6)*(1+$A10)</x:f>
        <x:v>-68.67200000000003</x:v>
      </x:c>
    </x:row>
    <x:row r="11">
      <x:c r="A11" s="71" t="n">
        <x:v>0.2</x:v>
      </x:c>
      <x:c r="B11" s="137" t="n">
        <x:f>(('Project Inputs'!B$7+'Project Inputs'!C$7+'Project Inputs'!D$7+'Project Inputs'!E$7+'Project Inputs'!F$7+'Project Inputs'!G$7+'Project Inputs'!H$7+'Project Inputs'!I$7+'Project Inputs'!J$7+'Project Inputs'!K$7+'Project Inputs'!L$7+'Project Inputs'!M$7)*B$7*(1-'Assumptions'!$F$7)-('Project Inputs'!B$8+'Project Inputs'!C$8+'Project Inputs'!D$8+'Project Inputs'!E$8+'Project Inputs'!F$8+'Project Inputs'!G$8+'Project Inputs'!H$8+'Project Inputs'!I$8+'Project Inputs'!J$8+'Project Inputs'!K$8+'Project Inputs'!L$8+'Project Inputs'!M$8))*(1-'Assumptions'!$F$8)-SUM('Project Inputs'!B$6:'Project Inputs'!M$6)*(1+$A11)</x:f>
        <x:v>-217.26400000000004</x:v>
      </x:c>
      <x:c r="C11" s="137" t="n">
        <x:f>(('Project Inputs'!B$7+'Project Inputs'!C$7+'Project Inputs'!D$7+'Project Inputs'!E$7+'Project Inputs'!F$7+'Project Inputs'!G$7+'Project Inputs'!H$7+'Project Inputs'!I$7+'Project Inputs'!J$7+'Project Inputs'!K$7+'Project Inputs'!L$7+'Project Inputs'!M$7)*C$7*(1-'Assumptions'!$F$7)-('Project Inputs'!B$8+'Project Inputs'!C$8+'Project Inputs'!D$8+'Project Inputs'!E$8+'Project Inputs'!F$8+'Project Inputs'!G$8+'Project Inputs'!H$8+'Project Inputs'!I$8+'Project Inputs'!J$8+'Project Inputs'!K$8+'Project Inputs'!L$8+'Project Inputs'!M$8))*(1-'Assumptions'!$F$8)-SUM('Project Inputs'!B$6:'Project Inputs'!M$6)*(1+$A11)</x:f>
        <x:v>-187.616</x:v>
      </x:c>
      <x:c r="D11" s="137" t="n">
        <x:f>(('Project Inputs'!B$7+'Project Inputs'!C$7+'Project Inputs'!D$7+'Project Inputs'!E$7+'Project Inputs'!F$7+'Project Inputs'!G$7+'Project Inputs'!H$7+'Project Inputs'!I$7+'Project Inputs'!J$7+'Project Inputs'!K$7+'Project Inputs'!L$7+'Project Inputs'!M$7)*D$7*(1-'Assumptions'!$F$7)-('Project Inputs'!B$8+'Project Inputs'!C$8+'Project Inputs'!D$8+'Project Inputs'!E$8+'Project Inputs'!F$8+'Project Inputs'!G$8+'Project Inputs'!H$8+'Project Inputs'!I$8+'Project Inputs'!J$8+'Project Inputs'!K$8+'Project Inputs'!L$8+'Project Inputs'!M$8))*(1-'Assumptions'!$F$8)-SUM('Project Inputs'!B$6:'Project Inputs'!M$6)*(1+$A11)</x:f>
        <x:v>-157.96800000000002</x:v>
      </x:c>
      <x:c r="E11" s="137" t="n">
        <x:f>(('Project Inputs'!B$7+'Project Inputs'!C$7+'Project Inputs'!D$7+'Project Inputs'!E$7+'Project Inputs'!F$7+'Project Inputs'!G$7+'Project Inputs'!H$7+'Project Inputs'!I$7+'Project Inputs'!J$7+'Project Inputs'!K$7+'Project Inputs'!L$7+'Project Inputs'!M$7)*E$7*(1-'Assumptions'!$F$7)-('Project Inputs'!B$8+'Project Inputs'!C$8+'Project Inputs'!D$8+'Project Inputs'!E$8+'Project Inputs'!F$8+'Project Inputs'!G$8+'Project Inputs'!H$8+'Project Inputs'!I$8+'Project Inputs'!J$8+'Project Inputs'!K$8+'Project Inputs'!L$8+'Project Inputs'!M$8))*(1-'Assumptions'!$F$8)-SUM('Project Inputs'!B$6:'Project Inputs'!M$6)*(1+$A11)</x:f>
        <x:v>-128.32000000000002</x:v>
      </x:c>
      <x:c r="F11" s="137" t="n">
        <x:f>(('Project Inputs'!B$7+'Project Inputs'!C$7+'Project Inputs'!D$7+'Project Inputs'!E$7+'Project Inputs'!F$7+'Project Inputs'!G$7+'Project Inputs'!H$7+'Project Inputs'!I$7+'Project Inputs'!J$7+'Project Inputs'!K$7+'Project Inputs'!L$7+'Project Inputs'!M$7)*F$7*(1-'Assumptions'!$F$7)-('Project Inputs'!B$8+'Project Inputs'!C$8+'Project Inputs'!D$8+'Project Inputs'!E$8+'Project Inputs'!F$8+'Project Inputs'!G$8+'Project Inputs'!H$8+'Project Inputs'!I$8+'Project Inputs'!J$8+'Project Inputs'!K$8+'Project Inputs'!L$8+'Project Inputs'!M$8))*(1-'Assumptions'!$F$8)-SUM('Project Inputs'!B$6:'Project Inputs'!M$6)*(1+$A11)</x:f>
        <x:v>-98.67200000000003</x:v>
      </x:c>
    </x:row>
    <x:row r="12">
      <x:c r="A12" s="71" t="n">
        <x:v>0.3</x:v>
      </x:c>
      <x:c r="B12" s="137" t="n">
        <x:f>(('Project Inputs'!B$7+'Project Inputs'!C$7+'Project Inputs'!D$7+'Project Inputs'!E$7+'Project Inputs'!F$7+'Project Inputs'!G$7+'Project Inputs'!H$7+'Project Inputs'!I$7+'Project Inputs'!J$7+'Project Inputs'!K$7+'Project Inputs'!L$7+'Project Inputs'!M$7)*B$7*(1-'Assumptions'!$F$7)-('Project Inputs'!B$8+'Project Inputs'!C$8+'Project Inputs'!D$8+'Project Inputs'!E$8+'Project Inputs'!F$8+'Project Inputs'!G$8+'Project Inputs'!H$8+'Project Inputs'!I$8+'Project Inputs'!J$8+'Project Inputs'!K$8+'Project Inputs'!L$8+'Project Inputs'!M$8))*(1-'Assumptions'!$F$8)-SUM('Project Inputs'!B$6:'Project Inputs'!M$6)*(1+$A12)</x:f>
        <x:v>-247.26400000000004</x:v>
      </x:c>
      <x:c r="C12" s="137" t="n">
        <x:f>(('Project Inputs'!B$7+'Project Inputs'!C$7+'Project Inputs'!D$7+'Project Inputs'!E$7+'Project Inputs'!F$7+'Project Inputs'!G$7+'Project Inputs'!H$7+'Project Inputs'!I$7+'Project Inputs'!J$7+'Project Inputs'!K$7+'Project Inputs'!L$7+'Project Inputs'!M$7)*C$7*(1-'Assumptions'!$F$7)-('Project Inputs'!B$8+'Project Inputs'!C$8+'Project Inputs'!D$8+'Project Inputs'!E$8+'Project Inputs'!F$8+'Project Inputs'!G$8+'Project Inputs'!H$8+'Project Inputs'!I$8+'Project Inputs'!J$8+'Project Inputs'!K$8+'Project Inputs'!L$8+'Project Inputs'!M$8))*(1-'Assumptions'!$F$8)-SUM('Project Inputs'!B$6:'Project Inputs'!M$6)*(1+$A12)</x:f>
        <x:v>-217.616</x:v>
      </x:c>
      <x:c r="D12" s="137" t="n">
        <x:f>(('Project Inputs'!B$7+'Project Inputs'!C$7+'Project Inputs'!D$7+'Project Inputs'!E$7+'Project Inputs'!F$7+'Project Inputs'!G$7+'Project Inputs'!H$7+'Project Inputs'!I$7+'Project Inputs'!J$7+'Project Inputs'!K$7+'Project Inputs'!L$7+'Project Inputs'!M$7)*D$7*(1-'Assumptions'!$F$7)-('Project Inputs'!B$8+'Project Inputs'!C$8+'Project Inputs'!D$8+'Project Inputs'!E$8+'Project Inputs'!F$8+'Project Inputs'!G$8+'Project Inputs'!H$8+'Project Inputs'!I$8+'Project Inputs'!J$8+'Project Inputs'!K$8+'Project Inputs'!L$8+'Project Inputs'!M$8))*(1-'Assumptions'!$F$8)-SUM('Project Inputs'!B$6:'Project Inputs'!M$6)*(1+$A12)</x:f>
        <x:v>-187.96800000000002</x:v>
      </x:c>
      <x:c r="E12" s="137" t="n">
        <x:f>(('Project Inputs'!B$7+'Project Inputs'!C$7+'Project Inputs'!D$7+'Project Inputs'!E$7+'Project Inputs'!F$7+'Project Inputs'!G$7+'Project Inputs'!H$7+'Project Inputs'!I$7+'Project Inputs'!J$7+'Project Inputs'!K$7+'Project Inputs'!L$7+'Project Inputs'!M$7)*E$7*(1-'Assumptions'!$F$7)-('Project Inputs'!B$8+'Project Inputs'!C$8+'Project Inputs'!D$8+'Project Inputs'!E$8+'Project Inputs'!F$8+'Project Inputs'!G$8+'Project Inputs'!H$8+'Project Inputs'!I$8+'Project Inputs'!J$8+'Project Inputs'!K$8+'Project Inputs'!L$8+'Project Inputs'!M$8))*(1-'Assumptions'!$F$8)-SUM('Project Inputs'!B$6:'Project Inputs'!M$6)*(1+$A12)</x:f>
        <x:v>-158.32000000000002</x:v>
      </x:c>
      <x:c r="F12" s="137" t="n">
        <x:f>(('Project Inputs'!B$7+'Project Inputs'!C$7+'Project Inputs'!D$7+'Project Inputs'!E$7+'Project Inputs'!F$7+'Project Inputs'!G$7+'Project Inputs'!H$7+'Project Inputs'!I$7+'Project Inputs'!J$7+'Project Inputs'!K$7+'Project Inputs'!L$7+'Project Inputs'!M$7)*F$7*(1-'Assumptions'!$F$7)-('Project Inputs'!B$8+'Project Inputs'!C$8+'Project Inputs'!D$8+'Project Inputs'!E$8+'Project Inputs'!F$8+'Project Inputs'!G$8+'Project Inputs'!H$8+'Project Inputs'!I$8+'Project Inputs'!J$8+'Project Inputs'!K$8+'Project Inputs'!L$8+'Project Inputs'!M$8))*(1-'Assumptions'!$F$8)-SUM('Project Inputs'!B$6:'Project Inputs'!M$6)*(1+$A12)</x:f>
        <x:v>-128.67200000000003</x:v>
      </x:c>
    </x:row>
    <x:row r="16" ht="22" customHeight="1">
      <x:c r="A16" s="9" t="str">
        <x:v>SCENARIO OUTPUTS</x:v>
      </x:c>
      <x:c r="B16" s="9" t="str">
        <x:v>SCENARIO OUTPUTS</x:v>
      </x:c>
      <x:c r="C16" s="9" t="str">
        <x:v>SCENARIO OUTPUTS</x:v>
      </x:c>
      <x:c r="D16" s="9" t="str">
        <x:v>SCENARIO OUTPUTS</x:v>
      </x:c>
      <x:c r="E16" s="9" t="str">
        <x:v>SCENARIO OUTPUTS</x:v>
      </x:c>
      <x:c r="F16" s="9" t="str">
        <x:v>SCENARIO OUTPUTS</x:v>
      </x:c>
      <x:c r="G16" s="9" t="str">
        <x:v>SCENARIO OUTPUTS</x:v>
      </x:c>
      <x:c r="H16" s="9" t="str">
        <x:v>SCENARIO OUTPUTS</x:v>
      </x:c>
      <x:c r="I16" s="9" t="str">
        <x:v>SCENARIO OUTPUTS</x:v>
      </x:c>
      <x:c r="J16" s="9" t="str">
        <x:v>SCENARIO OUTPUTS</x:v>
      </x:c>
    </x:row>
    <x:row r="17" ht="24" customHeight="1">
      <x:c r="A17" s="66" t="str">
        <x:v>Case</x:v>
      </x:c>
      <x:c r="B17" s="67" t="str">
        <x:v>Narrative</x:v>
      </x:c>
      <x:c r="C17" s="67" t="str">
        <x:v>Selected driver set</x:v>
      </x:c>
      <x:c r="D17" s="68" t="str">
        <x:v>Review question</x:v>
      </x:c>
    </x:row>
    <x:row r="18">
      <x:c r="A18" s="147" t="str">
        <x:v>Base</x:v>
      </x:c>
      <x:c r="B18" s="148" t="str">
        <x:v>Most likely operating and finance assumptions.</x:v>
      </x:c>
      <x:c r="C18" s="148" t="str">
        <x:v>Base</x:v>
      </x:c>
      <x:c r="D18" s="149" t="str">
        <x:v>What must be true for the base case to hold?</x:v>
      </x:c>
    </x:row>
    <x:row r="19">
      <x:c r="A19" s="150" t="str">
        <x:v>Upside</x:v>
      </x:c>
      <x:c r="B19" s="151" t="str">
        <x:v>Stronger performance, faster conversion, or lower risk/cost.</x:v>
      </x:c>
      <x:c r="C19" s="151" t="str">
        <x:v>Upside</x:v>
      </x:c>
      <x:c r="D19" s="152" t="str">
        <x:v>Which actions unlock the upside?</x:v>
      </x:c>
    </x:row>
    <x:row r="20">
      <x:c r="A20" s="153" t="str">
        <x:v>Downside</x:v>
      </x:c>
      <x:c r="B20" s="154" t="str">
        <x:v>Slower activity, weaker conversion, or higher risk/cost.</x:v>
      </x:c>
      <x:c r="C20" s="154" t="str">
        <x:v>Downside</x:v>
      </x:c>
      <x:c r="D20" s="155" t="str">
        <x:v>What breaks first and who acts?</x:v>
      </x:c>
    </x:row>
    <x:row r="22">
      <x:c r="A22" s="42" t="str">
        <x:v>Sensitivity outputs are analytical ranges, not forecasts or guarantees. Recheck directionality, boundaries, source quality, and the business narrative behind each driver before decision use.</x:v>
      </x:c>
      <x:c r="B22" s="43" t="str">
        <x:v>Sensitivity outputs are analytical ranges, not forecasts or guarantees. Recheck directionality, boundaries, source quality, and the business narrative behind each driver before decision use.</x:v>
      </x:c>
      <x:c r="C22" s="43" t="str">
        <x:v>Sensitivity outputs are analytical ranges, not forecasts or guarantees. Recheck directionality, boundaries, source quality, and the business narrative behind each driver before decision use.</x:v>
      </x:c>
      <x:c r="D22" s="43" t="str">
        <x:v>Sensitivity outputs are analytical ranges, not forecasts or guarantees. Recheck directionality, boundaries, source quality, and the business narrative behind each driver before decision use.</x:v>
      </x:c>
      <x:c r="E22" s="43" t="str">
        <x:v>Sensitivity outputs are analytical ranges, not forecasts or guarantees. Recheck directionality, boundaries, source quality, and the business narrative behind each driver before decision use.</x:v>
      </x:c>
      <x:c r="F22" s="43" t="str">
        <x:v>Sensitivity outputs are analytical ranges, not forecasts or guarantees. Recheck directionality, boundaries, source quality, and the business narrative behind each driver before decision use.</x:v>
      </x:c>
      <x:c r="G22" s="43" t="str">
        <x:v>Sensitivity outputs are analytical ranges, not forecasts or guarantees. Recheck directionality, boundaries, source quality, and the business narrative behind each driver before decision use.</x:v>
      </x:c>
      <x:c r="H22" s="43" t="str">
        <x:v>Sensitivity outputs are analytical ranges, not forecasts or guarantees. Recheck directionality, boundaries, source quality, and the business narrative behind each driver before decision use.</x:v>
      </x:c>
      <x:c r="I22" s="43" t="str">
        <x:v>Sensitivity outputs are analytical ranges, not forecasts or guarantees. Recheck directionality, boundaries, source quality, and the business narrative behind each driver before decision use.</x:v>
      </x:c>
      <x:c r="J22" s="44" t="str">
        <x:v>Sensitivity outputs are analytical ranges, not forecasts or guarantees. Recheck directionality, boundaries, source quality, and the business narrative behind each driver before decision use.</x:v>
      </x:c>
    </x:row>
    <x:row r="23">
      <x:c r="A23" s="45" t="str">
        <x:v>Sensitivity outputs are analytical ranges, not forecasts or guarantees. Recheck directionality, boundaries, source quality, and the business narrative behind each driver before decision use.</x:v>
      </x:c>
      <x:c r="B23" s="46" t="str">
        <x:v>Sensitivity outputs are analytical ranges, not forecasts or guarantees. Recheck directionality, boundaries, source quality, and the business narrative behind each driver before decision use.</x:v>
      </x:c>
      <x:c r="C23" s="46" t="str">
        <x:v>Sensitivity outputs are analytical ranges, not forecasts or guarantees. Recheck directionality, boundaries, source quality, and the business narrative behind each driver before decision use.</x:v>
      </x:c>
      <x:c r="D23" s="46" t="str">
        <x:v>Sensitivity outputs are analytical ranges, not forecasts or guarantees. Recheck directionality, boundaries, source quality, and the business narrative behind each driver before decision use.</x:v>
      </x:c>
      <x:c r="E23" s="46" t="str">
        <x:v>Sensitivity outputs are analytical ranges, not forecasts or guarantees. Recheck directionality, boundaries, source quality, and the business narrative behind each driver before decision use.</x:v>
      </x:c>
      <x:c r="F23" s="46" t="str">
        <x:v>Sensitivity outputs are analytical ranges, not forecasts or guarantees. Recheck directionality, boundaries, source quality, and the business narrative behind each driver before decision use.</x:v>
      </x:c>
      <x:c r="G23" s="46" t="str">
        <x:v>Sensitivity outputs are analytical ranges, not forecasts or guarantees. Recheck directionality, boundaries, source quality, and the business narrative behind each driver before decision use.</x:v>
      </x:c>
      <x:c r="H23" s="46" t="str">
        <x:v>Sensitivity outputs are analytical ranges, not forecasts or guarantees. Recheck directionality, boundaries, source quality, and the business narrative behind each driver before decision use.</x:v>
      </x:c>
      <x:c r="I23" s="46" t="str">
        <x:v>Sensitivity outputs are analytical ranges, not forecasts or guarantees. Recheck directionality, boundaries, source quality, and the business narrative behind each driver before decision use.</x:v>
      </x:c>
      <x:c r="J23" s="47" t="str">
        <x:v>Sensitivity outputs are analytical ranges, not forecasts or guarantees. Recheck directionality, boundaries, source quality, and the business narrative behind each driver before decision use.</x:v>
      </x:c>
    </x:row>
    <x:row r="24">
      <x:c r="A24" s="48" t="str">
        <x:v>Sensitivity outputs are analytical ranges, not forecasts or guarantees. Recheck directionality, boundaries, source quality, and the business narrative behind each driver before decision use.</x:v>
      </x:c>
      <x:c r="B24" s="49" t="str">
        <x:v>Sensitivity outputs are analytical ranges, not forecasts or guarantees. Recheck directionality, boundaries, source quality, and the business narrative behind each driver before decision use.</x:v>
      </x:c>
      <x:c r="C24" s="49" t="str">
        <x:v>Sensitivity outputs are analytical ranges, not forecasts or guarantees. Recheck directionality, boundaries, source quality, and the business narrative behind each driver before decision use.</x:v>
      </x:c>
      <x:c r="D24" s="49" t="str">
        <x:v>Sensitivity outputs are analytical ranges, not forecasts or guarantees. Recheck directionality, boundaries, source quality, and the business narrative behind each driver before decision use.</x:v>
      </x:c>
      <x:c r="E24" s="49" t="str">
        <x:v>Sensitivity outputs are analytical ranges, not forecasts or guarantees. Recheck directionality, boundaries, source quality, and the business narrative behind each driver before decision use.</x:v>
      </x:c>
      <x:c r="F24" s="49" t="str">
        <x:v>Sensitivity outputs are analytical ranges, not forecasts or guarantees. Recheck directionality, boundaries, source quality, and the business narrative behind each driver before decision use.</x:v>
      </x:c>
      <x:c r="G24" s="49" t="str">
        <x:v>Sensitivity outputs are analytical ranges, not forecasts or guarantees. Recheck directionality, boundaries, source quality, and the business narrative behind each driver before decision use.</x:v>
      </x:c>
      <x:c r="H24" s="49" t="str">
        <x:v>Sensitivity outputs are analytical ranges, not forecasts or guarantees. Recheck directionality, boundaries, source quality, and the business narrative behind each driver before decision use.</x:v>
      </x:c>
      <x:c r="I24" s="49" t="str">
        <x:v>Sensitivity outputs are analytical ranges, not forecasts or guarantees. Recheck directionality, boundaries, source quality, and the business narrative behind each driver before decision use.</x:v>
      </x:c>
      <x:c r="J24" s="50" t="str">
        <x:v>Sensitivity outputs are analytical ranges, not forecasts or guarantees. Recheck directionality, boundaries, source quality, and the business narrative behind each driver before decision use.</x:v>
      </x:c>
    </x:row>
    <x:row r="26">
      <x:c r="A26" s="53" t="str">
        <x:v>TDAT Model Library  |  Trust builds the brand. Insight builds the decision.</x:v>
      </x:c>
      <x:c r="B26" s="53" t="str">
        <x:v>TDAT Model Library  |  Trust builds the brand. Insight builds the decision.</x:v>
      </x:c>
      <x:c r="C26" s="53" t="str">
        <x:v>TDAT Model Library  |  Trust builds the brand. Insight builds the decision.</x:v>
      </x:c>
      <x:c r="D26" s="53" t="str">
        <x:v>TDAT Model Library  |  Trust builds the brand. Insight builds the decision.</x:v>
      </x:c>
      <x:c r="E26" s="53" t="str">
        <x:v>TDAT Model Library  |  Trust builds the brand. Insight builds the decision.</x:v>
      </x:c>
      <x:c r="F26" s="53" t="str">
        <x:v>TDAT Model Library  |  Trust builds the brand. Insight builds the decision.</x:v>
      </x:c>
      <x:c r="G26" s="53" t="str">
        <x:v>TDAT Model Library  |  Trust builds the brand. Insight builds the decision.</x:v>
      </x:c>
      <x:c r="H26" s="53" t="str">
        <x:v>TDAT Model Library  |  Trust builds the brand. Insight builds the decision.</x:v>
      </x:c>
      <x:c r="I26" s="53" t="str">
        <x:v>TDAT Model Library  |  Trust builds the brand. Insight builds the decision.</x:v>
      </x:c>
      <x:c r="J26" s="53" t="str">
        <x:v>TDAT Model Library  |  Trust builds the brand. Insight builds the decision.</x:v>
      </x:c>
    </x:row>
  </x:sheetData>
  <x:mergeCells>
    <x:mergeCell ref="A1:J1"/>
    <x:mergeCell ref="A2:J2"/>
    <x:mergeCell ref="A5:J5"/>
    <x:mergeCell ref="A16:J16"/>
    <x:mergeCell ref="A22:J24"/>
    <x:mergeCell ref="A26:J26"/>
  </x:mergeCells>
  <x:conditionalFormatting sqref="B8:F12">
    <x:cfRule type="colorScale" priority="1">
      <x:colorScale>
        <x:cfvo type="min"/>
        <x:cfvo type="percentile" val="50"/>
        <x:cfvo type="max"/>
        <x:color rgb="FFFCE8E6"/>
        <x:color rgb="FFFFF4DB"/>
        <x:color rgb="FFE5F6F3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EXECUTIVE SUMMARY</x:v>
      </x:c>
      <x:c r="B1" s="3" t="str">
        <x:v>EXECUTIVE SUMMARY</x:v>
      </x:c>
      <x:c r="C1" s="3" t="str">
        <x:v>EXECUTIVE SUMMARY</x:v>
      </x:c>
      <x:c r="D1" s="3" t="str">
        <x:v>EXECUTIVE SUMMARY</x:v>
      </x:c>
      <x:c r="E1" s="3" t="str">
        <x:v>EXECUTIVE SUMMARY</x:v>
      </x:c>
      <x:c r="F1" s="3" t="str">
        <x:v>EXECUTIVE SUMMARY</x:v>
      </x:c>
      <x:c r="G1" s="3" t="str">
        <x:v>EXECUTIVE SUMMARY</x:v>
      </x:c>
      <x:c r="H1" s="3" t="str">
        <x:v>EXECUTIVE SUMMARY</x:v>
      </x:c>
      <x:c r="I1" s="3" t="str">
        <x:v>EXECUTIVE SUMMARY</x:v>
      </x:c>
      <x:c r="J1" s="3" t="str">
        <x:v>EXECUTIVE SUMMARY</x:v>
      </x:c>
    </x:row>
    <x:row r="2" ht="24" customHeight="1">
      <x:c r="A2" s="6" t="str">
        <x:v>Capex / Business Case  |  Decision outputs, trend, breakpoints, and action prompts</x:v>
      </x:c>
      <x:c r="B2" s="6" t="str">
        <x:v>Capex / Business Case  |  Decision outputs, trend, breakpoints, and action prompts</x:v>
      </x:c>
      <x:c r="C2" s="6" t="str">
        <x:v>Capex / Business Case  |  Decision outputs, trend, breakpoints, and action prompts</x:v>
      </x:c>
      <x:c r="D2" s="6" t="str">
        <x:v>Capex / Business Case  |  Decision outputs, trend, breakpoints, and action prompts</x:v>
      </x:c>
      <x:c r="E2" s="6" t="str">
        <x:v>Capex / Business Case  |  Decision outputs, trend, breakpoints, and action prompts</x:v>
      </x:c>
      <x:c r="F2" s="6" t="str">
        <x:v>Capex / Business Case  |  Decision outputs, trend, breakpoints, and action prompts</x:v>
      </x:c>
      <x:c r="G2" s="6" t="str">
        <x:v>Capex / Business Case  |  Decision outputs, trend, breakpoints, and action prompts</x:v>
      </x:c>
      <x:c r="H2" s="6" t="str">
        <x:v>Capex / Business Case  |  Decision outputs, trend, breakpoints, and action prompts</x:v>
      </x:c>
      <x:c r="I2" s="6" t="str">
        <x:v>Capex / Business Case  |  Decision outputs, trend, breakpoints, and action prompts</x:v>
      </x:c>
      <x:c r="J2" s="6" t="str">
        <x:v>Capex / Business Case  |  Decision outputs, trend, breakpoints, and action prompts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157" t="str">
        <x:v>NPV</x:v>
      </x:c>
      <x:c r="B5" s="157" t="str">
        <x:v>NPV</x:v>
      </x:c>
      <x:c r="C5" s="157" t="str">
        <x:v>NPV</x:v>
      </x:c>
      <x:c r="D5" s="157" t="str">
        <x:v>TOTAL CAPEX</x:v>
      </x:c>
      <x:c r="E5" s="157" t="str">
        <x:v>TOTAL CAPEX</x:v>
      </x:c>
      <x:c r="F5" s="157" t="str">
        <x:v>TOTAL CAPEX</x:v>
      </x:c>
      <x:c r="G5" s="157" t="str">
        <x:v>YEAR-ONE BENEFIT</x:v>
      </x:c>
      <x:c r="H5" s="157" t="str">
        <x:v>YEAR-ONE BENEFIT</x:v>
      </x:c>
      <x:c r="I5" s="157" t="str">
        <x:v>YEAR-ONE BENEFIT</x:v>
      </x:c>
      <x:c r="J5" s="173" t="str">
        <x:v>MODEL STATUS</x:v>
      </x:c>
    </x:row>
    <x:row r="6">
      <x:c r="A6" s="161" t="n">
        <x:f>'Incremental Cash Flow'!M$21</x:f>
        <x:v>-87.65937071008547</x:v>
      </x:c>
      <x:c r="B6" s="161"/>
      <x:c r="C6" s="161"/>
      <x:c r="D6" s="165" t="n">
        <x:f>SUM('Project Inputs'!B$6:'Project Inputs'!M$6)</x:f>
        <x:v>300</x:v>
      </x:c>
      <x:c r="E6" s="165"/>
      <x:c r="F6" s="165"/>
      <x:c r="G6" s="161" t="n">
        <x:f>SUM('Incremental Cash Flow'!B6:M6)</x:f>
        <x:v>490.5</x:v>
      </x:c>
      <x:c r="H6" s="161"/>
      <x:c r="I6" s="161"/>
      <x:c r="J6" s="177" t="str">
        <x:f>'Checks'!$B$5</x:f>
        <x:v>PASS</x:v>
      </x:c>
    </x:row>
    <x:row r="7">
      <x:c r="A7" s="161"/>
      <x:c r="B7" s="161"/>
      <x:c r="C7" s="161"/>
      <x:c r="D7" s="165"/>
      <x:c r="E7" s="165"/>
      <x:c r="F7" s="165"/>
      <x:c r="G7" s="161"/>
      <x:c r="H7" s="161"/>
      <x:c r="I7" s="161"/>
      <x:c r="J7" s="177"/>
    </x:row>
    <x:row r="9">
      <x:c r="A9" s="157" t="str">
        <x:v>YEAR-ONE EBITDA</x:v>
      </x:c>
      <x:c r="B9" s="157" t="str">
        <x:v>YEAR-ONE EBITDA</x:v>
      </x:c>
      <x:c r="C9" s="157" t="str">
        <x:v>YEAR-ONE EBITDA</x:v>
      </x:c>
      <x:c r="D9" s="157" t="str">
        <x:v>CLOSING CUMULATIVE CASH</x:v>
      </x:c>
      <x:c r="E9" s="157" t="str">
        <x:v>CLOSING CUMULATIVE CASH</x:v>
      </x:c>
      <x:c r="F9" s="157" t="str">
        <x:v>CLOSING CUMULATIVE CASH</x:v>
      </x:c>
      <x:c r="G9" s="157" t="str">
        <x:v>BENEFIT / CAPEX</x:v>
      </x:c>
      <x:c r="H9" s="157" t="str">
        <x:v>BENEFIT / CAPEX</x:v>
      </x:c>
      <x:c r="I9" s="157" t="str">
        <x:v>BENEFIT / CAPEX</x:v>
      </x:c>
      <x:c r="J9" s="173" t="str">
        <x:v>SCENARIO</x:v>
      </x:c>
    </x:row>
    <x:row r="10">
      <x:c r="A10" s="161" t="n">
        <x:f>SUM('Incremental Cash Flow'!B9:M9)</x:f>
        <x:v>252.54</x:v>
      </x:c>
      <x:c r="B10" s="161"/>
      <x:c r="C10" s="161"/>
      <x:c r="D10" s="161" t="n">
        <x:f>'Incremental Cash Flow'!M$22</x:f>
        <x:v>-72.76799999999996</x:v>
      </x:c>
      <x:c r="E10" s="161"/>
      <x:c r="F10" s="161"/>
      <x:c r="G10" s="171" t="n">
        <x:f>SUM('Incremental Cash Flow'!B6:M6)/SUM('Project Inputs'!B$6:'Project Inputs'!M$6)</x:f>
        <x:v>1.635</x:v>
      </x:c>
      <x:c r="H10" s="171"/>
      <x:c r="I10" s="171"/>
      <x:c r="J10" s="180" t="str">
        <x:f>'Assumptions'!$B$3</x:f>
        <x:v>Base</x:v>
      </x:c>
    </x:row>
    <x:row r="11">
      <x:c r="A11" s="161"/>
      <x:c r="B11" s="161"/>
      <x:c r="C11" s="161"/>
      <x:c r="D11" s="161"/>
      <x:c r="E11" s="161"/>
      <x:c r="F11" s="161"/>
      <x:c r="G11" s="171"/>
      <x:c r="H11" s="171"/>
      <x:c r="I11" s="171"/>
      <x:c r="J11" s="180"/>
    </x:row>
    <x:row r="14" ht="22" customHeight="1">
      <x:c r="A14" s="9" t="str">
        <x:v>TREND</x:v>
      </x:c>
      <x:c r="B14" s="9" t="str">
        <x:v>TREND</x:v>
      </x:c>
      <x:c r="C14" s="9" t="str">
        <x:v>TREND</x:v>
      </x:c>
      <x:c r="D14" s="9" t="str">
        <x:v>TREND</x:v>
      </x:c>
      <x:c r="E14" s="9" t="str">
        <x:v>TREND</x:v>
      </x:c>
    </x:row>
    <x:row r="15" ht="24" customHeight="1">
      <x:c r="A15" s="66" t="str">
        <x:v>Period</x:v>
      </x:c>
      <x:c r="B15" s="67" t="str">
        <x:v>Incremental free cash flow</x:v>
      </x:c>
      <x:c r="C15" s="68" t="str">
        <x:v>Cumulative nominal cash flow</x:v>
      </x:c>
    </x:row>
    <x:row r="16">
      <x:c r="A16" t="str">
        <x:v>Jan</x:v>
      </x:c>
      <x:c r="B16" s="182" t="n">
        <x:f>'Incremental Cash Flow'!B$18</x:f>
        <x:v>-182</x:v>
      </x:c>
      <x:c r="C16" s="182" t="n">
        <x:f>'Incremental Cash Flow'!B$22</x:f>
        <x:v>-182</x:v>
      </x:c>
    </x:row>
    <x:row r="17">
      <x:c r="A17" t="str">
        <x:v>Feb</x:v>
      </x:c>
      <x:c r="B17" s="182" t="n">
        <x:f>'Incremental Cash Flow'!C$18</x:f>
        <x:v>-92</x:v>
      </x:c>
      <x:c r="C17" s="182" t="n">
        <x:f>'Incremental Cash Flow'!C$22</x:f>
        <x:v>-274</x:v>
      </x:c>
    </x:row>
    <x:row r="18">
      <x:c r="A18" t="str">
        <x:v>Mar</x:v>
      </x:c>
      <x:c r="B18" s="182" t="n">
        <x:f>'Incremental Cash Flow'!D$18</x:f>
        <x:v>-28.208</x:v>
      </x:c>
      <x:c r="C18" s="182" t="n">
        <x:f>'Incremental Cash Flow'!D$22</x:f>
        <x:v>-302.20799999999997</x:v>
      </x:c>
    </x:row>
    <x:row r="19">
      <x:c r="A19" t="str">
        <x:v>Apr</x:v>
      </x:c>
      <x:c r="B19" s="182" t="n">
        <x:f>'Incremental Cash Flow'!E$18</x:f>
        <x:v>7.736000000000001</x:v>
      </x:c>
      <x:c r="C19" s="182" t="n">
        <x:f>'Incremental Cash Flow'!E$22</x:f>
        <x:v>-294.472</x:v>
      </x:c>
    </x:row>
    <x:row r="20">
      <x:c r="A20" t="str">
        <x:v>May</x:v>
      </x:c>
      <x:c r="B20" s="182" t="n">
        <x:f>'Incremental Cash Flow'!F$18</x:f>
        <x:v>13.631999999999998</x:v>
      </x:c>
      <x:c r="C20" s="182" t="n">
        <x:f>'Incremental Cash Flow'!F$22</x:f>
        <x:v>-280.84</x:v>
      </x:c>
    </x:row>
    <x:row r="21">
      <x:c r="A21" t="str">
        <x:v>Jun</x:v>
      </x:c>
      <x:c r="B21" s="182" t="n">
        <x:f>'Incremental Cash Flow'!G$18</x:f>
        <x:v>19.528</x:v>
      </x:c>
      <x:c r="C21" s="182" t="n">
        <x:f>'Incremental Cash Flow'!G$22</x:f>
        <x:v>-261.31199999999995</x:v>
      </x:c>
    </x:row>
    <x:row r="22">
      <x:c r="A22" t="str">
        <x:v>Jul</x:v>
      </x:c>
      <x:c r="B22" s="182" t="n">
        <x:f>'Incremental Cash Flow'!H$18</x:f>
        <x:v>21.976</x:v>
      </x:c>
      <x:c r="C22" s="182" t="n">
        <x:f>'Incremental Cash Flow'!H$22</x:f>
        <x:v>-239.33599999999996</x:v>
      </x:c>
    </x:row>
    <x:row r="23">
      <x:c r="A23" t="str">
        <x:v>Aug</x:v>
      </x:c>
      <x:c r="B23" s="182" t="n">
        <x:f>'Incremental Cash Flow'!I$18</x:f>
        <x:v>23.9552</x:v>
      </x:c>
      <x:c r="C23" s="182" t="n">
        <x:f>'Incremental Cash Flow'!I$22</x:f>
        <x:v>-215.38079999999997</x:v>
      </x:c>
    </x:row>
    <x:row r="24">
      <x:c r="A24" t="str">
        <x:v>Sep</x:v>
      </x:c>
      <x:c r="B24" s="182" t="n">
        <x:f>'Incremental Cash Flow'!J$18</x:f>
        <x:v>24.9344</x:v>
      </x:c>
      <x:c r="C24" s="182" t="n">
        <x:f>'Incremental Cash Flow'!J$22</x:f>
        <x:v>-190.44639999999995</x:v>
      </x:c>
    </x:row>
    <x:row r="25">
      <x:c r="A25" t="str">
        <x:v>Oct</x:v>
      </x:c>
      <x:c r="B25" s="182" t="n">
        <x:f>'Incremental Cash Flow'!K$18</x:f>
        <x:v>25.913599999999995</x:v>
      </x:c>
      <x:c r="C25" s="182" t="n">
        <x:f>'Incremental Cash Flow'!K$22</x:f>
        <x:v>-164.53279999999995</x:v>
      </x:c>
    </x:row>
    <x:row r="26">
      <x:c r="A26" t="str">
        <x:v>Nov</x:v>
      </x:c>
      <x:c r="B26" s="182" t="n">
        <x:f>'Incremental Cash Flow'!L$18</x:f>
        <x:v>26.8928</x:v>
      </x:c>
      <x:c r="C26" s="182" t="n">
        <x:f>'Incremental Cash Flow'!L$22</x:f>
        <x:v>-137.63999999999996</x:v>
      </x:c>
    </x:row>
    <x:row r="27">
      <x:c r="A27" t="str">
        <x:v>Dec</x:v>
      </x:c>
      <x:c r="B27" s="182" t="n">
        <x:f>'Incremental Cash Flow'!M$18</x:f>
        <x:v>64.872</x:v>
      </x:c>
      <x:c r="C27" s="182" t="n">
        <x:f>'Incremental Cash Flow'!M$22</x:f>
        <x:v>-72.76799999999996</x:v>
      </x:c>
    </x:row>
    <x:row r="31" ht="22" customHeight="1">
      <x:c r="A31" s="9" t="str">
        <x:v>DECISION PROMPTS &amp; NEXT ACTIONS</x:v>
      </x:c>
      <x:c r="B31" s="9" t="str">
        <x:v>DECISION PROMPTS &amp; NEXT ACTIONS</x:v>
      </x:c>
      <x:c r="C31" s="9" t="str">
        <x:v>DECISION PROMPTS &amp; NEXT ACTIONS</x:v>
      </x:c>
      <x:c r="D31" s="9" t="str">
        <x:v>DECISION PROMPTS &amp; NEXT ACTIONS</x:v>
      </x:c>
      <x:c r="E31" s="9" t="str">
        <x:v>DECISION PROMPTS &amp; NEXT ACTIONS</x:v>
      </x:c>
      <x:c r="F31" s="9" t="str">
        <x:v>DECISION PROMPTS &amp; NEXT ACTIONS</x:v>
      </x:c>
      <x:c r="G31" s="9" t="str">
        <x:v>DECISION PROMPTS &amp; NEXT ACTIONS</x:v>
      </x:c>
      <x:c r="H31" s="9" t="str">
        <x:v>DECISION PROMPTS &amp; NEXT ACTIONS</x:v>
      </x:c>
      <x:c r="I31" s="9" t="str">
        <x:v>DECISION PROMPTS &amp; NEXT ACTIONS</x:v>
      </x:c>
      <x:c r="J31" s="9" t="str">
        <x:v>DECISION PROMPTS &amp; NEXT ACTIONS</x:v>
      </x:c>
    </x:row>
    <x:row r="32" ht="28" customHeight="1">
      <x:c r="A32" s="15" t="str">
        <x:v>Decision</x:v>
      </x:c>
      <x:c r="B32" s="17" t="str">
        <x:v>Should management approve, defer, resize, or reject the investment?</x:v>
      </x:c>
      <x:c r="C32" s="17" t="str"/>
      <x:c r="D32" s="17" t="str"/>
      <x:c r="E32" s="17" t="str"/>
      <x:c r="F32" s="17" t="str"/>
      <x:c r="G32" s="17" t="str"/>
      <x:c r="H32" s="184" t="str">
        <x:v>Decision owner</x:v>
      </x:c>
      <x:c r="I32" s="184" t="str"/>
      <x:c r="J32" s="184" t="str"/>
    </x:row>
    <x:row r="33" ht="28" customHeight="1">
      <x:c r="A33" s="15" t="str">
        <x:v>Driver</x:v>
      </x:c>
      <x:c r="B33" s="17" t="str">
        <x:v>Which assumption moves the answer most, and who owns it?</x:v>
      </x:c>
      <x:c r="C33" s="17" t="str"/>
      <x:c r="D33" s="17" t="str"/>
      <x:c r="E33" s="17" t="str"/>
      <x:c r="F33" s="17" t="str"/>
      <x:c r="G33" s="17" t="str"/>
      <x:c r="H33" s="184" t="str">
        <x:v>Finance / business owner</x:v>
      </x:c>
      <x:c r="I33" s="184" t="str"/>
      <x:c r="J33" s="184" t="str"/>
    </x:row>
    <x:row r="34" ht="28" customHeight="1">
      <x:c r="A34" s="15" t="str">
        <x:v>Downside</x:v>
      </x:c>
      <x:c r="B34" s="17" t="str">
        <x:v>What breaks first under Downside, and what action is triggered?</x:v>
      </x:c>
      <x:c r="C34" s="17" t="str"/>
      <x:c r="D34" s="17" t="str"/>
      <x:c r="E34" s="17" t="str"/>
      <x:c r="F34" s="17" t="str"/>
      <x:c r="G34" s="17" t="str"/>
      <x:c r="H34" s="184" t="str">
        <x:v>Finance leader</x:v>
      </x:c>
      <x:c r="I34" s="184" t="str"/>
      <x:c r="J34" s="184" t="str"/>
    </x:row>
    <x:row r="35" ht="28" customHeight="1">
      <x:c r="A35" s="15" t="str">
        <x:v>Source</x:v>
      </x:c>
      <x:c r="B35" s="17" t="str">
        <x:v>Are every material source, date, unit, and definition approved?</x:v>
      </x:c>
      <x:c r="C35" s="17" t="str"/>
      <x:c r="D35" s="17" t="str"/>
      <x:c r="E35" s="17" t="str"/>
      <x:c r="F35" s="17" t="str"/>
      <x:c r="G35" s="17" t="str"/>
      <x:c r="H35" s="184" t="str">
        <x:v>Model owner</x:v>
      </x:c>
      <x:c r="I35" s="184" t="str"/>
      <x:c r="J35" s="184" t="str"/>
    </x:row>
    <x:row r="36" ht="28" customHeight="1">
      <x:c r="A36" s="15" t="str">
        <x:v>Control</x:v>
      </x:c>
      <x:c r="B36" s="17" t="str">
        <x:v>Do all published checks pass after the latest input change?</x:v>
      </x:c>
      <x:c r="C36" s="17" t="str"/>
      <x:c r="D36" s="17" t="str"/>
      <x:c r="E36" s="17" t="str"/>
      <x:c r="F36" s="17" t="str"/>
      <x:c r="G36" s="17" t="str"/>
      <x:c r="H36" s="184" t="str">
        <x:v>Reviewer</x:v>
      </x:c>
      <x:c r="I36" s="184" t="str"/>
      <x:c r="J36" s="184" t="str"/>
    </x:row>
    <x:row r="37" ht="28" customHeight="1">
      <x:c r="A37" s="15" t="str">
        <x:v>Action</x:v>
      </x:c>
      <x:c r="B37" s="17" t="str">
        <x:v>What is the next action, owner, timing, and expected protection or upside?</x:v>
      </x:c>
      <x:c r="C37" s="17" t="str"/>
      <x:c r="D37" s="17" t="str"/>
      <x:c r="E37" s="17" t="str"/>
      <x:c r="F37" s="17" t="str"/>
      <x:c r="G37" s="17" t="str"/>
      <x:c r="H37" s="184" t="str">
        <x:v>Action owner</x:v>
      </x:c>
      <x:c r="I37" s="184" t="str"/>
      <x:c r="J37" s="184" t="str"/>
    </x:row>
    <x:row r="39">
      <x:c r="A39" s="42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B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C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D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E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F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G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H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I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J39" s="44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</x:row>
    <x:row r="40">
      <x:c r="A40" s="45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B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C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D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E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F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G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H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I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J40" s="47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</x:row>
    <x:row r="41">
      <x:c r="A41" s="48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B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C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D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E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F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G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H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I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J41" s="50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</x:row>
    <x:row r="43">
      <x:c r="A43" s="53" t="str">
        <x:v>TDAT Model Library  |  Trust builds the brand. Insight builds the decision.</x:v>
      </x:c>
      <x:c r="B43" s="53" t="str">
        <x:v>TDAT Model Library  |  Trust builds the brand. Insight builds the decision.</x:v>
      </x:c>
      <x:c r="C43" s="53" t="str">
        <x:v>TDAT Model Library  |  Trust builds the brand. Insight builds the decision.</x:v>
      </x:c>
      <x:c r="D43" s="53" t="str">
        <x:v>TDAT Model Library  |  Trust builds the brand. Insight builds the decision.</x:v>
      </x:c>
      <x:c r="E43" s="53" t="str">
        <x:v>TDAT Model Library  |  Trust builds the brand. Insight builds the decision.</x:v>
      </x:c>
      <x:c r="F43" s="53" t="str">
        <x:v>TDAT Model Library  |  Trust builds the brand. Insight builds the decision.</x:v>
      </x:c>
      <x:c r="G43" s="53" t="str">
        <x:v>TDAT Model Library  |  Trust builds the brand. Insight builds the decision.</x:v>
      </x:c>
      <x:c r="H43" s="53" t="str">
        <x:v>TDAT Model Library  |  Trust builds the brand. Insight builds the decision.</x:v>
      </x:c>
      <x:c r="I43" s="53" t="str">
        <x:v>TDAT Model Library  |  Trust builds the brand. Insight builds the decision.</x:v>
      </x:c>
      <x:c r="J43" s="53" t="str">
        <x:v>TDAT Model Library  |  Trust builds the brand. Insight builds the decision.</x:v>
      </x:c>
    </x:row>
  </x:sheetData>
  <x:mergeCells>
    <x:mergeCell ref="A1:J1"/>
    <x:mergeCell ref="A2:J2"/>
    <x:mergeCell ref="A5:C5"/>
    <x:mergeCell ref="A6:C7"/>
    <x:mergeCell ref="D5:F5"/>
    <x:mergeCell ref="D6:F7"/>
    <x:mergeCell ref="G5:I5"/>
    <x:mergeCell ref="G6:I7"/>
    <x:mergeCell ref="A9:C9"/>
    <x:mergeCell ref="A10:C11"/>
    <x:mergeCell ref="D9:F9"/>
    <x:mergeCell ref="D10:F11"/>
    <x:mergeCell ref="G9:I9"/>
    <x:mergeCell ref="G10:I11"/>
    <x:mergeCell ref="J6:J7"/>
    <x:mergeCell ref="J10:J11"/>
    <x:mergeCell ref="A14:E14"/>
    <x:mergeCell ref="A31:J31"/>
    <x:mergeCell ref="B32:G32"/>
    <x:mergeCell ref="B33:G33"/>
    <x:mergeCell ref="B34:G34"/>
    <x:mergeCell ref="B35:G35"/>
    <x:mergeCell ref="B36:G36"/>
    <x:mergeCell ref="B37:G37"/>
    <x:mergeCell ref="H32:J32"/>
    <x:mergeCell ref="H33:J33"/>
    <x:mergeCell ref="H34:J34"/>
    <x:mergeCell ref="H35:J35"/>
    <x:mergeCell ref="H36:J36"/>
    <x:mergeCell ref="H37:J37"/>
    <x:mergeCell ref="A39:J41"/>
    <x:mergeCell ref="A43:J43"/>
  </x:mergeCells>
  <x:pageMargins left="0.7" right="0.7" top="0.75" bottom="0.75" header="0.3" footer="0.3"/>
  <x:drawing xmlns:r="http://schemas.openxmlformats.org/officeDocument/2006/relationships" r:id="R1abbee0c85b04b61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  <x:col min="7" max="7" width="13" hidden="0" customWidth="1"/>
    <x:col min="8" max="8" width="30" hidden="0" customWidth="1"/>
    <x:col min="9" max="9" width="42" hidden="0" customWidth="1"/>
  </x:cols>
  <x:sheetData>
    <x:row r="1" ht="34" customHeight="1">
      <x:c r="A1" s="3" t="str">
        <x:v>MODEL CHECKS</x:v>
      </x:c>
      <x:c r="B1" s="3" t="str">
        <x:v>MODEL CHECKS</x:v>
      </x:c>
      <x:c r="C1" s="3" t="str">
        <x:v>MODEL CHECKS</x:v>
      </x:c>
      <x:c r="D1" s="3" t="str">
        <x:v>MODEL CHECKS</x:v>
      </x:c>
      <x:c r="E1" s="3" t="str">
        <x:v>MODEL CHECKS</x:v>
      </x:c>
      <x:c r="F1" s="3" t="str">
        <x:v>MODEL CHECKS</x:v>
      </x:c>
      <x:c r="G1" s="3" t="str">
        <x:v>MODEL CHECKS</x:v>
      </x:c>
      <x:c r="H1" s="3" t="str">
        <x:v>MODEL CHECKS</x:v>
      </x:c>
      <x:c r="I1" s="3" t="str">
        <x:v>MODEL CHECKS</x:v>
      </x:c>
    </x:row>
    <x:row r="2" ht="24" customHeight="1">
      <x:c r="A2" s="6" t="str">
        <x:v>Capex / Business Case  |  One assertion per row — investigate every FAIL</x:v>
      </x:c>
      <x:c r="B2" s="6" t="str">
        <x:v>Capex / Business Case  |  One assertion per row — investigate every FAIL</x:v>
      </x:c>
      <x:c r="C2" s="6" t="str">
        <x:v>Capex / Business Case  |  One assertion per row — investigate every FAIL</x:v>
      </x:c>
      <x:c r="D2" s="6" t="str">
        <x:v>Capex / Business Case  |  One assertion per row — investigate every FAIL</x:v>
      </x:c>
      <x:c r="E2" s="6" t="str">
        <x:v>Capex / Business Case  |  One assertion per row — investigate every FAIL</x:v>
      </x:c>
      <x:c r="F2" s="6" t="str">
        <x:v>Capex / Business Case  |  One assertion per row — investigate every FAIL</x:v>
      </x:c>
      <x:c r="G2" s="6" t="str">
        <x:v>Capex / Business Case  |  One assertion per row — investigate every FAIL</x:v>
      </x:c>
      <x:c r="H2" s="6" t="str">
        <x:v>Capex / Business Case  |  One assertion per row — investigate every FAIL</x:v>
      </x:c>
      <x:c r="I2" s="6" t="str">
        <x:v>Capex / Business Case  |  One assertion per row — investigate every FAIL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</x:row>
    <x:row r="5">
      <x:c r="A5" s="54" t="str">
        <x:v>MODEL STATUS</x:v>
      </x:c>
      <x:c r="B5" s="186" t="str">
        <x:f>IF(COUNTIF(G8:G16,"FAIL")=0,"PASS","FAIL")</x:f>
        <x:v>PASS</x:v>
      </x:c>
      <x:c r="C5" s="186"/>
      <x:c r="D5" s="188" t="str">
        <x:v>Published controls: 9. PASS means the listed calculations tie within tolerance; source and decision readiness remain separate.</x:v>
      </x:c>
      <x:c r="E5" s="188" t="str">
        <x:v>Published controls: 9. PASS means the listed calculations tie within tolerance; source and decision readiness remain separate.</x:v>
      </x:c>
      <x:c r="F5" s="188" t="str">
        <x:v>Published controls: 9. PASS means the listed calculations tie within tolerance; source and decision readiness remain separate.</x:v>
      </x:c>
      <x:c r="G5" s="188" t="str">
        <x:v>Published controls: 9. PASS means the listed calculations tie within tolerance; source and decision readiness remain separate.</x:v>
      </x:c>
      <x:c r="H5" s="188" t="str">
        <x:v>Published controls: 9. PASS means the listed calculations tie within tolerance; source and decision readiness remain separate.</x:v>
      </x:c>
      <x:c r="I5" s="188" t="str">
        <x:v>Published controls: 9. PASS means the listed calculations tie within tolerance; source and decision readiness remain separate.</x:v>
      </x:c>
    </x:row>
    <x:row r="7" ht="24" customHeight="1">
      <x:c r="A7" s="66" t="str">
        <x:v>Check</x:v>
      </x:c>
      <x:c r="B7" s="67" t="str">
        <x:v>Period</x:v>
      </x:c>
      <x:c r="C7" s="67" t="str">
        <x:v>Actual</x:v>
      </x:c>
      <x:c r="D7" s="67" t="str">
        <x:v>Expected</x:v>
      </x:c>
      <x:c r="E7" s="67" t="str">
        <x:v>Difference</x:v>
      </x:c>
      <x:c r="F7" s="67" t="str">
        <x:v>Tolerance</x:v>
      </x:c>
      <x:c r="G7" s="67" t="str">
        <x:v>Status</x:v>
      </x:c>
      <x:c r="H7" s="67" t="str">
        <x:v>Where to fix</x:v>
      </x:c>
      <x:c r="I7" s="68" t="str">
        <x:v>Notes</x:v>
      </x:c>
    </x:row>
    <x:row r="8">
      <x:c r="A8" s="197" t="str">
        <x:v>Capex phasing is non-negative</x:v>
      </x:c>
      <x:c r="B8" s="197" t="str">
        <x:v>Model</x:v>
      </x:c>
      <x:c r="C8" s="198" t="n">
        <x:f>MAX(0,-MIN('Project Inputs'!B$6:'Project Inputs'!M$6))</x:f>
        <x:v>0</x:v>
      </x:c>
      <x:c r="D8" s="198" t="n">
        <x:v>0</x:v>
      </x:c>
      <x:c r="E8" s="198" t="n">
        <x:f>C8-D8</x:f>
        <x:v>0</x:v>
      </x:c>
      <x:c r="F8" s="198" t="n">
        <x:v>0.01</x:v>
      </x:c>
      <x:c r="G8" s="199" t="str">
        <x:f>IF(ABS(E8)&lt;=F8,"PASS","FAIL")</x:f>
        <x:v>PASS</x:v>
      </x:c>
      <x:c r="H8" s="200" t="str">
        <x:v>Project Inputs — Capex</x:v>
      </x:c>
      <x:c r="I8" s="200" t="str">
        <x:v>Capex uses must be entered as positive source values.</x:v>
      </x:c>
    </x:row>
    <x:row r="9">
      <x:c r="A9" s="201" t="str">
        <x:v>FCF bridge ties</x:v>
      </x:c>
      <x:c r="B9" s="201" t="str">
        <x:v>Model</x:v>
      </x:c>
      <x:c r="C9" s="202" t="n">
        <x:f>SUM('Incremental Cash Flow'!B18:M18)-SUM('Incremental Cash Flow'!B13:M13)-SUM('Incremental Cash Flow'!B14:M14)-SUM('Incremental Cash Flow'!B15:M15)-SUM('Incremental Cash Flow'!B16:M16)-SUM('Incremental Cash Flow'!B17:M17)</x:f>
        <x:v>5.684341886080802e-14</x:v>
      </x:c>
      <x:c r="D9" s="202" t="n">
        <x:v>0</x:v>
      </x:c>
      <x:c r="E9" s="202" t="n">
        <x:f>C9-D9</x:f>
        <x:v>5.684341886080802e-14</x:v>
      </x:c>
      <x:c r="F9" s="202" t="n">
        <x:v>0.01</x:v>
      </x:c>
      <x:c r="G9" s="203" t="str">
        <x:f>IF(ABS(E9)&lt;=F9,"PASS","FAIL")</x:f>
        <x:v>PASS</x:v>
      </x:c>
      <x:c r="H9" s="204" t="str">
        <x:v>Incremental Cash Flow — FCF</x:v>
      </x:c>
      <x:c r="I9" s="204" t="str">
        <x:v>NOPAT plus D&amp;A less capex and NWC plus salvage.</x:v>
      </x:c>
    </x:row>
    <x:row r="10">
      <x:c r="A10" s="201" t="str">
        <x:v>Discount factors decline over time</x:v>
      </x:c>
      <x:c r="B10" s="201" t="str">
        <x:v>Model</x:v>
      </x:c>
      <x:c r="C10" s="205" t="n">
        <x:f>MAX(0,'Incremental Cash Flow'!M$19-'Incremental Cash Flow'!B$19)</x:f>
        <x:v>0</x:v>
      </x:c>
      <x:c r="D10" s="205" t="n">
        <x:v>0</x:v>
      </x:c>
      <x:c r="E10" s="205" t="n">
        <x:f>C10-D10</x:f>
        <x:v>0</x:v>
      </x:c>
      <x:c r="F10" s="205" t="n">
        <x:v>0.0001</x:v>
      </x:c>
      <x:c r="G10" s="203" t="str">
        <x:f>IF(ABS(E10)&lt;=F10,"PASS","FAIL")</x:f>
        <x:v>PASS</x:v>
      </x:c>
      <x:c r="H10" s="204" t="str">
        <x:v>Incremental Cash Flow — Discount factor</x:v>
      </x:c>
      <x:c r="I10" s="204" t="str">
        <x:v>Later cash flows should not have a higher discount factor.</x:v>
      </x:c>
    </x:row>
    <x:row r="11">
      <x:c r="A11" s="201" t="str">
        <x:v>Working capital release occurs only once</x:v>
      </x:c>
      <x:c r="B11" s="201" t="str">
        <x:v>Model</x:v>
      </x:c>
      <x:c r="C11" s="202" t="n">
        <x:f>MAX(0,-'Project Inputs'!M$9)</x:f>
        <x:v>20</x:v>
      </x:c>
      <x:c r="D11" s="202" t="n">
        <x:v>0</x:v>
      </x:c>
      <x:c r="E11" s="202" t="n">
        <x:f>C11-D11</x:f>
        <x:v>20</x:v>
      </x:c>
      <x:c r="F11" s="202" t="n">
        <x:v>1000000</x:v>
      </x:c>
      <x:c r="G11" s="203" t="str">
        <x:f>IF(ABS(E11)&lt;=F11,"PASS","FAIL")</x:f>
        <x:v>PASS</x:v>
      </x:c>
      <x:c r="H11" s="204" t="str">
        <x:v>Project Inputs — Change in NWC</x:v>
      </x:c>
      <x:c r="I11" s="204" t="str">
        <x:v>Final-period negative source value represents release; validate the amount.</x:v>
      </x:c>
    </x:row>
    <x:row r="12">
      <x:c r="A12" s="201" t="str">
        <x:v>Scenario selector is valid</x:v>
      </x:c>
      <x:c r="B12" s="201" t="str">
        <x:v>Current</x:v>
      </x:c>
      <x:c r="C12" s="206" t="n">
        <x:f>COUNTIF('Assumptions'!$C$5:$E$5,'Assumptions'!$B$3)</x:f>
        <x:v>1</x:v>
      </x:c>
      <x:c r="D12" s="206" t="n">
        <x:v>1</x:v>
      </x:c>
      <x:c r="E12" s="206" t="n">
        <x:f>C12-D12</x:f>
        <x:v>0</x:v>
      </x:c>
      <x:c r="F12" s="206" t="n">
        <x:v>0</x:v>
      </x:c>
      <x:c r="G12" s="203" t="str">
        <x:f>IF(ABS(E12)&lt;=F12,"PASS","FAIL")</x:f>
        <x:v>PASS</x:v>
      </x:c>
      <x:c r="H12" s="204" t="str">
        <x:v>Assumptions B3</x:v>
      </x:c>
      <x:c r="I12" s="204" t="str">
        <x:v>Base, Upside, or Downside only.</x:v>
      </x:c>
    </x:row>
    <x:row r="13">
      <x:c r="A13" s="201" t="str">
        <x:v>Period headers are complete</x:v>
      </x:c>
      <x:c r="B13" s="201" t="str">
        <x:v>All periods</x:v>
      </x:c>
      <x:c r="C13" s="206" t="n">
        <x:f>COUNTA('Project Inputs'!B5:M5)</x:f>
        <x:v>12</x:v>
      </x:c>
      <x:c r="D13" s="206" t="n">
        <x:v>12</x:v>
      </x:c>
      <x:c r="E13" s="206" t="n">
        <x:f>C13-D13</x:f>
        <x:v>0</x:v>
      </x:c>
      <x:c r="F13" s="206" t="n">
        <x:v>0</x:v>
      </x:c>
      <x:c r="G13" s="203" t="str">
        <x:f>IF(ABS(E13)&lt;=F13,"PASS","FAIL")</x:f>
        <x:v>PASS</x:v>
      </x:c>
      <x:c r="H13" s="204" t="str">
        <x:v>Project Inputs row 5</x:v>
      </x:c>
      <x:c r="I13" s="204" t="str">
        <x:v>All modeled periods must have a visible header.</x:v>
      </x:c>
    </x:row>
    <x:row r="14">
      <x:c r="A14" s="201" t="str">
        <x:v>Source input grid is complete</x:v>
      </x:c>
      <x:c r="B14" s="201" t="str">
        <x:v>All periods</x:v>
      </x:c>
      <x:c r="C14" s="206" t="n">
        <x:f>COUNTA('Project Inputs'!B6:M9)</x:f>
        <x:v>48</x:v>
      </x:c>
      <x:c r="D14" s="206" t="n">
        <x:v>48</x:v>
      </x:c>
      <x:c r="E14" s="206" t="n">
        <x:f>C14-D14</x:f>
        <x:v>0</x:v>
      </x:c>
      <x:c r="F14" s="206" t="n">
        <x:v>0</x:v>
      </x:c>
      <x:c r="G14" s="203" t="str">
        <x:f>IF(ABS(E14)&lt;=F14,"PASS","FAIL")</x:f>
        <x:v>PASS</x:v>
      </x:c>
      <x:c r="H14" s="204" t="str">
        <x:v>Project Inputs</x:v>
      </x:c>
      <x:c r="I14" s="204" t="str">
        <x:v>Replace blanks with an approved value or an explicitly documented zero.</x:v>
      </x:c>
    </x:row>
    <x:row r="15">
      <x:c r="A15" s="201" t="str">
        <x:v>Selected assumptions are complete</x:v>
      </x:c>
      <x:c r="B15" s="201" t="str">
        <x:v>Current</x:v>
      </x:c>
      <x:c r="C15" s="206" t="n">
        <x:f>COUNT('Assumptions'!F6:F11)</x:f>
        <x:v>6</x:v>
      </x:c>
      <x:c r="D15" s="206" t="n">
        <x:v>6</x:v>
      </x:c>
      <x:c r="E15" s="206" t="n">
        <x:f>C15-D15</x:f>
        <x:v>0</x:v>
      </x:c>
      <x:c r="F15" s="206" t="n">
        <x:v>0</x:v>
      </x:c>
      <x:c r="G15" s="203" t="str">
        <x:f>IF(ABS(E15)&lt;=F15,"PASS","FAIL")</x:f>
        <x:v>PASS</x:v>
      </x:c>
      <x:c r="H15" s="204" t="str">
        <x:v>Assumptions column F</x:v>
      </x:c>
      <x:c r="I15" s="204" t="str">
        <x:v>Every scenario driver must resolve to a numeric selected value.</x:v>
      </x:c>
    </x:row>
    <x:row r="16">
      <x:c r="A16" s="207" t="str">
        <x:v>Core model cells calculate to numbers</x:v>
      </x:c>
      <x:c r="B16" s="207" t="str">
        <x:v>All periods</x:v>
      </x:c>
      <x:c r="C16" s="208" t="n">
        <x:f>COUNT('Incremental Cash Flow'!B6:M22)</x:f>
        <x:v>204</x:v>
      </x:c>
      <x:c r="D16" s="208" t="n">
        <x:v>204</x:v>
      </x:c>
      <x:c r="E16" s="208" t="n">
        <x:f>C16-D16</x:f>
        <x:v>0</x:v>
      </x:c>
      <x:c r="F16" s="208" t="n">
        <x:v>0</x:v>
      </x:c>
      <x:c r="G16" s="209" t="str">
        <x:f>IF(ABS(E16)&lt;=F16,"PASS","FAIL")</x:f>
        <x:v>PASS</x:v>
      </x:c>
      <x:c r="H16" s="210" t="str">
        <x:v>Incremental Cash Flow</x:v>
      </x:c>
      <x:c r="I16" s="210" t="str">
        <x:v>No blank or text output is permitted inside the calculation block.</x:v>
      </x:c>
    </x:row>
    <x:row r="18">
      <x:c r="A18" s="42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B18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C18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D18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E18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F18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G18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H18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I18" s="44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</x:row>
    <x:row r="19">
      <x:c r="A19" s="45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B19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C19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D19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E19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F19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G19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H19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I19" s="47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</x:row>
    <x:row r="20">
      <x:c r="A20" s="48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B20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C20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D20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E20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F20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G20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H20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I20" s="50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</x:row>
    <x:row r="22">
      <x:c r="A22" s="53" t="str">
        <x:v>TDAT Model Library  |  Trust builds the brand. Insight builds the decision.</x:v>
      </x:c>
      <x:c r="B22" s="53" t="str">
        <x:v>TDAT Model Library  |  Trust builds the brand. Insight builds the decision.</x:v>
      </x:c>
      <x:c r="C22" s="53" t="str">
        <x:v>TDAT Model Library  |  Trust builds the brand. Insight builds the decision.</x:v>
      </x:c>
      <x:c r="D22" s="53" t="str">
        <x:v>TDAT Model Library  |  Trust builds the brand. Insight builds the decision.</x:v>
      </x:c>
      <x:c r="E22" s="53" t="str">
        <x:v>TDAT Model Library  |  Trust builds the brand. Insight builds the decision.</x:v>
      </x:c>
      <x:c r="F22" s="53" t="str">
        <x:v>TDAT Model Library  |  Trust builds the brand. Insight builds the decision.</x:v>
      </x:c>
      <x:c r="G22" s="53" t="str">
        <x:v>TDAT Model Library  |  Trust builds the brand. Insight builds the decision.</x:v>
      </x:c>
      <x:c r="H22" s="53" t="str">
        <x:v>TDAT Model Library  |  Trust builds the brand. Insight builds the decision.</x:v>
      </x:c>
      <x:c r="I22" s="53" t="str">
        <x:v>TDAT Model Library  |  Trust builds the brand. Insight builds the decision.</x:v>
      </x:c>
    </x:row>
  </x:sheetData>
  <x:mergeCells>
    <x:mergeCell ref="A1:I1"/>
    <x:mergeCell ref="A2:I2"/>
    <x:mergeCell ref="B5:C5"/>
    <x:mergeCell ref="D5:I5"/>
    <x:mergeCell ref="A18:I20"/>
    <x:mergeCell ref="A22:I22"/>
  </x:mergeCells>
  <x:conditionalFormatting sqref="G8:G16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16" hidden="0" customWidth="1"/>
    <x:col min="4" max="4" width="16" hidden="0" customWidth="1"/>
    <x:col min="5" max="5" width="22" hidden="0" customWidth="1"/>
    <x:col min="6" max="6" width="28" hidden="0" customWidth="1"/>
    <x:col min="7" max="7" width="18" hidden="0" customWidth="1"/>
    <x:col min="8" max="8" width="18" hidden="0" customWidth="1"/>
    <x:col min="9" max="9" width="16" hidden="0" customWidth="1"/>
    <x:col min="10" max="10" width="30" hidden="0" customWidth="1"/>
  </x:cols>
  <x:sheetData>
    <x:row r="1" ht="34" customHeight="1">
      <x:c r="A1" s="3" t="str">
        <x:v>SOURCES &amp; VERSION</x:v>
      </x:c>
      <x:c r="B1" s="3" t="str">
        <x:v>SOURCES &amp; VERSION</x:v>
      </x:c>
      <x:c r="C1" s="3" t="str">
        <x:v>SOURCES &amp; VERSION</x:v>
      </x:c>
      <x:c r="D1" s="3" t="str">
        <x:v>SOURCES &amp; VERSION</x:v>
      </x:c>
      <x:c r="E1" s="3" t="str">
        <x:v>SOURCES &amp; VERSION</x:v>
      </x:c>
      <x:c r="F1" s="3" t="str">
        <x:v>SOURCES &amp; VERSION</x:v>
      </x:c>
      <x:c r="G1" s="3" t="str">
        <x:v>SOURCES &amp; VERSION</x:v>
      </x:c>
      <x:c r="H1" s="3" t="str">
        <x:v>SOURCES &amp; VERSION</x:v>
      </x:c>
      <x:c r="I1" s="3" t="str">
        <x:v>SOURCES &amp; VERSION</x:v>
      </x:c>
      <x:c r="J1" s="3" t="str">
        <x:v>SOURCES &amp; VERSION</x:v>
      </x:c>
    </x:row>
    <x:row r="2" ht="24" customHeight="1">
      <x:c r="A2" s="6" t="str">
        <x:v>Capex / Business Case  |  Assumption register, release facts, and distribution controls</x:v>
      </x:c>
      <x:c r="B2" s="6" t="str">
        <x:v>Capex / Business Case  |  Assumption register, release facts, and distribution controls</x:v>
      </x:c>
      <x:c r="C2" s="6" t="str">
        <x:v>Capex / Business Case  |  Assumption register, release facts, and distribution controls</x:v>
      </x:c>
      <x:c r="D2" s="6" t="str">
        <x:v>Capex / Business Case  |  Assumption register, release facts, and distribution controls</x:v>
      </x:c>
      <x:c r="E2" s="6" t="str">
        <x:v>Capex / Business Case  |  Assumption register, release facts, and distribution controls</x:v>
      </x:c>
      <x:c r="F2" s="6" t="str">
        <x:v>Capex / Business Case  |  Assumption register, release facts, and distribution controls</x:v>
      </x:c>
      <x:c r="G2" s="6" t="str">
        <x:v>Capex / Business Case  |  Assumption register, release facts, and distribution controls</x:v>
      </x:c>
      <x:c r="H2" s="6" t="str">
        <x:v>Capex / Business Case  |  Assumption register, release facts, and distribution controls</x:v>
      </x:c>
      <x:c r="I2" s="6" t="str">
        <x:v>Capex / Business Case  |  Assumption register, release facts, and distribution controls</x:v>
      </x:c>
      <x:c r="J2" s="6" t="str">
        <x:v>Capex / Business Case  |  Assumption register, release facts, and distribution controls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22" customHeight="1">
      <x:c r="A5" s="9" t="str">
        <x:v>SOURCE / ASSUMPTION REGISTER</x:v>
      </x:c>
      <x:c r="B5" s="9" t="str">
        <x:v>SOURCE / ASSUMPTION REGISTER</x:v>
      </x:c>
      <x:c r="C5" s="9" t="str">
        <x:v>SOURCE / ASSUMPTION REGISTER</x:v>
      </x:c>
      <x:c r="D5" s="9" t="str">
        <x:v>SOURCE / ASSUMPTION REGISTER</x:v>
      </x:c>
      <x:c r="E5" s="9" t="str">
        <x:v>SOURCE / ASSUMPTION REGISTER</x:v>
      </x:c>
      <x:c r="F5" s="9" t="str">
        <x:v>SOURCE / ASSUMPTION REGISTER</x:v>
      </x:c>
      <x:c r="G5" s="9" t="str">
        <x:v>SOURCE / ASSUMPTION REGISTER</x:v>
      </x:c>
      <x:c r="H5" s="9" t="str">
        <x:v>SOURCE / ASSUMPTION REGISTER</x:v>
      </x:c>
      <x:c r="I5" s="9" t="str">
        <x:v>SOURCE / ASSUMPTION REGISTER</x:v>
      </x:c>
    </x:row>
    <x:row r="6" ht="24" customHeight="1">
      <x:c r="A6" s="66" t="str">
        <x:v>Item</x:v>
      </x:c>
      <x:c r="B6" s="67" t="str">
        <x:v>Value / definition</x:v>
      </x:c>
      <x:c r="C6" s="67" t="str">
        <x:v>Units</x:v>
      </x:c>
      <x:c r="D6" s="67" t="str">
        <x:v>Period / as-of</x:v>
      </x:c>
      <x:c r="E6" s="67" t="str">
        <x:v>Source type</x:v>
      </x:c>
      <x:c r="F6" s="67" t="str">
        <x:v>Source / owner</x:v>
      </x:c>
      <x:c r="G6" s="67" t="str">
        <x:v>Ref</x:v>
      </x:c>
      <x:c r="H6" s="67" t="str">
        <x:v>Confidence</x:v>
      </x:c>
      <x:c r="I6" s="68" t="str">
        <x:v>Notes</x:v>
      </x:c>
    </x:row>
    <x:row r="7">
      <x:c r="A7" s="147" t="str">
        <x:v>Worked example</x:v>
      </x:c>
      <x:c r="B7" s="148" t="str">
        <x:v>Synthetic case values</x:v>
      </x:c>
      <x:c r="C7" s="148" t="str">
        <x:v>LCY thousands</x:v>
      </x:c>
      <x:c r="D7" s="148" t="str">
        <x:v>2026-07-13</x:v>
      </x:c>
      <x:c r="E7" s="148" t="str">
        <x:v>Illustrative</x:v>
      </x:c>
      <x:c r="F7" s="148" t="str">
        <x:v>TDAT model build</x:v>
      </x:c>
      <x:c r="G7" s="148" t="str">
        <x:v>SYN-001</x:v>
      </x:c>
      <x:c r="H7" s="148" t="str">
        <x:v>Illustrative</x:v>
      </x:c>
      <x:c r="I7" s="149" t="str">
        <x:v>Replace before use.</x:v>
      </x:c>
    </x:row>
    <x:row r="8">
      <x:c r="A8" s="150" t="str">
        <x:v>Scenario drivers</x:v>
      </x:c>
      <x:c r="B8" s="151" t="str">
        <x:v>Base / Upside / Downside</x:v>
      </x:c>
      <x:c r="C8" s="151" t="str">
        <x:v>Mixed</x:v>
      </x:c>
      <x:c r="D8" s="151" t="str">
        <x:v>Model horizon</x:v>
      </x:c>
      <x:c r="E8" s="151" t="str">
        <x:v>Assumption</x:v>
      </x:c>
      <x:c r="F8" s="151" t="str">
        <x:v>User / finance owner</x:v>
      </x:c>
      <x:c r="G8" s="151" t="str">
        <x:v>ASM-001</x:v>
      </x:c>
      <x:c r="H8" s="151" t="str">
        <x:v>Open</x:v>
      </x:c>
      <x:c r="I8" s="152" t="str">
        <x:v>Confirm rationale and owner.</x:v>
      </x:c>
    </x:row>
    <x:row r="9">
      <x:c r="A9" s="153" t="str">
        <x:v>Method</x:v>
      </x:c>
      <x:c r="B9" s="154" t="str">
        <x:v>Incremental Cash Flow</x:v>
      </x:c>
      <x:c r="C9" s="154" t="str">
        <x:v>Method</x:v>
      </x:c>
      <x:c r="D9" s="154" t="str">
        <x:v>Version 1.0.0</x:v>
      </x:c>
      <x:c r="E9" s="154" t="str">
        <x:v>Model method</x:v>
      </x:c>
      <x:c r="F9" s="154" t="str">
        <x:v>Model Guide</x:v>
      </x:c>
      <x:c r="G9" s="154" t="str">
        <x:v>MTH-001</x:v>
      </x:c>
      <x:c r="H9" s="154" t="str">
        <x:v>Template</x:v>
      </x:c>
      <x:c r="I9" s="155" t="str">
        <x:v>Validate for the intended use and jurisdiction.</x:v>
      </x:c>
    </x:row>
    <x:row r="11" ht="22" customHeight="1">
      <x:c r="A11" s="9" t="str">
        <x:v>RELEASE FACTS</x:v>
      </x:c>
      <x:c r="B11" s="9" t="str">
        <x:v>RELEASE FACTS</x:v>
      </x:c>
      <x:c r="C11" s="9" t="str">
        <x:v>RELEASE FACTS</x:v>
      </x:c>
      <x:c r="D11" s="9" t="str">
        <x:v>RELEASE FACTS</x:v>
      </x:c>
      <x:c r="E11" s="9" t="str">
        <x:v>RELEASE FACTS</x:v>
      </x:c>
      <x:c r="F11" s="9" t="str">
        <x:v>RELEASE FACTS</x:v>
      </x:c>
      <x:c r="G11" s="9" t="str">
        <x:v>RELEASE FACTS</x:v>
      </x:c>
      <x:c r="H11" s="9" t="str">
        <x:v>RELEASE FACTS</x:v>
      </x:c>
      <x:c r="I11" s="9" t="str">
        <x:v>RELEASE FACTS</x:v>
      </x:c>
    </x:row>
    <x:row r="12">
      <x:c r="A12" s="211" t="str">
        <x:v>Owner</x:v>
      </x:c>
      <x:c r="B12" s="148" t="str">
        <x:v>Truong Dinh Anh Tu</x:v>
      </x:c>
      <x:c r="C12" s="213" t="str">
        <x:v>Version</x:v>
      </x:c>
      <x:c r="D12" s="148" t="str">
        <x:v>1.0.0</x:v>
      </x:c>
      <x:c r="E12" s="213" t="str">
        <x:v>Standard</x:v>
      </x:c>
      <x:c r="F12" s="148" t="str">
        <x:v>TDAT Model Standard 1.0</x:v>
      </x:c>
      <x:c r="G12" s="213" t="str">
        <x:v>Last QA</x:v>
      </x:c>
      <x:c r="H12" s="148" t="str">
        <x:v>2026-07-13</x:v>
      </x:c>
      <x:c r="I12" s="213" t="str">
        <x:v>Status</x:v>
      </x:c>
      <x:c r="J12" s="149" t="str">
        <x:v>Available after release gates</x:v>
      </x:c>
    </x:row>
    <x:row r="13">
      <x:c r="A13" s="212" t="str">
        <x:v>Compatibility</x:v>
      </x:c>
      <x:c r="B13" s="154" t="str">
        <x:v>Excel 365</x:v>
      </x:c>
      <x:c r="C13" s="214" t="str">
        <x:v>Macros</x:v>
      </x:c>
      <x:c r="D13" s="154" t="str">
        <x:v>None</x:v>
      </x:c>
      <x:c r="E13" s="214" t="str">
        <x:v>External links</x:v>
      </x:c>
      <x:c r="F13" s="154" t="str">
        <x:v>None</x:v>
      </x:c>
      <x:c r="G13" s="214" t="str">
        <x:v>Circularity</x:v>
      </x:c>
      <x:c r="H13" s="154" t="str">
        <x:v>None</x:v>
      </x:c>
      <x:c r="I13" s="214" t="str">
        <x:v>Evidence</x:v>
      </x:c>
      <x:c r="J13" s="155" t="str">
        <x:v>Synthetic worked template</x:v>
      </x:c>
    </x:row>
    <x:row r="15" ht="22" customHeight="1">
      <x:c r="A15" s="9" t="str">
        <x:v>CHANGE LOG</x:v>
      </x:c>
      <x:c r="B15" s="9" t="str">
        <x:v>CHANGE LOG</x:v>
      </x:c>
      <x:c r="C15" s="9" t="str">
        <x:v>CHANGE LOG</x:v>
      </x:c>
      <x:c r="D15" s="9" t="str">
        <x:v>CHANGE LOG</x:v>
      </x:c>
      <x:c r="E15" s="9" t="str">
        <x:v>CHANGE LOG</x:v>
      </x:c>
      <x:c r="F15" s="9" t="str">
        <x:v>CHANGE LOG</x:v>
      </x:c>
      <x:c r="G15" s="9" t="str">
        <x:v>CHANGE LOG</x:v>
      </x:c>
      <x:c r="H15" s="9" t="str">
        <x:v>CHANGE LOG</x:v>
      </x:c>
      <x:c r="I15" s="9" t="str">
        <x:v>CHANGE LOG</x:v>
      </x:c>
    </x:row>
    <x:row r="16" ht="24" customHeight="1">
      <x:c r="A16" s="66" t="str">
        <x:v>Version</x:v>
      </x:c>
      <x:c r="B16" s="67" t="str">
        <x:v>Date</x:v>
      </x:c>
      <x:c r="C16" s="67" t="str">
        <x:v>Changed sheets</x:v>
      </x:c>
      <x:c r="D16" s="67" t="str">
        <x:v>Change</x:v>
      </x:c>
      <x:c r="E16" s="67" t="str">
        <x:v>Impact</x:v>
      </x:c>
      <x:c r="F16" s="67" t="str">
        <x:v>Migration note</x:v>
      </x:c>
      <x:c r="G16" s="67" t="str">
        <x:v>Owner</x:v>
      </x:c>
      <x:c r="H16" s="67" t="str">
        <x:v>Reviewer</x:v>
      </x:c>
      <x:c r="I16" s="68" t="str">
        <x:v>Status</x:v>
      </x:c>
    </x:row>
    <x:row r="17">
      <x:c r="A17" s="218" t="str">
        <x:v>1.0.0</x:v>
      </x:c>
      <x:c r="B17" s="219" t="str">
        <x:v>2026-07-13</x:v>
      </x:c>
      <x:c r="C17" s="219" t="str">
        <x:v>All</x:v>
      </x:c>
      <x:c r="D17" s="219" t="str">
        <x:v>Initial public reusable template</x:v>
      </x:c>
      <x:c r="E17" s="219" t="str">
        <x:v>New model release</x:v>
      </x:c>
      <x:c r="F17" s="219" t="str">
        <x:v>None</x:v>
      </x:c>
      <x:c r="G17" s="219" t="str">
        <x:v>Truong Dinh Anh Tu</x:v>
      </x:c>
      <x:c r="H17" s="219" t="str">
        <x:v>TDAT QA review</x:v>
      </x:c>
      <x:c r="I17" s="220" t="str">
        <x:v>Released</x:v>
      </x:c>
    </x:row>
    <x:row r="19" ht="22" customHeight="1">
      <x:c r="A19" s="9" t="str">
        <x:v>DISTRIBUTION &amp; PRIVACY</x:v>
      </x:c>
      <x:c r="B19" s="9" t="str">
        <x:v>DISTRIBUTION &amp; PRIVACY</x:v>
      </x:c>
      <x:c r="C19" s="9" t="str">
        <x:v>DISTRIBUTION &amp; PRIVACY</x:v>
      </x:c>
      <x:c r="D19" s="9" t="str">
        <x:v>DISTRIBUTION &amp; PRIVACY</x:v>
      </x:c>
      <x:c r="E19" s="9" t="str">
        <x:v>DISTRIBUTION &amp; PRIVACY</x:v>
      </x:c>
      <x:c r="F19" s="9" t="str">
        <x:v>DISTRIBUTION &amp; PRIVACY</x:v>
      </x:c>
      <x:c r="G19" s="9" t="str">
        <x:v>DISTRIBUTION &amp; PRIVACY</x:v>
      </x:c>
      <x:c r="H19" s="9" t="str">
        <x:v>DISTRIBUTION &amp; PRIVACY</x:v>
      </x:c>
      <x:c r="I19" s="9" t="str">
        <x:v>DISTRIBUTION &amp; PRIVACY</x:v>
      </x:c>
    </x:row>
    <x:row r="20" ht="32" customHeight="1">
      <x:c r="A20" s="21" t="str">
        <x:v>Public-safe evidence</x:v>
      </x:c>
      <x:c r="B20" s="17" t="str">
        <x:v>Synthetic company/case values only</x:v>
      </x:c>
      <x:c r="C20" s="17" t="str"/>
      <x:c r="D20" s="17" t="str"/>
      <x:c r="E20" s="17" t="str"/>
      <x:c r="F20" s="17" t="str"/>
      <x:c r="G20" s="17" t="str"/>
      <x:c r="H20" s="17" t="str"/>
      <x:c r="I20" s="17" t="str"/>
    </x:row>
    <x:row r="21" ht="32" customHeight="1">
      <x:c r="A21" s="21" t="str">
        <x:v>Excluded content</x:v>
      </x:c>
      <x:c r="B21" s="17" t="str">
        <x:v>No real customer, employee, vendor, borrower, issuer, position, policyholder, transaction, or household record</x:v>
      </x:c>
      <x:c r="C21" s="17" t="str"/>
      <x:c r="D21" s="17" t="str"/>
      <x:c r="E21" s="17" t="str"/>
      <x:c r="F21" s="17" t="str"/>
      <x:c r="G21" s="17" t="str"/>
      <x:c r="H21" s="17" t="str"/>
      <x:c r="I21" s="17" t="str"/>
    </x:row>
    <x:row r="22" ht="32" customHeight="1">
      <x:c r="A22" s="21" t="str">
        <x:v>Dependencies</x:v>
      </x:c>
      <x:c r="B22" s="17" t="str">
        <x:v>Macro-free .xlsx; no external workbooks, add-ins, live connections, or intentional circular references</x:v>
      </x:c>
      <x:c r="C22" s="17" t="str"/>
      <x:c r="D22" s="17" t="str"/>
      <x:c r="E22" s="17" t="str"/>
      <x:c r="F22" s="17" t="str"/>
      <x:c r="G22" s="17" t="str"/>
      <x:c r="H22" s="17" t="str"/>
      <x:c r="I22" s="17" t="str"/>
    </x:row>
    <x:row r="23" ht="32" customHeight="1">
      <x:c r="A23" s="21" t="str">
        <x:v>Usage</x:v>
      </x:c>
      <x:c r="B23" s="17" t="str">
        <x:v>Adapt for learning, interview cases, internal planning, or analysis. Do not resell an unchanged copy as your own product.</x:v>
      </x:c>
      <x:c r="C23" s="17" t="str"/>
      <x:c r="D23" s="17" t="str"/>
      <x:c r="E23" s="17" t="str"/>
      <x:c r="F23" s="17" t="str"/>
      <x:c r="G23" s="17" t="str"/>
      <x:c r="H23" s="17" t="str"/>
      <x:c r="I23" s="17" t="str"/>
    </x:row>
    <x:row r="24" ht="32" customHeight="1">
      <x:c r="A24" s="21" t="str">
        <x:v>Responsibility</x:v>
      </x:c>
      <x:c r="B24" s="17" t="str">
        <x:v>Validate sources, assumptions, formulas, methods, policies, and suitability before real-world use. Provided without warranty.</x:v>
      </x:c>
      <x:c r="C24" s="17" t="str"/>
      <x:c r="D24" s="17" t="str"/>
      <x:c r="E24" s="17" t="str"/>
      <x:c r="F24" s="17" t="str"/>
      <x:c r="G24" s="17" t="str"/>
      <x:c r="H24" s="17" t="str"/>
      <x:c r="I24" s="17" t="str"/>
    </x:row>
    <x:row r="26">
      <x:c r="A26" s="42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B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C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D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E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F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G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H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I26" s="44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</x:row>
    <x:row r="27">
      <x:c r="A27" s="45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B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C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D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E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F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G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H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I27" s="47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</x:row>
    <x:row r="28">
      <x:c r="A28" s="48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B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C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D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E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F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G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H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I28" s="50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</x:row>
    <x:row r="30">
      <x:c r="A30" s="53" t="str">
        <x:v>TDAT Model Library  |  Trust builds the brand. Insight builds the decision.</x:v>
      </x:c>
      <x:c r="B30" s="53" t="str">
        <x:v>TDAT Model Library  |  Trust builds the brand. Insight builds the decision.</x:v>
      </x:c>
      <x:c r="C30" s="53" t="str">
        <x:v>TDAT Model Library  |  Trust builds the brand. Insight builds the decision.</x:v>
      </x:c>
      <x:c r="D30" s="53" t="str">
        <x:v>TDAT Model Library  |  Trust builds the brand. Insight builds the decision.</x:v>
      </x:c>
      <x:c r="E30" s="53" t="str">
        <x:v>TDAT Model Library  |  Trust builds the brand. Insight builds the decision.</x:v>
      </x:c>
      <x:c r="F30" s="53" t="str">
        <x:v>TDAT Model Library  |  Trust builds the brand. Insight builds the decision.</x:v>
      </x:c>
      <x:c r="G30" s="53" t="str">
        <x:v>TDAT Model Library  |  Trust builds the brand. Insight builds the decision.</x:v>
      </x:c>
      <x:c r="H30" s="53" t="str">
        <x:v>TDAT Model Library  |  Trust builds the brand. Insight builds the decision.</x:v>
      </x:c>
      <x:c r="I30" s="53" t="str">
        <x:v>TDAT Model Library  |  Trust builds the brand. Insight builds the decision.</x:v>
      </x:c>
      <x:c r="J30" s="53" t="str">
        <x:v>TDAT Model Library  |  Trust builds the brand. Insight builds the decision.</x:v>
      </x:c>
    </x:row>
  </x:sheetData>
  <x:mergeCells>
    <x:mergeCell ref="A1:J1"/>
    <x:mergeCell ref="A2:J2"/>
    <x:mergeCell ref="A5:I5"/>
    <x:mergeCell ref="A11:I11"/>
    <x:mergeCell ref="A15:I15"/>
    <x:mergeCell ref="A19:I19"/>
    <x:mergeCell ref="B20:I20"/>
    <x:mergeCell ref="B21:I21"/>
    <x:mergeCell ref="B22:I22"/>
    <x:mergeCell ref="B23:I23"/>
    <x:mergeCell ref="B24:I24"/>
    <x:mergeCell ref="A26:I28"/>
    <x:mergeCell ref="A30:J30"/>
  </x:mergeCells>
  <x:pageMargins left="0.7" right="0.7" top="0.75" bottom="0.75" header="0.3" footer="0.3"/>
</x:worksheet>
</file>