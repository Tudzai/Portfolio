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2565abe5e04d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346fdc55cdd4214"/>
    <x:sheet xmlns:r="http://schemas.openxmlformats.org/officeDocument/2006/relationships" name="Guide" sheetId="2" r:id="R75506e20d52a4f6c"/>
    <x:sheet xmlns:r="http://schemas.openxmlformats.org/officeDocument/2006/relationships" name="Assumptions" sheetId="3" r:id="R3f4112cbf54f4aa9"/>
    <x:sheet xmlns:r="http://schemas.openxmlformats.org/officeDocument/2006/relationships" name="Borrower Inputs" sheetId="4" r:id="Rc2367be6b68a4651"/>
    <x:sheet xmlns:r="http://schemas.openxmlformats.org/officeDocument/2006/relationships" name="Credit Underwriting" sheetId="5" r:id="R847bed63bce0427e"/>
    <x:sheet xmlns:r="http://schemas.openxmlformats.org/officeDocument/2006/relationships" name="Sensitivity" sheetId="6" r:id="R8ac34c3b1a9a4d69"/>
    <x:sheet xmlns:r="http://schemas.openxmlformats.org/officeDocument/2006/relationships" name="Summary" sheetId="7" r:id="Rfd6f4364011a49cd"/>
    <x:sheet xmlns:r="http://schemas.openxmlformats.org/officeDocument/2006/relationships" name="Checks" sheetId="8" r:id="Rcf705414b0a045b4"/>
    <x:sheet xmlns:r="http://schemas.openxmlformats.org/officeDocument/2006/relationships" name="Sources &amp; Version" sheetId="9" r:id="R5d2a5b6ba59f4f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0.0x;(0.0x);-"/>
    <x:numFmt numFmtId="202" formatCode="#,##0.0;(#,##0.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2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2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6" fillId="8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2" fontId="16" fillId="6" borderId="24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201" fontId="16" fillId="0" borderId="24" xfId="0" applyNumberFormat="1" applyFont="1" applyFill="1" applyBorder="1" applyAlignment="1">
      <x:alignment horizontal="right"/>
    </x:xf>
    <x:xf numFmtId="201" fontId="16" fillId="8" borderId="24" xfId="0" applyNumberFormat="1" applyFont="1" applyFill="1" applyBorder="1" applyAlignment="1">
      <x:alignment horizontal="right"/>
    </x:xf>
    <x:xf numFmtId="201" fontId="16" fillId="6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2" fontId="13" fillId="0" borderId="24" xfId="0" applyNumberFormat="1" applyFont="1" applyFill="1" applyBorder="1" applyAlignment="1">
      <x:alignment horizontal="right"/>
    </x:xf>
    <x:xf numFmtId="202" fontId="13" fillId="6" borderId="24" xfId="0" applyNumberFormat="1" applyFont="1" applyFill="1" applyBorder="1" applyAlignment="1">
      <x:alignment horizontal="right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0" fontId="6" fillId="8" borderId="25" xfId="0" applyNumberFormat="1" applyFont="1" applyFill="1" applyBorder="1" applyAlignment="1">
      <x:alignment wrapText="1"/>
    </x:xf>
    <x:xf numFmtId="202" fontId="16" fillId="8" borderId="25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2" fontId="16" fillId="6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6" fillId="8" borderId="22" xfId="0" applyNumberFormat="1" applyFont="1" applyFill="1" applyBorder="1" applyAlignment="1">
      <x:alignment horizontal="right"/>
    </x:xf>
    <x:xf numFmtId="201" fontId="16" fillId="6" borderId="22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2" fontId="16" fillId="0" borderId="22" xfId="0" applyNumberFormat="1" applyFont="1" applyFill="1" applyBorder="1" applyAlignment="1">
      <x:alignment horizontal="right"/>
    </x:xf>
    <x:xf numFmtId="202" fontId="13" fillId="6" borderId="22" xfId="0" applyNumberFormat="1" applyFont="1" applyFill="1" applyBorder="1" applyAlignment="1">
      <x:alignment horizontal="right"/>
    </x:xf>
    <x:xf numFmtId="201" fontId="16" fillId="0" borderId="22" xfId="0" applyNumberFormat="1" applyFont="1" applyFill="1" applyBorder="1" applyAlignment="1">
      <x:alignment horizontal="right"/>
    </x:xf>
    <x:xf numFmtId="203" fontId="16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3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1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2" fontId="23" fillId="0" borderId="22" xfId="0" applyNumberFormat="1" applyFont="1" applyFill="1" applyBorder="1"/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2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ef7659769340c3" /><Relationship Type="http://schemas.openxmlformats.org/officeDocument/2006/relationships/theme" Target="/xl/theme/theme1.xml" Id="Rf4101acb5a6b4e48" /><Relationship Type="http://schemas.openxmlformats.org/officeDocument/2006/relationships/sharedStrings" Target="/xl/sharedStrings.xml" Id="Rd91ffc7431b54b85" /><Relationship Type="http://schemas.openxmlformats.org/officeDocument/2006/relationships/worksheet" Target="/xl/worksheets/sheet1.xml" Id="R0346fdc55cdd4214" /><Relationship Type="http://schemas.openxmlformats.org/officeDocument/2006/relationships/worksheet" Target="/xl/worksheets/sheet2.xml" Id="R75506e20d52a4f6c" /><Relationship Type="http://schemas.openxmlformats.org/officeDocument/2006/relationships/worksheet" Target="/xl/worksheets/sheet3.xml" Id="R3f4112cbf54f4aa9" /><Relationship Type="http://schemas.openxmlformats.org/officeDocument/2006/relationships/worksheet" Target="/xl/worksheets/sheet4.xml" Id="Rc2367be6b68a4651" /><Relationship Type="http://schemas.openxmlformats.org/officeDocument/2006/relationships/worksheet" Target="/xl/worksheets/sheet5.xml" Id="R847bed63bce0427e" /><Relationship Type="http://schemas.openxmlformats.org/officeDocument/2006/relationships/worksheet" Target="/xl/worksheets/sheet6.xml" Id="R8ac34c3b1a9a4d69" /><Relationship Type="http://schemas.openxmlformats.org/officeDocument/2006/relationships/worksheet" Target="/xl/worksheets/sheet7.xml" Id="Rfd6f4364011a49cd" /><Relationship Type="http://schemas.openxmlformats.org/officeDocument/2006/relationships/worksheet" Target="/xl/worksheets/sheet8.xml" Id="Rcf705414b0a045b4" /><Relationship Type="http://schemas.openxmlformats.org/officeDocument/2006/relationships/worksheet" Target="/xl/worksheets/sheet9.xml" Id="R5d2a5b6ba59f4f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5bda6c2d5c44a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CFADS and underwritten debt capacity</a:t>
            </a:r>
          </a:p>
        </c:rich>
      </c:tx>
    </c:title>
    <c:plotArea>
      <c:lineChart>
        <c:grouping val="standard"/>
        <c:ser>
          <c:idx val="0"/>
          <c:order val="0"/>
          <c:tx>
            <c:v>Cash flow available for debt service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'Summary'!$B$16:$B$20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Underwritten debt capacity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'Summary'!$C$16:$C$20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5bda6c2d5c44a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b5406d64090042e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TDAT-FM-RSK-001  |  Built to flex. Built to tie. Built to trust.</x:v>
      </x:c>
      <x:c r="B2" s="6" t="str">
        <x:v>TDAT-FM-RSK-001  |  Built to flex. Built to tie. Built to trust.</x:v>
      </x:c>
      <x:c r="C2" s="6" t="str">
        <x:v>TDAT-FM-RSK-001  |  Built to flex. Built to tie. Built to trust.</x:v>
      </x:c>
      <x:c r="D2" s="6" t="str">
        <x:v>TDAT-FM-RSK-001  |  Built to flex. Built to tie. Built to trust.</x:v>
      </x:c>
      <x:c r="E2" s="6" t="str">
        <x:v>TDAT-FM-RSK-001  |  Built to flex. Built to tie. Built to trust.</x:v>
      </x:c>
      <x:c r="F2" s="6" t="str">
        <x:v>TDAT-FM-RSK-001  |  Built to flex. Built to tie. Built to trust.</x:v>
      </x:c>
      <x:c r="G2" s="6" t="str">
        <x:v>TDAT-FM-RSK-001  |  Built to flex. Built to tie. Built to trust.</x:v>
      </x:c>
      <x:c r="H2" s="6" t="str">
        <x:v>TDAT-FM-RSK-001  |  Built to flex. Built to tie. Built to trust.</x:v>
      </x:c>
      <x:c r="I2" s="6" t="str">
        <x:v>TDAT-FM-RSK-001  |  Built to flex. Built to tie. Built to trust.</x:v>
      </x:c>
      <x:c r="J2" s="6" t="str">
        <x:v>TDAT-FM-RSK-001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31" t="str">
        <x:v>Credit Underwriting / DSCR</x:v>
      </x:c>
      <x:c r="B5" s="231" t="str">
        <x:v>Credit Underwriting / DSCR</x:v>
      </x:c>
      <x:c r="C5" s="231" t="str">
        <x:v>Credit Underwriting / DSCR</x:v>
      </x:c>
      <x:c r="D5" s="231" t="str">
        <x:v>Credit Underwriting / DSCR</x:v>
      </x:c>
      <x:c r="E5" s="231" t="str">
        <x:v>Credit Underwriting / DSCR</x:v>
      </x:c>
      <x:c r="F5" s="231" t="str">
        <x:v>Credit Underwriting / DSCR</x:v>
      </x:c>
      <x:c r="G5" s="142" t="str">
        <x:v>CALCULATION INTEGRITY</x:v>
      </x:c>
      <x:c r="H5" s="142" t="str">
        <x:v>CALCULATION INTEGRITY</x:v>
      </x:c>
      <x:c r="I5" s="142" t="str">
        <x:v>CALCULATION INTEGRITY</x:v>
      </x:c>
      <x:c r="J5" s="142" t="str">
        <x:v>CALCULATION INTEGRITY</x:v>
      </x:c>
    </x:row>
    <x:row r="6">
      <x:c r="A6" s="231" t="str">
        <x:v>Credit Underwriting / DSCR</x:v>
      </x:c>
      <x:c r="B6" s="231" t="str">
        <x:v>Credit Underwriting / DSCR</x:v>
      </x:c>
      <x:c r="C6" s="231" t="str">
        <x:v>Credit Underwriting / DSCR</x:v>
      </x:c>
      <x:c r="D6" s="231" t="str">
        <x:v>Credit Underwriting / DSCR</x:v>
      </x:c>
      <x:c r="E6" s="231" t="str">
        <x:v>Credit Underwriting / DSCR</x:v>
      </x:c>
      <x:c r="F6" s="231" t="str">
        <x:v>Credit Underwriting / DSCR</x:v>
      </x:c>
      <x:c r="G6" s="234" t="str">
        <x:f>'Checks'!$B$5</x:f>
        <x:v>PASS</x:v>
      </x:c>
      <x:c r="H6" s="234"/>
      <x:c r="I6" s="234"/>
      <x:c r="J6" s="234"/>
    </x:row>
    <x:row r="7">
      <x:c r="A7" s="231" t="str">
        <x:v>Credit Underwriting / DSCR</x:v>
      </x:c>
      <x:c r="B7" s="231" t="str">
        <x:v>Credit Underwriting / DSCR</x:v>
      </x:c>
      <x:c r="C7" s="231" t="str">
        <x:v>Credit Underwriting / DSCR</x:v>
      </x:c>
      <x:c r="D7" s="231" t="str">
        <x:v>Credit Underwriting / DSCR</x:v>
      </x:c>
      <x:c r="E7" s="231" t="str">
        <x:v>Credit Underwriting / DSCR</x:v>
      </x:c>
      <x:c r="F7" s="231" t="str">
        <x:v>Credit Underwriting / DSCR</x:v>
      </x:c>
      <x:c r="G7" s="234"/>
      <x:c r="H7" s="234"/>
      <x:c r="I7" s="234"/>
      <x:c r="J7" s="234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38" t="str">
        <x:v>Can the borrower afford the facility across base and stressed cash flows?</x:v>
      </x:c>
      <x:c r="B10" s="238" t="str">
        <x:v>Can the borrower afford the facility across base and stressed cash flows?</x:v>
      </x:c>
      <x:c r="C10" s="238" t="str">
        <x:v>Can the borrower afford the facility across base and stressed cash flows?</x:v>
      </x:c>
      <x:c r="D10" s="238" t="str">
        <x:v>Can the borrower afford the facility across base and stressed cash flows?</x:v>
      </x:c>
      <x:c r="E10" s="238" t="str">
        <x:v>Can the borrower afford the facility across base and stressed cash flows?</x:v>
      </x:c>
      <x:c r="F10" s="238" t="str">
        <x:v>Can the borrower afford the facility across base and stressed cash flows?</x:v>
      </x:c>
      <x:c r="G10" s="238" t="str">
        <x:v>Can the borrower afford the facility across base and stressed cash flows?</x:v>
      </x:c>
      <x:c r="H10" s="238" t="str">
        <x:v>Can the borrower afford the facility across base and stressed cash flows?</x:v>
      </x:c>
      <x:c r="I10" s="238" t="str">
        <x:v>Can the borrower afford the facility across base and stressed cash flows?</x:v>
      </x:c>
      <x:c r="J10" s="238" t="str">
        <x:v>Can the borrower afford the facility across base and stressed cash flows?</x:v>
      </x:c>
    </x:row>
    <x:row r="11">
      <x:c r="A11" s="238" t="str">
        <x:v>Can the borrower afford the facility across base and stressed cash flows?</x:v>
      </x:c>
      <x:c r="B11" s="238" t="str">
        <x:v>Can the borrower afford the facility across base and stressed cash flows?</x:v>
      </x:c>
      <x:c r="C11" s="238" t="str">
        <x:v>Can the borrower afford the facility across base and stressed cash flows?</x:v>
      </x:c>
      <x:c r="D11" s="238" t="str">
        <x:v>Can the borrower afford the facility across base and stressed cash flows?</x:v>
      </x:c>
      <x:c r="E11" s="238" t="str">
        <x:v>Can the borrower afford the facility across base and stressed cash flows?</x:v>
      </x:c>
      <x:c r="F11" s="238" t="str">
        <x:v>Can the borrower afford the facility across base and stressed cash flows?</x:v>
      </x:c>
      <x:c r="G11" s="238" t="str">
        <x:v>Can the borrower afford the facility across base and stressed cash flows?</x:v>
      </x:c>
      <x:c r="H11" s="238" t="str">
        <x:v>Can the borrower afford the facility across base and stressed cash flows?</x:v>
      </x:c>
      <x:c r="I11" s="238" t="str">
        <x:v>Can the borrower afford the facility across base and stressed cash flows?</x:v>
      </x:c>
      <x:c r="J11" s="238" t="str">
        <x:v>Can the borrower afford the facility across base and stressed cash flows?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9" t="str">
        <x:v>Calculation integrity</x:v>
      </x:c>
      <x:c r="B14" s="240" t="str">
        <x:v>Decision readiness</x:v>
      </x:c>
      <x:c r="C14" s="245" t="str">
        <x:f>'Checks'!$B$5</x:f>
        <x:v>PASS</x:v>
      </x:c>
      <x:c r="D14" s="245"/>
      <x:c r="E14" s="245"/>
      <x:c r="F14" s="260" t="str">
        <x:v>TEMPLATE — VALIDATE INPUTS</x:v>
      </x:c>
      <x:c r="G14" s="260" t="str">
        <x:v>TEMPLATE — VALIDATE INPUTS</x:v>
      </x:c>
      <x:c r="H14" s="260" t="str">
        <x:v>TEMPLATE — VALIDATE INPUTS</x:v>
      </x:c>
      <x:c r="I14" s="260" t="str">
        <x:v>TEMPLATE — VALIDATE INPUTS</x:v>
      </x:c>
      <x:c r="J14" s="261" t="str">
        <x:v>TEMPLATE — VALIDATE INPUTS</x:v>
      </x:c>
    </x:row>
    <x:row r="15">
      <x:c r="A15" s="241" t="str">
        <x:v>Published checks</x:v>
      </x:c>
      <x:c r="B15" s="242" t="str">
        <x:v>Template posture</x:v>
      </x:c>
      <x:c r="C15" s="246" t="str">
        <x:f>"11 / 11 PASS"</x:f>
        <x:v>11 / 11 PASS</x:v>
      </x:c>
      <x:c r="D15" s="246"/>
      <x:c r="E15" s="246"/>
      <x:c r="F15" s="262" t="str">
        <x:v>Illustrative, screen-grade worked example</x:v>
      </x:c>
      <x:c r="G15" s="262" t="str">
        <x:v>Illustrative, screen-grade worked example</x:v>
      </x:c>
      <x:c r="H15" s="262" t="str">
        <x:v>Illustrative, screen-grade worked example</x:v>
      </x:c>
      <x:c r="I15" s="262" t="str">
        <x:v>Illustrative, screen-grade worked example</x:v>
      </x:c>
      <x:c r="J15" s="263" t="str">
        <x:v>Illustrative, screen-grade worked example</x:v>
      </x:c>
    </x:row>
    <x:row r="16">
      <x:c r="A16" s="241" t="str">
        <x:v>Scenario</x:v>
      </x:c>
      <x:c r="B16" s="242" t="str">
        <x:v>Evidence</x:v>
      </x:c>
      <x:c r="C16" s="246" t="str">
        <x:f>'Assumptions'!$B$3</x:f>
        <x:v>Base</x:v>
      </x:c>
      <x:c r="D16" s="246"/>
      <x:c r="E16" s="246"/>
      <x:c r="F16" s="262" t="str">
        <x:v>Synthetic / illustrative</x:v>
      </x:c>
      <x:c r="G16" s="262" t="str">
        <x:v>Synthetic / illustrative</x:v>
      </x:c>
      <x:c r="H16" s="262" t="str">
        <x:v>Synthetic / illustrative</x:v>
      </x:c>
      <x:c r="I16" s="262" t="str">
        <x:v>Synthetic / illustrative</x:v>
      </x:c>
      <x:c r="J16" s="263" t="str">
        <x:v>Synthetic / illustrative</x:v>
      </x:c>
    </x:row>
    <x:row r="17">
      <x:c r="A17" s="243" t="str">
        <x:v>Owner</x:v>
      </x:c>
      <x:c r="B17" s="244" t="str">
        <x:v>Use</x:v>
      </x:c>
      <x:c r="C17" s="247" t="str">
        <x:f>'Sources &amp; Version'!$B$12</x:f>
        <x:v>Truong Dinh Anh Tu</x:v>
      </x:c>
      <x:c r="D17" s="247"/>
      <x:c r="E17" s="247"/>
      <x:c r="F17" s="264" t="str">
        <x:v>Credit Analysis · Enterprise Risk · Commercial Banking · Lending</x:v>
      </x:c>
      <x:c r="G17" s="264" t="str">
        <x:v>Credit Analysis · Enterprise Risk · Commercial Banking · Lending</x:v>
      </x:c>
      <x:c r="H17" s="264" t="str">
        <x:v>Credit Analysis · Enterprise Risk · Commercial Banking · Lending</x:v>
      </x:c>
      <x:c r="I17" s="264" t="str">
        <x:v>Credit Analysis · Enterprise Risk · Commercial Banking · Lending</x:v>
      </x:c>
      <x:c r="J17" s="265" t="str">
        <x:v>Credit Analysis · Enterprise Risk · Commercial Banking · Lending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20" t="str">
        <x:v>Model ID</x:v>
      </x:c>
      <x:c r="B20" s="155" t="str">
        <x:v>TDAT-FM-RSK-001</x:v>
      </x:c>
      <x:c r="C20" s="222" t="str">
        <x:v>Version</x:v>
      </x:c>
      <x:c r="D20" s="155" t="str">
        <x:v>1.0.0</x:v>
      </x:c>
      <x:c r="E20" s="222" t="str">
        <x:v>Last QA</x:v>
      </x:c>
      <x:c r="F20" s="156" t="str">
        <x:v>2026-07-13</x:v>
      </x:c>
      <x:c r="G20" s="269" t="str">
        <x:v>Minimum DSCR</x:v>
      </x:c>
      <x:c r="H20" s="269" t="str">
        <x:v>Minimum DSCR</x:v>
      </x:c>
      <x:c r="I20" s="270" t="n">
        <x:f>MIN('Credit Underwriting'!B8:F8)</x:f>
        <x:v>1.5677419354838713</x:v>
      </x:c>
      <x:c r="J20" s="270"/>
    </x:row>
    <x:row r="21">
      <x:c r="A21" s="267" t="str">
        <x:v>Domain</x:v>
      </x:c>
      <x:c r="B21" s="158" t="str">
        <x:v>Credit &amp; Risk</x:v>
      </x:c>
      <x:c r="C21" s="268" t="str">
        <x:v>Compatibility</x:v>
      </x:c>
      <x:c r="D21" s="158" t="str">
        <x:v>Excel 365</x:v>
      </x:c>
      <x:c r="E21" s="268" t="str">
        <x:v>Macros</x:v>
      </x:c>
      <x:c r="F21" s="159" t="str">
        <x:v>None</x:v>
      </x:c>
      <x:c r="G21" s="269" t="str">
        <x:v>Peak leverage</x:v>
      </x:c>
      <x:c r="H21" s="269" t="str">
        <x:v>Peak leverage</x:v>
      </x:c>
      <x:c r="I21" s="270" t="n">
        <x:f>MAX('Credit Underwriting'!B9:F9)</x:f>
        <x:v>3.042328042328042</x:v>
      </x:c>
      <x:c r="J21" s="270"/>
    </x:row>
    <x:row r="22">
      <x:c r="A22" s="267" t="str">
        <x:v>Horizon</x:v>
      </x:c>
      <x:c r="B22" s="158" t="str">
        <x:v>1–5 years</x:v>
      </x:c>
      <x:c r="C22" s="268" t="str">
        <x:v>Frequency</x:v>
      </x:c>
      <x:c r="D22" s="158" t="str">
        <x:v>Annual</x:v>
      </x:c>
      <x:c r="E22" s="268" t="str">
        <x:v>External links</x:v>
      </x:c>
      <x:c r="F22" s="159" t="str">
        <x:v>None</x:v>
      </x:c>
      <x:c r="G22" s="269" t="str">
        <x:v>Year 5 debt capacity</x:v>
      </x:c>
      <x:c r="H22" s="269" t="str">
        <x:v>Year 5 debt capacity</x:v>
      </x:c>
      <x:c r="I22" s="271" t="n">
        <x:f>'Credit Underwriting'!F$13</x:f>
        <x:v>186.88000000000002</x:v>
      </x:c>
      <x:c r="J22" s="271"/>
    </x:row>
    <x:row r="23">
      <x:c r="A23" s="267" t="str">
        <x:v>Currency</x:v>
      </x:c>
      <x:c r="B23" s="158" t="str">
        <x:v>LCY</x:v>
      </x:c>
      <x:c r="C23" s="268" t="str">
        <x:v>Units</x:v>
      </x:c>
      <x:c r="D23" s="158" t="str">
        <x:v>LCY millions</x:v>
      </x:c>
      <x:c r="E23" s="268" t="str">
        <x:v>Scenario</x:v>
      </x:c>
      <x:c r="F23" s="159" t="str">
        <x:v>Base / Upside / Downside</x:v>
      </x:c>
      <x:c r="G23" s="269" t="str">
        <x:v>Year 5 headroom</x:v>
      </x:c>
      <x:c r="H23" s="269" t="str">
        <x:v>Year 5 headroom</x:v>
      </x:c>
      <x:c r="I23" s="271" t="n">
        <x:f>'Credit Underwriting'!F$14</x:f>
        <x:v>36.880000000000024</x:v>
      </x:c>
      <x:c r="J23" s="271"/>
    </x:row>
    <x:row r="24">
      <x:c r="A24" s="221" t="str">
        <x:v>Owner</x:v>
      </x:c>
      <x:c r="B24" s="161" t="str">
        <x:v>Truong Dinh Anh Tu</x:v>
      </x:c>
      <x:c r="C24" s="223" t="str">
        <x:v>Standard</x:v>
      </x:c>
      <x:c r="D24" s="161" t="str">
        <x:v>TDAT Model Standard 1.0</x:v>
      </x:c>
      <x:c r="E24" s="223" t="str">
        <x:v>Evidence</x:v>
      </x:c>
      <x:c r="F24" s="162" t="str">
        <x:v>Synthetic worked template</x:v>
      </x:c>
      <x:c r="G24" s="269" t="str">
        <x:v>Year 5 collateral coverage</x:v>
      </x:c>
      <x:c r="H24" s="269" t="str">
        <x:v>Year 5 collateral coverage</x:v>
      </x:c>
      <x:c r="I24" s="270" t="n">
        <x:f>'Credit Underwriting'!F$15</x:f>
        <x:v>1.9393939393939394</x:v>
      </x:c>
      <x:c r="J24" s="270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91" t="str">
        <x:v>Blue font</x:v>
      </x:c>
      <x:c r="B27" s="283" t="str">
        <x:v>Editable hardcode</x:v>
      </x:c>
      <x:c r="C27" s="292" t="str">
        <x:v>Black font</x:v>
      </x:c>
      <x:c r="D27" s="283" t="str">
        <x:v>In-sheet formula</x:v>
      </x:c>
      <x:c r="E27" s="293" t="str">
        <x:v>Green font</x:v>
      </x:c>
      <x:c r="F27" s="283" t="str">
        <x:v>Cross-sheet formula</x:v>
      </x:c>
      <x:c r="G27" s="294" t="str">
        <x:v>Pale amber</x:v>
      </x:c>
      <x:c r="H27" s="294" t="str">
        <x:v>Scenario / review cue</x:v>
      </x:c>
      <x:c r="I27" s="295" t="str">
        <x:v>Teal</x:v>
      </x:c>
      <x:c r="J27" s="296" t="str">
        <x:v>PASS / trusted output</x:v>
      </x:c>
    </x:row>
    <x:row r="28">
      <x:c r="A28" s="285" t="str">
        <x:v>Actual</x:v>
      </x:c>
      <x:c r="B28" s="286" t="str">
        <x:v>Neutral period band</x:v>
      </x:c>
      <x:c r="C28" s="286" t="str">
        <x:v>Forecast</x:v>
      </x:c>
      <x:c r="D28" s="286" t="str">
        <x:v>Pale-blue period band</x:v>
      </x:c>
      <x:c r="E28" s="286" t="str">
        <x:v>Zero</x:v>
      </x:c>
      <x:c r="F28" s="286" t="str">
        <x:v>Displayed as an en dash</x:v>
      </x:c>
      <x:c r="G28" s="286" t="str">
        <x:v>Rule</x:v>
      </x:c>
      <x:c r="H28" s="286" t="str">
        <x:v>Keep formulas copy-across</x:v>
      </x:c>
      <x:c r="I28" s="286" t="str">
        <x:v>Rule</x:v>
      </x:c>
      <x:c r="J28" s="287" t="str">
        <x:v>Recheck after every change</x:v>
      </x:c>
    </x:row>
    <x:row r="29">
      <x:c r="A29" s="288" t="str">
        <x:v>Status</x:v>
      </x:c>
      <x:c r="B29" s="289" t="str">
        <x:v>PASS means controls tie</x:v>
      </x:c>
      <x:c r="C29" s="289" t="str">
        <x:v>Readiness</x:v>
      </x:c>
      <x:c r="D29" s="289" t="str">
        <x:v>Inputs still require review</x:v>
      </x:c>
      <x:c r="E29" s="289" t="str">
        <x:v>Privacy</x:v>
      </x:c>
      <x:c r="F29" s="289" t="str">
        <x:v>Public-safe example</x:v>
      </x:c>
      <x:c r="G29" s="289" t="str">
        <x:v>Use</x:v>
      </x:c>
      <x:c r="H29" s="289" t="str">
        <x:v>Adapt and validate</x:v>
      </x:c>
      <x:c r="I29" s="289" t="str">
        <x:v>Support</x:v>
      </x:c>
      <x:c r="J29" s="290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Credit Underwriting / DSCR  |  Scope, setup, flexibility, and limitations</x:v>
      </x:c>
      <x:c r="B2" s="6" t="str">
        <x:v>Credit Underwriting / DSCR  |  Scope, setup, flexibility, and limitations</x:v>
      </x:c>
      <x:c r="C2" s="6" t="str">
        <x:v>Credit Underwriting / DSCR  |  Scope, setup, flexibility, and limitations</x:v>
      </x:c>
      <x:c r="D2" s="6" t="str">
        <x:v>Credit Underwriting / DSCR  |  Scope, setup, flexibility, and limitations</x:v>
      </x:c>
      <x:c r="E2" s="6" t="str">
        <x:v>Credit Underwriting / DSCR  |  Scope, setup, flexibility, and limitations</x:v>
      </x:c>
      <x:c r="F2" s="6" t="str">
        <x:v>Credit Underwriting / DSCR  |  Scope, setup, flexibility, and limitations</x:v>
      </x:c>
      <x:c r="G2" s="6" t="str">
        <x:v>Credit Underwriting / DSCR  |  Scope, setup, flexibility, and limitations</x:v>
      </x:c>
      <x:c r="H2" s="6" t="str">
        <x:v>Credit Underwriting / DSCR  |  Scope, setup, flexibility, and limitations</x:v>
      </x:c>
      <x:c r="I2" s="6" t="str">
        <x:v>Credit Underwriting / DSCR  |  Scope, setup, flexibility, and limitations</x:v>
      </x:c>
      <x:c r="J2" s="6" t="str">
        <x:v>Credit Underwriting / DSCR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B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C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D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E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F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G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H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I6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J6" s="12" t="str">
        <x:v>Borrower cash flow, leverage, DSCR, debt capacity, downside, collateral, and exception tracking.
Primary users: Credit Analysis, Enterprise Risk, Commercial Banking, Lending. Typical use: Underwriting, DSCR, Debt capacity.</x:v>
      </x:c>
    </x:row>
    <x:row r="7">
      <x:c r="A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B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C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D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E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F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G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H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I7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J7" s="12" t="str">
        <x:v>Borrower cash flow, leverage, DSCR, debt capacity, downside, collateral, and exception tracking.
Primary users: Credit Analysis, Enterprise Risk, Commercial Banking, Lending. Typical use: Underwriting, DSCR, Debt capacity.</x:v>
      </x:c>
    </x:row>
    <x:row r="8">
      <x:c r="A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B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C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D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E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F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G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H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I8" s="12" t="str">
        <x:v>Borrower cash flow, leverage, DSCR, debt capacity, downside, collateral, and exception tracking.
Primary users: Credit Analysis, Enterprise Risk, Commercial Banking, Lending. Typical use: Underwriting, DSCR, Debt capacity.</x:v>
      </x:c>
      <x:c r="J8" s="12" t="str">
        <x:v>Borrower cash flow, leverage, DSCR, debt capacity, downside, collateral, and exception tracking.
Primary users: Credit Analysis, Enterprise Risk, Commercial Banking, Lending. Typical use: Underwriting, DSCR, Debt capacity.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Can the borrower afford the facility across base and stressed cash flows?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Borrower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Credit Underwriting;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Borrower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Credit Underwriting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CFADS realization × Debt-service realization recalculation of Year 5 DSCR.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Borrower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Credit Underwriting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underwriting support only; it does not approve or recommend credit. Validate borrower information, normalization evidence, facility terms, collateral, guarantees, risk rating, policy exceptions, legal documents, and independent credit judgment.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B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C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D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E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F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G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H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I37" s="43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J37" s="44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</x:row>
    <x:row r="38">
      <x:c r="A38" s="45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B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C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D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E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F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G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H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I38" s="46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J38" s="47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</x:row>
    <x:row r="39">
      <x:c r="A39" s="48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B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C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D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E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F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G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H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I39" s="49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  <x:c r="J39" s="50" t="str">
        <x:v>Deliberately excluded in version 1.0.0: approval recommendation; borrower rating model; legal-document review; guarantor analysis; collateral appraisal; regulatory capital treatment.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Credit Underwriting / DSCR  |  One controlled selector and visible driver cases</x:v>
      </x:c>
      <x:c r="B2" s="6" t="str">
        <x:v>Credit Underwriting / DSCR  |  One controlled selector and visible driver cases</x:v>
      </x:c>
      <x:c r="C2" s="6" t="str">
        <x:v>Credit Underwriting / DSCR  |  One controlled selector and visible driver cases</x:v>
      </x:c>
      <x:c r="D2" s="6" t="str">
        <x:v>Credit Underwriting / DSCR  |  One controlled selector and visible driver cases</x:v>
      </x:c>
      <x:c r="E2" s="6" t="str">
        <x:v>Credit Underwriting / DSCR  |  One controlled selector and visible driver cases</x:v>
      </x:c>
      <x:c r="F2" s="6" t="str">
        <x:v>Credit Underwriting / DSCR  |  One controlled selector and visible driver cases</x:v>
      </x:c>
      <x:c r="G2" s="6" t="str">
        <x:v>Credit Underwriting / DSCR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Underwriting EBITDA haircut</x:v>
      </x:c>
      <x:c r="B6" s="81" t="str">
        <x:v>%</x:v>
      </x:c>
      <x:c r="C6" s="82" t="n">
        <x:v>0.1</x:v>
      </x:c>
      <x:c r="D6" s="82" t="n">
        <x:v>0.05</x:v>
      </x:c>
      <x:c r="E6" s="82" t="n">
        <x:v>0.2</x:v>
      </x:c>
      <x:c r="F6" s="83" t="n">
        <x:f>IF($B$3="Base",C6,IF($B$3="Upside",D6,E6))</x:f>
        <x:v>0.1</x:v>
      </x:c>
      <x:c r="G6" s="84" t="str">
        <x:v>Replace with an approved, sourced assumption.</x:v>
      </x:c>
    </x:row>
    <x:row r="7">
      <x:c r="A7" s="85" t="str">
        <x:v>Minimum DSCR</x:v>
      </x:c>
      <x:c r="B7" s="86" t="str">
        <x:v>x</x:v>
      </x:c>
      <x:c r="C7" s="87" t="n">
        <x:v>1.25</x:v>
      </x:c>
      <x:c r="D7" s="87" t="n">
        <x:v>1.2</x:v>
      </x:c>
      <x:c r="E7" s="87" t="n">
        <x:v>1.4</x:v>
      </x:c>
      <x:c r="F7" s="88" t="n">
        <x:f>IF($B$3="Base",C7,IF($B$3="Upside",D7,E7))</x:f>
        <x:v>1.25</x:v>
      </x:c>
      <x:c r="G7" s="89" t="str">
        <x:v>Replace with an approved, sourced assumption.</x:v>
      </x:c>
    </x:row>
    <x:row r="8">
      <x:c r="A8" s="85" t="str">
        <x:v>Maximum gross leverage</x:v>
      </x:c>
      <x:c r="B8" s="86" t="str">
        <x:v>x</x:v>
      </x:c>
      <x:c r="C8" s="87" t="n">
        <x:v>3.25</x:v>
      </x:c>
      <x:c r="D8" s="87" t="n">
        <x:v>3.5</x:v>
      </x:c>
      <x:c r="E8" s="87" t="n">
        <x:v>2.75</x:v>
      </x:c>
      <x:c r="F8" s="88" t="n">
        <x:f>IF($B$3="Base",C8,IF($B$3="Upside",D8,E8))</x:f>
        <x:v>3.25</x:v>
      </x:c>
      <x:c r="G8" s="89" t="str">
        <x:v>Replace with an approved, sourced assumption.</x:v>
      </x:c>
    </x:row>
    <x:row r="9">
      <x:c r="A9" s="85" t="str">
        <x:v>Collateral advance rate</x:v>
      </x:c>
      <x:c r="B9" s="86" t="str">
        <x:v>%</x:v>
      </x:c>
      <x:c r="C9" s="90" t="n">
        <x:v>0.7</x:v>
      </x:c>
      <x:c r="D9" s="90" t="n">
        <x:v>0.75</x:v>
      </x:c>
      <x:c r="E9" s="90" t="n">
        <x:v>0.6</x:v>
      </x:c>
      <x:c r="F9" s="91" t="n">
        <x:f>IF($B$3="Base",C9,IF($B$3="Upside",D9,E9))</x:f>
        <x:v>0.7</x:v>
      </x:c>
      <x:c r="G9" s="89" t="str">
        <x:v>Replace with an approved, sourced assumption.</x:v>
      </x:c>
    </x:row>
    <x:row r="10">
      <x:c r="A10" s="92" t="str">
        <x:v>Undrawn credit conversion factor</x:v>
      </x:c>
      <x:c r="B10" s="93" t="str">
        <x:v>%</x:v>
      </x:c>
      <x:c r="C10" s="94" t="n">
        <x:v>0.5</x:v>
      </x:c>
      <x:c r="D10" s="94" t="n">
        <x:v>0.4</x:v>
      </x:c>
      <x:c r="E10" s="94" t="n">
        <x:v>0.75</x:v>
      </x:c>
      <x:c r="F10" s="95" t="n">
        <x:f>IF($B$3="Base",C10,IF($B$3="Upside",D10,E10))</x:f>
        <x:v>0.5</x:v>
      </x:c>
      <x:c r="G10" s="96" t="str">
        <x:v>Replace with an approved, sourced assumption.</x:v>
      </x:c>
    </x:row>
    <x:row r="12">
      <x:c r="A12" s="42" t="str">
        <x:v>Scenario discipline: change a small number of decision-relevant drivers, preserve the core formula architecture, and document what changed, why, who owns it, and what action follows.</x:v>
      </x:c>
      <x:c r="B12" s="43" t="str">
        <x:v>Scenario discipline: change a small number of decision-relevant drivers, preserve the core formula architecture, and document what changed, why, who owns it, and what action follows.</x:v>
      </x:c>
      <x:c r="C12" s="43" t="str">
        <x:v>Scenario discipline: change a small number of decision-relevant drivers, preserve the core formula architecture, and document what changed, why, who owns it, and what action follows.</x:v>
      </x:c>
      <x:c r="D12" s="43" t="str">
        <x:v>Scenario discipline: change a small number of decision-relevant drivers, preserve the core formula architecture, and document what changed, why, who owns it, and what action follows.</x:v>
      </x:c>
      <x:c r="E12" s="43" t="str">
        <x:v>Scenario discipline: change a small number of decision-relevant drivers, preserve the core formula architecture, and document what changed, why, who owns it, and what action follows.</x:v>
      </x:c>
      <x:c r="F12" s="43" t="str">
        <x:v>Scenario discipline: change a small number of decision-relevant drivers, preserve the core formula architecture, and document what changed, why, who owns it, and what action follows.</x:v>
      </x:c>
      <x:c r="G12" s="44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5" t="str">
        <x:v>Scenario discipline: change a small number of decision-relevant drivers, preserve the core formula architecture, and document what changed, why, who owns it, and what action follows.</x:v>
      </x:c>
      <x:c r="B13" s="46" t="str">
        <x:v>Scenario discipline: change a small number of decision-relevant drivers, preserve the core formula architecture, and document what changed, why, who owns it, and what action follows.</x:v>
      </x:c>
      <x:c r="C13" s="46" t="str">
        <x:v>Scenario discipline: change a small number of decision-relevant drivers, preserve the core formula architecture, and document what changed, why, who owns it, and what action follows.</x:v>
      </x:c>
      <x:c r="D13" s="46" t="str">
        <x:v>Scenario discipline: change a small number of decision-relevant drivers, preserve the core formula architecture, and document what changed, why, who owns it, and what action follows.</x:v>
      </x:c>
      <x:c r="E13" s="46" t="str">
        <x:v>Scenario discipline: change a small number of decision-relevant drivers, preserve the core formula architecture, and document what changed, why, who owns it, and what action follows.</x:v>
      </x:c>
      <x:c r="F13" s="46" t="str">
        <x:v>Scenario discipline: change a small number of decision-relevant drivers, preserve the core formula architecture, and document what changed, why, who owns it, and what action follows.</x:v>
      </x:c>
      <x:c r="G13" s="47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8" t="str">
        <x:v>Scenario discipline: change a small number of decision-relevant drivers, preserve the core formula architecture, and document what changed, why, who owns it, and what action follows.</x:v>
      </x:c>
      <x:c r="B14" s="49" t="str">
        <x:v>Scenario discipline: change a small number of decision-relevant drivers, preserve the core formula architecture, and document what changed, why, who owns it, and what action follows.</x:v>
      </x:c>
      <x:c r="C14" s="49" t="str">
        <x:v>Scenario discipline: change a small number of decision-relevant drivers, preserve the core formula architecture, and document what changed, why, who owns it, and what action follows.</x:v>
      </x:c>
      <x:c r="D14" s="49" t="str">
        <x:v>Scenario discipline: change a small number of decision-relevant drivers, preserve the core formula architecture, and document what changed, why, who owns it, and what action follows.</x:v>
      </x:c>
      <x:c r="E14" s="49" t="str">
        <x:v>Scenario discipline: change a small number of decision-relevant drivers, preserve the core formula architecture, and document what changed, why, who owns it, and what action follows.</x:v>
      </x:c>
      <x:c r="F14" s="49" t="str">
        <x:v>Scenario discipline: change a small number of decision-relevant drivers, preserve the core formula architecture, and document what changed, why, who owns it, and what action follows.</x:v>
      </x:c>
      <x:c r="G14" s="50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</x:row>
  </x:sheetData>
  <x:mergeCells>
    <x:mergeCell ref="A1:G1"/>
    <x:mergeCell ref="A2:G2"/>
    <x:mergeCell ref="A12:G14"/>
    <x:mergeCell ref="A16:G16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BORROWER INPUTS</x:v>
      </x:c>
      <x:c r="B1" s="3" t="str">
        <x:v>BORROWER INPUTS</x:v>
      </x:c>
      <x:c r="C1" s="3" t="str">
        <x:v>BORROWER INPUTS</x:v>
      </x:c>
      <x:c r="D1" s="3" t="str">
        <x:v>BORROWER INPUTS</x:v>
      </x:c>
      <x:c r="E1" s="3" t="str">
        <x:v>BORROWER INPUTS</x:v>
      </x:c>
      <x:c r="F1" s="3" t="str">
        <x:v>BORROWER INPUTS</x:v>
      </x:c>
    </x:row>
    <x:row r="2" ht="24" customHeight="1">
      <x:c r="A2" s="6" t="str">
        <x:v>Credit Underwriting / DSCR  |  Synthetic worked inputs — replace blue cells</x:v>
      </x:c>
      <x:c r="B2" s="6" t="str">
        <x:v>Credit Underwriting / DSCR  |  Synthetic worked inputs — replace blue cells</x:v>
      </x:c>
      <x:c r="C2" s="6" t="str">
        <x:v>Credit Underwriting / DSCR  |  Synthetic worked inputs — replace blue cells</x:v>
      </x:c>
      <x:c r="D2" s="6" t="str">
        <x:v>Credit Underwriting / DSCR  |  Synthetic worked inputs — replace blue cells</x:v>
      </x:c>
      <x:c r="E2" s="6" t="str">
        <x:v>Credit Underwriting / DSCR  |  Synthetic worked inputs — replace blue cells</x:v>
      </x:c>
      <x:c r="F2" s="6" t="str">
        <x:v>Credit Underwriting / DSCR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Input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8" t="str">
        <x:v>Y5</x:v>
      </x:c>
    </x:row>
    <x:row r="6">
      <x:c r="A6" s="100" t="str">
        <x:v>Reported EBITDA</x:v>
      </x:c>
      <x:c r="B6" s="101" t="n">
        <x:v>82</x:v>
      </x:c>
      <x:c r="C6" s="101" t="n">
        <x:v>88</x:v>
      </x:c>
      <x:c r="D6" s="101" t="n">
        <x:v>95</x:v>
      </x:c>
      <x:c r="E6" s="101" t="n">
        <x:v>101</x:v>
      </x:c>
      <x:c r="F6" s="101" t="n">
        <x:v>108</x:v>
      </x:c>
    </x:row>
    <x:row r="7">
      <x:c r="A7" s="102" t="str">
        <x:v>Supported positive adjustments</x:v>
      </x:c>
      <x:c r="B7" s="103" t="n">
        <x:v>5</x:v>
      </x:c>
      <x:c r="C7" s="103" t="n">
        <x:v>5</x:v>
      </x:c>
      <x:c r="D7" s="103" t="n">
        <x:v>4</x:v>
      </x:c>
      <x:c r="E7" s="103" t="n">
        <x:v>4</x:v>
      </x:c>
      <x:c r="F7" s="103" t="n">
        <x:v>3</x:v>
      </x:c>
    </x:row>
    <x:row r="8">
      <x:c r="A8" s="102" t="str">
        <x:v>Normalization deductions</x:v>
      </x:c>
      <x:c r="B8" s="103" t="n">
        <x:v>3</x:v>
      </x:c>
      <x:c r="C8" s="103" t="n">
        <x:v>3</x:v>
      </x:c>
      <x:c r="D8" s="103" t="n">
        <x:v>4</x:v>
      </x:c>
      <x:c r="E8" s="103" t="n">
        <x:v>4</x:v>
      </x:c>
      <x:c r="F8" s="103" t="n">
        <x:v>5</x:v>
      </x:c>
    </x:row>
    <x:row r="9">
      <x:c r="A9" s="102" t="str">
        <x:v>Maintenance capex</x:v>
      </x:c>
      <x:c r="B9" s="103" t="n">
        <x:v>14</x:v>
      </x:c>
      <x:c r="C9" s="103" t="n">
        <x:v>15</x:v>
      </x:c>
      <x:c r="D9" s="103" t="n">
        <x:v>16</x:v>
      </x:c>
      <x:c r="E9" s="103" t="n">
        <x:v>17</x:v>
      </x:c>
      <x:c r="F9" s="103" t="n">
        <x:v>18</x:v>
      </x:c>
    </x:row>
    <x:row r="10">
      <x:c r="A10" s="102" t="str">
        <x:v>Increase in NWC</x:v>
      </x:c>
      <x:c r="B10" s="103" t="n">
        <x:v>4</x:v>
      </x:c>
      <x:c r="C10" s="103" t="n">
        <x:v>5</x:v>
      </x:c>
      <x:c r="D10" s="103" t="n">
        <x:v>5</x:v>
      </x:c>
      <x:c r="E10" s="103" t="n">
        <x:v>6</x:v>
      </x:c>
      <x:c r="F10" s="103" t="n">
        <x:v>6</x:v>
      </x:c>
    </x:row>
    <x:row r="11">
      <x:c r="A11" s="102" t="str">
        <x:v>Cash tax</x:v>
      </x:c>
      <x:c r="B11" s="103" t="n">
        <x:v>9</x:v>
      </x:c>
      <x:c r="C11" s="103" t="n">
        <x:v>10</x:v>
      </x:c>
      <x:c r="D11" s="103" t="n">
        <x:v>11</x:v>
      </x:c>
      <x:c r="E11" s="103" t="n">
        <x:v>12</x:v>
      </x:c>
      <x:c r="F11" s="103" t="n">
        <x:v>13</x:v>
      </x:c>
    </x:row>
    <x:row r="12">
      <x:c r="A12" s="102" t="str">
        <x:v>Scheduled debt service</x:v>
      </x:c>
      <x:c r="B12" s="103" t="n">
        <x:v>31</x:v>
      </x:c>
      <x:c r="C12" s="103" t="n">
        <x:v>32</x:v>
      </x:c>
      <x:c r="D12" s="103" t="n">
        <x:v>34</x:v>
      </x:c>
      <x:c r="E12" s="103" t="n">
        <x:v>35</x:v>
      </x:c>
      <x:c r="F12" s="103" t="n">
        <x:v>37</x:v>
      </x:c>
    </x:row>
    <x:row r="13">
      <x:c r="A13" s="102" t="str">
        <x:v>Gross debt</x:v>
      </x:c>
      <x:c r="B13" s="103" t="n">
        <x:v>230</x:v>
      </x:c>
      <x:c r="C13" s="103" t="n">
        <x:v>210</x:v>
      </x:c>
      <x:c r="D13" s="103" t="n">
        <x:v>190</x:v>
      </x:c>
      <x:c r="E13" s="103" t="n">
        <x:v>170</x:v>
      </x:c>
      <x:c r="F13" s="103" t="n">
        <x:v>150</x:v>
      </x:c>
    </x:row>
    <x:row r="14">
      <x:c r="A14" s="102" t="str">
        <x:v>Eligible collateral</x:v>
      </x:c>
      <x:c r="B14" s="103" t="n">
        <x:v>300</x:v>
      </x:c>
      <x:c r="C14" s="103" t="n">
        <x:v>305</x:v>
      </x:c>
      <x:c r="D14" s="103" t="n">
        <x:v>310</x:v>
      </x:c>
      <x:c r="E14" s="103" t="n">
        <x:v>315</x:v>
      </x:c>
      <x:c r="F14" s="103" t="n">
        <x:v>320</x:v>
      </x:c>
    </x:row>
    <x:row r="15">
      <x:c r="A15" s="104" t="str">
        <x:v>Undrawn commitment</x:v>
      </x:c>
      <x:c r="B15" s="105" t="n">
        <x:v>50</x:v>
      </x:c>
      <x:c r="C15" s="105" t="n">
        <x:v>45</x:v>
      </x:c>
      <x:c r="D15" s="105" t="n">
        <x:v>40</x:v>
      </x:c>
      <x:c r="E15" s="105" t="n">
        <x:v>35</x:v>
      </x:c>
      <x:c r="F15" s="105" t="n">
        <x:v>30</x:v>
      </x:c>
    </x:row>
    <x:row r="17">
      <x:c r="A17" s="42" t="str">
        <x:v>Synthetic input pack. Preserve source definitions, units, period basis, and sign convention when replacing values.</x:v>
      </x:c>
      <x:c r="B17" s="43" t="str">
        <x:v>Synthetic input pack. Preserve source definitions, units, period basis, and sign convention when replacing values.</x:v>
      </x:c>
      <x:c r="C17" s="43" t="str">
        <x:v>Synthetic input pack. Preserve source definitions, units, period basis, and sign convention when replacing values.</x:v>
      </x:c>
      <x:c r="D17" s="43" t="str">
        <x:v>Synthetic input pack. Preserve source definitions, units, period basis, and sign convention when replacing values.</x:v>
      </x:c>
      <x:c r="E17" s="43" t="str">
        <x:v>Synthetic input pack. Preserve source definitions, units, period basis, and sign convention when replacing values.</x:v>
      </x:c>
      <x:c r="F17" s="44" t="str">
        <x:v>Synthetic input pack. Preserve source definitions, units, period basis, and sign convention when replacing values.</x:v>
      </x:c>
    </x:row>
    <x:row r="18">
      <x:c r="A18" s="45" t="str">
        <x:v>Synthetic input pack. Preserve source definitions, units, period basis, and sign convention when replacing values.</x:v>
      </x:c>
      <x:c r="B18" s="46" t="str">
        <x:v>Synthetic input pack. Preserve source definitions, units, period basis, and sign convention when replacing values.</x:v>
      </x:c>
      <x:c r="C18" s="46" t="str">
        <x:v>Synthetic input pack. Preserve source definitions, units, period basis, and sign convention when replacing values.</x:v>
      </x:c>
      <x:c r="D18" s="46" t="str">
        <x:v>Synthetic input pack. Preserve source definitions, units, period basis, and sign convention when replacing values.</x:v>
      </x:c>
      <x:c r="E18" s="46" t="str">
        <x:v>Synthetic input pack. Preserve source definitions, units, period basis, and sign convention when replacing values.</x:v>
      </x:c>
      <x:c r="F18" s="47" t="str">
        <x:v>Synthetic input pack. Preserve source definitions, units, period basis, and sign convention when replacing values.</x:v>
      </x:c>
    </x:row>
    <x:row r="19">
      <x:c r="A19" s="48" t="str">
        <x:v>Synthetic input pack. Preserve source definitions, units, period basis, and sign convention when replacing values.</x:v>
      </x:c>
      <x:c r="B19" s="49" t="str">
        <x:v>Synthetic input pack. Preserve source definitions, units, period basis, and sign convention when replacing values.</x:v>
      </x:c>
      <x:c r="C19" s="49" t="str">
        <x:v>Synthetic input pack. Preserve source definitions, units, period basis, and sign convention when replacing values.</x:v>
      </x:c>
      <x:c r="D19" s="49" t="str">
        <x:v>Synthetic input pack. Preserve source definitions, units, period basis, and sign convention when replacing values.</x:v>
      </x:c>
      <x:c r="E19" s="49" t="str">
        <x:v>Synthetic input pack. Preserve source definitions, units, period basis, and sign convention when replacing values.</x:v>
      </x:c>
      <x:c r="F19" s="50" t="str">
        <x:v>Synthetic input pack. Preserve source definitions, units, period basis, and sign convention when replacing values.</x:v>
      </x:c>
    </x:row>
    <x:row r="21">
      <x:c r="A21" s="53" t="str">
        <x:v>TDAT Model Library  |  Trust builds the brand. Insight builds the decision.</x:v>
      </x:c>
      <x:c r="B21" s="53" t="str">
        <x:v>TDAT Model Library  |  Trust builds the brand. Insight builds the decision.</x:v>
      </x:c>
      <x:c r="C21" s="53" t="str">
        <x:v>TDAT Model Library  |  Trust builds the brand. Insight builds the decision.</x:v>
      </x:c>
      <x:c r="D21" s="53" t="str">
        <x:v>TDAT Model Library  |  Trust builds the brand. Insight builds the decision.</x:v>
      </x:c>
      <x:c r="E21" s="53" t="str">
        <x:v>TDAT Model Library  |  Trust builds the brand. Insight builds the decision.</x:v>
      </x:c>
      <x:c r="F21" s="53" t="str">
        <x:v>TDAT Model Library  |  Trust builds the brand. Insight builds the decision.</x:v>
      </x:c>
    </x:row>
  </x:sheetData>
  <x:mergeCells>
    <x:mergeCell ref="A1:F1"/>
    <x:mergeCell ref="A2:F2"/>
    <x:mergeCell ref="A17:F19"/>
    <x:mergeCell ref="A21:F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CREDIT UNDERWRITING</x:v>
      </x:c>
      <x:c r="B1" s="3" t="str">
        <x:v>CREDIT UNDERWRITING</x:v>
      </x:c>
      <x:c r="C1" s="3" t="str">
        <x:v>CREDIT UNDERWRITING</x:v>
      </x:c>
      <x:c r="D1" s="3" t="str">
        <x:v>CREDIT UNDERWRITING</x:v>
      </x:c>
      <x:c r="E1" s="3" t="str">
        <x:v>CREDIT UNDERWRITING</x:v>
      </x:c>
      <x:c r="F1" s="3" t="str">
        <x:v>CREDIT UNDERWRITING</x:v>
      </x:c>
    </x:row>
    <x:row r="2" ht="24" customHeight="1">
      <x:c r="A2" s="6" t="str">
        <x:v>Credit Underwriting / DSCR  |  Formula-driven core mechanics</x:v>
      </x:c>
      <x:c r="B2" s="6" t="str">
        <x:v>Credit Underwriting / DSCR  |  Formula-driven core mechanics</x:v>
      </x:c>
      <x:c r="C2" s="6" t="str">
        <x:v>Credit Underwriting / DSCR  |  Formula-driven core mechanics</x:v>
      </x:c>
      <x:c r="D2" s="6" t="str">
        <x:v>Credit Underwriting / DSCR  |  Formula-driven core mechanics</x:v>
      </x:c>
      <x:c r="E2" s="6" t="str">
        <x:v>Credit Underwriting / DSCR  |  Formula-driven core mechanics</x:v>
      </x:c>
      <x:c r="F2" s="6" t="str">
        <x:v>Credit Underwriting / DSCR  |  Formula-driven core mechanics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Calculation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8" t="str">
        <x:v>Y5</x:v>
      </x:c>
    </x:row>
    <x:row r="6">
      <x:c r="A6" s="128" t="str">
        <x:v>Normalized EBITDA</x:v>
      </x:c>
      <x:c r="B6" s="129" t="n">
        <x:f>('Borrower Inputs'!B$6+'Borrower Inputs'!B$7-'Borrower Inputs'!B$8)*(1-'Assumptions'!$F$6)</x:f>
        <x:v>75.60000000000001</x:v>
      </x:c>
      <x:c r="C6" s="129" t="n">
        <x:f>('Borrower Inputs'!C$6+'Borrower Inputs'!C$7-'Borrower Inputs'!C$8)*(1-'Assumptions'!$F$6)</x:f>
        <x:v>81</x:v>
      </x:c>
      <x:c r="D6" s="129" t="n">
        <x:f>('Borrower Inputs'!D$6+'Borrower Inputs'!D$7-'Borrower Inputs'!D$8)*(1-'Assumptions'!$F$6)</x:f>
        <x:v>85.5</x:v>
      </x:c>
      <x:c r="E6" s="129" t="n">
        <x:f>('Borrower Inputs'!E$6+'Borrower Inputs'!E$7-'Borrower Inputs'!E$8)*(1-'Assumptions'!$F$6)</x:f>
        <x:v>90.9</x:v>
      </x:c>
      <x:c r="F6" s="129" t="n">
        <x:f>('Borrower Inputs'!F$6+'Borrower Inputs'!F$7-'Borrower Inputs'!F$8)*(1-'Assumptions'!$F$6)</x:f>
        <x:v>95.4</x:v>
      </x:c>
    </x:row>
    <x:row r="7">
      <x:c r="A7" s="130" t="str">
        <x:v>Cash flow available for debt service</x:v>
      </x:c>
      <x:c r="B7" s="131" t="n">
        <x:f>B$6-'Borrower Inputs'!B$9-'Borrower Inputs'!B$10-'Borrower Inputs'!B$11</x:f>
        <x:v>48.60000000000001</x:v>
      </x:c>
      <x:c r="C7" s="131" t="n">
        <x:f>C$6-'Borrower Inputs'!C$9-'Borrower Inputs'!C$10-'Borrower Inputs'!C$11</x:f>
        <x:v>51</x:v>
      </x:c>
      <x:c r="D7" s="131" t="n">
        <x:f>D$6-'Borrower Inputs'!D$9-'Borrower Inputs'!D$10-'Borrower Inputs'!D$11</x:f>
        <x:v>53.5</x:v>
      </x:c>
      <x:c r="E7" s="131" t="n">
        <x:f>E$6-'Borrower Inputs'!E$9-'Borrower Inputs'!E$10-'Borrower Inputs'!E$11</x:f>
        <x:v>55.900000000000006</x:v>
      </x:c>
      <x:c r="F7" s="131" t="n">
        <x:f>F$6-'Borrower Inputs'!F$9-'Borrower Inputs'!F$10-'Borrower Inputs'!F$11</x:f>
        <x:v>58.400000000000006</x:v>
      </x:c>
    </x:row>
    <x:row r="8">
      <x:c r="A8" s="132" t="str">
        <x:v>DSCR</x:v>
      </x:c>
      <x:c r="B8" s="133" t="n">
        <x:f>IF('Borrower Inputs'!B$12=0,0,B$7/'Borrower Inputs'!B$12)</x:f>
        <x:v>1.5677419354838713</x:v>
      </x:c>
      <x:c r="C8" s="133" t="n">
        <x:f>IF('Borrower Inputs'!C$12=0,0,C$7/'Borrower Inputs'!C$12)</x:f>
        <x:v>1.59375</x:v>
      </x:c>
      <x:c r="D8" s="133" t="n">
        <x:f>IF('Borrower Inputs'!D$12=0,0,D$7/'Borrower Inputs'!D$12)</x:f>
        <x:v>1.5735294117647058</x:v>
      </x:c>
      <x:c r="E8" s="133" t="n">
        <x:f>IF('Borrower Inputs'!E$12=0,0,E$7/'Borrower Inputs'!E$12)</x:f>
        <x:v>1.5971428571428572</x:v>
      </x:c>
      <x:c r="F8" s="133" t="n">
        <x:f>IF('Borrower Inputs'!F$12=0,0,F$7/'Borrower Inputs'!F$12)</x:f>
        <x:v>1.5783783783783785</x:v>
      </x:c>
    </x:row>
    <x:row r="9">
      <x:c r="A9" s="130" t="str">
        <x:v>Gross leverage</x:v>
      </x:c>
      <x:c r="B9" s="134" t="n">
        <x:f>IF(B$6=0,0,'Borrower Inputs'!B$13/B$6)</x:f>
        <x:v>3.042328042328042</x:v>
      </x:c>
      <x:c r="C9" s="134" t="n">
        <x:f>IF(C$6=0,0,'Borrower Inputs'!C$13/C$6)</x:f>
        <x:v>2.5925925925925926</x:v>
      </x:c>
      <x:c r="D9" s="134" t="n">
        <x:f>IF(D$6=0,0,'Borrower Inputs'!D$13/D$6)</x:f>
        <x:v>2.2222222222222223</x:v>
      </x:c>
      <x:c r="E9" s="134" t="n">
        <x:f>IF(E$6=0,0,'Borrower Inputs'!E$13/E$6)</x:f>
        <x:v>1.87018701870187</x:v>
      </x:c>
      <x:c r="F9" s="134" t="n">
        <x:f>IF(F$6=0,0,'Borrower Inputs'!F$13/F$6)</x:f>
        <x:v>1.572327044025157</x:v>
      </x:c>
    </x:row>
    <x:row r="10">
      <x:c r="A10" s="135" t="str">
        <x:v>Exposure at default</x:v>
      </x:c>
      <x:c r="B10" s="136" t="n">
        <x:f>'Borrower Inputs'!B$13+'Borrower Inputs'!B$15*'Assumptions'!$F$10</x:f>
        <x:v>255</x:v>
      </x:c>
      <x:c r="C10" s="136" t="n">
        <x:f>'Borrower Inputs'!C$13+'Borrower Inputs'!C$15*'Assumptions'!$F$10</x:f>
        <x:v>232.5</x:v>
      </x:c>
      <x:c r="D10" s="136" t="n">
        <x:f>'Borrower Inputs'!D$13+'Borrower Inputs'!D$15*'Assumptions'!$F$10</x:f>
        <x:v>210</x:v>
      </x:c>
      <x:c r="E10" s="136" t="n">
        <x:f>'Borrower Inputs'!E$13+'Borrower Inputs'!E$15*'Assumptions'!$F$10</x:f>
        <x:v>187.5</x:v>
      </x:c>
      <x:c r="F10" s="136" t="n">
        <x:f>'Borrower Inputs'!F$13+'Borrower Inputs'!F$15*'Assumptions'!$F$10</x:f>
        <x:v>165</x:v>
      </x:c>
    </x:row>
    <x:row r="11">
      <x:c r="A11" s="135" t="str">
        <x:v>Collateral-based capacity</x:v>
      </x:c>
      <x:c r="B11" s="136" t="n">
        <x:f>'Borrower Inputs'!B$14*'Assumptions'!$F$9</x:f>
        <x:v>210</x:v>
      </x:c>
      <x:c r="C11" s="136" t="n">
        <x:f>'Borrower Inputs'!C$14*'Assumptions'!$F$9</x:f>
        <x:v>213.5</x:v>
      </x:c>
      <x:c r="D11" s="136" t="n">
        <x:f>'Borrower Inputs'!D$14*'Assumptions'!$F$9</x:f>
        <x:v>217</x:v>
      </x:c>
      <x:c r="E11" s="136" t="n">
        <x:f>'Borrower Inputs'!E$14*'Assumptions'!$F$9</x:f>
        <x:v>220.5</x:v>
      </x:c>
      <x:c r="F11" s="136" t="n">
        <x:f>'Borrower Inputs'!F$14*'Assumptions'!$F$9</x:f>
        <x:v>224</x:v>
      </x:c>
    </x:row>
    <x:row r="12">
      <x:c r="A12" s="135" t="str">
        <x:v>Cash-flow debt capacity</x:v>
      </x:c>
      <x:c r="B12" s="136" t="n">
        <x:f>MIN(B$6*'Assumptions'!$F$8,B$7/'Assumptions'!$F$7*4)</x:f>
        <x:v>155.52000000000004</x:v>
      </x:c>
      <x:c r="C12" s="136" t="n">
        <x:f>MIN(C$6*'Assumptions'!$F$8,C$7/'Assumptions'!$F$7*4)</x:f>
        <x:v>163.2</x:v>
      </x:c>
      <x:c r="D12" s="136" t="n">
        <x:f>MIN(D$6*'Assumptions'!$F$8,D$7/'Assumptions'!$F$7*4)</x:f>
        <x:v>171.2</x:v>
      </x:c>
      <x:c r="E12" s="136" t="n">
        <x:f>MIN(E$6*'Assumptions'!$F$8,E$7/'Assumptions'!$F$7*4)</x:f>
        <x:v>178.88000000000002</x:v>
      </x:c>
      <x:c r="F12" s="136" t="n">
        <x:f>MIN(F$6*'Assumptions'!$F$8,F$7/'Assumptions'!$F$7*4)</x:f>
        <x:v>186.88000000000002</x:v>
      </x:c>
    </x:row>
    <x:row r="13">
      <x:c r="A13" s="130" t="str">
        <x:v>Underwritten debt capacity</x:v>
      </x:c>
      <x:c r="B13" s="137" t="n">
        <x:f>MIN(B$11,B$12)</x:f>
        <x:v>155.52000000000004</x:v>
      </x:c>
      <x:c r="C13" s="137" t="n">
        <x:f>MIN(C$11,C$12)</x:f>
        <x:v>163.2</x:v>
      </x:c>
      <x:c r="D13" s="137" t="n">
        <x:f>MIN(D$11,D$12)</x:f>
        <x:v>171.2</x:v>
      </x:c>
      <x:c r="E13" s="137" t="n">
        <x:f>MIN(E$11,E$12)</x:f>
        <x:v>178.88000000000002</x:v>
      </x:c>
      <x:c r="F13" s="137" t="n">
        <x:f>MIN(F$11,F$12)</x:f>
        <x:v>186.88000000000002</x:v>
      </x:c>
    </x:row>
    <x:row r="14">
      <x:c r="A14" s="135" t="str">
        <x:v>Capacity headroom</x:v>
      </x:c>
      <x:c r="B14" s="136" t="n">
        <x:f>B$13-'Borrower Inputs'!B$13</x:f>
        <x:v>-74.47999999999996</x:v>
      </x:c>
      <x:c r="C14" s="136" t="n">
        <x:f>C$13-'Borrower Inputs'!C$13</x:f>
        <x:v>-46.80000000000001</x:v>
      </x:c>
      <x:c r="D14" s="136" t="n">
        <x:f>D$13-'Borrower Inputs'!D$13</x:f>
        <x:v>-18.80000000000001</x:v>
      </x:c>
      <x:c r="E14" s="136" t="n">
        <x:f>E$13-'Borrower Inputs'!E$13</x:f>
        <x:v>8.880000000000024</x:v>
      </x:c>
      <x:c r="F14" s="136" t="n">
        <x:f>F$13-'Borrower Inputs'!F$13</x:f>
        <x:v>36.880000000000024</x:v>
      </x:c>
    </x:row>
    <x:row r="15">
      <x:c r="A15" s="135" t="str">
        <x:v>Collateral coverage</x:v>
      </x:c>
      <x:c r="B15" s="138" t="n">
        <x:f>IF(B$10=0,0,'Borrower Inputs'!B$14/B$10)</x:f>
        <x:v>1.1764705882352942</x:v>
      </x:c>
      <x:c r="C15" s="138" t="n">
        <x:f>IF(C$10=0,0,'Borrower Inputs'!C$14/C$10)</x:f>
        <x:v>1.3118279569892473</x:v>
      </x:c>
      <x:c r="D15" s="138" t="n">
        <x:f>IF(D$10=0,0,'Borrower Inputs'!D$14/D$10)</x:f>
        <x:v>1.4761904761904763</x:v>
      </x:c>
      <x:c r="E15" s="138" t="n">
        <x:f>IF(E$10=0,0,'Borrower Inputs'!E$14/E$10)</x:f>
        <x:v>1.68</x:v>
      </x:c>
      <x:c r="F15" s="138" t="n">
        <x:f>IF(F$10=0,0,'Borrower Inputs'!F$14/F$10)</x:f>
        <x:v>1.9393939393939394</x:v>
      </x:c>
    </x:row>
    <x:row r="16">
      <x:c r="A16" s="135" t="str">
        <x:v>DSCR exception flag</x:v>
      </x:c>
      <x:c r="B16" s="139" t="n">
        <x:f>IF(B$8&lt;'Assumptions'!$F$7,1,0)</x:f>
        <x:v>0</x:v>
      </x:c>
      <x:c r="C16" s="139" t="n">
        <x:f>IF(C$8&lt;'Assumptions'!$F$7,1,0)</x:f>
        <x:v>0</x:v>
      </x:c>
      <x:c r="D16" s="139" t="n">
        <x:f>IF(D$8&lt;'Assumptions'!$F$7,1,0)</x:f>
        <x:v>0</x:v>
      </x:c>
      <x:c r="E16" s="139" t="n">
        <x:f>IF(E$8&lt;'Assumptions'!$F$7,1,0)</x:f>
        <x:v>0</x:v>
      </x:c>
      <x:c r="F16" s="139" t="n">
        <x:f>IF(F$8&lt;'Assumptions'!$F$7,1,0)</x:f>
        <x:v>0</x:v>
      </x:c>
    </x:row>
    <x:row r="17">
      <x:c r="A17" s="140" t="str">
        <x:v>Leverage exception flag</x:v>
      </x:c>
      <x:c r="B17" s="141" t="n">
        <x:f>IF(B$9&gt;'Assumptions'!$F$8,1,0)</x:f>
        <x:v>0</x:v>
      </x:c>
      <x:c r="C17" s="141" t="n">
        <x:f>IF(C$9&gt;'Assumptions'!$F$8,1,0)</x:f>
        <x:v>0</x:v>
      </x:c>
      <x:c r="D17" s="141" t="n">
        <x:f>IF(D$9&gt;'Assumptions'!$F$8,1,0)</x:f>
        <x:v>0</x:v>
      </x:c>
      <x:c r="E17" s="141" t="n">
        <x:f>IF(E$9&gt;'Assumptions'!$F$8,1,0)</x:f>
        <x:v>0</x:v>
      </x:c>
      <x:c r="F17" s="141" t="n">
        <x:f>IF(F$9&gt;'Assumptions'!$F$8,1,0)</x:f>
        <x:v>0</x:v>
      </x:c>
    </x:row>
    <x:row r="19">
      <x:c r="A19" s="42" t="str">
        <x:v>Review row definitions, sign convention, period basis, scenario mechanics, and every breakpoint before relying on the output.</x:v>
      </x:c>
      <x:c r="B19" s="43" t="str">
        <x:v>Review row definitions, sign convention, period basis, scenario mechanics, and every breakpoint before relying on the output.</x:v>
      </x:c>
      <x:c r="C19" s="43" t="str">
        <x:v>Review row definitions, sign convention, period basis, scenario mechanics, and every breakpoint before relying on the output.</x:v>
      </x:c>
      <x:c r="D19" s="43" t="str">
        <x:v>Review row definitions, sign convention, period basis, scenario mechanics, and every breakpoint before relying on the output.</x:v>
      </x:c>
      <x:c r="E19" s="43" t="str">
        <x:v>Review row definitions, sign convention, period basis, scenario mechanics, and every breakpoint before relying on the output.</x:v>
      </x:c>
      <x:c r="F19" s="44" t="str">
        <x:v>Review row definitions, sign convention, period basis, scenario mechanics, and every breakpoint before relying on the output.</x:v>
      </x:c>
    </x:row>
    <x:row r="20">
      <x:c r="A20" s="45" t="str">
        <x:v>Review row definitions, sign convention, period basis, scenario mechanics, and every breakpoint before relying on the output.</x:v>
      </x:c>
      <x:c r="B20" s="46" t="str">
        <x:v>Review row definitions, sign convention, period basis, scenario mechanics, and every breakpoint before relying on the output.</x:v>
      </x:c>
      <x:c r="C20" s="46" t="str">
        <x:v>Review row definitions, sign convention, period basis, scenario mechanics, and every breakpoint before relying on the output.</x:v>
      </x:c>
      <x:c r="D20" s="46" t="str">
        <x:v>Review row definitions, sign convention, period basis, scenario mechanics, and every breakpoint before relying on the output.</x:v>
      </x:c>
      <x:c r="E20" s="46" t="str">
        <x:v>Review row definitions, sign convention, period basis, scenario mechanics, and every breakpoint before relying on the output.</x:v>
      </x:c>
      <x:c r="F20" s="47" t="str">
        <x:v>Review row definitions, sign convention, period basis, scenario mechanics, and every breakpoint before relying on the output.</x:v>
      </x:c>
    </x:row>
    <x:row r="21">
      <x:c r="A21" s="48" t="str">
        <x:v>Review row definitions, sign convention, period basis, scenario mechanics, and every breakpoint before relying on the output.</x:v>
      </x:c>
      <x:c r="B21" s="49" t="str">
        <x:v>Review row definitions, sign convention, period basis, scenario mechanics, and every breakpoint before relying on the output.</x:v>
      </x:c>
      <x:c r="C21" s="49" t="str">
        <x:v>Review row definitions, sign convention, period basis, scenario mechanics, and every breakpoint before relying on the output.</x:v>
      </x:c>
      <x:c r="D21" s="49" t="str">
        <x:v>Review row definitions, sign convention, period basis, scenario mechanics, and every breakpoint before relying on the output.</x:v>
      </x:c>
      <x:c r="E21" s="49" t="str">
        <x:v>Review row definitions, sign convention, period basis, scenario mechanics, and every breakpoint before relying on the output.</x:v>
      </x:c>
      <x:c r="F21" s="50" t="str">
        <x:v>Review row definitions, sign convention, period basis, scenario mechanics, and every breakpoint before relying on the output.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</x:row>
  </x:sheetData>
  <x:mergeCells>
    <x:mergeCell ref="A1:F1"/>
    <x:mergeCell ref="A2:F2"/>
    <x:mergeCell ref="A19:F21"/>
    <x:mergeCell ref="A23:F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Credit Underwriting / DSCR  |  Formula-backed decision range</x:v>
      </x:c>
      <x:c r="B2" s="6" t="str">
        <x:v>Credit Underwriting / DSCR  |  Formula-backed decision range</x:v>
      </x:c>
      <x:c r="C2" s="6" t="str">
        <x:v>Credit Underwriting / DSCR  |  Formula-backed decision range</x:v>
      </x:c>
      <x:c r="D2" s="6" t="str">
        <x:v>Credit Underwriting / DSCR  |  Formula-backed decision range</x:v>
      </x:c>
      <x:c r="E2" s="6" t="str">
        <x:v>Credit Underwriting / DSCR  |  Formula-backed decision range</x:v>
      </x:c>
      <x:c r="F2" s="6" t="str">
        <x:v>Credit Underwriting / DSCR  |  Formula-backed decision range</x:v>
      </x:c>
      <x:c r="G2" s="6" t="str">
        <x:v>Credit Underwriting / DSCR  |  Formula-backed decision range</x:v>
      </x:c>
      <x:c r="H2" s="6" t="str">
        <x:v>Credit Underwriting / DSCR  |  Formula-backed decision range</x:v>
      </x:c>
      <x:c r="I2" s="6" t="str">
        <x:v>Credit Underwriting / DSCR  |  Formula-backed decision range</x:v>
      </x:c>
      <x:c r="J2" s="6" t="str">
        <x:v>Credit Underwriting / DSCR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2" t="str">
        <x:v>Year 5 DSCR — CFADS realization by Debt-service realization</x:v>
      </x:c>
      <x:c r="B5" s="142" t="str">
        <x:v>Year 5 DSCR — CFADS realization by Debt-service realization</x:v>
      </x:c>
      <x:c r="C5" s="142" t="str">
        <x:v>Year 5 DSCR — CFADS realization by Debt-service realization</x:v>
      </x:c>
      <x:c r="D5" s="142" t="str">
        <x:v>Year 5 DSCR — CFADS realization by Debt-service realization</x:v>
      </x:c>
      <x:c r="E5" s="142" t="str">
        <x:v>Year 5 DSCR — CFADS realization by Debt-service realization</x:v>
      </x:c>
      <x:c r="F5" s="142" t="str">
        <x:v>Year 5 DSCR — CFADS realization by Debt-service realization</x:v>
      </x:c>
      <x:c r="G5" s="142" t="str">
        <x:v>Year 5 DSCR — CFADS realization by Debt-service realization</x:v>
      </x:c>
      <x:c r="H5" s="142" t="str">
        <x:v>Year 5 DSCR — CFADS realization by Debt-service realization</x:v>
      </x:c>
      <x:c r="I5" s="142" t="str">
        <x:v>Year 5 DSCR — CFADS realization by Debt-service realization</x:v>
      </x:c>
      <x:c r="J5" s="142" t="str">
        <x:v>Year 5 DSCR — CFADS realization by Debt-service realization</x:v>
      </x:c>
    </x:row>
    <x:row r="6">
      <x:c r="A6" t="str">
        <x:v>CFADS realization</x:v>
      </x:c>
      <x:c r="B6" t="str">
        <x:v>Debt-service realization</x:v>
      </x:c>
    </x:row>
    <x:row r="7">
      <x:c r="B7" s="71" t="n">
        <x:v>0.8</x:v>
      </x:c>
      <x:c r="C7" s="71" t="n">
        <x:v>0.9</x:v>
      </x:c>
      <x:c r="D7" s="71" t="n">
        <x:v>1</x:v>
      </x:c>
      <x:c r="E7" s="71" t="n">
        <x:v>1.1</x:v>
      </x:c>
      <x:c r="F7" s="71" t="n">
        <x:v>1.2</x:v>
      </x:c>
    </x:row>
    <x:row r="8">
      <x:c r="A8" s="71" t="n">
        <x:v>0.8</x:v>
      </x:c>
      <x:c r="B8" s="144" t="n">
        <x:f>'Credit Underwriting'!F$7*$A8/('Borrower Inputs'!F$12*B$7)</x:f>
        <x:v>1.5783783783783785</x:v>
      </x:c>
      <x:c r="C8" s="144" t="n">
        <x:f>'Credit Underwriting'!F$7*$A8/('Borrower Inputs'!F$12*C$7)</x:f>
        <x:v>1.403003003003003</x:v>
      </x:c>
      <x:c r="D8" s="144" t="n">
        <x:f>'Credit Underwriting'!F$7*$A8/('Borrower Inputs'!F$12*D$7)</x:f>
        <x:v>1.262702702702703</x:v>
      </x:c>
      <x:c r="E8" s="144" t="n">
        <x:f>'Credit Underwriting'!F$7*$A8/('Borrower Inputs'!F$12*E$7)</x:f>
        <x:v>1.147911547911548</x:v>
      </x:c>
      <x:c r="F8" s="144" t="n">
        <x:f>'Credit Underwriting'!F$7*$A8/('Borrower Inputs'!F$12*F$7)</x:f>
        <x:v>1.0522522522522524</x:v>
      </x:c>
    </x:row>
    <x:row r="9">
      <x:c r="A9" s="71" t="n">
        <x:v>0.9</x:v>
      </x:c>
      <x:c r="B9" s="144" t="n">
        <x:f>'Credit Underwriting'!F$7*$A9/('Borrower Inputs'!F$12*B$7)</x:f>
        <x:v>1.775675675675676</x:v>
      </x:c>
      <x:c r="C9" s="144" t="n">
        <x:f>'Credit Underwriting'!F$7*$A9/('Borrower Inputs'!F$12*C$7)</x:f>
        <x:v>1.5783783783783785</x:v>
      </x:c>
      <x:c r="D9" s="144" t="n">
        <x:f>'Credit Underwriting'!F$7*$A9/('Borrower Inputs'!F$12*D$7)</x:f>
        <x:v>1.4205405405405407</x:v>
      </x:c>
      <x:c r="E9" s="144" t="n">
        <x:f>'Credit Underwriting'!F$7*$A9/('Borrower Inputs'!F$12*E$7)</x:f>
        <x:v>1.2914004914004915</x:v>
      </x:c>
      <x:c r="F9" s="144" t="n">
        <x:f>'Credit Underwriting'!F$7*$A9/('Borrower Inputs'!F$12*F$7)</x:f>
        <x:v>1.1837837837837841</x:v>
      </x:c>
    </x:row>
    <x:row r="10">
      <x:c r="A10" s="71" t="n">
        <x:v>1</x:v>
      </x:c>
      <x:c r="B10" s="144" t="n">
        <x:f>'Credit Underwriting'!F$7*$A10/('Borrower Inputs'!F$12*B$7)</x:f>
        <x:v>1.972972972972973</x:v>
      </x:c>
      <x:c r="C10" s="144" t="n">
        <x:f>'Credit Underwriting'!F$7*$A10/('Borrower Inputs'!F$12*C$7)</x:f>
        <x:v>1.7537537537537538</x:v>
      </x:c>
      <x:c r="D10" s="144" t="n">
        <x:f>'Credit Underwriting'!F$7*$A10/('Borrower Inputs'!F$12*D$7)</x:f>
        <x:v>1.5783783783783785</x:v>
      </x:c>
      <x:c r="E10" s="144" t="n">
        <x:f>'Credit Underwriting'!F$7*$A10/('Borrower Inputs'!F$12*E$7)</x:f>
        <x:v>1.434889434889435</x:v>
      </x:c>
      <x:c r="F10" s="144" t="n">
        <x:f>'Credit Underwriting'!F$7*$A10/('Borrower Inputs'!F$12*F$7)</x:f>
        <x:v>1.3153153153153154</x:v>
      </x:c>
    </x:row>
    <x:row r="11">
      <x:c r="A11" s="71" t="n">
        <x:v>1.1</x:v>
      </x:c>
      <x:c r="B11" s="144" t="n">
        <x:f>'Credit Underwriting'!F$7*$A11/('Borrower Inputs'!F$12*B$7)</x:f>
        <x:v>2.1702702702702705</x:v>
      </x:c>
      <x:c r="C11" s="144" t="n">
        <x:f>'Credit Underwriting'!F$7*$A11/('Borrower Inputs'!F$12*C$7)</x:f>
        <x:v>1.9291291291291293</x:v>
      </x:c>
      <x:c r="D11" s="144" t="n">
        <x:f>'Credit Underwriting'!F$7*$A11/('Borrower Inputs'!F$12*D$7)</x:f>
        <x:v>1.7362162162162165</x:v>
      </x:c>
      <x:c r="E11" s="144" t="n">
        <x:f>'Credit Underwriting'!F$7*$A11/('Borrower Inputs'!F$12*E$7)</x:f>
        <x:v>1.5783783783783785</x:v>
      </x:c>
      <x:c r="F11" s="144" t="n">
        <x:f>'Credit Underwriting'!F$7*$A11/('Borrower Inputs'!F$12*F$7)</x:f>
        <x:v>1.4468468468468472</x:v>
      </x:c>
    </x:row>
    <x:row r="12">
      <x:c r="A12" s="71" t="n">
        <x:v>1.2</x:v>
      </x:c>
      <x:c r="B12" s="144" t="n">
        <x:f>'Credit Underwriting'!F$7*$A12/('Borrower Inputs'!F$12*B$7)</x:f>
        <x:v>2.3675675675675674</x:v>
      </x:c>
      <x:c r="C12" s="144" t="n">
        <x:f>'Credit Underwriting'!F$7*$A12/('Borrower Inputs'!F$12*C$7)</x:f>
        <x:v>2.1045045045045043</x:v>
      </x:c>
      <x:c r="D12" s="144" t="n">
        <x:f>'Credit Underwriting'!F$7*$A12/('Borrower Inputs'!F$12*D$7)</x:f>
        <x:v>1.894054054054054</x:v>
      </x:c>
      <x:c r="E12" s="144" t="n">
        <x:f>'Credit Underwriting'!F$7*$A12/('Borrower Inputs'!F$12*E$7)</x:f>
        <x:v>1.7218673218673217</x:v>
      </x:c>
      <x:c r="F12" s="144" t="n">
        <x:f>'Credit Underwriting'!F$7*$A12/('Borrower Inputs'!F$12*F$7)</x:f>
        <x:v>1.5783783783783785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54" t="str">
        <x:v>Base</x:v>
      </x:c>
      <x:c r="B18" s="155" t="str">
        <x:v>Most likely operating and finance assumptions.</x:v>
      </x:c>
      <x:c r="C18" s="155" t="str">
        <x:v>Base</x:v>
      </x:c>
      <x:c r="D18" s="156" t="str">
        <x:v>What must be true for the base case to hold?</x:v>
      </x:c>
    </x:row>
    <x:row r="19">
      <x:c r="A19" s="157" t="str">
        <x:v>Upside</x:v>
      </x:c>
      <x:c r="B19" s="158" t="str">
        <x:v>Stronger performance, faster conversion, or lower risk/cost.</x:v>
      </x:c>
      <x:c r="C19" s="158" t="str">
        <x:v>Upside</x:v>
      </x:c>
      <x:c r="D19" s="159" t="str">
        <x:v>Which actions unlock the upside?</x:v>
      </x:c>
    </x:row>
    <x:row r="20">
      <x:c r="A20" s="160" t="str">
        <x:v>Downside</x:v>
      </x:c>
      <x:c r="B20" s="161" t="str">
        <x:v>Slower activity, weaker conversion, or higher risk/cost.</x:v>
      </x:c>
      <x:c r="C20" s="161" t="str">
        <x:v>Downside</x:v>
      </x:c>
      <x:c r="D20" s="162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Credit Underwriting / DSCR  |  Decision outputs, trend, breakpoints, and action prompts</x:v>
      </x:c>
      <x:c r="B2" s="6" t="str">
        <x:v>Credit Underwriting / DSCR  |  Decision outputs, trend, breakpoints, and action prompts</x:v>
      </x:c>
      <x:c r="C2" s="6" t="str">
        <x:v>Credit Underwriting / DSCR  |  Decision outputs, trend, breakpoints, and action prompts</x:v>
      </x:c>
      <x:c r="D2" s="6" t="str">
        <x:v>Credit Underwriting / DSCR  |  Decision outputs, trend, breakpoints, and action prompts</x:v>
      </x:c>
      <x:c r="E2" s="6" t="str">
        <x:v>Credit Underwriting / DSCR  |  Decision outputs, trend, breakpoints, and action prompts</x:v>
      </x:c>
      <x:c r="F2" s="6" t="str">
        <x:v>Credit Underwriting / DSCR  |  Decision outputs, trend, breakpoints, and action prompts</x:v>
      </x:c>
      <x:c r="G2" s="6" t="str">
        <x:v>Credit Underwriting / DSCR  |  Decision outputs, trend, breakpoints, and action prompts</x:v>
      </x:c>
      <x:c r="H2" s="6" t="str">
        <x:v>Credit Underwriting / DSCR  |  Decision outputs, trend, breakpoints, and action prompts</x:v>
      </x:c>
      <x:c r="I2" s="6" t="str">
        <x:v>Credit Underwriting / DSCR  |  Decision outputs, trend, breakpoints, and action prompts</x:v>
      </x:c>
      <x:c r="J2" s="6" t="str">
        <x:v>Credit Underwriting / DSCR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64" t="str">
        <x:v>MINIMUM DSCR</x:v>
      </x:c>
      <x:c r="B5" s="164" t="str">
        <x:v>MINIMUM DSCR</x:v>
      </x:c>
      <x:c r="C5" s="164" t="str">
        <x:v>MINIMUM DSCR</x:v>
      </x:c>
      <x:c r="D5" s="164" t="str">
        <x:v>PEAK LEVERAGE</x:v>
      </x:c>
      <x:c r="E5" s="164" t="str">
        <x:v>PEAK LEVERAGE</x:v>
      </x:c>
      <x:c r="F5" s="164" t="str">
        <x:v>PEAK LEVERAGE</x:v>
      </x:c>
      <x:c r="G5" s="164" t="str">
        <x:v>YEAR 5 DEBT CAPACITY</x:v>
      </x:c>
      <x:c r="H5" s="164" t="str">
        <x:v>YEAR 5 DEBT CAPACITY</x:v>
      </x:c>
      <x:c r="I5" s="164" t="str">
        <x:v>YEAR 5 DEBT CAPACITY</x:v>
      </x:c>
      <x:c r="J5" s="182" t="str">
        <x:v>MODEL STATUS</x:v>
      </x:c>
    </x:row>
    <x:row r="6">
      <x:c r="A6" s="168" t="n">
        <x:f>MIN('Credit Underwriting'!B8:F8)</x:f>
        <x:v>1.5677419354838713</x:v>
      </x:c>
      <x:c r="B6" s="168"/>
      <x:c r="C6" s="168"/>
      <x:c r="D6" s="172" t="n">
        <x:f>MAX('Credit Underwriting'!B9:F9)</x:f>
        <x:v>3.042328042328042</x:v>
      </x:c>
      <x:c r="E6" s="172"/>
      <x:c r="F6" s="172"/>
      <x:c r="G6" s="176" t="n">
        <x:f>'Credit Underwriting'!F$13</x:f>
        <x:v>186.88000000000002</x:v>
      </x:c>
      <x:c r="H6" s="176"/>
      <x:c r="I6" s="176"/>
      <x:c r="J6" s="186" t="str">
        <x:f>'Checks'!$B$5</x:f>
        <x:v>PASS</x:v>
      </x:c>
    </x:row>
    <x:row r="7">
      <x:c r="A7" s="168"/>
      <x:c r="B7" s="168"/>
      <x:c r="C7" s="168"/>
      <x:c r="D7" s="172"/>
      <x:c r="E7" s="172"/>
      <x:c r="F7" s="172"/>
      <x:c r="G7" s="176"/>
      <x:c r="H7" s="176"/>
      <x:c r="I7" s="176"/>
      <x:c r="J7" s="186"/>
    </x:row>
    <x:row r="9">
      <x:c r="A9" s="164" t="str">
        <x:v>YEAR 5 HEADROOM</x:v>
      </x:c>
      <x:c r="B9" s="164" t="str">
        <x:v>YEAR 5 HEADROOM</x:v>
      </x:c>
      <x:c r="C9" s="164" t="str">
        <x:v>YEAR 5 HEADROOM</x:v>
      </x:c>
      <x:c r="D9" s="164" t="str">
        <x:v>YEAR 5 COLLATERAL COVERAGE</x:v>
      </x:c>
      <x:c r="E9" s="164" t="str">
        <x:v>YEAR 5 COLLATERAL COVERAGE</x:v>
      </x:c>
      <x:c r="F9" s="164" t="str">
        <x:v>YEAR 5 COLLATERAL COVERAGE</x:v>
      </x:c>
      <x:c r="G9" s="164" t="str">
        <x:v>EXCEPTIONS</x:v>
      </x:c>
      <x:c r="H9" s="164" t="str">
        <x:v>EXCEPTIONS</x:v>
      </x:c>
      <x:c r="I9" s="164" t="str">
        <x:v>EXCEPTIONS</x:v>
      </x:c>
      <x:c r="J9" s="182" t="str">
        <x:v>SCENARIO</x:v>
      </x:c>
    </x:row>
    <x:row r="10">
      <x:c r="A10" s="176" t="n">
        <x:f>'Credit Underwriting'!F$14</x:f>
        <x:v>36.880000000000024</x:v>
      </x:c>
      <x:c r="B10" s="176"/>
      <x:c r="C10" s="176"/>
      <x:c r="D10" s="168" t="n">
        <x:f>'Credit Underwriting'!F$15</x:f>
        <x:v>1.9393939393939394</x:v>
      </x:c>
      <x:c r="E10" s="168"/>
      <x:c r="F10" s="168"/>
      <x:c r="G10" s="180" t="n">
        <x:f>SUM('Credit Underwriting'!B16:F16)+SUM('Credit Underwriting'!B17:F17)</x:f>
        <x:v>0</x:v>
      </x:c>
      <x:c r="H10" s="180"/>
      <x:c r="I10" s="180"/>
      <x:c r="J10" s="189" t="str">
        <x:f>'Assumptions'!$B$3</x:f>
        <x:v>Base</x:v>
      </x:c>
    </x:row>
    <x:row r="11">
      <x:c r="A11" s="176"/>
      <x:c r="B11" s="176"/>
      <x:c r="C11" s="176"/>
      <x:c r="D11" s="168"/>
      <x:c r="E11" s="168"/>
      <x:c r="F11" s="168"/>
      <x:c r="G11" s="180"/>
      <x:c r="H11" s="180"/>
      <x:c r="I11" s="180"/>
      <x:c r="J11" s="189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Cash flow available for debt service</x:v>
      </x:c>
      <x:c r="C15" s="68" t="str">
        <x:v>Underwritten debt capacity</x:v>
      </x:c>
    </x:row>
    <x:row r="16">
      <x:c r="A16" t="str">
        <x:v>Y1</x:v>
      </x:c>
      <x:c r="B16" s="191" t="n">
        <x:f>'Credit Underwriting'!B$7</x:f>
        <x:v>48.60000000000001</x:v>
      </x:c>
      <x:c r="C16" s="191" t="n">
        <x:f>'Credit Underwriting'!B$13</x:f>
        <x:v>155.52000000000004</x:v>
      </x:c>
    </x:row>
    <x:row r="17">
      <x:c r="A17" t="str">
        <x:v>Y2</x:v>
      </x:c>
      <x:c r="B17" s="191" t="n">
        <x:f>'Credit Underwriting'!C$7</x:f>
        <x:v>51</x:v>
      </x:c>
      <x:c r="C17" s="191" t="n">
        <x:f>'Credit Underwriting'!C$13</x:f>
        <x:v>163.2</x:v>
      </x:c>
    </x:row>
    <x:row r="18">
      <x:c r="A18" t="str">
        <x:v>Y3</x:v>
      </x:c>
      <x:c r="B18" s="191" t="n">
        <x:f>'Credit Underwriting'!D$7</x:f>
        <x:v>53.5</x:v>
      </x:c>
      <x:c r="C18" s="191" t="n">
        <x:f>'Credit Underwriting'!D$13</x:f>
        <x:v>171.2</x:v>
      </x:c>
    </x:row>
    <x:row r="19">
      <x:c r="A19" t="str">
        <x:v>Y4</x:v>
      </x:c>
      <x:c r="B19" s="191" t="n">
        <x:f>'Credit Underwriting'!E$7</x:f>
        <x:v>55.900000000000006</x:v>
      </x:c>
      <x:c r="C19" s="191" t="n">
        <x:f>'Credit Underwriting'!E$13</x:f>
        <x:v>178.88000000000002</x:v>
      </x:c>
    </x:row>
    <x:row r="20">
      <x:c r="A20" t="str">
        <x:v>Y5</x:v>
      </x:c>
      <x:c r="B20" s="191" t="n">
        <x:f>'Credit Underwriting'!F$7</x:f>
        <x:v>58.400000000000006</x:v>
      </x:c>
      <x:c r="C20" s="191" t="n">
        <x:f>'Credit Underwriting'!F$13</x:f>
        <x:v>186.88000000000002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Can the borrower afford the facility across base and stressed cash flows?</x:v>
      </x:c>
      <x:c r="C32" s="17" t="str"/>
      <x:c r="D32" s="17" t="str"/>
      <x:c r="E32" s="17" t="str"/>
      <x:c r="F32" s="17" t="str"/>
      <x:c r="G32" s="17" t="str"/>
      <x:c r="H32" s="193" t="str">
        <x:v>Decision owner</x:v>
      </x:c>
      <x:c r="I32" s="193" t="str"/>
      <x:c r="J32" s="193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93" t="str">
        <x:v>Finance / business owner</x:v>
      </x:c>
      <x:c r="I33" s="193" t="str"/>
      <x:c r="J33" s="193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93" t="str">
        <x:v>Finance leader</x:v>
      </x:c>
      <x:c r="I34" s="193" t="str"/>
      <x:c r="J34" s="193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93" t="str">
        <x:v>Model owner</x:v>
      </x:c>
      <x:c r="I35" s="193" t="str"/>
      <x:c r="J35" s="193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93" t="str">
        <x:v>Reviewer</x:v>
      </x:c>
      <x:c r="I36" s="193" t="str"/>
      <x:c r="J36" s="193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93" t="str">
        <x:v>Action owner</x:v>
      </x:c>
      <x:c r="I37" s="193" t="str"/>
      <x:c r="J37" s="193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b5406d64090042e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Credit Underwriting / DSCR  |  One assertion per row — investigate every FAIL</x:v>
      </x:c>
      <x:c r="B2" s="6" t="str">
        <x:v>Credit Underwriting / DSCR  |  One assertion per row — investigate every FAIL</x:v>
      </x:c>
      <x:c r="C2" s="6" t="str">
        <x:v>Credit Underwriting / DSCR  |  One assertion per row — investigate every FAIL</x:v>
      </x:c>
      <x:c r="D2" s="6" t="str">
        <x:v>Credit Underwriting / DSCR  |  One assertion per row — investigate every FAIL</x:v>
      </x:c>
      <x:c r="E2" s="6" t="str">
        <x:v>Credit Underwriting / DSCR  |  One assertion per row — investigate every FAIL</x:v>
      </x:c>
      <x:c r="F2" s="6" t="str">
        <x:v>Credit Underwriting / DSCR  |  One assertion per row — investigate every FAIL</x:v>
      </x:c>
      <x:c r="G2" s="6" t="str">
        <x:v>Credit Underwriting / DSCR  |  One assertion per row — investigate every FAIL</x:v>
      </x:c>
      <x:c r="H2" s="6" t="str">
        <x:v>Credit Underwriting / DSCR  |  One assertion per row — investigate every FAIL</x:v>
      </x:c>
      <x:c r="I2" s="6" t="str">
        <x:v>Credit Underwriting / DSCR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95" t="str">
        <x:f>IF(COUNTIF(G8:G18,"FAIL")=0,"PASS","FAIL")</x:f>
        <x:v>PASS</x:v>
      </x:c>
      <x:c r="C5" s="195"/>
      <x:c r="D5" s="197" t="str">
        <x:v>Published controls: 11. PASS means the listed calculations tie within tolerance; source and decision readiness remain separate.</x:v>
      </x:c>
      <x:c r="E5" s="197" t="str">
        <x:v>Published controls: 11. PASS means the listed calculations tie within tolerance; source and decision readiness remain separate.</x:v>
      </x:c>
      <x:c r="F5" s="197" t="str">
        <x:v>Published controls: 11. PASS means the listed calculations tie within tolerance; source and decision readiness remain separate.</x:v>
      </x:c>
      <x:c r="G5" s="197" t="str">
        <x:v>Published controls: 11. PASS means the listed calculations tie within tolerance; source and decision readiness remain separate.</x:v>
      </x:c>
      <x:c r="H5" s="197" t="str">
        <x:v>Published controls: 11. PASS means the listed calculations tie within tolerance; source and decision readiness remain separate.</x:v>
      </x:c>
      <x:c r="I5" s="197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06" t="str">
        <x:v>Normalized EBITDA remains positive</x:v>
      </x:c>
      <x:c r="B8" s="206" t="str">
        <x:v>Model</x:v>
      </x:c>
      <x:c r="C8" s="207" t="n">
        <x:f>MAX(0,0.0001-MIN('Credit Underwriting'!B6:F6))</x:f>
        <x:v>0</x:v>
      </x:c>
      <x:c r="D8" s="207" t="n">
        <x:v>0</x:v>
      </x:c>
      <x:c r="E8" s="207" t="n">
        <x:f>C8-D8</x:f>
        <x:v>0</x:v>
      </x:c>
      <x:c r="F8" s="207" t="n">
        <x:v>0.0001</x:v>
      </x:c>
      <x:c r="G8" s="208" t="str">
        <x:f>IF(ABS(E8)&lt;=F8,"PASS","FAIL")</x:f>
        <x:v>PASS</x:v>
      </x:c>
      <x:c r="H8" s="209" t="str">
        <x:v>Credit Underwriting — EBITDA</x:v>
      </x:c>
      <x:c r="I8" s="209" t="str">
        <x:v>Credit metrics require a supported positive cash-flow denominator.</x:v>
      </x:c>
    </x:row>
    <x:row r="9">
      <x:c r="A9" s="210" t="str">
        <x:v>Selected case meets minimum DSCR</x:v>
      </x:c>
      <x:c r="B9" s="210" t="str">
        <x:v>Model</x:v>
      </x:c>
      <x:c r="C9" s="211" t="n">
        <x:f>MAX(0,'Assumptions'!$F$7-MIN('Credit Underwriting'!B8:F8))</x:f>
        <x:v>0</x:v>
      </x:c>
      <x:c r="D9" s="211" t="n">
        <x:v>0</x:v>
      </x:c>
      <x:c r="E9" s="211" t="n">
        <x:f>C9-D9</x:f>
        <x:v>0</x:v>
      </x:c>
      <x:c r="F9" s="211" t="n">
        <x:v>0.0001</x:v>
      </x:c>
      <x:c r="G9" s="212" t="str">
        <x:f>IF(ABS(E9)&lt;=F9,"PASS","FAIL")</x:f>
        <x:v>PASS</x:v>
      </x:c>
      <x:c r="H9" s="213" t="str">
        <x:v>Credit Underwriting — DSCR</x:v>
      </x:c>
      <x:c r="I9" s="213" t="str">
        <x:v>Below-threshold periods require an explicit exception and mitigant.</x:v>
      </x:c>
    </x:row>
    <x:row r="10">
      <x:c r="A10" s="210" t="str">
        <x:v>Selected case stays within leverage</x:v>
      </x:c>
      <x:c r="B10" s="210" t="str">
        <x:v>Model</x:v>
      </x:c>
      <x:c r="C10" s="211" t="n">
        <x:f>MAX(0,MAX('Credit Underwriting'!B9:F9)-'Assumptions'!$F$8)</x:f>
        <x:v>0</x:v>
      </x:c>
      <x:c r="D10" s="211" t="n">
        <x:v>0</x:v>
      </x:c>
      <x:c r="E10" s="211" t="n">
        <x:f>C10-D10</x:f>
        <x:v>0</x:v>
      </x:c>
      <x:c r="F10" s="211" t="n">
        <x:v>0.0001</x:v>
      </x:c>
      <x:c r="G10" s="212" t="str">
        <x:f>IF(ABS(E10)&lt;=F10,"PASS","FAIL")</x:f>
        <x:v>PASS</x:v>
      </x:c>
      <x:c r="H10" s="213" t="str">
        <x:v>Credit Underwriting — leverage</x:v>
      </x:c>
      <x:c r="I10" s="213" t="str">
        <x:v>Above-threshold periods require an explicit exception and mitigant.</x:v>
      </x:c>
    </x:row>
    <x:row r="11">
      <x:c r="A11" s="210" t="str">
        <x:v>Collateral and undrawn inputs are non-negative</x:v>
      </x:c>
      <x:c r="B11" s="210" t="str">
        <x:v>Model</x:v>
      </x:c>
      <x:c r="C11" s="214" t="n">
        <x:f>MAX(0,-MIN('Borrower Inputs'!B14:F15))</x:f>
        <x:v>0</x:v>
      </x:c>
      <x:c r="D11" s="214" t="n">
        <x:v>0</x:v>
      </x:c>
      <x:c r="E11" s="214" t="n">
        <x:f>C11-D11</x:f>
        <x:v>0</x:v>
      </x:c>
      <x:c r="F11" s="214" t="n">
        <x:v>0.01</x:v>
      </x:c>
      <x:c r="G11" s="212" t="str">
        <x:f>IF(ABS(E11)&lt;=F11,"PASS","FAIL")</x:f>
        <x:v>PASS</x:v>
      </x:c>
      <x:c r="H11" s="213" t="str">
        <x:v>Borrower Inputs — collateral / undrawn</x:v>
      </x:c>
      <x:c r="I11" s="213" t="str">
        <x:v>Collateral and undrawn commitments cannot be negative.</x:v>
      </x:c>
    </x:row>
    <x:row r="12">
      <x:c r="A12" s="210" t="str">
        <x:v>Scenario selector is valid</x:v>
      </x:c>
      <x:c r="B12" s="210" t="str">
        <x:v>Current</x:v>
      </x:c>
      <x:c r="C12" s="215" t="n">
        <x:f>COUNTIF('Assumptions'!$C$5:$E$5,'Assumptions'!$B$3)</x:f>
        <x:v>1</x:v>
      </x:c>
      <x:c r="D12" s="215" t="n">
        <x:v>1</x:v>
      </x:c>
      <x:c r="E12" s="215" t="n">
        <x:f>C12-D12</x:f>
        <x:v>0</x:v>
      </x:c>
      <x:c r="F12" s="215" t="n">
        <x:v>0</x:v>
      </x:c>
      <x:c r="G12" s="212" t="str">
        <x:f>IF(ABS(E12)&lt;=F12,"PASS","FAIL")</x:f>
        <x:v>PASS</x:v>
      </x:c>
      <x:c r="H12" s="213" t="str">
        <x:v>Assumptions B3</x:v>
      </x:c>
      <x:c r="I12" s="213" t="str">
        <x:v>Base, Upside, or Downside only.</x:v>
      </x:c>
    </x:row>
    <x:row r="13">
      <x:c r="A13" s="210" t="str">
        <x:v>Period headers are complete</x:v>
      </x:c>
      <x:c r="B13" s="210" t="str">
        <x:v>All periods</x:v>
      </x:c>
      <x:c r="C13" s="215" t="n">
        <x:f>COUNTA('Borrower Inputs'!B5:F5)</x:f>
        <x:v>5</x:v>
      </x:c>
      <x:c r="D13" s="215" t="n">
        <x:v>5</x:v>
      </x:c>
      <x:c r="E13" s="215" t="n">
        <x:f>C13-D13</x:f>
        <x:v>0</x:v>
      </x:c>
      <x:c r="F13" s="215" t="n">
        <x:v>0</x:v>
      </x:c>
      <x:c r="G13" s="212" t="str">
        <x:f>IF(ABS(E13)&lt;=F13,"PASS","FAIL")</x:f>
        <x:v>PASS</x:v>
      </x:c>
      <x:c r="H13" s="213" t="str">
        <x:v>Borrower Inputs row 5</x:v>
      </x:c>
      <x:c r="I13" s="213" t="str">
        <x:v>All modeled periods must have a visible header.</x:v>
      </x:c>
    </x:row>
    <x:row r="14">
      <x:c r="A14" s="210" t="str">
        <x:v>Source input grid is complete</x:v>
      </x:c>
      <x:c r="B14" s="210" t="str">
        <x:v>All periods</x:v>
      </x:c>
      <x:c r="C14" s="215" t="n">
        <x:f>COUNTA('Borrower Inputs'!B6:F15)</x:f>
        <x:v>50</x:v>
      </x:c>
      <x:c r="D14" s="215" t="n">
        <x:v>50</x:v>
      </x:c>
      <x:c r="E14" s="215" t="n">
        <x:f>C14-D14</x:f>
        <x:v>0</x:v>
      </x:c>
      <x:c r="F14" s="215" t="n">
        <x:v>0</x:v>
      </x:c>
      <x:c r="G14" s="212" t="str">
        <x:f>IF(ABS(E14)&lt;=F14,"PASS","FAIL")</x:f>
        <x:v>PASS</x:v>
      </x:c>
      <x:c r="H14" s="213" t="str">
        <x:v>Borrower Inputs</x:v>
      </x:c>
      <x:c r="I14" s="213" t="str">
        <x:v>Replace blanks with an approved value or an explicitly documented zero.</x:v>
      </x:c>
    </x:row>
    <x:row r="15">
      <x:c r="A15" s="210" t="str">
        <x:v>Selected assumptions are complete</x:v>
      </x:c>
      <x:c r="B15" s="210" t="str">
        <x:v>Current</x:v>
      </x:c>
      <x:c r="C15" s="215" t="n">
        <x:f>COUNT('Assumptions'!F6:F10)</x:f>
        <x:v>5</x:v>
      </x:c>
      <x:c r="D15" s="215" t="n">
        <x:v>5</x:v>
      </x:c>
      <x:c r="E15" s="215" t="n">
        <x:f>C15-D15</x:f>
        <x:v>0</x:v>
      </x:c>
      <x:c r="F15" s="215" t="n">
        <x:v>0</x:v>
      </x:c>
      <x:c r="G15" s="212" t="str">
        <x:f>IF(ABS(E15)&lt;=F15,"PASS","FAIL")</x:f>
        <x:v>PASS</x:v>
      </x:c>
      <x:c r="H15" s="213" t="str">
        <x:v>Assumptions column F</x:v>
      </x:c>
      <x:c r="I15" s="213" t="str">
        <x:v>Every scenario driver must resolve to a numeric selected value.</x:v>
      </x:c>
    </x:row>
    <x:row r="16">
      <x:c r="A16" s="210" t="str">
        <x:v>Core model cells calculate to numbers</x:v>
      </x:c>
      <x:c r="B16" s="210" t="str">
        <x:v>All periods</x:v>
      </x:c>
      <x:c r="C16" s="215" t="n">
        <x:f>COUNT('Credit Underwriting'!B6:F17)</x:f>
        <x:v>60</x:v>
      </x:c>
      <x:c r="D16" s="215" t="n">
        <x:v>60</x:v>
      </x:c>
      <x:c r="E16" s="215" t="n">
        <x:f>C16-D16</x:f>
        <x:v>0</x:v>
      </x:c>
      <x:c r="F16" s="215" t="n">
        <x:v>0</x:v>
      </x:c>
      <x:c r="G16" s="212" t="str">
        <x:f>IF(ABS(E16)&lt;=F16,"PASS","FAIL")</x:f>
        <x:v>PASS</x:v>
      </x:c>
      <x:c r="H16" s="213" t="str">
        <x:v>Credit Underwriting</x:v>
      </x:c>
      <x:c r="I16" s="213" t="str">
        <x:v>No blank or text output is permitted inside the calculation block.</x:v>
      </x:c>
    </x:row>
    <x:row r="17">
      <x:c r="A17" s="210" t="str">
        <x:v>Sensitivity base ties the headline output</x:v>
      </x:c>
      <x:c r="B17" s="210" t="str">
        <x:v>Base center</x:v>
      </x:c>
      <x:c r="C17" s="211" t="n">
        <x:f>IF('Assumptions'!$B$3="Base",'Sensitivity'!D10,'Credit Underwriting'!F$8)</x:f>
        <x:v>1.5783783783783785</x:v>
      </x:c>
      <x:c r="D17" s="211" t="n">
        <x:f>'Credit Underwriting'!F$8</x:f>
        <x:v>1.5783783783783785</x:v>
      </x:c>
      <x:c r="E17" s="211" t="n">
        <x:f>C17-D17</x:f>
        <x:v>0</x:v>
      </x:c>
      <x:c r="F17" s="211" t="n">
        <x:v>0.02</x:v>
      </x:c>
      <x:c r="G17" s="212" t="str">
        <x:f>IF(ABS(E17)&lt;=F17,"PASS","FAIL")</x:f>
        <x:v>PASS</x:v>
      </x:c>
      <x:c r="H17" s="213" t="str">
        <x:v>Sensitivity / core model</x:v>
      </x:c>
      <x:c r="I17" s="213" t="str">
        <x:v>The center cell must recalculate the Base-case headline output; the assertion is N/A under Upside or Downside.</x:v>
      </x:c>
    </x:row>
    <x:row r="18">
      <x:c r="A18" s="216" t="str">
        <x:v>Headline output is non-negative</x:v>
      </x:c>
      <x:c r="B18" s="216" t="str">
        <x:v>All periods</x:v>
      </x:c>
      <x:c r="C18" s="217" t="n">
        <x:f>MAX(0,-MIN('Credit Underwriting'!B8:F8))</x:f>
        <x:v>0</x:v>
      </x:c>
      <x:c r="D18" s="217" t="n">
        <x:v>0</x:v>
      </x:c>
      <x:c r="E18" s="217" t="n">
        <x:f>C18-D18</x:f>
        <x:v>0</x:v>
      </x:c>
      <x:c r="F18" s="217" t="n">
        <x:v>0.01</x:v>
      </x:c>
      <x:c r="G18" s="218" t="str">
        <x:f>IF(ABS(E18)&lt;=F18,"PASS","FAIL")</x:f>
        <x:v>PASS</x:v>
      </x:c>
      <x:c r="H18" s="219" t="str">
        <x:v>Credit Underwriting — dscr</x:v>
      </x:c>
      <x:c r="I18" s="219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Credit Underwriting / DSCR  |  Assumption register, release facts, and distribution controls</x:v>
      </x:c>
      <x:c r="B2" s="6" t="str">
        <x:v>Credit Underwriting / DSCR  |  Assumption register, release facts, and distribution controls</x:v>
      </x:c>
      <x:c r="C2" s="6" t="str">
        <x:v>Credit Underwriting / DSCR  |  Assumption register, release facts, and distribution controls</x:v>
      </x:c>
      <x:c r="D2" s="6" t="str">
        <x:v>Credit Underwriting / DSCR  |  Assumption register, release facts, and distribution controls</x:v>
      </x:c>
      <x:c r="E2" s="6" t="str">
        <x:v>Credit Underwriting / DSCR  |  Assumption register, release facts, and distribution controls</x:v>
      </x:c>
      <x:c r="F2" s="6" t="str">
        <x:v>Credit Underwriting / DSCR  |  Assumption register, release facts, and distribution controls</x:v>
      </x:c>
      <x:c r="G2" s="6" t="str">
        <x:v>Credit Underwriting / DSCR  |  Assumption register, release facts, and distribution controls</x:v>
      </x:c>
      <x:c r="H2" s="6" t="str">
        <x:v>Credit Underwriting / DSCR  |  Assumption register, release facts, and distribution controls</x:v>
      </x:c>
      <x:c r="I2" s="6" t="str">
        <x:v>Credit Underwriting / DSCR  |  Assumption register, release facts, and distribution controls</x:v>
      </x:c>
      <x:c r="J2" s="6" t="str">
        <x:v>Credit Underwriting / DSCR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54" t="str">
        <x:v>Worked example</x:v>
      </x:c>
      <x:c r="B7" s="155" t="str">
        <x:v>Synthetic case values</x:v>
      </x:c>
      <x:c r="C7" s="155" t="str">
        <x:v>LCY millions</x:v>
      </x:c>
      <x:c r="D7" s="155" t="str">
        <x:v>2026-07-13</x:v>
      </x:c>
      <x:c r="E7" s="155" t="str">
        <x:v>Illustrative</x:v>
      </x:c>
      <x:c r="F7" s="155" t="str">
        <x:v>TDAT model build</x:v>
      </x:c>
      <x:c r="G7" s="155" t="str">
        <x:v>SYN-001</x:v>
      </x:c>
      <x:c r="H7" s="155" t="str">
        <x:v>Illustrative</x:v>
      </x:c>
      <x:c r="I7" s="156" t="str">
        <x:v>Replace before use.</x:v>
      </x:c>
    </x:row>
    <x:row r="8">
      <x:c r="A8" s="157" t="str">
        <x:v>Scenario drivers</x:v>
      </x:c>
      <x:c r="B8" s="158" t="str">
        <x:v>Base / Upside / Downside</x:v>
      </x:c>
      <x:c r="C8" s="158" t="str">
        <x:v>Mixed</x:v>
      </x:c>
      <x:c r="D8" s="158" t="str">
        <x:v>Model horizon</x:v>
      </x:c>
      <x:c r="E8" s="158" t="str">
        <x:v>Assumption</x:v>
      </x:c>
      <x:c r="F8" s="158" t="str">
        <x:v>User / finance owner</x:v>
      </x:c>
      <x:c r="G8" s="158" t="str">
        <x:v>ASM-001</x:v>
      </x:c>
      <x:c r="H8" s="158" t="str">
        <x:v>Open</x:v>
      </x:c>
      <x:c r="I8" s="159" t="str">
        <x:v>Confirm rationale and owner.</x:v>
      </x:c>
    </x:row>
    <x:row r="9">
      <x:c r="A9" s="160" t="str">
        <x:v>Method</x:v>
      </x:c>
      <x:c r="B9" s="161" t="str">
        <x:v>Credit Underwriting</x:v>
      </x:c>
      <x:c r="C9" s="161" t="str">
        <x:v>Method</x:v>
      </x:c>
      <x:c r="D9" s="161" t="str">
        <x:v>Version 1.0.0</x:v>
      </x:c>
      <x:c r="E9" s="161" t="str">
        <x:v>Model method</x:v>
      </x:c>
      <x:c r="F9" s="161" t="str">
        <x:v>Model Guide</x:v>
      </x:c>
      <x:c r="G9" s="161" t="str">
        <x:v>MTH-001</x:v>
      </x:c>
      <x:c r="H9" s="161" t="str">
        <x:v>Template</x:v>
      </x:c>
      <x:c r="I9" s="162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20" t="str">
        <x:v>Owner</x:v>
      </x:c>
      <x:c r="B12" s="155" t="str">
        <x:v>Truong Dinh Anh Tu</x:v>
      </x:c>
      <x:c r="C12" s="222" t="str">
        <x:v>Version</x:v>
      </x:c>
      <x:c r="D12" s="155" t="str">
        <x:v>1.0.0</x:v>
      </x:c>
      <x:c r="E12" s="222" t="str">
        <x:v>Standard</x:v>
      </x:c>
      <x:c r="F12" s="155" t="str">
        <x:v>TDAT Model Standard 1.0</x:v>
      </x:c>
      <x:c r="G12" s="222" t="str">
        <x:v>Last QA</x:v>
      </x:c>
      <x:c r="H12" s="155" t="str">
        <x:v>2026-07-13</x:v>
      </x:c>
      <x:c r="I12" s="222" t="str">
        <x:v>Status</x:v>
      </x:c>
      <x:c r="J12" s="156" t="str">
        <x:v>Available after release gates</x:v>
      </x:c>
    </x:row>
    <x:row r="13">
      <x:c r="A13" s="221" t="str">
        <x:v>Compatibility</x:v>
      </x:c>
      <x:c r="B13" s="161" t="str">
        <x:v>Excel 365</x:v>
      </x:c>
      <x:c r="C13" s="223" t="str">
        <x:v>Macros</x:v>
      </x:c>
      <x:c r="D13" s="161" t="str">
        <x:v>None</x:v>
      </x:c>
      <x:c r="E13" s="223" t="str">
        <x:v>External links</x:v>
      </x:c>
      <x:c r="F13" s="161" t="str">
        <x:v>None</x:v>
      </x:c>
      <x:c r="G13" s="223" t="str">
        <x:v>Circularity</x:v>
      </x:c>
      <x:c r="H13" s="161" t="str">
        <x:v>None</x:v>
      </x:c>
      <x:c r="I13" s="223" t="str">
        <x:v>Evidence</x:v>
      </x:c>
      <x:c r="J13" s="162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27" t="str">
        <x:v>1.0.0</x:v>
      </x:c>
      <x:c r="B17" s="228" t="str">
        <x:v>2026-07-13</x:v>
      </x:c>
      <x:c r="C17" s="228" t="str">
        <x:v>All</x:v>
      </x:c>
      <x:c r="D17" s="228" t="str">
        <x:v>Initial public reusable template</x:v>
      </x:c>
      <x:c r="E17" s="228" t="str">
        <x:v>New model release</x:v>
      </x:c>
      <x:c r="F17" s="228" t="str">
        <x:v>None</x:v>
      </x:c>
      <x:c r="G17" s="228" t="str">
        <x:v>Truong Dinh Anh Tu</x:v>
      </x:c>
      <x:c r="H17" s="228" t="str">
        <x:v>TDAT QA review</x:v>
      </x:c>
      <x:c r="I17" s="229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underwriting support only; it does not approve or recommend credit. Validate borrower information, normalization evidence, facility terms, collateral, guarantees, risk rating, policy exceptions, legal documents, and independent credit judgment.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