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f5277b3fa249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626eeca45b724dda"/>
    <x:sheet xmlns:r="http://schemas.openxmlformats.org/officeDocument/2006/relationships" name="Inputs" sheetId="2" r:id="Ref8978b4b30c4f23"/>
    <x:sheet xmlns:r="http://schemas.openxmlformats.org/officeDocument/2006/relationships" name="Model" sheetId="3" r:id="R15090bab937d4c9e"/>
    <x:sheet xmlns:r="http://schemas.openxmlformats.org/officeDocument/2006/relationships" name="Results" sheetId="4" r:id="R3ddabe3bd2f7431d"/>
    <x:sheet xmlns:r="http://schemas.openxmlformats.org/officeDocument/2006/relationships" name="Checks" sheetId="5" r:id="R78c0da5719a44e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;[Red](#,##0.0);-"/>
    <x:numFmt numFmtId="201" formatCode="0.0%;[Red](0.0%);-"/>
    <x:numFmt numFmtId="202" formatCode="0.0x;[Red](0.0x);-"/>
    <x:numFmt numFmtId="203" formatCode="#,##0;[Red](#,##0);-"/>
    <x:numFmt numFmtId="204" formatCode="0.00;[Red](0.00);-"/>
  </x:numFmts>
  <x:fonts count="13">
    <x:font>
      <x:sz val="11"/>
      <x:name val="Carlito"/>
    </x:font>
    <x:font>
      <x:sz val="11"/>
      <x:color rgb="FF202833"/>
      <x:name val="Carlito"/>
    </x:font>
    <x:font>
      <x:b/>
      <x:sz val="11"/>
      <x:color rgb="FFFFFFFF"/>
      <x:name val="Carlito"/>
    </x:font>
    <x:font>
      <x:b/>
      <x:sz val="11"/>
      <x:color rgb="FF202833"/>
      <x:name val="Carlito"/>
    </x:font>
    <x:font>
      <x:b/>
      <x:sz val="11"/>
      <x:color rgb="FF0000FF"/>
      <x:name val="Carlito"/>
    </x:font>
    <x:font>
      <x:sz val="11"/>
      <x:color rgb="FF68717C"/>
      <x:name val="Carlito"/>
    </x:font>
    <x:font>
      <x:sz val="11"/>
      <x:color rgb="FF805C19"/>
      <x:name val="Carlito"/>
    </x:font>
    <x:font>
      <x:sz val="11"/>
      <x:color rgb="FF202833"/>
      <x:name val="Carlito"/>
    </x:font>
    <x:font>
      <x:b/>
      <x:sz val="11"/>
      <x:color rgb="FF68717C"/>
      <x:name val="Carlito"/>
    </x:font>
    <x:font>
      <x:b/>
      <x:sz val="11"/>
      <x:color rgb="FFB5883A"/>
      <x:name val="Carlito"/>
    </x:font>
    <x:font>
      <x:b/>
      <x:sz val="11"/>
      <x:color rgb="FF247252"/>
      <x:name val="Carlito"/>
    </x:font>
    <x:font>
      <x:b/>
      <x:sz val="11"/>
      <x:color rgb="FF805C19"/>
      <x:name val="Carlito"/>
    </x:font>
    <x:font>
      <x:sz val="11"/>
      <x:color rgb="FFF5F6F8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F5F6F8"/>
      </x:patternFill>
    </x:fill>
    <x:fill>
      <x:patternFill patternType="solid">
        <x:fgColor rgb="FF1C2430"/>
      </x:patternFill>
    </x:fill>
    <x:fill>
      <x:patternFill patternType="solid">
        <x:fgColor rgb="FFB5883A"/>
      </x:patternFill>
    </x:fill>
    <x:fill>
      <x:patternFill patternType="solid">
        <x:fgColor rgb="FFF2E8D5"/>
      </x:patternFill>
    </x:fill>
    <x:fill>
      <x:patternFill patternType="solid">
        <x:fgColor rgb="FF303B49"/>
      </x:patternFill>
    </x:fill>
    <x:fill>
      <x:patternFill patternType="solid">
        <x:fgColor rgb="FFECEFF2"/>
      </x:patternFill>
    </x:fill>
    <x:fill>
      <x:patternFill patternType="solid">
        <x:fgColor rgb="FFFFFFFF"/>
      </x:patternFill>
    </x:fill>
    <x:fill>
      <x:patternFill patternType="solid">
        <x:fgColor rgb="FFF8EBCF"/>
      </x:patternFill>
    </x:fill>
    <x:fill>
      <x:patternFill patternType="solid">
        <x:fgColor rgb="FFE6F2EB"/>
      </x:patternFill>
    </x:fill>
  </x:fills>
  <x:borders count="31">
    <x:border/>
    <x:border>
      <x:left style="thin">
        <x:color rgb="FFD7DBE0"/>
      </x:left>
      <x:top style="thin">
        <x:color rgb="FFD7DBE0"/>
      </x:top>
    </x:border>
    <x:border>
      <x:top style="thin">
        <x:color rgb="FFD7DBE0"/>
      </x:top>
    </x:border>
    <x:border>
      <x:right style="thin">
        <x:color rgb="FFD7DBE0"/>
      </x:right>
      <x:top style="thin">
        <x:color rgb="FFD7DBE0"/>
      </x:top>
    </x:border>
    <x:border>
      <x:left style="thin">
        <x:color rgb="FFD7DBE0"/>
      </x:left>
      <x:bottom style="thin">
        <x:color rgb="FFD7DBE0"/>
      </x:bottom>
    </x:border>
    <x:border>
      <x:bottom style="thin">
        <x:color rgb="FFD7DBE0"/>
      </x:bottom>
    </x:border>
    <x:border>
      <x:right style="thin">
        <x:color rgb="FFD7DBE0"/>
      </x:right>
      <x:bottom style="thin">
        <x:color rgb="FFD7DBE0"/>
      </x:bottom>
    </x:border>
    <x:border>
      <x:bottom style="medium">
        <x:color rgb="FFB5883A"/>
      </x:bottom>
    </x:border>
    <x:border>
      <x:left style="thin">
        <x:color rgb="FFD3AE64"/>
      </x:left>
      <x:right style="thin">
        <x:color rgb="FFD3AE64"/>
      </x:right>
      <x:top style="thin">
        <x:color rgb="FFD3AE64"/>
      </x:top>
      <x:bottom style="thin">
        <x:color rgb="FFD3AE64"/>
      </x:bottom>
    </x:border>
    <x:border>
      <x:left style="thin">
        <x:color rgb="FFD3AE64"/>
      </x:left>
      <x:right style="thin">
        <x:color rgb="FFD3AE64"/>
      </x:right>
    </x:border>
    <x:border>
      <x:left style="thin">
        <x:color rgb="FFD3AE64"/>
      </x:left>
      <x:top style="thin">
        <x:color rgb="FFD3AE64"/>
      </x:top>
    </x:border>
    <x:border>
      <x:top style="thin">
        <x:color rgb="FFD3AE64"/>
      </x:top>
    </x:border>
    <x:border>
      <x:right style="thin">
        <x:color rgb="FFD3AE64"/>
      </x:right>
      <x:top style="thin">
        <x:color rgb="FFD3AE64"/>
      </x:top>
    </x:border>
    <x:border>
      <x:left style="thin">
        <x:color rgb="FFD3AE64"/>
      </x:left>
      <x:bottom style="thin">
        <x:color rgb="FFD3AE64"/>
      </x:bottom>
    </x:border>
    <x:border>
      <x:bottom style="thin">
        <x:color rgb="FFD3AE64"/>
      </x:bottom>
    </x:border>
    <x:border>
      <x:right style="thin">
        <x:color rgb="FFD3AE64"/>
      </x:right>
      <x:bottom style="thin">
        <x:color rgb="FFD3AE64"/>
      </x:bottom>
    </x:border>
    <x:border>
      <x:left style="thin">
        <x:color rgb="FF1C2430"/>
      </x:left>
      <x:top style="thin">
        <x:color rgb="FF1C2430"/>
      </x:top>
      <x:bottom style="thin">
        <x:color rgb="FF1C2430"/>
      </x:bottom>
    </x:border>
    <x:border>
      <x:right style="thin">
        <x:color rgb="FF1C2430"/>
      </x:right>
      <x:top style="thin">
        <x:color rgb="FF1C2430"/>
      </x:top>
      <x:bottom style="thin">
        <x:color rgb="FF1C2430"/>
      </x:bottom>
    </x:border>
    <x:border>
      <x:left style="thin">
        <x:color rgb="FFD7DBE0"/>
      </x:left>
    </x:border>
    <x:border>
      <x:right style="thin">
        <x:color rgb="FFD7DBE0"/>
      </x:right>
    </x:border>
    <x:border>
      <x:left style="thin">
        <x:color rgb="FFB5883A"/>
      </x:left>
      <x:top style="thin">
        <x:color rgb="FFB5883A"/>
      </x:top>
    </x:border>
    <x:border>
      <x:top style="thin">
        <x:color rgb="FFB5883A"/>
      </x:top>
    </x:border>
    <x:border>
      <x:right style="thin">
        <x:color rgb="FFB5883A"/>
      </x:right>
      <x:top style="thin">
        <x:color rgb="FFB5883A"/>
      </x:top>
    </x:border>
    <x:border>
      <x:left style="thin">
        <x:color rgb="FFB5883A"/>
      </x:left>
    </x:border>
    <x:border>
      <x:right style="thin">
        <x:color rgb="FFB5883A"/>
      </x:right>
    </x:border>
    <x:border>
      <x:left style="thin">
        <x:color rgb="FFB5883A"/>
      </x:left>
      <x:bottom style="thin">
        <x:color rgb="FFB5883A"/>
      </x:bottom>
    </x:border>
    <x:border>
      <x:bottom style="thin">
        <x:color rgb="FFB5883A"/>
      </x:bottom>
    </x:border>
    <x:border>
      <x:right style="thin">
        <x:color rgb="FFB5883A"/>
      </x:right>
      <x:bottom style="thin">
        <x:color rgb="FFB5883A"/>
      </x:bottom>
    </x:border>
    <x:border>
      <x:left style="thin">
        <x:color rgb="FFD7DBE0"/>
      </x:left>
      <x:top style="thin">
        <x:color rgb="FFD7DBE0"/>
      </x:top>
      <x:bottom style="thin">
        <x:color rgb="FFD7DBE0"/>
      </x:bottom>
    </x:border>
    <x:border>
      <x:right style="thin">
        <x:color rgb="FFD7DBE0"/>
      </x:right>
      <x:top style="thin">
        <x:color rgb="FFD7DBE0"/>
      </x:top>
      <x:bottom style="thin">
        <x:color rgb="FFD7DBE0"/>
      </x:bottom>
    </x:border>
    <x:border>
      <x:top style="thin">
        <x:color rgb="FFD7DBE0"/>
      </x:top>
      <x:bottom style="thin">
        <x:color rgb="FFD7DBE0"/>
      </x:bottom>
    </x:border>
  </x:borders>
  <x:cellStyleXfs count="1">
    <x:xf numFmtId="0" fontId="0" fillId="0" borderId="0"/>
  </x:cellStyleXfs>
  <x:cellXfs count="2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0" fontId="3" fillId="5" borderId="4" xfId="0" applyNumberFormat="1" applyFont="1" applyFill="1" applyBorder="1" applyAlignment="1">
      <x:alignment vertical="center"/>
    </x:xf>
    <x:xf numFmtId="0" fontId="3" fillId="5" borderId="5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/>
    </x:xf>
    <x:xf numFmtId="0" fontId="2" fillId="6" borderId="7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8" xfId="0" applyNumberFormat="1" applyFont="1" applyFill="1" applyBorder="1" applyAlignment="1">
      <x:alignment vertical="center"/>
    </x:xf>
    <x:xf numFmtId="200" fontId="4" fillId="8" borderId="8" xfId="0" applyNumberFormat="1" applyFont="1" applyFill="1" applyBorder="1" applyAlignment="1">
      <x:alignment vertical="center"/>
    </x:xf>
    <x:xf numFmtId="200" fontId="4" fillId="8" borderId="8" xfId="0" applyNumberFormat="1" applyFont="1" applyFill="1" applyBorder="1" applyAlignment="1">
      <x:alignment horizontal="right"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/>
    </x:xf>
    <x:xf numFmtId="0" fontId="5" fillId="8" borderId="5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vertical="center" wrapText="1"/>
    </x:xf>
    <x:xf numFmtId="200" fontId="4" fillId="8" borderId="9" xfId="0" applyNumberFormat="1" applyFont="1" applyFill="1" applyBorder="1" applyAlignment="1">
      <x:alignment horizontal="right" vertical="center"/>
    </x:xf>
    <x:xf numFmtId="201" fontId="4" fillId="8" borderId="8" xfId="0" applyNumberFormat="1" applyFont="1" applyFill="1" applyBorder="1" applyAlignment="1">
      <x:alignment vertical="center"/>
    </x:xf>
    <x:xf numFmtId="201" fontId="4" fillId="8" borderId="8" xfId="0" applyNumberFormat="1" applyFont="1" applyFill="1" applyBorder="1" applyAlignment="1">
      <x:alignment horizontal="right" vertical="center"/>
    </x:xf>
    <x:xf numFmtId="201" fontId="4" fillId="8" borderId="9" xfId="0" applyNumberFormat="1" applyFont="1" applyFill="1" applyBorder="1" applyAlignment="1">
      <x:alignment horizontal="right" vertical="center"/>
    </x:xf>
    <x:xf numFmtId="202" fontId="4" fillId="8" borderId="8" xfId="0" applyNumberFormat="1" applyFont="1" applyFill="1" applyBorder="1" applyAlignment="1">
      <x:alignment vertical="center"/>
    </x:xf>
    <x:xf numFmtId="202" fontId="4" fillId="8" borderId="8" xfId="0" applyNumberFormat="1" applyFont="1" applyFill="1" applyBorder="1" applyAlignment="1">
      <x:alignment horizontal="right" vertical="center"/>
    </x:xf>
    <x:xf numFmtId="202" fontId="4" fillId="8" borderId="9" xfId="0" applyNumberFormat="1" applyFont="1" applyFill="1" applyBorder="1" applyAlignment="1">
      <x:alignment horizontal="right" vertical="center"/>
    </x:xf>
    <x:xf numFmtId="0" fontId="1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</x:xf>
    <x:xf numFmtId="0" fontId="6" fillId="9" borderId="10" xfId="0" applyNumberFormat="1" applyFont="1" applyFill="1" applyBorder="1" applyAlignment="1">
      <x:alignment vertical="center"/>
    </x:xf>
    <x:xf numFmtId="0" fontId="6" fillId="9" borderId="11" xfId="0" applyNumberFormat="1" applyFont="1" applyFill="1" applyBorder="1" applyAlignment="1">
      <x:alignment vertical="center"/>
    </x:xf>
    <x:xf numFmtId="0" fontId="6" fillId="9" borderId="12" xfId="0" applyNumberFormat="1" applyFont="1" applyFill="1" applyBorder="1" applyAlignment="1">
      <x:alignment vertical="center"/>
    </x:xf>
    <x:xf numFmtId="0" fontId="6" fillId="9" borderId="13" xfId="0" applyNumberFormat="1" applyFont="1" applyFill="1" applyBorder="1" applyAlignment="1">
      <x:alignment vertical="center"/>
    </x:xf>
    <x:xf numFmtId="0" fontId="6" fillId="9" borderId="14" xfId="0" applyNumberFormat="1" applyFont="1" applyFill="1" applyBorder="1" applyAlignment="1">
      <x:alignment vertical="center"/>
    </x:xf>
    <x:xf numFmtId="0" fontId="6" fillId="9" borderId="15" xfId="0" applyNumberFormat="1" applyFont="1" applyFill="1" applyBorder="1" applyAlignment="1">
      <x:alignment vertical="center"/>
    </x:xf>
    <x:xf numFmtId="0" fontId="6" fillId="9" borderId="10" xfId="0" applyNumberFormat="1" applyFont="1" applyFill="1" applyBorder="1" applyAlignment="1">
      <x:alignment vertical="center" wrapText="1"/>
    </x:xf>
    <x:xf numFmtId="0" fontId="6" fillId="9" borderId="11" xfId="0" applyNumberFormat="1" applyFont="1" applyFill="1" applyBorder="1" applyAlignment="1">
      <x:alignment vertical="center" wrapText="1"/>
    </x:xf>
    <x:xf numFmtId="0" fontId="6" fillId="9" borderId="12" xfId="0" applyNumberFormat="1" applyFont="1" applyFill="1" applyBorder="1" applyAlignment="1">
      <x:alignment vertical="center" wrapText="1"/>
    </x:xf>
    <x:xf numFmtId="0" fontId="6" fillId="9" borderId="13" xfId="0" applyNumberFormat="1" applyFont="1" applyFill="1" applyBorder="1" applyAlignment="1">
      <x:alignment vertical="center" wrapText="1"/>
    </x:xf>
    <x:xf numFmtId="0" fontId="6" fillId="9" borderId="14" xfId="0" applyNumberFormat="1" applyFont="1" applyFill="1" applyBorder="1" applyAlignment="1">
      <x:alignment vertical="center" wrapText="1"/>
    </x:xf>
    <x:xf numFmtId="0" fontId="6" fillId="9" borderId="15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6" borderId="7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right" vertical="center"/>
    </x:xf>
    <x:xf numFmtId="0" fontId="7" fillId="2" borderId="0" xfId="0" applyNumberFormat="1" applyFont="1" applyFill="1" applyBorder="1" applyAlignment="1">
      <x:alignment vertical="center"/>
    </x:xf>
    <x:xf numFmtId="200" fontId="7" fillId="2" borderId="0" xfId="0" applyNumberFormat="1" applyFont="1" applyFill="1" applyBorder="1" applyAlignment="1">
      <x:alignment vertical="center"/>
    </x:xf>
    <x:xf numFmtId="200" fontId="7" fillId="2" borderId="0" xfId="0" applyNumberFormat="1" applyFont="1" applyFill="1" applyBorder="1" applyAlignment="1">
      <x:alignment horizontal="right"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200" fontId="7" fillId="8" borderId="0" xfId="0" applyNumberFormat="1" applyFont="1" applyFill="1" applyBorder="1" applyAlignment="1">
      <x:alignment horizontal="right" vertical="center"/>
    </x:xf>
    <x:xf numFmtId="0" fontId="5" fillId="8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right" vertical="center"/>
    </x:xf>
    <x:xf numFmtId="200" fontId="3" fillId="8" borderId="0" xfId="0" applyNumberFormat="1" applyFont="1" applyFill="1" applyBorder="1" applyAlignment="1">
      <x:alignment horizontal="right" vertical="center"/>
    </x:xf>
    <x:xf numFmtId="0" fontId="3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horizontal="left" vertical="center" wrapText="1"/>
    </x:xf>
    <x:xf numFmtId="200" fontId="3" fillId="5" borderId="0" xfId="0" applyNumberFormat="1" applyFont="1" applyFill="1" applyBorder="1" applyAlignment="1">
      <x:alignment horizontal="right" vertical="center"/>
    </x:xf>
    <x:xf numFmtId="0" fontId="5" fillId="5" borderId="0" xfId="0" applyNumberFormat="1" applyFont="1" applyFill="1" applyBorder="1" applyAlignment="1">
      <x:alignment horizontal="left" vertical="center" wrapText="1"/>
    </x:xf>
    <x:xf numFmtId="0" fontId="8" fillId="5" borderId="0" xfId="0" applyNumberFormat="1" applyFont="1" applyFill="1" applyBorder="1" applyAlignment="1">
      <x:alignment horizontal="left" vertical="center" wrapText="1"/>
    </x:xf>
    <x:xf numFmtId="0" fontId="1" fillId="10" borderId="0" xfId="0" applyNumberFormat="1" applyFont="1" applyFill="1" applyBorder="1" applyAlignment="1">
      <x:alignment vertical="center"/>
    </x:xf>
    <x:xf numFmtId="200" fontId="3" fillId="10" borderId="0" xfId="0" applyNumberFormat="1" applyFont="1" applyFill="1" applyBorder="1" applyAlignment="1">
      <x:alignment horizontal="right" vertical="center"/>
    </x:xf>
    <x:xf numFmtId="0" fontId="5" fillId="10" borderId="0" xfId="0" applyNumberFormat="1" applyFont="1" applyFill="1" applyBorder="1" applyAlignment="1">
      <x:alignment horizontal="left" vertical="center" wrapText="1"/>
    </x:xf>
    <x:xf numFmtId="0" fontId="3" fillId="10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horizontal="left" vertical="center" wrapText="1"/>
    </x:xf>
    <x:xf numFmtId="202" fontId="3" fillId="2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horizontal="right" vertical="center"/>
    </x:xf>
    <x:xf numFmtId="202" fontId="3" fillId="8" borderId="0" xfId="0" applyNumberFormat="1" applyFont="1" applyFill="1" applyBorder="1" applyAlignment="1">
      <x:alignment horizontal="right" vertical="center"/>
    </x:xf>
    <x:xf numFmtId="202" fontId="3" fillId="5" borderId="0" xfId="0" applyNumberFormat="1" applyFont="1" applyFill="1" applyBorder="1" applyAlignment="1">
      <x:alignment horizontal="right" vertical="center"/>
    </x:xf>
    <x:xf numFmtId="203" fontId="3" fillId="2" borderId="0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horizontal="right" vertical="center"/>
    </x:xf>
    <x:xf numFmtId="203" fontId="3" fillId="8" borderId="0" xfId="0" applyNumberFormat="1" applyFont="1" applyFill="1" applyBorder="1" applyAlignment="1">
      <x:alignment horizontal="right" vertical="center"/>
    </x:xf>
    <x:xf numFmtId="204" fontId="7" fillId="2" borderId="0" xfId="0" applyNumberFormat="1" applyFont="1" applyFill="1" applyBorder="1" applyAlignment="1">
      <x:alignment vertical="center"/>
    </x:xf>
    <x:xf numFmtId="204" fontId="7" fillId="2" borderId="0" xfId="0" applyNumberFormat="1" applyFont="1" applyFill="1" applyBorder="1" applyAlignment="1">
      <x:alignment horizontal="right" vertical="center"/>
    </x:xf>
    <x:xf numFmtId="204" fontId="7" fillId="8" borderId="0" xfId="0" applyNumberFormat="1" applyFont="1" applyFill="1" applyBorder="1" applyAlignment="1">
      <x:alignment horizontal="right" vertical="center"/>
    </x:xf>
    <x:xf numFmtId="0" fontId="2" fillId="3" borderId="16" xfId="0" applyNumberFormat="1" applyFont="1" applyFill="1" applyBorder="1" applyAlignment="1">
      <x:alignment vertical="center"/>
    </x:xf>
    <x:xf numFmtId="0" fontId="2" fillId="3" borderId="17" xfId="0" applyNumberFormat="1" applyFont="1" applyFill="1" applyBorder="1" applyAlignment="1">
      <x:alignment vertical="center"/>
    </x:xf>
    <x:xf numFmtId="0" fontId="2" fillId="3" borderId="16" xfId="0" applyNumberFormat="1" applyFont="1" applyFill="1" applyBorder="1" applyAlignment="1">
      <x:alignment horizontal="center" vertical="center"/>
    </x:xf>
    <x:xf numFmtId="0" fontId="2" fillId="3" borderId="17" xfId="0" applyNumberFormat="1" applyFont="1" applyFill="1" applyBorder="1" applyAlignment="1">
      <x:alignment horizontal="center" vertical="center"/>
    </x:xf>
    <x:xf numFmtId="0" fontId="9" fillId="8" borderId="0" xfId="0" applyNumberFormat="1" applyFont="1" applyFill="1" applyBorder="1" applyAlignment="1">
      <x:alignment vertical="center"/>
    </x:xf>
    <x:xf numFmtId="0" fontId="9" fillId="8" borderId="1" xfId="0" applyNumberFormat="1" applyFont="1" applyFill="1" applyBorder="1" applyAlignment="1">
      <x:alignment vertical="center"/>
    </x:xf>
    <x:xf numFmtId="0" fontId="9" fillId="8" borderId="3" xfId="0" applyNumberFormat="1" applyFont="1" applyFill="1" applyBorder="1" applyAlignment="1">
      <x:alignment vertical="center"/>
    </x:xf>
    <x:xf numFmtId="0" fontId="9" fillId="8" borderId="18" xfId="0" applyNumberFormat="1" applyFont="1" applyFill="1" applyBorder="1" applyAlignment="1">
      <x:alignment vertical="center"/>
    </x:xf>
    <x:xf numFmtId="0" fontId="9" fillId="8" borderId="19" xfId="0" applyNumberFormat="1" applyFont="1" applyFill="1" applyBorder="1" applyAlignment="1">
      <x:alignment vertical="center"/>
    </x:xf>
    <x:xf numFmtId="0" fontId="9" fillId="8" borderId="4" xfId="0" applyNumberFormat="1" applyFont="1" applyFill="1" applyBorder="1" applyAlignment="1">
      <x:alignment vertical="center"/>
    </x:xf>
    <x:xf numFmtId="0" fontId="9" fillId="8" borderId="6" xfId="0" applyNumberFormat="1" applyFont="1" applyFill="1" applyBorder="1" applyAlignment="1">
      <x:alignment vertical="center"/>
    </x:xf>
    <x:xf numFmtId="202" fontId="9" fillId="8" borderId="1" xfId="0" applyNumberFormat="1" applyFont="1" applyFill="1" applyBorder="1" applyAlignment="1">
      <x:alignment vertical="center"/>
    </x:xf>
    <x:xf numFmtId="202" fontId="9" fillId="8" borderId="3" xfId="0" applyNumberFormat="1" applyFont="1" applyFill="1" applyBorder="1" applyAlignment="1">
      <x:alignment vertical="center"/>
    </x:xf>
    <x:xf numFmtId="202" fontId="9" fillId="8" borderId="18" xfId="0" applyNumberFormat="1" applyFont="1" applyFill="1" applyBorder="1" applyAlignment="1">
      <x:alignment vertical="center"/>
    </x:xf>
    <x:xf numFmtId="202" fontId="9" fillId="8" borderId="19" xfId="0" applyNumberFormat="1" applyFont="1" applyFill="1" applyBorder="1" applyAlignment="1">
      <x:alignment vertical="center"/>
    </x:xf>
    <x:xf numFmtId="202" fontId="9" fillId="8" borderId="4" xfId="0" applyNumberFormat="1" applyFont="1" applyFill="1" applyBorder="1" applyAlignment="1">
      <x:alignment vertical="center"/>
    </x:xf>
    <x:xf numFmtId="202" fontId="9" fillId="8" borderId="6" xfId="0" applyNumberFormat="1" applyFont="1" applyFill="1" applyBorder="1" applyAlignment="1">
      <x:alignment vertical="center"/>
    </x:xf>
    <x:xf numFmtId="202" fontId="9" fillId="8" borderId="1" xfId="0" applyNumberFormat="1" applyFont="1" applyFill="1" applyBorder="1" applyAlignment="1">
      <x:alignment horizontal="center" vertical="center"/>
    </x:xf>
    <x:xf numFmtId="202" fontId="9" fillId="8" borderId="3" xfId="0" applyNumberFormat="1" applyFont="1" applyFill="1" applyBorder="1" applyAlignment="1">
      <x:alignment horizontal="center" vertical="center"/>
    </x:xf>
    <x:xf numFmtId="202" fontId="9" fillId="8" borderId="18" xfId="0" applyNumberFormat="1" applyFont="1" applyFill="1" applyBorder="1" applyAlignment="1">
      <x:alignment horizontal="center" vertical="center"/>
    </x:xf>
    <x:xf numFmtId="202" fontId="9" fillId="8" borderId="19" xfId="0" applyNumberFormat="1" applyFont="1" applyFill="1" applyBorder="1" applyAlignment="1">
      <x:alignment horizontal="center" vertical="center"/>
    </x:xf>
    <x:xf numFmtId="202" fontId="9" fillId="8" borderId="4" xfId="0" applyNumberFormat="1" applyFont="1" applyFill="1" applyBorder="1" applyAlignment="1">
      <x:alignment horizontal="center" vertical="center"/>
    </x:xf>
    <x:xf numFmtId="202" fontId="9" fillId="8" borderId="6" xfId="0" applyNumberFormat="1" applyFont="1" applyFill="1" applyBorder="1" applyAlignment="1">
      <x:alignment horizontal="center" vertical="center"/>
    </x:xf>
    <x:xf numFmtId="200" fontId="9" fillId="8" borderId="1" xfId="0" applyNumberFormat="1" applyFont="1" applyFill="1" applyBorder="1" applyAlignment="1">
      <x:alignment vertical="center"/>
    </x:xf>
    <x:xf numFmtId="200" fontId="9" fillId="8" borderId="3" xfId="0" applyNumberFormat="1" applyFont="1" applyFill="1" applyBorder="1" applyAlignment="1">
      <x:alignment vertical="center"/>
    </x:xf>
    <x:xf numFmtId="200" fontId="9" fillId="8" borderId="18" xfId="0" applyNumberFormat="1" applyFont="1" applyFill="1" applyBorder="1" applyAlignment="1">
      <x:alignment vertical="center"/>
    </x:xf>
    <x:xf numFmtId="200" fontId="9" fillId="8" borderId="19" xfId="0" applyNumberFormat="1" applyFont="1" applyFill="1" applyBorder="1" applyAlignment="1">
      <x:alignment vertical="center"/>
    </x:xf>
    <x:xf numFmtId="200" fontId="9" fillId="8" borderId="4" xfId="0" applyNumberFormat="1" applyFont="1" applyFill="1" applyBorder="1" applyAlignment="1">
      <x:alignment vertical="center"/>
    </x:xf>
    <x:xf numFmtId="200" fontId="9" fillId="8" borderId="6" xfId="0" applyNumberFormat="1" applyFont="1" applyFill="1" applyBorder="1" applyAlignment="1">
      <x:alignment vertical="center"/>
    </x:xf>
    <x:xf numFmtId="200" fontId="9" fillId="8" borderId="1" xfId="0" applyNumberFormat="1" applyFont="1" applyFill="1" applyBorder="1" applyAlignment="1">
      <x:alignment horizontal="center" vertical="center"/>
    </x:xf>
    <x:xf numFmtId="200" fontId="9" fillId="8" borderId="3" xfId="0" applyNumberFormat="1" applyFont="1" applyFill="1" applyBorder="1" applyAlignment="1">
      <x:alignment horizontal="center" vertical="center"/>
    </x:xf>
    <x:xf numFmtId="200" fontId="9" fillId="8" borderId="18" xfId="0" applyNumberFormat="1" applyFont="1" applyFill="1" applyBorder="1" applyAlignment="1">
      <x:alignment horizontal="center" vertical="center"/>
    </x:xf>
    <x:xf numFmtId="200" fontId="9" fillId="8" borderId="19" xfId="0" applyNumberFormat="1" applyFont="1" applyFill="1" applyBorder="1" applyAlignment="1">
      <x:alignment horizontal="center" vertical="center"/>
    </x:xf>
    <x:xf numFmtId="200" fontId="9" fillId="8" borderId="4" xfId="0" applyNumberFormat="1" applyFont="1" applyFill="1" applyBorder="1" applyAlignment="1">
      <x:alignment horizontal="center" vertical="center"/>
    </x:xf>
    <x:xf numFmtId="200" fontId="9" fillId="8" borderId="6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 applyAlignment="1">
      <x:alignment vertical="center"/>
    </x:xf>
    <x:xf numFmtId="0" fontId="9" fillId="5" borderId="20" xfId="0" applyNumberFormat="1" applyFont="1" applyFill="1" applyBorder="1" applyAlignment="1">
      <x:alignment vertical="center"/>
    </x:xf>
    <x:xf numFmtId="0" fontId="9" fillId="5" borderId="21" xfId="0" applyNumberFormat="1" applyFont="1" applyFill="1" applyBorder="1" applyAlignment="1">
      <x:alignment vertical="center"/>
    </x:xf>
    <x:xf numFmtId="0" fontId="9" fillId="5" borderId="22" xfId="0" applyNumberFormat="1" applyFont="1" applyFill="1" applyBorder="1" applyAlignment="1">
      <x:alignment vertical="center"/>
    </x:xf>
    <x:xf numFmtId="0" fontId="9" fillId="5" borderId="23" xfId="0" applyNumberFormat="1" applyFont="1" applyFill="1" applyBorder="1" applyAlignment="1">
      <x:alignment vertical="center"/>
    </x:xf>
    <x:xf numFmtId="0" fontId="9" fillId="5" borderId="24" xfId="0" applyNumberFormat="1" applyFont="1" applyFill="1" applyBorder="1" applyAlignment="1">
      <x:alignment vertical="center"/>
    </x:xf>
    <x:xf numFmtId="0" fontId="9" fillId="5" borderId="25" xfId="0" applyNumberFormat="1" applyFont="1" applyFill="1" applyBorder="1" applyAlignment="1">
      <x:alignment vertical="center"/>
    </x:xf>
    <x:xf numFmtId="0" fontId="9" fillId="5" borderId="26" xfId="0" applyNumberFormat="1" applyFont="1" applyFill="1" applyBorder="1" applyAlignment="1">
      <x:alignment vertical="center"/>
    </x:xf>
    <x:xf numFmtId="0" fontId="9" fillId="5" borderId="27" xfId="0" applyNumberFormat="1" applyFont="1" applyFill="1" applyBorder="1" applyAlignment="1">
      <x:alignment vertical="center"/>
    </x:xf>
    <x:xf numFmtId="0" fontId="9" fillId="5" borderId="20" xfId="0" applyNumberFormat="1" applyFont="1" applyFill="1" applyBorder="1" applyAlignment="1">
      <x:alignment vertical="center" wrapText="1"/>
    </x:xf>
    <x:xf numFmtId="0" fontId="9" fillId="5" borderId="21" xfId="0" applyNumberFormat="1" applyFont="1" applyFill="1" applyBorder="1" applyAlignment="1">
      <x:alignment vertical="center" wrapText="1"/>
    </x:xf>
    <x:xf numFmtId="0" fontId="9" fillId="5" borderId="22" xfId="0" applyNumberFormat="1" applyFont="1" applyFill="1" applyBorder="1" applyAlignment="1">
      <x:alignment vertical="center" wrapText="1"/>
    </x:xf>
    <x:xf numFmtId="0" fontId="9" fillId="5" borderId="23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9" fillId="5" borderId="24" xfId="0" applyNumberFormat="1" applyFont="1" applyFill="1" applyBorder="1" applyAlignment="1">
      <x:alignment vertical="center" wrapText="1"/>
    </x:xf>
    <x:xf numFmtId="0" fontId="9" fillId="5" borderId="25" xfId="0" applyNumberFormat="1" applyFont="1" applyFill="1" applyBorder="1" applyAlignment="1">
      <x:alignment vertical="center" wrapText="1"/>
    </x:xf>
    <x:xf numFmtId="0" fontId="9" fillId="5" borderId="26" xfId="0" applyNumberFormat="1" applyFont="1" applyFill="1" applyBorder="1" applyAlignment="1">
      <x:alignment vertical="center" wrapText="1"/>
    </x:xf>
    <x:xf numFmtId="0" fontId="9" fillId="5" borderId="27" xfId="0" applyNumberFormat="1" applyFont="1" applyFill="1" applyBorder="1" applyAlignment="1">
      <x:alignment vertical="center" wrapText="1"/>
    </x:xf>
    <x:xf numFmtId="0" fontId="9" fillId="5" borderId="20" xfId="0" applyNumberFormat="1" applyFont="1" applyFill="1" applyBorder="1" applyAlignment="1">
      <x:alignment horizontal="center" vertical="center" wrapText="1"/>
    </x:xf>
    <x:xf numFmtId="0" fontId="9" fillId="5" borderId="21" xfId="0" applyNumberFormat="1" applyFont="1" applyFill="1" applyBorder="1" applyAlignment="1">
      <x:alignment horizontal="center" vertical="center" wrapText="1"/>
    </x:xf>
    <x:xf numFmtId="0" fontId="9" fillId="5" borderId="22" xfId="0" applyNumberFormat="1" applyFont="1" applyFill="1" applyBorder="1" applyAlignment="1">
      <x:alignment horizontal="center" vertical="center" wrapText="1"/>
    </x:xf>
    <x:xf numFmtId="0" fontId="9" fillId="5" borderId="23" xfId="0" applyNumberFormat="1" applyFont="1" applyFill="1" applyBorder="1" applyAlignment="1">
      <x:alignment horizontal="center" vertical="center" wrapText="1"/>
    </x:xf>
    <x:xf numFmtId="0" fontId="9" fillId="5" borderId="0" xfId="0" applyNumberFormat="1" applyFont="1" applyFill="1" applyBorder="1" applyAlignment="1">
      <x:alignment horizontal="center" vertical="center" wrapText="1"/>
    </x:xf>
    <x:xf numFmtId="0" fontId="9" fillId="5" borderId="24" xfId="0" applyNumberFormat="1" applyFont="1" applyFill="1" applyBorder="1" applyAlignment="1">
      <x:alignment horizontal="center" vertical="center" wrapText="1"/>
    </x:xf>
    <x:xf numFmtId="0" fontId="9" fillId="5" borderId="25" xfId="0" applyNumberFormat="1" applyFont="1" applyFill="1" applyBorder="1" applyAlignment="1">
      <x:alignment horizontal="center" vertical="center" wrapText="1"/>
    </x:xf>
    <x:xf numFmtId="0" fontId="9" fillId="5" borderId="26" xfId="0" applyNumberFormat="1" applyFont="1" applyFill="1" applyBorder="1" applyAlignment="1">
      <x:alignment horizontal="center" vertical="center" wrapText="1"/>
    </x:xf>
    <x:xf numFmtId="0" fontId="9" fillId="5" borderId="27" xfId="0" applyNumberFormat="1" applyFont="1" applyFill="1" applyBorder="1" applyAlignment="1">
      <x:alignment horizontal="center" vertical="center" wrapText="1"/>
    </x:xf>
    <x:xf numFmtId="0" fontId="8" fillId="7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horizontal="center" vertical="center"/>
    </x:xf>
    <x:xf numFmtId="0" fontId="10" fillId="8" borderId="0" xfId="0" applyNumberFormat="1" applyFont="1" applyFill="1" applyBorder="1" applyAlignment="1">
      <x:alignment vertical="center"/>
    </x:xf>
    <x:xf numFmtId="0" fontId="10" fillId="8" borderId="28" xfId="0" applyNumberFormat="1" applyFont="1" applyFill="1" applyBorder="1" applyAlignment="1">
      <x:alignment vertical="center"/>
    </x:xf>
    <x:xf numFmtId="0" fontId="10" fillId="8" borderId="29" xfId="0" applyNumberFormat="1" applyFont="1" applyFill="1" applyBorder="1" applyAlignment="1">
      <x:alignment vertical="center"/>
    </x:xf>
    <x:xf numFmtId="0" fontId="10" fillId="8" borderId="28" xfId="0" applyNumberFormat="1" applyFont="1" applyFill="1" applyBorder="1" applyAlignment="1">
      <x:alignment horizontal="center" vertical="center"/>
    </x:xf>
    <x:xf numFmtId="0" fontId="10" fillId="8" borderId="29" xfId="0" applyNumberFormat="1" applyFont="1" applyFill="1" applyBorder="1" applyAlignment="1">
      <x:alignment horizontal="center" vertical="center"/>
    </x:xf>
    <x:xf numFmtId="0" fontId="11" fillId="9" borderId="0" xfId="0" applyNumberFormat="1" applyFont="1" applyFill="1" applyBorder="1" applyAlignment="1">
      <x:alignment vertical="center"/>
    </x:xf>
    <x:xf numFmtId="0" fontId="11" fillId="9" borderId="28" xfId="0" applyNumberFormat="1" applyFont="1" applyFill="1" applyBorder="1" applyAlignment="1">
      <x:alignment vertical="center"/>
    </x:xf>
    <x:xf numFmtId="0" fontId="11" fillId="9" borderId="29" xfId="0" applyNumberFormat="1" applyFont="1" applyFill="1" applyBorder="1" applyAlignment="1">
      <x:alignment vertical="center"/>
    </x:xf>
    <x:xf numFmtId="0" fontId="11" fillId="9" borderId="28" xfId="0" applyNumberFormat="1" applyFont="1" applyFill="1" applyBorder="1" applyAlignment="1">
      <x:alignment vertical="center" wrapText="1"/>
    </x:xf>
    <x:xf numFmtId="0" fontId="11" fillId="9" borderId="29" xfId="0" applyNumberFormat="1" applyFont="1" applyFill="1" applyBorder="1" applyAlignment="1">
      <x:alignment vertical="center" wrapText="1"/>
    </x:xf>
    <x:xf numFmtId="0" fontId="11" fillId="9" borderId="28" xfId="0" applyNumberFormat="1" applyFont="1" applyFill="1" applyBorder="1" applyAlignment="1">
      <x:alignment horizontal="center" vertical="center" wrapText="1"/>
    </x:xf>
    <x:xf numFmtId="0" fontId="11" fillId="9" borderId="29" xfId="0" applyNumberFormat="1" applyFont="1" applyFill="1" applyBorder="1" applyAlignment="1">
      <x:alignment horizontal="center" vertical="center" wrapText="1"/>
    </x:xf>
    <x:xf numFmtId="0" fontId="3" fillId="8" borderId="1" xfId="0" applyNumberFormat="1" applyFont="1" applyFill="1" applyBorder="1" applyAlignment="1">
      <x:alignment vertical="center"/>
    </x:xf>
    <x:xf numFmtId="0" fontId="3" fillId="8" borderId="2" xfId="0" applyNumberFormat="1" applyFont="1" applyFill="1" applyBorder="1" applyAlignment="1">
      <x:alignment vertical="center"/>
    </x:xf>
    <x:xf numFmtId="0" fontId="3" fillId="8" borderId="3" xfId="0" applyNumberFormat="1" applyFont="1" applyFill="1" applyBorder="1" applyAlignment="1">
      <x:alignment vertical="center"/>
    </x:xf>
    <x:xf numFmtId="0" fontId="3" fillId="8" borderId="4" xfId="0" applyNumberFormat="1" applyFont="1" applyFill="1" applyBorder="1" applyAlignment="1">
      <x:alignment vertical="center"/>
    </x:xf>
    <x:xf numFmtId="0" fontId="3" fillId="8" borderId="5" xfId="0" applyNumberFormat="1" applyFont="1" applyFill="1" applyBorder="1" applyAlignment="1">
      <x:alignment vertical="center"/>
    </x:xf>
    <x:xf numFmtId="0" fontId="3" fillId="8" borderId="6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vertical="center" wrapText="1"/>
    </x:xf>
    <x:xf numFmtId="0" fontId="3" fillId="8" borderId="3" xfId="0" applyNumberFormat="1" applyFont="1" applyFill="1" applyBorder="1" applyAlignment="1">
      <x:alignment vertical="center" wrapText="1"/>
    </x:xf>
    <x:xf numFmtId="0" fontId="3" fillId="8" borderId="4" xfId="0" applyNumberFormat="1" applyFont="1" applyFill="1" applyBorder="1" applyAlignment="1">
      <x:alignment vertical="center" wrapText="1"/>
    </x:xf>
    <x:xf numFmtId="0" fontId="3" fillId="8" borderId="5" xfId="0" applyNumberFormat="1" applyFont="1" applyFill="1" applyBorder="1" applyAlignment="1">
      <x:alignment vertical="center" wrapText="1"/>
    </x:xf>
    <x:xf numFmtId="0" fontId="3" fillId="8" borderId="6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/>
    </x:xf>
    <x:xf numFmtId="0" fontId="1" fillId="8" borderId="2" xfId="0" applyNumberFormat="1" applyFont="1" applyFill="1" applyBorder="1" applyAlignment="1">
      <x:alignment vertical="center"/>
    </x:xf>
    <x:xf numFmtId="0" fontId="1" fillId="8" borderId="3" xfId="0" applyNumberFormat="1" applyFont="1" applyFill="1" applyBorder="1" applyAlignment="1">
      <x:alignment vertical="center"/>
    </x:xf>
    <x:xf numFmtId="0" fontId="1" fillId="8" borderId="18" xfId="0" applyNumberFormat="1" applyFont="1" applyFill="1" applyBorder="1" applyAlignment="1">
      <x:alignment vertical="center"/>
    </x:xf>
    <x:xf numFmtId="0" fontId="1" fillId="8" borderId="19" xfId="0" applyNumberFormat="1" applyFont="1" applyFill="1" applyBorder="1" applyAlignment="1">
      <x:alignment vertical="center"/>
    </x:xf>
    <x:xf numFmtId="0" fontId="1" fillId="8" borderId="4" xfId="0" applyNumberFormat="1" applyFont="1" applyFill="1" applyBorder="1" applyAlignment="1">
      <x:alignment vertical="center"/>
    </x:xf>
    <x:xf numFmtId="0" fontId="1" fillId="8" borderId="5" xfId="0" applyNumberFormat="1" applyFont="1" applyFill="1" applyBorder="1" applyAlignment="1">
      <x:alignment vertical="center"/>
    </x:xf>
    <x:xf numFmtId="0" fontId="1" fillId="8" borderId="6" xfId="0" applyNumberFormat="1" applyFont="1" applyFill="1" applyBorder="1" applyAlignment="1">
      <x:alignment vertical="center"/>
    </x:xf>
    <x:xf numFmtId="0" fontId="1" fillId="8" borderId="1" xfId="0" applyNumberFormat="1" applyFont="1" applyFill="1" applyBorder="1" applyAlignment="1">
      <x:alignment vertical="center" wrapText="1"/>
    </x:xf>
    <x:xf numFmtId="0" fontId="1" fillId="8" borderId="2" xfId="0" applyNumberFormat="1" applyFont="1" applyFill="1" applyBorder="1" applyAlignment="1">
      <x:alignment vertical="center" wrapText="1"/>
    </x:xf>
    <x:xf numFmtId="0" fontId="1" fillId="8" borderId="3" xfId="0" applyNumberFormat="1" applyFont="1" applyFill="1" applyBorder="1" applyAlignment="1">
      <x:alignment vertical="center" wrapText="1"/>
    </x:xf>
    <x:xf numFmtId="0" fontId="1" fillId="8" borderId="18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19" xfId="0" applyNumberFormat="1" applyFont="1" applyFill="1" applyBorder="1" applyAlignment="1">
      <x:alignment vertical="center" wrapText="1"/>
    </x:xf>
    <x:xf numFmtId="0" fontId="1" fillId="8" borderId="4" xfId="0" applyNumberFormat="1" applyFont="1" applyFill="1" applyBorder="1" applyAlignment="1">
      <x:alignment vertical="center" wrapText="1"/>
    </x:xf>
    <x:xf numFmtId="0" fontId="1" fillId="8" borderId="5" xfId="0" applyNumberFormat="1" applyFont="1" applyFill="1" applyBorder="1" applyAlignment="1">
      <x:alignment vertical="center" wrapText="1"/>
    </x:xf>
    <x:xf numFmtId="0" fontId="1" fillId="8" borderId="6" xfId="0" applyNumberFormat="1" applyFont="1" applyFill="1" applyBorder="1" applyAlignment="1">
      <x:alignment vertical="center" wrapText="1"/>
    </x:xf>
    <x:xf numFmtId="0" fontId="3" fillId="5" borderId="28" xfId="0" applyNumberFormat="1" applyFont="1" applyFill="1" applyBorder="1" applyAlignment="1">
      <x:alignment vertical="center"/>
    </x:xf>
    <x:xf numFmtId="0" fontId="3" fillId="5" borderId="30" xfId="0" applyNumberFormat="1" applyFont="1" applyFill="1" applyBorder="1" applyAlignment="1">
      <x:alignment vertical="center"/>
    </x:xf>
    <x:xf numFmtId="0" fontId="3" fillId="5" borderId="29" xfId="0" applyNumberFormat="1" applyFont="1" applyFill="1" applyBorder="1" applyAlignment="1">
      <x:alignment vertical="center"/>
    </x:xf>
    <x:xf numFmtId="0" fontId="3" fillId="5" borderId="28" xfId="0" applyNumberFormat="1" applyFont="1" applyFill="1" applyBorder="1" applyAlignment="1">
      <x:alignment horizontal="center" vertical="center"/>
    </x:xf>
    <x:xf numFmtId="0" fontId="3" fillId="5" borderId="30" xfId="0" applyNumberFormat="1" applyFont="1" applyFill="1" applyBorder="1" applyAlignment="1">
      <x:alignment horizontal="center" vertical="center"/>
    </x:xf>
    <x:xf numFmtId="0" fontId="3" fillId="5" borderId="29" xfId="0" applyNumberFormat="1" applyFont="1" applyFill="1" applyBorder="1" applyAlignment="1">
      <x:alignment horizontal="center" vertical="center"/>
    </x:xf>
    <x:xf numFmtId="0" fontId="12" fillId="2" borderId="0" xfId="0" applyNumberFormat="1" applyFont="1" applyFill="1" applyBorder="1" applyAlignment="1">
      <x:alignment vertical="center"/>
    </x:xf>
    <x:xf numFmtId="0" fontId="10" fillId="8" borderId="30" xfId="0" applyNumberFormat="1" applyFont="1" applyFill="1" applyBorder="1" applyAlignment="1">
      <x:alignment vertical="center"/>
    </x:xf>
    <x:xf numFmtId="0" fontId="10" fillId="8" borderId="30" xfId="0" applyNumberFormat="1" applyFont="1" applyFill="1" applyBorder="1" applyAlignment="1">
      <x:alignment horizontal="center" vertical="center"/>
    </x:xf>
    <x:xf numFmtId="203" fontId="1" fillId="2" borderId="0" xfId="0" applyNumberFormat="1" applyFont="1" applyFill="1" applyBorder="1" applyAlignment="1">
      <x:alignment vertical="center"/>
    </x:xf>
    <x:xf numFmtId="203" fontId="1" fillId="8" borderId="0" xfId="0" applyNumberFormat="1" applyFont="1" applyFill="1" applyBorder="1" applyAlignment="1">
      <x:alignment vertical="center"/>
    </x:xf>
    <x:xf numFmtId="203" fontId="1" fillId="8" borderId="0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vertical="center" wrapText="1"/>
    </x:xf>
    <x:xf numFmtId="204" fontId="1" fillId="2" borderId="0" xfId="0" applyNumberFormat="1" applyFont="1" applyFill="1" applyBorder="1" applyAlignment="1">
      <x:alignment vertical="center"/>
    </x:xf>
    <x:xf numFmtId="204" fontId="1" fillId="8" borderId="0" xfId="0" applyNumberFormat="1" applyFont="1" applyFill="1" applyBorder="1" applyAlignment="1">
      <x:alignment vertical="center"/>
    </x:xf>
    <x:xf numFmtId="204" fontId="1" fillId="8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vertical="center" wrapText="1"/>
    </x:xf>
    <x:xf numFmtId="0" fontId="6" fillId="9" borderId="28" xfId="0" applyNumberFormat="1" applyFont="1" applyFill="1" applyBorder="1" applyAlignment="1">
      <x:alignment vertical="center"/>
    </x:xf>
    <x:xf numFmtId="0" fontId="6" fillId="9" borderId="30" xfId="0" applyNumberFormat="1" applyFont="1" applyFill="1" applyBorder="1" applyAlignment="1">
      <x:alignment vertical="center"/>
    </x:xf>
    <x:xf numFmtId="0" fontId="6" fillId="9" borderId="29" xfId="0" applyNumberFormat="1" applyFont="1" applyFill="1" applyBorder="1" applyAlignment="1">
      <x:alignment vertical="center"/>
    </x:xf>
    <x:xf numFmtId="0" fontId="6" fillId="9" borderId="28" xfId="0" applyNumberFormat="1" applyFont="1" applyFill="1" applyBorder="1" applyAlignment="1">
      <x:alignment horizontal="center" vertical="center"/>
    </x:xf>
    <x:xf numFmtId="0" fontId="6" fillId="9" borderId="30" xfId="0" applyNumberFormat="1" applyFont="1" applyFill="1" applyBorder="1" applyAlignment="1">
      <x:alignment horizontal="center" vertical="center"/>
    </x:xf>
    <x:xf numFmtId="0" fontId="6" fillId="9" borderId="29" xfId="0" applyNumberFormat="1" applyFont="1" applyFill="1" applyBorder="1" applyAlignment="1">
      <x:alignment horizontal="center" vertical="center"/>
    </x:xf>
    <x:xf numFmtId="0" fontId="3" fillId="5" borderId="18" xfId="0" applyNumberFormat="1" applyFont="1" applyFill="1" applyBorder="1" applyAlignment="1">
      <x:alignment vertical="center"/>
    </x:xf>
    <x:xf numFmtId="0" fontId="3" fillId="5" borderId="19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left" vertical="center"/>
    </x:xf>
    <x:xf numFmtId="0" fontId="3" fillId="5" borderId="2" xfId="0" applyNumberFormat="1" applyFont="1" applyFill="1" applyBorder="1" applyAlignment="1">
      <x:alignment horizontal="left" vertical="center"/>
    </x:xf>
    <x:xf numFmtId="0" fontId="3" fillId="5" borderId="3" xfId="0" applyNumberFormat="1" applyFont="1" applyFill="1" applyBorder="1" applyAlignment="1">
      <x:alignment horizontal="left" vertical="center"/>
    </x:xf>
    <x:xf numFmtId="0" fontId="3" fillId="5" borderId="18" xfId="0" applyNumberFormat="1" applyFont="1" applyFill="1" applyBorder="1" applyAlignment="1">
      <x:alignment horizontal="left" vertical="center"/>
    </x:xf>
    <x:xf numFmtId="0" fontId="3" fillId="5" borderId="0" xfId="0" applyNumberFormat="1" applyFont="1" applyFill="1" applyBorder="1" applyAlignment="1">
      <x:alignment horizontal="left" vertical="center"/>
    </x:xf>
    <x:xf numFmtId="0" fontId="3" fillId="5" borderId="19" xfId="0" applyNumberFormat="1" applyFont="1" applyFill="1" applyBorder="1" applyAlignment="1">
      <x:alignment horizontal="left" vertical="center"/>
    </x:xf>
    <x:xf numFmtId="0" fontId="3" fillId="5" borderId="4" xfId="0" applyNumberFormat="1" applyFont="1" applyFill="1" applyBorder="1" applyAlignment="1">
      <x:alignment horizontal="left" vertical="center"/>
    </x:xf>
    <x:xf numFmtId="0" fontId="3" fillId="5" borderId="5" xfId="0" applyNumberFormat="1" applyFont="1" applyFill="1" applyBorder="1" applyAlignment="1">
      <x:alignment horizontal="left" vertical="center"/>
    </x:xf>
    <x:xf numFmtId="0" fontId="3" fillId="5" borderId="6" xfId="0" applyNumberFormat="1" applyFont="1" applyFill="1" applyBorder="1" applyAlignment="1">
      <x:alignment horizontal="left" vertical="center"/>
    </x:xf>
    <x:xf numFmtId="0" fontId="10" fillId="8" borderId="1" xfId="0" applyNumberFormat="1" applyFont="1" applyFill="1" applyBorder="1" applyAlignment="1">
      <x:alignment vertical="center"/>
    </x:xf>
    <x:xf numFmtId="0" fontId="10" fillId="8" borderId="3" xfId="0" applyNumberFormat="1" applyFont="1" applyFill="1" applyBorder="1" applyAlignment="1">
      <x:alignment vertical="center"/>
    </x:xf>
    <x:xf numFmtId="0" fontId="10" fillId="8" borderId="4" xfId="0" applyNumberFormat="1" applyFont="1" applyFill="1" applyBorder="1" applyAlignment="1">
      <x:alignment vertical="center"/>
    </x:xf>
    <x:xf numFmtId="0" fontId="10" fillId="8" borderId="6" xfId="0" applyNumberFormat="1" applyFont="1" applyFill="1" applyBorder="1" applyAlignment="1">
      <x:alignment vertical="center"/>
    </x:xf>
    <x:xf numFmtId="0" fontId="10" fillId="8" borderId="1" xfId="0" applyNumberFormat="1" applyFont="1" applyFill="1" applyBorder="1" applyAlignment="1">
      <x:alignment horizontal="center" vertical="center"/>
    </x:xf>
    <x:xf numFmtId="0" fontId="10" fillId="8" borderId="3" xfId="0" applyNumberFormat="1" applyFont="1" applyFill="1" applyBorder="1" applyAlignment="1">
      <x:alignment horizontal="center" vertical="center"/>
    </x:xf>
    <x:xf numFmtId="0" fontId="10" fillId="8" borderId="4" xfId="0" applyNumberFormat="1" applyFont="1" applyFill="1" applyBorder="1" applyAlignment="1">
      <x:alignment horizontal="center" vertical="center"/>
    </x:xf>
    <x:xf numFmtId="0" fontId="10" fillId="8" borderId="6" xfId="0" applyNumberFormat="1" applyFont="1" applyFill="1" applyBorder="1" applyAlignment="1">
      <x:alignment horizontal="center" vertical="center"/>
    </x:xf>
    <x:xf numFmtId="0" fontId="9" fillId="5" borderId="28" xfId="0" applyNumberFormat="1" applyFont="1" applyFill="1" applyBorder="1" applyAlignment="1">
      <x:alignment vertical="center"/>
    </x:xf>
    <x:xf numFmtId="0" fontId="9" fillId="5" borderId="29" xfId="0" applyNumberFormat="1" applyFont="1" applyFill="1" applyBorder="1" applyAlignment="1">
      <x:alignment vertical="center"/>
    </x:xf>
    <x:xf numFmtId="0" fontId="9" fillId="5" borderId="28" xfId="0" applyNumberFormat="1" applyFont="1" applyFill="1" applyBorder="1" applyAlignment="1">
      <x:alignment horizontal="center" vertical="center"/>
    </x:xf>
    <x:xf numFmtId="0" fontId="9" fillId="5" borderId="29" xfId="0" applyNumberFormat="1" applyFont="1" applyFill="1" applyBorder="1" applyAlignment="1">
      <x:alignment horizontal="center" vertical="center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1" fillId="8" borderId="3" xfId="0" applyNumberFormat="1" applyFont="1" applyFill="1" applyBorder="1" applyAlignment="1">
      <x:alignment horizontal="center" vertical="center" wrapText="1"/>
    </x:xf>
    <x:xf numFmtId="0" fontId="1" fillId="8" borderId="4" xfId="0" applyNumberFormat="1" applyFont="1" applyFill="1" applyBorder="1" applyAlignment="1">
      <x:alignment horizontal="center" vertical="center" wrapText="1"/>
    </x:xf>
    <x:xf numFmtId="0" fontId="1" fillId="8" borderId="6" xfId="0" applyNumberFormat="1" applyFont="1" applyFill="1" applyBorder="1" applyAlignment="1">
      <x:alignment horizontal="center" vertical="center" wrapText="1"/>
    </x:xf>
    <x:xf numFmtId="0" fontId="6" fillId="9" borderId="1" xfId="0" applyNumberFormat="1" applyFont="1" applyFill="1" applyBorder="1" applyAlignment="1">
      <x:alignment vertical="center"/>
    </x:xf>
    <x:xf numFmtId="0" fontId="6" fillId="9" borderId="2" xfId="0" applyNumberFormat="1" applyFont="1" applyFill="1" applyBorder="1" applyAlignment="1">
      <x:alignment vertical="center"/>
    </x:xf>
    <x:xf numFmtId="0" fontId="6" fillId="9" borderId="3" xfId="0" applyNumberFormat="1" applyFont="1" applyFill="1" applyBorder="1" applyAlignment="1">
      <x:alignment vertical="center"/>
    </x:xf>
    <x:xf numFmtId="0" fontId="6" fillId="9" borderId="4" xfId="0" applyNumberFormat="1" applyFont="1" applyFill="1" applyBorder="1" applyAlignment="1">
      <x:alignment vertical="center"/>
    </x:xf>
    <x:xf numFmtId="0" fontId="6" fillId="9" borderId="5" xfId="0" applyNumberFormat="1" applyFont="1" applyFill="1" applyBorder="1" applyAlignment="1">
      <x:alignment vertical="center"/>
    </x:xf>
    <x:xf numFmtId="0" fontId="6" fillId="9" borderId="6" xfId="0" applyNumberFormat="1" applyFont="1" applyFill="1" applyBorder="1" applyAlignment="1">
      <x:alignment vertical="center"/>
    </x:xf>
    <x:xf numFmtId="0" fontId="6" fillId="9" borderId="1" xfId="0" applyNumberFormat="1" applyFont="1" applyFill="1" applyBorder="1" applyAlignment="1">
      <x:alignment vertical="center" wrapText="1"/>
    </x:xf>
    <x:xf numFmtId="0" fontId="6" fillId="9" borderId="2" xfId="0" applyNumberFormat="1" applyFont="1" applyFill="1" applyBorder="1" applyAlignment="1">
      <x:alignment vertical="center" wrapText="1"/>
    </x:xf>
    <x:xf numFmtId="0" fontId="6" fillId="9" borderId="3" xfId="0" applyNumberFormat="1" applyFont="1" applyFill="1" applyBorder="1" applyAlignment="1">
      <x:alignment vertical="center" wrapText="1"/>
    </x:xf>
    <x:xf numFmtId="0" fontId="6" fillId="9" borderId="4" xfId="0" applyNumberFormat="1" applyFont="1" applyFill="1" applyBorder="1" applyAlignment="1">
      <x:alignment vertical="center" wrapText="1"/>
    </x:xf>
    <x:xf numFmtId="0" fontId="6" fillId="9" borderId="5" xfId="0" applyNumberFormat="1" applyFont="1" applyFill="1" applyBorder="1" applyAlignment="1">
      <x:alignment vertical="center" wrapText="1"/>
    </x:xf>
    <x:xf numFmtId="0" fontId="6" fillId="9" borderId="6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6"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18d90a27414bbc" /><Relationship Type="http://schemas.openxmlformats.org/officeDocument/2006/relationships/theme" Target="/xl/theme/theme1.xml" Id="R5ebbf6e2fd4341ae" /><Relationship Type="http://schemas.openxmlformats.org/officeDocument/2006/relationships/sharedStrings" Target="/xl/sharedStrings.xml" Id="Rc54ac11a88054284" /><Relationship Type="http://schemas.openxmlformats.org/officeDocument/2006/relationships/worksheet" Target="/xl/worksheets/sheet1.xml" Id="R626eeca45b724dda" /><Relationship Type="http://schemas.openxmlformats.org/officeDocument/2006/relationships/worksheet" Target="/xl/worksheets/sheet2.xml" Id="Ref8978b4b30c4f23" /><Relationship Type="http://schemas.openxmlformats.org/officeDocument/2006/relationships/worksheet" Target="/xl/worksheets/sheet3.xml" Id="R15090bab937d4c9e" /><Relationship Type="http://schemas.openxmlformats.org/officeDocument/2006/relationships/worksheet" Target="/xl/worksheets/sheet4.xml" Id="R3ddabe3bd2f7431d" /><Relationship Type="http://schemas.openxmlformats.org/officeDocument/2006/relationships/worksheet" Target="/xl/worksheets/sheet5.xml" Id="R78c0da5719a44e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6" t="str">
        <x:v>TDAT FINANCIAL MODEL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TDAT-FM-RSK-001 · Base plus five forecast years · v1.4.0 · Five visible tabs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227" t="str">
        <x:v>Credit Underwriting / DSCR</x:v>
      </x:c>
      <x:c r="B5" s="228"/>
      <x:c r="C5" s="228"/>
      <x:c r="D5" s="228"/>
      <x:c r="E5" s="228"/>
      <x:c r="F5" s="229"/>
      <x:c r="G5" s="60" t="str">
        <x:v>MODEL STATUS</x:v>
      </x:c>
      <x:c r="H5" s="60"/>
    </x:row>
    <x:row r="6" ht="20" customHeight="1">
      <x:c r="A6" s="230"/>
      <x:c r="B6" s="231"/>
      <x:c r="C6" s="231"/>
      <x:c r="D6" s="231"/>
      <x:c r="E6" s="231"/>
      <x:c r="F6" s="232"/>
      <x:c r="G6" s="240" t="str">
        <x:f>'Checks'!B4</x:f>
        <x:v>PASS</x:v>
      </x:c>
      <x:c r="H6" s="241"/>
    </x:row>
    <x:row r="7" ht="20" customHeight="1">
      <x:c r="A7" s="233"/>
      <x:c r="B7" s="234"/>
      <x:c r="C7" s="234"/>
      <x:c r="D7" s="234"/>
      <x:c r="E7" s="234"/>
      <x:c r="F7" s="235"/>
      <x:c r="G7" s="242"/>
      <x:c r="H7" s="243"/>
    </x:row>
    <x:row r="8" ht="20" customHeight="1">
      <x:c r="A8" s="3"/>
      <x:c r="B8" s="3"/>
      <x:c r="C8" s="3"/>
      <x:c r="D8" s="3"/>
      <x:c r="E8" s="3"/>
      <x:c r="F8" s="3"/>
      <x:c r="G8" s="3"/>
      <x:c r="H8" s="3"/>
    </x:row>
    <x:row r="9" ht="20" customHeight="1">
      <x:c r="A9" s="61" t="str">
        <x:v>WHAT THIS MODEL IS FOR</x:v>
      </x:c>
      <x:c r="B9" s="61"/>
      <x:c r="C9" s="61"/>
      <x:c r="D9" s="61"/>
      <x:c r="E9" s="61"/>
      <x:c r="F9" s="61"/>
      <x:c r="G9" s="61"/>
      <x:c r="H9" s="61"/>
    </x:row>
    <x:row r="10" ht="20" customHeight="1">
      <x:c r="A10" s="177" t="str">
        <x:v>Can the borrower support the requested debt through a five-year underwritten forecast?</x:v>
      </x:c>
      <x:c r="B10" s="178"/>
      <x:c r="C10" s="178"/>
      <x:c r="D10" s="178"/>
      <x:c r="E10" s="178"/>
      <x:c r="F10" s="178"/>
      <x:c r="G10" s="178"/>
      <x:c r="H10" s="179"/>
    </x:row>
    <x:row r="11" ht="20" customHeight="1">
      <x:c r="A11" s="180"/>
      <x:c r="B11" s="181"/>
      <x:c r="C11" s="181"/>
      <x:c r="D11" s="181"/>
      <x:c r="E11" s="181"/>
      <x:c r="F11" s="181"/>
      <x:c r="G11" s="181"/>
      <x:c r="H11" s="182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</x:row>
    <x:row r="13" ht="20" customHeight="1">
      <x:c r="A13" s="61" t="str">
        <x:v>USE IT IN FOUR STEPS</x:v>
      </x:c>
      <x:c r="B13" s="61"/>
      <x:c r="C13" s="61"/>
      <x:c r="D13" s="61"/>
      <x:c r="E13" s="61"/>
      <x:c r="F13" s="61"/>
      <x:c r="G13" s="61"/>
      <x:c r="H13" s="61"/>
    </x:row>
    <x:row r="14" ht="20" customHeight="1">
      <x:c r="A14" s="246" t="str">
        <x:v>1 · INPUTS</x:v>
      </x:c>
      <x:c r="B14" s="247"/>
      <x:c r="C14" s="246" t="str">
        <x:v>2 · MODEL</x:v>
      </x:c>
      <x:c r="D14" s="247"/>
      <x:c r="E14" s="246" t="str">
        <x:v>3 · RESULTS</x:v>
      </x:c>
      <x:c r="F14" s="247"/>
      <x:c r="G14" s="246" t="str">
        <x:v>4 · CHECKS</x:v>
      </x:c>
      <x:c r="H14" s="247"/>
    </x:row>
    <x:row r="15" ht="20" customHeight="1">
      <x:c r="A15" s="248" t="str">
        <x:v>Edit only blue cells</x:v>
      </x:c>
      <x:c r="B15" s="249"/>
      <x:c r="C15" s="248" t="str">
        <x:v>Trace schedules and formulas</x:v>
      </x:c>
      <x:c r="D15" s="249"/>
      <x:c r="E15" s="248" t="str">
        <x:v>Read the linked decision view</x:v>
      </x:c>
      <x:c r="F15" s="249"/>
      <x:c r="G15" s="248" t="str">
        <x:v>Resolve every FAIL</x:v>
      </x:c>
      <x:c r="H15" s="249"/>
    </x:row>
    <x:row r="16" ht="20" customHeight="1">
      <x:c r="A16" s="250"/>
      <x:c r="B16" s="251"/>
      <x:c r="C16" s="250"/>
      <x:c r="D16" s="251"/>
      <x:c r="E16" s="250"/>
      <x:c r="F16" s="251"/>
      <x:c r="G16" s="250"/>
      <x:c r="H16" s="251"/>
    </x:row>
    <x:row r="17" ht="20" customHeight="1">
      <x:c r="A17" s="3"/>
      <x:c r="B17" s="3"/>
      <x:c r="C17" s="3"/>
      <x:c r="D17" s="3"/>
      <x:c r="E17" s="3"/>
      <x:c r="F17" s="3"/>
      <x:c r="G17" s="3"/>
      <x:c r="H17" s="3"/>
    </x:row>
    <x:row r="18" ht="20" customHeight="1">
      <x:c r="A18" s="61" t="str">
        <x:v>DEPTH WITHOUT EXTRA TABS</x:v>
      </x:c>
      <x:c r="B18" s="61"/>
      <x:c r="C18" s="61"/>
      <x:c r="D18" s="61"/>
      <x:c r="E18" s="61"/>
      <x:c r="F18" s="61"/>
      <x:c r="G18" s="61"/>
      <x:c r="H18" s="61"/>
    </x:row>
    <x:row r="19" ht="20" customHeight="1">
      <x:c r="A19" s="157" t="str">
        <x:v>Forecast</x:v>
      </x:c>
      <x:c r="B19" s="157"/>
      <x:c r="C19" s="75" t="str">
        <x:v>Base plus five forecast years</x:v>
      </x:c>
      <x:c r="D19" s="75"/>
      <x:c r="E19" s="75"/>
      <x:c r="F19" s="75"/>
      <x:c r="G19" s="75"/>
      <x:c r="H19" s="75"/>
    </x:row>
    <x:row r="20" ht="20" customHeight="1">
      <x:c r="A20" s="157" t="str">
        <x:v>Editable inputs</x:v>
      </x:c>
      <x:c r="B20" s="157"/>
      <x:c r="C20" s="75" t="str">
        <x:v>12</x:v>
      </x:c>
      <x:c r="D20" s="75"/>
      <x:c r="E20" s="75"/>
      <x:c r="F20" s="75"/>
      <x:c r="G20" s="75"/>
      <x:c r="H20" s="75"/>
    </x:row>
    <x:row r="21" ht="20" customHeight="1">
      <x:c r="A21" s="157" t="str">
        <x:v>Visible sheets</x:v>
      </x:c>
      <x:c r="B21" s="157"/>
      <x:c r="C21" s="75" t="str">
        <x:v>5</x:v>
      </x:c>
      <x:c r="D21" s="75"/>
      <x:c r="E21" s="75"/>
      <x:c r="F21" s="75"/>
      <x:c r="G21" s="75"/>
      <x:c r="H21" s="75"/>
    </x:row>
    <x:row r="22" ht="20" customHeight="1">
      <x:c r="A22" s="157" t="str">
        <x:v>Setup</x:v>
      </x:c>
      <x:c r="B22" s="157"/>
      <x:c r="C22" s="75" t="str">
        <x:v>15–20 minutes</x:v>
      </x:c>
      <x:c r="D22" s="75"/>
      <x:c r="E22" s="75"/>
      <x:c r="F22" s="75"/>
      <x:c r="G22" s="75"/>
      <x:c r="H22" s="75"/>
    </x:row>
    <x:row r="23" ht="20" customHeight="1">
      <x:c r="A23" s="3"/>
      <x:c r="B23" s="3"/>
      <x:c r="C23" s="3"/>
      <x:c r="D23" s="3"/>
      <x:c r="E23" s="3"/>
      <x:c r="F23" s="3"/>
      <x:c r="G23" s="3"/>
      <x:c r="H23" s="3"/>
    </x:row>
    <x:row r="24" ht="20" customHeight="1">
      <x:c r="A24" s="61" t="str">
        <x:v>FIT &amp; SCOPE</x:v>
      </x:c>
      <x:c r="B24" s="61"/>
      <x:c r="C24" s="61"/>
      <x:c r="D24" s="61"/>
      <x:c r="E24" s="61"/>
      <x:c r="F24" s="61"/>
      <x:c r="G24" s="61"/>
      <x:c r="H24" s="61"/>
    </x:row>
    <x:row r="25" ht="20" customHeight="1">
      <x:c r="A25" s="191" t="str">
        <x:v>Included: Five-year normalized and underwritten EBITDA build · CFADS, debt service, and principal roll-forward · DSCR, leverage, cash headroom, and debt headroom</x:v>
      </x:c>
      <x:c r="B25" s="192"/>
      <x:c r="C25" s="192"/>
      <x:c r="D25" s="192"/>
      <x:c r="E25" s="192"/>
      <x:c r="F25" s="192"/>
      <x:c r="G25" s="192"/>
      <x:c r="H25" s="193"/>
    </x:row>
    <x:row r="26" ht="20" customHeight="1">
      <x:c r="A26" s="197"/>
      <x:c r="B26" s="198"/>
      <x:c r="C26" s="198"/>
      <x:c r="D26" s="198"/>
      <x:c r="E26" s="198"/>
      <x:c r="F26" s="198"/>
      <x:c r="G26" s="198"/>
      <x:c r="H26" s="199"/>
    </x:row>
    <x:row r="27" ht="20" customHeight="1">
      <x:c r="A27" s="258" t="str">
        <x:v>Scope boundary: Collateral, guarantees, undrawn exposure, ratings migration, recovery analysis, and formal credit approval.</x:v>
      </x:c>
      <x:c r="B27" s="259"/>
      <x:c r="C27" s="259"/>
      <x:c r="D27" s="259"/>
      <x:c r="E27" s="259"/>
      <x:c r="F27" s="259"/>
      <x:c r="G27" s="259"/>
      <x:c r="H27" s="260"/>
    </x:row>
    <x:row r="28" ht="20" customHeight="1">
      <x:c r="A28" s="261"/>
      <x:c r="B28" s="262"/>
      <x:c r="C28" s="262"/>
      <x:c r="D28" s="262"/>
      <x:c r="E28" s="262"/>
      <x:c r="F28" s="262"/>
      <x:c r="G28" s="262"/>
      <x:c r="H28" s="263"/>
    </x:row>
    <x:row r="29" ht="20" customHeight="1">
      <x:c r="A29" s="265" t="str">
        <x:v>Synthetic demonstration only · Tested 2026-08-17 · Excel 365 · Macro-free · No external links</x:v>
      </x:c>
      <x:c r="B29" s="265"/>
      <x:c r="C29" s="265"/>
      <x:c r="D29" s="265"/>
      <x:c r="E29" s="265"/>
      <x:c r="F29" s="265"/>
      <x:c r="G29" s="265"/>
      <x:c r="H29" s="265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60" t="str">
        <x:v>Credit Underwriting / DSCR · Start → Inputs → Model → Results → Checks</x:v>
      </x:c>
      <x:c r="B31" s="60"/>
      <x:c r="C31" s="60"/>
      <x:c r="D31" s="60"/>
      <x:c r="E31" s="60"/>
      <x:c r="F31" s="60"/>
      <x:c r="G31" s="60"/>
      <x:c r="H31" s="60"/>
    </x:row>
  </x:sheetData>
  <x:mergeCells>
    <x:mergeCell ref="A1:H2"/>
    <x:mergeCell ref="A3:H3"/>
    <x:mergeCell ref="A5:F7"/>
    <x:mergeCell ref="G5:H5"/>
    <x:mergeCell ref="G6:H7"/>
    <x:mergeCell ref="A9:H9"/>
    <x:mergeCell ref="A10:H11"/>
    <x:mergeCell ref="A13:H13"/>
    <x:mergeCell ref="A14:B14"/>
    <x:mergeCell ref="A15:B16"/>
    <x:mergeCell ref="C14:D14"/>
    <x:mergeCell ref="C15:D16"/>
    <x:mergeCell ref="E14:F14"/>
    <x:mergeCell ref="E15:F16"/>
    <x:mergeCell ref="G14:H14"/>
    <x:mergeCell ref="G15:H16"/>
    <x:mergeCell ref="A18:H18"/>
    <x:mergeCell ref="A19:B19"/>
    <x:mergeCell ref="C19:H19"/>
    <x:mergeCell ref="A20:B20"/>
    <x:mergeCell ref="C20:H20"/>
    <x:mergeCell ref="A21:B21"/>
    <x:mergeCell ref="C21:H21"/>
    <x:mergeCell ref="A22:B22"/>
    <x:mergeCell ref="C22:H22"/>
    <x:mergeCell ref="A24:H24"/>
    <x:mergeCell ref="A25:H26"/>
    <x:mergeCell ref="A27:H28"/>
    <x:mergeCell ref="A29:H29"/>
    <x:mergeCell ref="A31:H31"/>
  </x:mergeCells>
  <x:conditionalFormatting sqref="G6:H7">
    <x:cfRule type="containsText" dxfId="24" priority="1" operator="containsText" text="FAIL"/>
    <x:cfRule type="containsText" dxfId="25" priority="2" operator="containsText" text="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7" customHeight="1">
      <x:c r="A1" s="6" t="str">
        <x:v>INPUTS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Credit Underwriting / DSCR · Only blue cells are editable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8" t="str">
        <x:v>Change the blue assumptions below. The Model sheet expands them into visible formulas, schedules, and roll-forwards.</x:v>
      </x:c>
      <x:c r="B5" s="19"/>
      <x:c r="C5" s="19"/>
      <x:c r="D5" s="19"/>
      <x:c r="E5" s="19"/>
      <x:c r="F5" s="19"/>
      <x:c r="G5" s="19"/>
      <x:c r="H5" s="20"/>
    </x:row>
    <x:row r="6" ht="20" customHeight="1">
      <x:c r="A6" s="21"/>
      <x:c r="B6" s="22"/>
      <x:c r="C6" s="22"/>
      <x:c r="D6" s="22"/>
      <x:c r="E6" s="22"/>
      <x:c r="F6" s="22"/>
      <x:c r="G6" s="22"/>
      <x:c r="H6" s="23"/>
    </x:row>
    <x:row r="7" ht="20" customHeight="1">
      <x:c r="A7" s="3"/>
      <x:c r="B7" s="3"/>
      <x:c r="C7" s="3"/>
      <x:c r="D7" s="3"/>
      <x:c r="E7" s="3"/>
      <x:c r="F7" s="3"/>
      <x:c r="G7" s="3"/>
      <x:c r="H7" s="3"/>
    </x:row>
    <x:row r="8" ht="20" customHeight="1">
      <x:c r="A8" s="26" t="str">
        <x:v>CORE ASSUMPTIONS</x:v>
      </x:c>
      <x:c r="B8" s="26"/>
      <x:c r="C8" s="26"/>
      <x:c r="D8" s="26"/>
      <x:c r="E8" s="26"/>
      <x:c r="F8" s="26"/>
      <x:c r="G8" s="26"/>
      <x:c r="H8" s="26"/>
    </x:row>
    <x:row r="9" ht="20" customHeight="1">
      <x:c r="A9" s="28" t="str">
        <x:v>Input</x:v>
      </x:c>
      <x:c r="B9" s="28" t="str">
        <x:v>Value</x:v>
      </x:c>
      <x:c r="C9" s="28" t="str">
        <x:v>Unit</x:v>
      </x:c>
      <x:c r="D9" s="28" t="str">
        <x:v>Purpose</x:v>
      </x:c>
      <x:c r="E9" s="28"/>
      <x:c r="F9" s="28"/>
      <x:c r="G9" s="28"/>
      <x:c r="H9" s="28"/>
    </x:row>
    <x:row r="10" ht="20" customHeight="1">
      <x:c r="A10" s="3" t="str">
        <x:v>Base reported EBITDA</x:v>
      </x:c>
      <x:c r="B10" s="39" t="n">
        <x:v>82</x:v>
      </x:c>
      <x:c r="C10" s="3" t="str">
        <x:v>LCY m</x:v>
      </x:c>
      <x:c r="D10" s="37" t="str">
        <x:v>Starting reported earnings</x:v>
      </x:c>
      <x:c r="E10" s="38"/>
      <x:c r="F10" s="38"/>
      <x:c r="G10" s="38"/>
      <x:c r="H10" s="38"/>
    </x:row>
    <x:row r="11" ht="20" customHeight="1">
      <x:c r="A11" s="3" t="str">
        <x:v>Annual reported EBITDA growth</x:v>
      </x:c>
      <x:c r="B11" s="42" t="n">
        <x:v>0.03</x:v>
      </x:c>
      <x:c r="C11" s="3" t="str">
        <x:v>%</x:v>
      </x:c>
      <x:c r="D11" s="37" t="str">
        <x:v>Applied through Year 5</x:v>
      </x:c>
      <x:c r="E11" s="38"/>
      <x:c r="F11" s="38"/>
      <x:c r="G11" s="38"/>
      <x:c r="H11" s="38"/>
    </x:row>
    <x:row r="12" ht="20" customHeight="1">
      <x:c r="A12" s="3" t="str">
        <x:v>Annual net EBITDA adjustments</x:v>
      </x:c>
      <x:c r="B12" s="39" t="n">
        <x:v>2</x:v>
      </x:c>
      <x:c r="C12" s="3" t="str">
        <x:v>LCY m</x:v>
      </x:c>
      <x:c r="D12" s="37" t="str">
        <x:v>Add-backs less deductions</x:v>
      </x:c>
      <x:c r="E12" s="38"/>
      <x:c r="F12" s="38"/>
      <x:c r="G12" s="38"/>
      <x:c r="H12" s="38"/>
    </x:row>
    <x:row r="13" ht="20" customHeight="1">
      <x:c r="A13" s="3" t="str">
        <x:v>Underwriting haircut</x:v>
      </x:c>
      <x:c r="B13" s="42" t="n">
        <x:v>0.1</x:v>
      </x:c>
      <x:c r="C13" s="3" t="str">
        <x:v>%</x:v>
      </x:c>
      <x:c r="D13" s="37" t="str">
        <x:v>Conservative reduction to normalized EBITDA</x:v>
      </x:c>
      <x:c r="E13" s="38"/>
      <x:c r="F13" s="38"/>
      <x:c r="G13" s="38"/>
      <x:c r="H13" s="38"/>
    </x:row>
    <x:row r="14" ht="20" customHeight="1">
      <x:c r="A14" s="3" t="str">
        <x:v>Annual maintenance capex</x:v>
      </x:c>
      <x:c r="B14" s="39" t="n">
        <x:v>14</x:v>
      </x:c>
      <x:c r="C14" s="3" t="str">
        <x:v>LCY m</x:v>
      </x:c>
      <x:c r="D14" s="37" t="str">
        <x:v>Recurring cash need</x:v>
      </x:c>
      <x:c r="E14" s="38"/>
      <x:c r="F14" s="38"/>
      <x:c r="G14" s="38"/>
      <x:c r="H14" s="38"/>
    </x:row>
    <x:row r="15" ht="20" customHeight="1">
      <x:c r="A15" s="3" t="str">
        <x:v>Annual increase in NWC</x:v>
      </x:c>
      <x:c r="B15" s="39" t="n">
        <x:v>4</x:v>
      </x:c>
      <x:c r="C15" s="3" t="str">
        <x:v>LCY m</x:v>
      </x:c>
      <x:c r="D15" s="37" t="str">
        <x:v>Recurring cash absorbed</x:v>
      </x:c>
      <x:c r="E15" s="38"/>
      <x:c r="F15" s="38"/>
      <x:c r="G15" s="38"/>
      <x:c r="H15" s="38"/>
    </x:row>
    <x:row r="16" ht="20" customHeight="1">
      <x:c r="A16" s="3" t="str">
        <x:v>Annual cash tax</x:v>
      </x:c>
      <x:c r="B16" s="39" t="n">
        <x:v>9</x:v>
      </x:c>
      <x:c r="C16" s="3" t="str">
        <x:v>LCY m</x:v>
      </x:c>
      <x:c r="D16" s="37" t="str">
        <x:v>Recurring annual cash tax</x:v>
      </x:c>
      <x:c r="E16" s="38"/>
      <x:c r="F16" s="38"/>
      <x:c r="G16" s="38"/>
      <x:c r="H16" s="38"/>
    </x:row>
    <x:row r="17" ht="20" customHeight="1">
      <x:c r="A17" s="3" t="str">
        <x:v>Annual debt service</x:v>
      </x:c>
      <x:c r="B17" s="39" t="n">
        <x:v>31</x:v>
      </x:c>
      <x:c r="C17" s="3" t="str">
        <x:v>LCY m</x:v>
      </x:c>
      <x:c r="D17" s="37" t="str">
        <x:v>All-in interest and principal payment</x:v>
      </x:c>
      <x:c r="E17" s="38"/>
      <x:c r="F17" s="38"/>
      <x:c r="G17" s="38"/>
      <x:c r="H17" s="38"/>
    </x:row>
    <x:row r="18" ht="20" customHeight="1">
      <x:c r="A18" s="3" t="str">
        <x:v>Opening gross debt</x:v>
      </x:c>
      <x:c r="B18" s="39" t="n">
        <x:v>230</x:v>
      </x:c>
      <x:c r="C18" s="3" t="str">
        <x:v>LCY m</x:v>
      </x:c>
      <x:c r="D18" s="37" t="str">
        <x:v>Requested debt to underwrite</x:v>
      </x:c>
      <x:c r="E18" s="38"/>
      <x:c r="F18" s="38"/>
      <x:c r="G18" s="38"/>
      <x:c r="H18" s="38"/>
    </x:row>
    <x:row r="19" ht="20" customHeight="1">
      <x:c r="A19" s="3" t="str">
        <x:v>Annual principal repayment</x:v>
      </x:c>
      <x:c r="B19" s="39" t="n">
        <x:v>18</x:v>
      </x:c>
      <x:c r="C19" s="3" t="str">
        <x:v>LCY m</x:v>
      </x:c>
      <x:c r="D19" s="37" t="str">
        <x:v>Capped at opening debt</x:v>
      </x:c>
      <x:c r="E19" s="38"/>
      <x:c r="F19" s="38"/>
      <x:c r="G19" s="38"/>
      <x:c r="H19" s="38"/>
    </x:row>
    <x:row r="20" ht="20" customHeight="1">
      <x:c r="A20" s="3" t="str">
        <x:v>Minimum DSCR</x:v>
      </x:c>
      <x:c r="B20" s="45" t="n">
        <x:v>1.25</x:v>
      </x:c>
      <x:c r="C20" s="3" t="str">
        <x:v>x</x:v>
      </x:c>
      <x:c r="D20" s="37" t="str">
        <x:v>Coverage floor</x:v>
      </x:c>
      <x:c r="E20" s="38"/>
      <x:c r="F20" s="38"/>
      <x:c r="G20" s="38"/>
      <x:c r="H20" s="38"/>
    </x:row>
    <x:row r="21" ht="20" customHeight="1">
      <x:c r="A21" s="3" t="str">
        <x:v>Maximum gross leverage</x:v>
      </x:c>
      <x:c r="B21" s="45" t="n">
        <x:v>3.25</x:v>
      </x:c>
      <x:c r="C21" s="3" t="str">
        <x:v>x</x:v>
      </x:c>
      <x:c r="D21" s="37" t="str">
        <x:v>Closing debt / underwritten EBITDA limit</x:v>
      </x:c>
      <x:c r="E21" s="38"/>
      <x:c r="F21" s="38"/>
      <x:c r="G21" s="38"/>
      <x:c r="H21" s="38"/>
    </x:row>
    <x:row r="22" ht="20" customHeight="1">
      <x:c r="A22" s="3"/>
      <x:c r="B22" s="3"/>
      <x:c r="C22" s="3"/>
      <x:c r="D22" s="3"/>
      <x:c r="E22" s="3"/>
      <x:c r="F22" s="3"/>
      <x:c r="G22" s="3"/>
      <x:c r="H22" s="3"/>
    </x:row>
    <x:row r="23" ht="20" customHeight="1">
      <x:c r="A23" s="54" t="str">
        <x:v>Synthetic example. Replace only the blue values, trace the calculation on Model, then review Results and Checks.</x:v>
      </x:c>
      <x:c r="B23" s="55"/>
      <x:c r="C23" s="55"/>
      <x:c r="D23" s="55"/>
      <x:c r="E23" s="55"/>
      <x:c r="F23" s="55"/>
      <x:c r="G23" s="55"/>
      <x:c r="H23" s="56"/>
    </x:row>
    <x:row r="24" ht="20" customHeight="1">
      <x:c r="A24" s="57"/>
      <x:c r="B24" s="58"/>
      <x:c r="C24" s="58"/>
      <x:c r="D24" s="58"/>
      <x:c r="E24" s="58"/>
      <x:c r="F24" s="58"/>
      <x:c r="G24" s="58"/>
      <x:c r="H24" s="59"/>
    </x:row>
    <x:row r="25" ht="20" customHeight="1">
      <x:c r="A25" s="3"/>
      <x:c r="B25" s="3"/>
      <x:c r="C25" s="3"/>
      <x:c r="D25" s="3"/>
      <x:c r="E25" s="3"/>
      <x:c r="F25" s="3"/>
      <x:c r="G25" s="3"/>
      <x:c r="H25" s="3"/>
    </x:row>
    <x:row r="26" ht="20" customHeight="1">
      <x:c r="A26" s="3"/>
      <x:c r="B26" s="3"/>
      <x:c r="C26" s="3"/>
      <x:c r="D26" s="3"/>
      <x:c r="E26" s="3"/>
      <x:c r="F26" s="3"/>
      <x:c r="G26" s="3"/>
      <x:c r="H26" s="3"/>
    </x:row>
    <x:row r="27" ht="20" customHeight="1">
      <x:c r="A27" s="3"/>
      <x:c r="B27" s="3"/>
      <x:c r="C27" s="3"/>
      <x:c r="D27" s="3"/>
      <x:c r="E27" s="3"/>
      <x:c r="F27" s="3"/>
      <x:c r="G27" s="3"/>
      <x:c r="H27" s="3"/>
    </x:row>
    <x:row r="28" ht="20" customHeight="1">
      <x:c r="A28" s="60" t="str">
        <x:v>Credit Underwriting / DSCR · 12 editable assumptions · v1.4.0</x:v>
      </x:c>
      <x:c r="B28" s="60"/>
      <x:c r="C28" s="60"/>
      <x:c r="D28" s="60"/>
      <x:c r="E28" s="60"/>
      <x:c r="F28" s="60"/>
      <x:c r="G28" s="60"/>
      <x:c r="H28" s="60"/>
    </x:row>
  </x:sheetData>
  <x:mergeCells>
    <x:mergeCell ref="A1:H2"/>
    <x:mergeCell ref="A3:H3"/>
    <x:mergeCell ref="A5:H6"/>
    <x:mergeCell ref="A8:H8"/>
    <x:mergeCell ref="D9:H9"/>
    <x:mergeCell ref="D10:H10"/>
    <x:mergeCell ref="D11:H11"/>
    <x:mergeCell ref="D12:H12"/>
    <x:mergeCell ref="D13:H13"/>
    <x:mergeCell ref="D14:H14"/>
    <x:mergeCell ref="D15:H15"/>
    <x:mergeCell ref="D16:H16"/>
    <x:mergeCell ref="D17:H17"/>
    <x:mergeCell ref="D18:H18"/>
    <x:mergeCell ref="D19:H19"/>
    <x:mergeCell ref="D20:H20"/>
    <x:mergeCell ref="D21:H21"/>
    <x:mergeCell ref="A23:H24"/>
    <x:mergeCell ref="A28:H2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30" hidden="0" customWidth="1"/>
  </x:cols>
  <x:sheetData>
    <x:row r="1" ht="27" customHeight="1">
      <x:c r="A1" s="6" t="str">
        <x:v>MODEL DETAIL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Credit Underwriting / DSCR · Five-year conservative credit screen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97" t="str">
        <x:v>MINIMUM DSCR</x:v>
      </x:c>
      <x:c r="B5" s="98"/>
      <x:c r="C5" s="97" t="str">
        <x:v>MAXIMUM LEVERAGE</x:v>
      </x:c>
      <x:c r="D5" s="98"/>
      <x:c r="E5" s="97" t="str">
        <x:v>YEAR-5 CASH HEADROOM</x:v>
      </x:c>
      <x:c r="F5" s="98"/>
      <x:c r="G5" s="97" t="str">
        <x:v>YEAR-5 DEBT HEADROOM</x:v>
      </x:c>
      <x:c r="H5" s="98"/>
    </x:row>
    <x:row r="6" ht="20" customHeight="1">
      <x:c r="A6" s="112" t="n">
        <x:f>MIN('Model'!C22:G22)</x:f>
        <x:v>1.639161290322581</x:v>
      </x:c>
      <x:c r="B6" s="113"/>
      <x:c r="C6" s="112" t="n">
        <x:f>MAX('Model'!C26:G26)</x:f>
        <x:v>2.7244454725370755</x:v>
      </x:c>
      <x:c r="D6" s="113"/>
      <x:c r="E6" s="124" t="n">
        <x:f>G27</x:f>
        <x:v>21.604426683340023</x:v>
      </x:c>
      <x:c r="F6" s="125"/>
      <x:c r="G6" s="124" t="n">
        <x:f>G28</x:f>
        <x:v>143.9018867208551</x:v>
      </x:c>
      <x:c r="H6" s="125"/>
    </x:row>
    <x:row r="7" ht="20" customHeight="1">
      <x:c r="A7" s="114"/>
      <x:c r="B7" s="115"/>
      <x:c r="C7" s="114"/>
      <x:c r="D7" s="115"/>
      <x:c r="E7" s="126"/>
      <x:c r="F7" s="127"/>
      <x:c r="G7" s="126"/>
      <x:c r="H7" s="127"/>
    </x:row>
    <x:row r="8" ht="20" customHeight="1">
      <x:c r="A8" s="116"/>
      <x:c r="B8" s="117"/>
      <x:c r="C8" s="116"/>
      <x:c r="D8" s="117"/>
      <x:c r="E8" s="128"/>
      <x:c r="F8" s="129"/>
      <x:c r="G8" s="128"/>
      <x:c r="H8" s="129"/>
    </x:row>
    <x:row r="9" ht="20" customHeight="1">
      <x:c r="A9" s="3"/>
      <x:c r="B9" s="3"/>
      <x:c r="C9" s="3"/>
      <x:c r="D9" s="3"/>
      <x:c r="E9" s="3"/>
      <x:c r="F9" s="3"/>
      <x:c r="G9" s="3"/>
      <x:c r="H9" s="3"/>
    </x:row>
    <x:row r="10" ht="20" customHeight="1">
      <x:c r="A10" s="61" t="str">
        <x:v>UNDERWRITTEN CASH FLOW &amp; DEBT CAPACITY</x:v>
      </x:c>
      <x:c r="B10" s="61"/>
      <x:c r="C10" s="61"/>
      <x:c r="D10" s="61"/>
      <x:c r="E10" s="61"/>
      <x:c r="F10" s="61"/>
      <x:c r="G10" s="61"/>
      <x:c r="H10" s="61"/>
    </x:row>
    <x:row r="11" ht="20" customHeight="1">
      <x:c r="A11" s="6" t="str">
        <x:v>Metric</x:v>
      </x:c>
      <x:c r="B11" s="62" t="str">
        <x:v>BASE / ENTRY</x:v>
      </x:c>
      <x:c r="C11" s="62" t="str">
        <x:v>YEAR 1</x:v>
      </x:c>
      <x:c r="D11" s="62" t="str">
        <x:v>YEAR 2</x:v>
      </x:c>
      <x:c r="E11" s="62" t="str">
        <x:v>YEAR 3</x:v>
      </x:c>
      <x:c r="F11" s="62" t="str">
        <x:v>YEAR 4</x:v>
      </x:c>
      <x:c r="G11" s="62" t="str">
        <x:v>YEAR 5</x:v>
      </x:c>
      <x:c r="H11" s="6" t="str">
        <x:v>How to read it</x:v>
      </x:c>
    </x:row>
    <x:row r="12" ht="28" customHeight="1">
      <x:c r="A12" s="29" t="str">
        <x:v>Reported EBITDA</x:v>
      </x:c>
      <x:c r="B12" s="69" t="n">
        <x:f>'Inputs'!$B$10</x:f>
        <x:v>82</x:v>
      </x:c>
      <x:c r="C12" s="69" t="n">
        <x:f>B12*(1+'Inputs'!$B$11)</x:f>
        <x:v>84.46000000000001</x:v>
      </x:c>
      <x:c r="D12" s="69" t="n">
        <x:f>C12*(1+'Inputs'!$B$11)</x:f>
        <x:v>86.99380000000001</x:v>
      </x:c>
      <x:c r="E12" s="69" t="n">
        <x:f>D12*(1+'Inputs'!$B$11)</x:f>
        <x:v>89.60361400000001</x:v>
      </x:c>
      <x:c r="F12" s="69" t="n">
        <x:f>E12*(1+'Inputs'!$B$11)</x:f>
        <x:v>92.29172242000001</x:v>
      </x:c>
      <x:c r="G12" s="69" t="n">
        <x:f>F12*(1+'Inputs'!$B$11)</x:f>
        <x:v>95.06047409260002</x:v>
      </x:c>
      <x:c r="H12" s="70" t="str">
        <x:v>Base reported EBITDA compounds annually.</x:v>
      </x:c>
    </x:row>
    <x:row r="13" ht="28" customHeight="1">
      <x:c r="A13" s="29" t="str">
        <x:v>Net EBITDA adjustments</x:v>
      </x:c>
      <x:c r="B13" s="69" t="n">
        <x:f>'Inputs'!$B$12</x:f>
        <x:v>2</x:v>
      </x:c>
      <x:c r="C13" s="69" t="n">
        <x:f>'Inputs'!$B$12</x:f>
        <x:v>2</x:v>
      </x:c>
      <x:c r="D13" s="69" t="n">
        <x:f>'Inputs'!$B$12</x:f>
        <x:v>2</x:v>
      </x:c>
      <x:c r="E13" s="69" t="n">
        <x:f>'Inputs'!$B$12</x:f>
        <x:v>2</x:v>
      </x:c>
      <x:c r="F13" s="69" t="n">
        <x:f>'Inputs'!$B$12</x:f>
        <x:v>2</x:v>
      </x:c>
      <x:c r="G13" s="69" t="n">
        <x:f>'Inputs'!$B$12</x:f>
        <x:v>2</x:v>
      </x:c>
      <x:c r="H13" s="70" t="str">
        <x:v>Recurring add-backs less deductions.</x:v>
      </x:c>
    </x:row>
    <x:row r="14" ht="28" customHeight="1">
      <x:c r="A14" s="75" t="str">
        <x:v>Normalized EBITDA</x:v>
      </x:c>
      <x:c r="B14" s="74" t="n">
        <x:f>B12+B13</x:f>
        <x:v>84</x:v>
      </x:c>
      <x:c r="C14" s="74" t="n">
        <x:f>C12+C13</x:f>
        <x:v>86.46000000000001</x:v>
      </x:c>
      <x:c r="D14" s="74" t="n">
        <x:f>D12+D13</x:f>
        <x:v>88.99380000000001</x:v>
      </x:c>
      <x:c r="E14" s="74" t="n">
        <x:f>E12+E13</x:f>
        <x:v>91.60361400000001</x:v>
      </x:c>
      <x:c r="F14" s="74" t="n">
        <x:f>F12+F13</x:f>
        <x:v>94.29172242000001</x:v>
      </x:c>
      <x:c r="G14" s="74" t="n">
        <x:f>G12+G13</x:f>
        <x:v>97.06047409260002</x:v>
      </x:c>
      <x:c r="H14" s="76" t="str">
        <x:v>Reported EBITDA plus net adjustments.</x:v>
      </x:c>
    </x:row>
    <x:row r="15" ht="28" customHeight="1">
      <x:c r="A15" s="29" t="str">
        <x:v>Underwriting haircut</x:v>
      </x:c>
      <x:c r="B15" s="69" t="n">
        <x:f>-B14*'Inputs'!$B$13</x:f>
        <x:v>-8.4</x:v>
      </x:c>
      <x:c r="C15" s="69" t="n">
        <x:f>-C14*'Inputs'!$B$13</x:f>
        <x:v>-8.646</x:v>
      </x:c>
      <x:c r="D15" s="69" t="n">
        <x:f>-D14*'Inputs'!$B$13</x:f>
        <x:v>-8.89938</x:v>
      </x:c>
      <x:c r="E15" s="69" t="n">
        <x:f>-E14*'Inputs'!$B$13</x:f>
        <x:v>-9.160361400000001</x:v>
      </x:c>
      <x:c r="F15" s="69" t="n">
        <x:f>-F14*'Inputs'!$B$13</x:f>
        <x:v>-9.429172242000002</x:v>
      </x:c>
      <x:c r="G15" s="69" t="n">
        <x:f>-G14*'Inputs'!$B$13</x:f>
        <x:v>-9.706047409260002</x:v>
      </x:c>
      <x:c r="H15" s="70" t="str">
        <x:v>Negative conservative reduction.</x:v>
      </x:c>
    </x:row>
    <x:row r="16" ht="28" customHeight="1">
      <x:c r="A16" s="11" t="str">
        <x:v>Underwritten EBITDA</x:v>
      </x:c>
      <x:c r="B16" s="77" t="n">
        <x:f>B14+B15</x:f>
        <x:v>75.6</x:v>
      </x:c>
      <x:c r="C16" s="77" t="n">
        <x:f>C14+C15</x:f>
        <x:v>77.81400000000001</x:v>
      </x:c>
      <x:c r="D16" s="77" t="n">
        <x:f>D14+D15</x:f>
        <x:v>80.09442000000001</x:v>
      </x:c>
      <x:c r="E16" s="77" t="n">
        <x:f>E14+E15</x:f>
        <x:v>82.44325260000001</x:v>
      </x:c>
      <x:c r="F16" s="77" t="n">
        <x:f>F14+F15</x:f>
        <x:v>84.862550178</x:v>
      </x:c>
      <x:c r="G16" s="77" t="n">
        <x:f>G14+G15</x:f>
        <x:v>87.35442668334002</x:v>
      </x:c>
      <x:c r="H16" s="79" t="str">
        <x:v>Normalized EBITDA after the haircut.</x:v>
      </x:c>
    </x:row>
    <x:row r="17" ht="28" customHeight="1">
      <x:c r="A17" s="29" t="str">
        <x:v>Maintenance capex</x:v>
      </x:c>
      <x:c r="B17" s="69" t="n">
        <x:f>-'Inputs'!$B$14</x:f>
        <x:v>-14</x:v>
      </x:c>
      <x:c r="C17" s="69" t="n">
        <x:f>-'Inputs'!$B$14</x:f>
        <x:v>-14</x:v>
      </x:c>
      <x:c r="D17" s="69" t="n">
        <x:f>-'Inputs'!$B$14</x:f>
        <x:v>-14</x:v>
      </x:c>
      <x:c r="E17" s="69" t="n">
        <x:f>-'Inputs'!$B$14</x:f>
        <x:v>-14</x:v>
      </x:c>
      <x:c r="F17" s="69" t="n">
        <x:f>-'Inputs'!$B$14</x:f>
        <x:v>-14</x:v>
      </x:c>
      <x:c r="G17" s="69" t="n">
        <x:f>-'Inputs'!$B$14</x:f>
        <x:v>-14</x:v>
      </x:c>
      <x:c r="H17" s="70" t="str">
        <x:v>Negative recurring cash use.</x:v>
      </x:c>
    </x:row>
    <x:row r="18" ht="28" customHeight="1">
      <x:c r="A18" s="29" t="str">
        <x:v>Increase in NWC</x:v>
      </x:c>
      <x:c r="B18" s="69" t="n">
        <x:f>-'Inputs'!$B$15</x:f>
        <x:v>-4</x:v>
      </x:c>
      <x:c r="C18" s="69" t="n">
        <x:f>-'Inputs'!$B$15</x:f>
        <x:v>-4</x:v>
      </x:c>
      <x:c r="D18" s="69" t="n">
        <x:f>-'Inputs'!$B$15</x:f>
        <x:v>-4</x:v>
      </x:c>
      <x:c r="E18" s="69" t="n">
        <x:f>-'Inputs'!$B$15</x:f>
        <x:v>-4</x:v>
      </x:c>
      <x:c r="F18" s="69" t="n">
        <x:f>-'Inputs'!$B$15</x:f>
        <x:v>-4</x:v>
      </x:c>
      <x:c r="G18" s="69" t="n">
        <x:f>-'Inputs'!$B$15</x:f>
        <x:v>-4</x:v>
      </x:c>
      <x:c r="H18" s="70" t="str">
        <x:v>Negative recurring working-capital use.</x:v>
      </x:c>
    </x:row>
    <x:row r="19" ht="28" customHeight="1">
      <x:c r="A19" s="29" t="str">
        <x:v>Cash tax</x:v>
      </x:c>
      <x:c r="B19" s="69" t="n">
        <x:f>-'Inputs'!$B$16</x:f>
        <x:v>-9</x:v>
      </x:c>
      <x:c r="C19" s="69" t="n">
        <x:f>-'Inputs'!$B$16</x:f>
        <x:v>-9</x:v>
      </x:c>
      <x:c r="D19" s="69" t="n">
        <x:f>-'Inputs'!$B$16</x:f>
        <x:v>-9</x:v>
      </x:c>
      <x:c r="E19" s="69" t="n">
        <x:f>-'Inputs'!$B$16</x:f>
        <x:v>-9</x:v>
      </x:c>
      <x:c r="F19" s="69" t="n">
        <x:f>-'Inputs'!$B$16</x:f>
        <x:v>-9</x:v>
      </x:c>
      <x:c r="G19" s="69" t="n">
        <x:f>-'Inputs'!$B$16</x:f>
        <x:v>-9</x:v>
      </x:c>
      <x:c r="H19" s="70" t="str">
        <x:v>Negative recurring cash tax.</x:v>
      </x:c>
    </x:row>
    <x:row r="20" ht="28" customHeight="1">
      <x:c r="A20" s="83" t="str">
        <x:v>CFADS</x:v>
      </x:c>
      <x:c r="B20" s="81" t="n">
        <x:f>B16+B17+B18+B19</x:f>
        <x:v>48.599999999999994</x:v>
      </x:c>
      <x:c r="C20" s="81" t="n">
        <x:f>C16+C17+C18+C19</x:f>
        <x:v>50.81400000000001</x:v>
      </x:c>
      <x:c r="D20" s="81" t="n">
        <x:f>D16+D17+D18+D19</x:f>
        <x:v>53.094420000000014</x:v>
      </x:c>
      <x:c r="E20" s="81" t="n">
        <x:f>E16+E17+E18+E19</x:f>
        <x:v>55.44325260000001</x:v>
      </x:c>
      <x:c r="F20" s="81" t="n">
        <x:f>F16+F17+F18+F19</x:f>
        <x:v>57.862550178000006</x:v>
      </x:c>
      <x:c r="G20" s="81" t="n">
        <x:f>G16+G17+G18+G19</x:f>
        <x:v>60.35442668334002</x:v>
      </x:c>
      <x:c r="H20" s="84" t="str">
        <x:v>Underwritten EBITDA after cash uses.</x:v>
      </x:c>
    </x:row>
    <x:row r="21" ht="28" customHeight="1">
      <x:c r="A21" s="29" t="str">
        <x:v>Debt service</x:v>
      </x:c>
      <x:c r="B21" s="69" t="n">
        <x:f>'Inputs'!$B$17</x:f>
        <x:v>31</x:v>
      </x:c>
      <x:c r="C21" s="69" t="n">
        <x:f>'Inputs'!$B$17</x:f>
        <x:v>31</x:v>
      </x:c>
      <x:c r="D21" s="69" t="n">
        <x:f>'Inputs'!$B$17</x:f>
        <x:v>31</x:v>
      </x:c>
      <x:c r="E21" s="69" t="n">
        <x:f>'Inputs'!$B$17</x:f>
        <x:v>31</x:v>
      </x:c>
      <x:c r="F21" s="69" t="n">
        <x:f>'Inputs'!$B$17</x:f>
        <x:v>31</x:v>
      </x:c>
      <x:c r="G21" s="69" t="n">
        <x:f>'Inputs'!$B$17</x:f>
        <x:v>31</x:v>
      </x:c>
      <x:c r="H21" s="70" t="str">
        <x:v>All-in annual interest and principal payment.</x:v>
      </x:c>
    </x:row>
    <x:row r="22" ht="22" customHeight="1">
      <x:c r="A22" s="75" t="str">
        <x:v>DSCR</x:v>
      </x:c>
      <x:c r="B22" s="87" t="n">
        <x:f>IF(B21&lt;=0,0,B20/B21)</x:f>
        <x:v>1.5677419354838709</x:v>
      </x:c>
      <x:c r="C22" s="87" t="n">
        <x:f>IF(C21&lt;=0,0,C20/C21)</x:f>
        <x:v>1.639161290322581</x:v>
      </x:c>
      <x:c r="D22" s="87" t="n">
        <x:f>IF(D21&lt;=0,0,D20/D21)</x:f>
        <x:v>1.712723225806452</x:v>
      </x:c>
      <x:c r="E22" s="87" t="n">
        <x:f>IF(E21&lt;=0,0,E20/E21)</x:f>
        <x:v>1.788492019354839</x:v>
      </x:c>
      <x:c r="F22" s="87" t="n">
        <x:f>IF(F21&lt;=0,0,F20/F21)</x:f>
        <x:v>1.8665338767096775</x:v>
      </x:c>
      <x:c r="G22" s="87" t="n">
        <x:f>IF(G21&lt;=0,0,G20/G21)</x:f>
        <x:v>1.946916989785162</x:v>
      </x:c>
      <x:c r="H22" s="76" t="str">
        <x:v>CFADS / debt service.</x:v>
      </x:c>
    </x:row>
    <x:row r="23" ht="28" customHeight="1">
      <x:c r="A23" s="29" t="str">
        <x:v>Opening gross debt</x:v>
      </x:c>
      <x:c r="B23" s="69" t="n">
        <x:f>'Inputs'!$B$18</x:f>
        <x:v>230</x:v>
      </x:c>
      <x:c r="C23" s="69" t="n">
        <x:f>B25</x:f>
        <x:v>230</x:v>
      </x:c>
      <x:c r="D23" s="69" t="n">
        <x:f>C25</x:f>
        <x:v>212</x:v>
      </x:c>
      <x:c r="E23" s="69" t="n">
        <x:f>D25</x:f>
        <x:v>194</x:v>
      </x:c>
      <x:c r="F23" s="69" t="n">
        <x:f>E25</x:f>
        <x:v>176</x:v>
      </x:c>
      <x:c r="G23" s="69" t="n">
        <x:f>F25</x:f>
        <x:v>158</x:v>
      </x:c>
      <x:c r="H23" s="70" t="str">
        <x:v>Forecast years roll from prior closing debt.</x:v>
      </x:c>
    </x:row>
    <x:row r="24" ht="22" customHeight="1">
      <x:c r="A24" s="29" t="str">
        <x:v>Principal paid</x:v>
      </x:c>
      <x:c r="B24" s="69" t="n">
        <x:f>0</x:f>
        <x:v>0</x:v>
      </x:c>
      <x:c r="C24" s="69" t="n">
        <x:f>MIN(MAX(0,C23),MAX(0,'Inputs'!$B$19))</x:f>
        <x:v>18</x:v>
      </x:c>
      <x:c r="D24" s="69" t="n">
        <x:f>MIN(MAX(0,D23),MAX(0,'Inputs'!$B$19))</x:f>
        <x:v>18</x:v>
      </x:c>
      <x:c r="E24" s="69" t="n">
        <x:f>MIN(MAX(0,E23),MAX(0,'Inputs'!$B$19))</x:f>
        <x:v>18</x:v>
      </x:c>
      <x:c r="F24" s="69" t="n">
        <x:f>MIN(MAX(0,F23),MAX(0,'Inputs'!$B$19))</x:f>
        <x:v>18</x:v>
      </x:c>
      <x:c r="G24" s="69" t="n">
        <x:f>MIN(MAX(0,G23),MAX(0,'Inputs'!$B$19))</x:f>
        <x:v>18</x:v>
      </x:c>
      <x:c r="H24" s="70" t="str">
        <x:v>Capped at opening debt.</x:v>
      </x:c>
    </x:row>
    <x:row r="25" ht="28" customHeight="1">
      <x:c r="A25" s="75" t="str">
        <x:v>Closing gross debt</x:v>
      </x:c>
      <x:c r="B25" s="74" t="n">
        <x:f>'Inputs'!$B$18</x:f>
        <x:v>230</x:v>
      </x:c>
      <x:c r="C25" s="74" t="n">
        <x:f>MAX(0,C23-C24)</x:f>
        <x:v>212</x:v>
      </x:c>
      <x:c r="D25" s="74" t="n">
        <x:f>MAX(0,D23-D24)</x:f>
        <x:v>194</x:v>
      </x:c>
      <x:c r="E25" s="74" t="n">
        <x:f>MAX(0,E23-E24)</x:f>
        <x:v>176</x:v>
      </x:c>
      <x:c r="F25" s="74" t="n">
        <x:f>MAX(0,F23-F24)</x:f>
        <x:v>158</x:v>
      </x:c>
      <x:c r="G25" s="74" t="n">
        <x:f>MAX(0,G23-G24)</x:f>
        <x:v>140</x:v>
      </x:c>
      <x:c r="H25" s="76" t="str">
        <x:v>Opening debt less principal paid.</x:v>
      </x:c>
    </x:row>
    <x:row r="26" ht="28" customHeight="1">
      <x:c r="A26" s="11" t="str">
        <x:v>Gross leverage</x:v>
      </x:c>
      <x:c r="B26" s="88" t="n">
        <x:f>IF(B16&lt;=0,0,B25/B16)</x:f>
        <x:v>3.0423280423280428</x:v>
      </x:c>
      <x:c r="C26" s="88" t="n">
        <x:f>IF(C16&lt;=0,0,C25/C16)</x:f>
        <x:v>2.7244454725370755</x:v>
      </x:c>
      <x:c r="D26" s="88" t="n">
        <x:f>IF(D16&lt;=0,0,D25/D16)</x:f>
        <x:v>2.4221412677687155</x:v>
      </x:c>
      <x:c r="E26" s="88" t="n">
        <x:f>IF(E16&lt;=0,0,E25/E16)</x:f>
        <x:v>2.1348017508955</x:v>
      </x:c>
      <x:c r="F26" s="88" t="n">
        <x:f>IF(F16&lt;=0,0,F25/F16)</x:f>
        <x:v>1.8618342209678298</x:v>
      </x:c>
      <x:c r="G26" s="88" t="n">
        <x:f>IF(G16&lt;=0,0,G25/G16)</x:f>
        <x:v>1.6026663480661407</x:v>
      </x:c>
      <x:c r="H26" s="79" t="str">
        <x:v>Closing debt / underwritten EBITDA.</x:v>
      </x:c>
    </x:row>
    <x:row r="27" ht="28" customHeight="1">
      <x:c r="A27" s="29" t="str">
        <x:v>DSCR cash headroom</x:v>
      </x:c>
      <x:c r="B27" s="69" t="n">
        <x:f>B20-B21*'Inputs'!$B$20</x:f>
        <x:v>9.849999999999994</x:v>
      </x:c>
      <x:c r="C27" s="69" t="n">
        <x:f>C20-C21*'Inputs'!$B$20</x:f>
        <x:v>12.064000000000007</x:v>
      </x:c>
      <x:c r="D27" s="69" t="n">
        <x:f>D20-D21*'Inputs'!$B$20</x:f>
        <x:v>14.344420000000014</x:v>
      </x:c>
      <x:c r="E27" s="69" t="n">
        <x:f>E20-E21*'Inputs'!$B$20</x:f>
        <x:v>16.693252600000008</x:v>
      </x:c>
      <x:c r="F27" s="69" t="n">
        <x:f>F20-F21*'Inputs'!$B$20</x:f>
        <x:v>19.112550178000006</x:v>
      </x:c>
      <x:c r="G27" s="69" t="n">
        <x:f>G20-G21*'Inputs'!$B$20</x:f>
        <x:v>21.604426683340023</x:v>
      </x:c>
      <x:c r="H27" s="70" t="str">
        <x:v>CFADS less required cash at the minimum DSCR.</x:v>
      </x:c>
    </x:row>
    <x:row r="28" ht="28" customHeight="1">
      <x:c r="A28" s="29" t="str">
        <x:v>Leverage debt headroom</x:v>
      </x:c>
      <x:c r="B28" s="69" t="n">
        <x:f>B16*'Inputs'!$B$21-B25</x:f>
        <x:v>15.699999999999989</x:v>
      </x:c>
      <x:c r="C28" s="69" t="n">
        <x:f>C16*'Inputs'!$B$21-C25</x:f>
        <x:v>40.89550000000003</x:v>
      </x:c>
      <x:c r="D28" s="69" t="n">
        <x:f>D16*'Inputs'!$B$21-D25</x:f>
        <x:v>66.30686500000002</x:v>
      </x:c>
      <x:c r="E28" s="69" t="n">
        <x:f>E16*'Inputs'!$B$21-E25</x:f>
        <x:v>91.94057095000005</x:v>
      </x:c>
      <x:c r="F28" s="69" t="n">
        <x:f>F16*'Inputs'!$B$21-F25</x:f>
        <x:v>117.80328807850003</x:v>
      </x:c>
      <x:c r="G28" s="69" t="n">
        <x:f>G16*'Inputs'!$B$21-G25</x:f>
        <x:v>143.9018867208551</x:v>
      </x:c>
      <x:c r="H28" s="70" t="str">
        <x:v>Maximum debt less closing gross debt.</x:v>
      </x:c>
    </x:row>
    <x:row r="29" ht="28" customHeight="1">
      <x:c r="A29" s="75" t="str">
        <x:v>Thresholds passed</x:v>
      </x:c>
      <x:c r="B29" s="91" t="n">
        <x:f>IF(AND(B22&gt;='Inputs'!$B$20,B26&lt;='Inputs'!$B$21),1,0)</x:f>
        <x:v>1</x:v>
      </x:c>
      <x:c r="C29" s="91" t="n">
        <x:f>IF(AND(C22&gt;='Inputs'!$B$20,C26&lt;='Inputs'!$B$21),1,0)</x:f>
        <x:v>1</x:v>
      </x:c>
      <x:c r="D29" s="91" t="n">
        <x:f>IF(AND(D22&gt;='Inputs'!$B$20,D26&lt;='Inputs'!$B$21),1,0)</x:f>
        <x:v>1</x:v>
      </x:c>
      <x:c r="E29" s="91" t="n">
        <x:f>IF(AND(E22&gt;='Inputs'!$B$20,E26&lt;='Inputs'!$B$21),1,0)</x:f>
        <x:v>1</x:v>
      </x:c>
      <x:c r="F29" s="91" t="n">
        <x:f>IF(AND(F22&gt;='Inputs'!$B$20,F26&lt;='Inputs'!$B$21),1,0)</x:f>
        <x:v>1</x:v>
      </x:c>
      <x:c r="G29" s="91" t="n">
        <x:f>IF(AND(G22&gt;='Inputs'!$B$20,G26&lt;='Inputs'!$B$21),1,0)</x:f>
        <x:v>1</x:v>
      </x:c>
      <x:c r="H29" s="76" t="str">
        <x:v>One means DSCR and leverage both pass.</x:v>
      </x:c>
    </x:row>
    <x:row r="30" ht="22" customHeight="1">
      <x:c r="A30" s="29" t="str">
        <x:v>Normalized EBITDA check</x:v>
      </x:c>
      <x:c r="B30" s="69" t="n">
        <x:f>ROUND(B14-B12-B13,6)</x:f>
        <x:v>0</x:v>
      </x:c>
      <x:c r="C30" s="69" t="n">
        <x:f>ROUND(C14-C12-C13,6)</x:f>
        <x:v>0</x:v>
      </x:c>
      <x:c r="D30" s="69" t="n">
        <x:f>ROUND(D14-D12-D13,6)</x:f>
        <x:v>0</x:v>
      </x:c>
      <x:c r="E30" s="69" t="n">
        <x:f>ROUND(E14-E12-E13,6)</x:f>
        <x:v>0</x:v>
      </x:c>
      <x:c r="F30" s="69" t="n">
        <x:f>ROUND(F14-F12-F13,6)</x:f>
        <x:v>0</x:v>
      </x:c>
      <x:c r="G30" s="69" t="n">
        <x:f>ROUND(G14-G12-G13,6)</x:f>
        <x:v>0</x:v>
      </x:c>
      <x:c r="H30" s="70" t="str">
        <x:v>Must equal zero.</x:v>
      </x:c>
    </x:row>
    <x:row r="31" ht="22" customHeight="1">
      <x:c r="A31" s="29" t="str">
        <x:v>Underwritten EBITDA check</x:v>
      </x:c>
      <x:c r="B31" s="69" t="n">
        <x:f>ROUND(B16-B14-B15,6)</x:f>
        <x:v>0</x:v>
      </x:c>
      <x:c r="C31" s="69" t="n">
        <x:f>ROUND(C16-C14-C15,6)</x:f>
        <x:v>0</x:v>
      </x:c>
      <x:c r="D31" s="69" t="n">
        <x:f>ROUND(D16-D14-D15,6)</x:f>
        <x:v>0</x:v>
      </x:c>
      <x:c r="E31" s="69" t="n">
        <x:f>ROUND(E16-E14-E15,6)</x:f>
        <x:v>0</x:v>
      </x:c>
      <x:c r="F31" s="69" t="n">
        <x:f>ROUND(F16-F14-F15,6)</x:f>
        <x:v>0</x:v>
      </x:c>
      <x:c r="G31" s="69" t="n">
        <x:f>ROUND(G16-G14-G15,6)</x:f>
        <x:v>0</x:v>
      </x:c>
      <x:c r="H31" s="70" t="str">
        <x:v>Must equal zero.</x:v>
      </x:c>
    </x:row>
    <x:row r="32" ht="28" customHeight="1">
      <x:c r="A32" s="29" t="str">
        <x:v>CFADS bridge check</x:v>
      </x:c>
      <x:c r="B32" s="69" t="n">
        <x:f>ROUND(B20-B16-B17-B18-B19,6)</x:f>
        <x:v>0</x:v>
      </x:c>
      <x:c r="C32" s="69" t="n">
        <x:f>ROUND(C20-C16-C17-C18-C19,6)</x:f>
        <x:v>0</x:v>
      </x:c>
      <x:c r="D32" s="69" t="n">
        <x:f>ROUND(D20-D16-D17-D18-D19,6)</x:f>
        <x:v>0</x:v>
      </x:c>
      <x:c r="E32" s="69" t="n">
        <x:f>ROUND(E20-E16-E17-E18-E19,6)</x:f>
        <x:v>0</x:v>
      </x:c>
      <x:c r="F32" s="69" t="n">
        <x:f>ROUND(F20-F16-F17-F18-F19,6)</x:f>
        <x:v>0</x:v>
      </x:c>
      <x:c r="G32" s="69" t="n">
        <x:f>ROUND(G20-G16-G17-G18-G19,6)</x:f>
        <x:v>0</x:v>
      </x:c>
      <x:c r="H32" s="70" t="str">
        <x:v>Must equal zero against EBITDA and cash uses.</x:v>
      </x:c>
    </x:row>
    <x:row r="33" ht="22" customHeight="1">
      <x:c r="A33" s="29" t="str">
        <x:v>Debt roll-forward check</x:v>
      </x:c>
      <x:c r="B33" s="69" t="n">
        <x:f>ROUND(B25-'Inputs'!$B$18,6)</x:f>
        <x:v>0</x:v>
      </x:c>
      <x:c r="C33" s="69" t="n">
        <x:f>ROUND(C25-C23+C24,6)</x:f>
        <x:v>0</x:v>
      </x:c>
      <x:c r="D33" s="69" t="n">
        <x:f>ROUND(D25-D23+D24,6)</x:f>
        <x:v>0</x:v>
      </x:c>
      <x:c r="E33" s="69" t="n">
        <x:f>ROUND(E25-E23+E24,6)</x:f>
        <x:v>0</x:v>
      </x:c>
      <x:c r="F33" s="69" t="n">
        <x:f>ROUND(F25-F23+F24,6)</x:f>
        <x:v>0</x:v>
      </x:c>
      <x:c r="G33" s="69" t="n">
        <x:f>ROUND(G25-G23+G24,6)</x:f>
        <x:v>0</x:v>
      </x:c>
      <x:c r="H33" s="70" t="str">
        <x:v>Must equal zero.</x:v>
      </x:c>
    </x:row>
    <x:row r="34" ht="28" customHeight="1">
      <x:c r="A34" s="29" t="str">
        <x:v>DSCR and leverage check</x:v>
      </x:c>
      <x:c r="B34" s="94" t="n">
        <x:f>ROUND(ABS(B22-IF(B21&lt;=0,0,B20/B21))+ABS(B26-IF(B16&lt;=0,0,B25/B16)),6)</x:f>
        <x:v>0</x:v>
      </x:c>
      <x:c r="C34" s="94" t="n">
        <x:f>ROUND(ABS(C22-IF(C21&lt;=0,0,C20/C21))+ABS(C26-IF(C16&lt;=0,0,C25/C16)),6)</x:f>
        <x:v>0</x:v>
      </x:c>
      <x:c r="D34" s="94" t="n">
        <x:f>ROUND(ABS(D22-IF(D21&lt;=0,0,D20/D21))+ABS(D26-IF(D16&lt;=0,0,D25/D16)),6)</x:f>
        <x:v>0</x:v>
      </x:c>
      <x:c r="E34" s="94" t="n">
        <x:f>ROUND(ABS(E22-IF(E21&lt;=0,0,E20/E21))+ABS(E26-IF(E16&lt;=0,0,E25/E16)),6)</x:f>
        <x:v>0</x:v>
      </x:c>
      <x:c r="F34" s="94" t="n">
        <x:f>ROUND(ABS(F22-IF(F21&lt;=0,0,F20/F21))+ABS(F26-IF(F16&lt;=0,0,F25/F16)),6)</x:f>
        <x:v>0</x:v>
      </x:c>
      <x:c r="G34" s="94" t="n">
        <x:f>ROUND(ABS(G22-IF(G21&lt;=0,0,G20/G21))+ABS(G26-IF(G16&lt;=0,0,G25/G16)),6)</x:f>
        <x:v>0</x:v>
      </x:c>
      <x:c r="H34" s="70" t="str">
        <x:v>Combined ratio formula control.</x:v>
      </x:c>
    </x:row>
    <x:row r="35" ht="28" customHeight="1">
      <x:c r="A35" s="29" t="str">
        <x:v>Headroom bridge check</x:v>
      </x:c>
      <x:c r="B35" s="69" t="n">
        <x:f>ROUND(ABS(B27-B20+B21*'Inputs'!$B$20)+ABS(B28-B16*'Inputs'!$B$21+B25),6)</x:f>
        <x:v>0</x:v>
      </x:c>
      <x:c r="C35" s="69" t="n">
        <x:f>ROUND(ABS(C27-C20+C21*'Inputs'!$B$20)+ABS(C28-C16*'Inputs'!$B$21+C25),6)</x:f>
        <x:v>0</x:v>
      </x:c>
      <x:c r="D35" s="69" t="n">
        <x:f>ROUND(ABS(D27-D20+D21*'Inputs'!$B$20)+ABS(D28-D16*'Inputs'!$B$21+D25),6)</x:f>
        <x:v>0</x:v>
      </x:c>
      <x:c r="E35" s="69" t="n">
        <x:f>ROUND(ABS(E27-E20+E21*'Inputs'!$B$20)+ABS(E28-E16*'Inputs'!$B$21+E25),6)</x:f>
        <x:v>0</x:v>
      </x:c>
      <x:c r="F35" s="69" t="n">
        <x:f>ROUND(ABS(F27-F20+F21*'Inputs'!$B$20)+ABS(F28-F16*'Inputs'!$B$21+F25),6)</x:f>
        <x:v>0</x:v>
      </x:c>
      <x:c r="G35" s="69" t="n">
        <x:f>ROUND(ABS(G27-G20+G21*'Inputs'!$B$20)+ABS(G28-G16*'Inputs'!$B$21+G25),6)</x:f>
        <x:v>0</x:v>
      </x:c>
      <x:c r="H35" s="70" t="str">
        <x:v>Combined cash and debt headroom control.</x:v>
      </x:c>
    </x:row>
    <x:row r="36" ht="20" customHeight="1">
      <x:c r="A36" s="3"/>
      <x:c r="B36" s="3"/>
      <x:c r="C36" s="3"/>
      <x:c r="D36" s="3"/>
      <x:c r="E36" s="3"/>
      <x:c r="F36" s="3"/>
      <x:c r="G36" s="3"/>
      <x:c r="H36" s="3"/>
    </x:row>
    <x:row r="37" ht="20" customHeight="1">
      <x:c r="A37" s="148" t="str">
        <x:f>IF(MIN(C29:G29)=1,"REQUEST FITS SELECTED THRESHOLDS IN ALL YEARS","THRESHOLD BREACH · inspect DSCR, leverage, and the first failed year")</x:f>
        <x:v>REQUEST FITS SELECTED THRESHOLDS IN ALL YEARS</x:v>
      </x:c>
      <x:c r="B37" s="149"/>
      <x:c r="C37" s="149"/>
      <x:c r="D37" s="149"/>
      <x:c r="E37" s="149"/>
      <x:c r="F37" s="149"/>
      <x:c r="G37" s="149"/>
      <x:c r="H37" s="150"/>
    </x:row>
    <x:row r="38" ht="20" customHeight="1">
      <x:c r="A38" s="151"/>
      <x:c r="B38" s="152"/>
      <x:c r="C38" s="152"/>
      <x:c r="D38" s="152"/>
      <x:c r="E38" s="152"/>
      <x:c r="F38" s="152"/>
      <x:c r="G38" s="152"/>
      <x:c r="H38" s="153"/>
    </x:row>
    <x:row r="39" ht="20" customHeight="1">
      <x:c r="A39" s="154"/>
      <x:c r="B39" s="155"/>
      <x:c r="C39" s="155"/>
      <x:c r="D39" s="155"/>
      <x:c r="E39" s="155"/>
      <x:c r="F39" s="155"/>
      <x:c r="G39" s="155"/>
      <x:c r="H39" s="156"/>
    </x:row>
    <x:row r="40" ht="20" customHeight="1">
      <x:c r="A40" s="3"/>
      <x:c r="B40" s="3"/>
      <x:c r="C40" s="3"/>
      <x:c r="D40" s="3"/>
      <x:c r="E40" s="3"/>
      <x:c r="F40" s="3"/>
      <x:c r="G40" s="3"/>
      <x:c r="H40" s="3"/>
    </x:row>
    <x:row r="41" ht="20" customHeight="1">
      <x:c r="A41" s="3"/>
      <x:c r="B41" s="3"/>
      <x:c r="C41" s="3"/>
      <x:c r="D41" s="3"/>
      <x:c r="E41" s="3"/>
      <x:c r="F41" s="3"/>
      <x:c r="G41" s="3"/>
      <x:c r="H41" s="3"/>
    </x:row>
    <x:row r="42" ht="20" customHeight="1">
      <x:c r="A42" s="3"/>
      <x:c r="B42" s="3"/>
      <x:c r="C42" s="3"/>
      <x:c r="D42" s="3"/>
      <x:c r="E42" s="3"/>
      <x:c r="F42" s="3"/>
      <x:c r="G42" s="3"/>
      <x:c r="H42" s="3"/>
    </x:row>
    <x:row r="43" ht="20" customHeight="1">
      <x:c r="A43" s="3"/>
      <x:c r="B43" s="3"/>
      <x:c r="C43" s="3"/>
      <x:c r="D43" s="3"/>
      <x:c r="E43" s="3"/>
      <x:c r="F43" s="3"/>
      <x:c r="G43" s="3"/>
      <x:c r="H43" s="3"/>
    </x:row>
    <x:row r="44" ht="20" customHeight="1">
      <x:c r="A44" s="3"/>
      <x:c r="B44" s="3"/>
      <x:c r="C44" s="3"/>
      <x:c r="D44" s="3"/>
      <x:c r="E44" s="3"/>
      <x:c r="F44" s="3"/>
      <x:c r="G44" s="3"/>
      <x:c r="H44" s="3"/>
    </x:row>
    <x:row r="45" ht="20" customHeight="1">
      <x:c r="A45" s="3"/>
      <x:c r="B45" s="3"/>
      <x:c r="C45" s="3"/>
      <x:c r="D45" s="3"/>
      <x:c r="E45" s="3"/>
      <x:c r="F45" s="3"/>
      <x:c r="G45" s="3"/>
      <x:c r="H45" s="3"/>
    </x:row>
    <x:row r="46" ht="20" customHeight="1">
      <x:c r="A46" s="60" t="str">
        <x:v>Credit Underwriting / DSCR · Option C standard · Base + five years</x:v>
      </x:c>
      <x:c r="B46" s="60"/>
      <x:c r="C46" s="60"/>
      <x:c r="D46" s="60"/>
      <x:c r="E46" s="60"/>
      <x:c r="F46" s="60"/>
      <x:c r="G46" s="60"/>
      <x:c r="H46" s="60"/>
    </x:row>
  </x:sheetData>
  <x:mergeCells>
    <x:mergeCell ref="A1:H2"/>
    <x:mergeCell ref="A3:H3"/>
    <x:mergeCell ref="A10:H10"/>
    <x:mergeCell ref="A5:B5"/>
    <x:mergeCell ref="A6:B8"/>
    <x:mergeCell ref="C5:D5"/>
    <x:mergeCell ref="C6:D8"/>
    <x:mergeCell ref="E5:F5"/>
    <x:mergeCell ref="E6:F8"/>
    <x:mergeCell ref="G5:H5"/>
    <x:mergeCell ref="G6:H8"/>
    <x:mergeCell ref="A37:H39"/>
    <x:mergeCell ref="A46:H4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6" t="str">
        <x:v>RESULTS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Credit Underwriting / DSCR · Decision view linked to the detailed Model sheet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97" t="str">
        <x:v>MINIMUM DSCR</x:v>
      </x:c>
      <x:c r="B5" s="98"/>
      <x:c r="C5" s="97" t="str">
        <x:v>MAXIMUM LEVERAGE</x:v>
      </x:c>
      <x:c r="D5" s="98"/>
      <x:c r="E5" s="97" t="str">
        <x:v>YEAR-5 CASH HEADROOM</x:v>
      </x:c>
      <x:c r="F5" s="98"/>
      <x:c r="G5" s="97" t="str">
        <x:v>YEAR-5 DEBT HEADROOM</x:v>
      </x:c>
      <x:c r="H5" s="98"/>
    </x:row>
    <x:row r="6" ht="20" customHeight="1">
      <x:c r="A6" s="112" t="n">
        <x:f>'Model'!A6</x:f>
        <x:v>1.639161290322581</x:v>
      </x:c>
      <x:c r="B6" s="113"/>
      <x:c r="C6" s="112" t="n">
        <x:f>'Model'!C6</x:f>
        <x:v>2.7244454725370755</x:v>
      </x:c>
      <x:c r="D6" s="113"/>
      <x:c r="E6" s="124" t="n">
        <x:f>'Model'!E6</x:f>
        <x:v>21.604426683340023</x:v>
      </x:c>
      <x:c r="F6" s="125"/>
      <x:c r="G6" s="124" t="n">
        <x:f>'Model'!G6</x:f>
        <x:v>143.9018867208551</x:v>
      </x:c>
      <x:c r="H6" s="125"/>
    </x:row>
    <x:row r="7" ht="20" customHeight="1">
      <x:c r="A7" s="114"/>
      <x:c r="B7" s="115"/>
      <x:c r="C7" s="114"/>
      <x:c r="D7" s="115"/>
      <x:c r="E7" s="126"/>
      <x:c r="F7" s="127"/>
      <x:c r="G7" s="126"/>
      <x:c r="H7" s="127"/>
    </x:row>
    <x:row r="8" ht="20" customHeight="1">
      <x:c r="A8" s="116"/>
      <x:c r="B8" s="117"/>
      <x:c r="C8" s="116"/>
      <x:c r="D8" s="117"/>
      <x:c r="E8" s="128"/>
      <x:c r="F8" s="129"/>
      <x:c r="G8" s="128"/>
      <x:c r="H8" s="129"/>
    </x:row>
    <x:row r="9" ht="20" customHeight="1">
      <x:c r="A9" s="3"/>
      <x:c r="B9" s="3"/>
      <x:c r="C9" s="3"/>
      <x:c r="D9" s="3"/>
      <x:c r="E9" s="3"/>
      <x:c r="F9" s="3"/>
      <x:c r="G9" s="3"/>
      <x:c r="H9" s="3"/>
    </x:row>
    <x:row r="10" ht="20" customHeight="1">
      <x:c r="A10" s="61" t="str">
        <x:v>DECISION VIEW</x:v>
      </x:c>
      <x:c r="B10" s="61"/>
      <x:c r="C10" s="61"/>
      <x:c r="D10" s="61"/>
      <x:c r="E10" s="61"/>
      <x:c r="F10" s="61"/>
      <x:c r="G10" s="61"/>
      <x:c r="H10" s="61"/>
    </x:row>
    <x:row r="11" ht="34" customHeight="1">
      <x:c r="A11" s="158" t="str">
        <x:v>CALCULATION STATUS</x:v>
      </x:c>
      <x:c r="B11" s="158"/>
      <x:c r="C11" s="162" t="str">
        <x:f>'Checks'!B4</x:f>
        <x:v>PASS</x:v>
      </x:c>
      <x:c r="D11" s="163"/>
      <x:c r="E11" s="158" t="str">
        <x:v>CREDIT OUTCOME</x:v>
      </x:c>
      <x:c r="F11" s="158"/>
      <x:c r="G11" s="169" t="str">
        <x:f>'Model'!A37</x:f>
        <x:v>REQUEST FITS SELECTED THRESHOLDS IN ALL YEARS</x:v>
      </x:c>
      <x:c r="H11" s="170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</x:row>
    <x:row r="13" ht="20" customHeight="1">
      <x:c r="A13" s="61" t="str">
        <x:v>WHAT IT ANSWERS</x:v>
      </x:c>
      <x:c r="B13" s="61"/>
      <x:c r="C13" s="61"/>
      <x:c r="D13" s="61"/>
      <x:c r="E13" s="61"/>
      <x:c r="F13" s="61"/>
      <x:c r="G13" s="61"/>
      <x:c r="H13" s="61"/>
    </x:row>
    <x:row r="14" ht="20" customHeight="1">
      <x:c r="A14" s="177" t="str">
        <x:v>Can the borrower support the requested debt through a five-year underwritten forecast?</x:v>
      </x:c>
      <x:c r="B14" s="178"/>
      <x:c r="C14" s="178"/>
      <x:c r="D14" s="178"/>
      <x:c r="E14" s="178"/>
      <x:c r="F14" s="178"/>
      <x:c r="G14" s="178"/>
      <x:c r="H14" s="179"/>
    </x:row>
    <x:row r="15" ht="20" customHeight="1">
      <x:c r="A15" s="180"/>
      <x:c r="B15" s="181"/>
      <x:c r="C15" s="181"/>
      <x:c r="D15" s="181"/>
      <x:c r="E15" s="181"/>
      <x:c r="F15" s="181"/>
      <x:c r="G15" s="181"/>
      <x:c r="H15" s="182"/>
    </x:row>
    <x:row r="16" ht="20" customHeight="1">
      <x:c r="A16" s="3"/>
      <x:c r="B16" s="3"/>
      <x:c r="C16" s="3"/>
      <x:c r="D16" s="3"/>
      <x:c r="E16" s="3"/>
      <x:c r="F16" s="3"/>
      <x:c r="G16" s="3"/>
      <x:c r="H16" s="3"/>
    </x:row>
    <x:row r="17" ht="20" customHeight="1">
      <x:c r="A17" s="61" t="str">
        <x:v>MODEL DEPTH</x:v>
      </x:c>
      <x:c r="B17" s="61"/>
      <x:c r="C17" s="61"/>
      <x:c r="D17" s="61"/>
      <x:c r="E17" s="61"/>
      <x:c r="F17" s="61"/>
      <x:c r="G17" s="61"/>
      <x:c r="H17" s="61"/>
    </x:row>
    <x:row r="18" ht="20" customHeight="1">
      <x:c r="A18" s="157" t="str">
        <x:v>Forecast</x:v>
      </x:c>
      <x:c r="B18" s="157"/>
      <x:c r="C18" s="75" t="str">
        <x:v>Base plus five forecast years</x:v>
      </x:c>
      <x:c r="D18" s="75"/>
      <x:c r="E18" s="75"/>
      <x:c r="F18" s="75"/>
      <x:c r="G18" s="75"/>
      <x:c r="H18" s="75"/>
    </x:row>
    <x:row r="19" ht="20" customHeight="1">
      <x:c r="A19" s="157" t="str">
        <x:v>Editable inputs</x:v>
      </x:c>
      <x:c r="B19" s="157"/>
      <x:c r="C19" s="75" t="str">
        <x:v>12</x:v>
      </x:c>
      <x:c r="D19" s="75"/>
      <x:c r="E19" s="75"/>
      <x:c r="F19" s="75"/>
      <x:c r="G19" s="75"/>
      <x:c r="H19" s="75"/>
    </x:row>
    <x:row r="20" ht="20" customHeight="1">
      <x:c r="A20" s="157" t="str">
        <x:v>Calculation detail</x:v>
      </x:c>
      <x:c r="B20" s="157"/>
      <x:c r="C20" s="75" t="str">
        <x:v>Visible formulas, schedules, roll-forwards, and bridges</x:v>
      </x:c>
      <x:c r="D20" s="75"/>
      <x:c r="E20" s="75"/>
      <x:c r="F20" s="75"/>
      <x:c r="G20" s="75"/>
      <x:c r="H20" s="75"/>
    </x:row>
    <x:row r="21" ht="20" customHeight="1">
      <x:c r="A21" s="157" t="str">
        <x:v>Workbook flow</x:v>
      </x:c>
      <x:c r="B21" s="157"/>
      <x:c r="C21" s="75" t="str">
        <x:v>Start → Inputs → Model → Results → Checks</x:v>
      </x:c>
      <x:c r="D21" s="75"/>
      <x:c r="E21" s="75"/>
      <x:c r="F21" s="75"/>
      <x:c r="G21" s="75"/>
      <x:c r="H21" s="75"/>
    </x:row>
    <x:row r="22" ht="20" customHeight="1">
      <x:c r="A22" s="3"/>
      <x:c r="B22" s="3"/>
      <x:c r="C22" s="3"/>
      <x:c r="D22" s="3"/>
      <x:c r="E22" s="3"/>
      <x:c r="F22" s="3"/>
      <x:c r="G22" s="3"/>
      <x:c r="H22" s="3"/>
    </x:row>
    <x:row r="23" ht="20" customHeight="1">
      <x:c r="A23" s="61" t="str">
        <x:v>SCOPE</x:v>
      </x:c>
      <x:c r="B23" s="61"/>
      <x:c r="C23" s="61"/>
      <x:c r="D23" s="61"/>
      <x:c r="E23" s="61"/>
      <x:c r="F23" s="61"/>
      <x:c r="G23" s="61"/>
      <x:c r="H23" s="61"/>
    </x:row>
    <x:row r="24" ht="20" customHeight="1">
      <x:c r="A24" s="191" t="str">
        <x:v>Included: Five-year normalized and underwritten EBITDA build · CFADS, debt service, and principal roll-forward · DSCR, leverage, cash headroom, and debt headroom</x:v>
      </x:c>
      <x:c r="B24" s="192"/>
      <x:c r="C24" s="192"/>
      <x:c r="D24" s="192"/>
      <x:c r="E24" s="192"/>
      <x:c r="F24" s="192"/>
      <x:c r="G24" s="192"/>
      <x:c r="H24" s="193"/>
    </x:row>
    <x:row r="25" ht="20" customHeight="1">
      <x:c r="A25" s="194"/>
      <x:c r="B25" s="195"/>
      <x:c r="C25" s="195"/>
      <x:c r="D25" s="195"/>
      <x:c r="E25" s="195"/>
      <x:c r="F25" s="195"/>
      <x:c r="G25" s="195"/>
      <x:c r="H25" s="196"/>
    </x:row>
    <x:row r="26" ht="20" customHeight="1">
      <x:c r="A26" s="197"/>
      <x:c r="B26" s="198"/>
      <x:c r="C26" s="198"/>
      <x:c r="D26" s="198"/>
      <x:c r="E26" s="198"/>
      <x:c r="F26" s="198"/>
      <x:c r="G26" s="198"/>
      <x:c r="H26" s="199"/>
    </x:row>
    <x:row r="27" ht="20" customHeight="1">
      <x:c r="A27" s="54" t="str">
        <x:v>Outside this model: Collateral, guarantees, undrawn exposure, ratings migration, recovery analysis, and formal credit approval.</x:v>
      </x:c>
      <x:c r="B27" s="55"/>
      <x:c r="C27" s="55"/>
      <x:c r="D27" s="55"/>
      <x:c r="E27" s="55"/>
      <x:c r="F27" s="55"/>
      <x:c r="G27" s="55"/>
      <x:c r="H27" s="56"/>
    </x:row>
    <x:row r="28" ht="20" customHeight="1">
      <x:c r="A28" s="57"/>
      <x:c r="B28" s="58"/>
      <x:c r="C28" s="58"/>
      <x:c r="D28" s="58"/>
      <x:c r="E28" s="58"/>
      <x:c r="F28" s="58"/>
      <x:c r="G28" s="58"/>
      <x:c r="H28" s="59"/>
    </x:row>
    <x:row r="29" ht="20" customHeight="1">
      <x:c r="A29" s="203" t="str">
        <x:v>Five visible tabs · No hidden calculations · Calculation status and business outcome are reported separately.</x:v>
      </x:c>
      <x:c r="B29" s="204"/>
      <x:c r="C29" s="204"/>
      <x:c r="D29" s="204"/>
      <x:c r="E29" s="204"/>
      <x:c r="F29" s="204"/>
      <x:c r="G29" s="204"/>
      <x:c r="H29" s="205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60" t="str">
        <x:v>Credit Underwriting / DSCR · v1.4.0 · Linked summary only · Trace all formulas on Model</x:v>
      </x:c>
      <x:c r="B31" s="60"/>
      <x:c r="C31" s="60"/>
      <x:c r="D31" s="60"/>
      <x:c r="E31" s="60"/>
      <x:c r="F31" s="60"/>
      <x:c r="G31" s="60"/>
      <x:c r="H31" s="60"/>
    </x:row>
  </x:sheetData>
  <x:mergeCells>
    <x:mergeCell ref="A1:H2"/>
    <x:mergeCell ref="A3:H3"/>
    <x:mergeCell ref="A5:B5"/>
    <x:mergeCell ref="A6:B8"/>
    <x:mergeCell ref="C5:D5"/>
    <x:mergeCell ref="C6:D8"/>
    <x:mergeCell ref="E5:F5"/>
    <x:mergeCell ref="E6:F8"/>
    <x:mergeCell ref="G5:H5"/>
    <x:mergeCell ref="G6:H8"/>
    <x:mergeCell ref="A10:H10"/>
    <x:mergeCell ref="A11:B11"/>
    <x:mergeCell ref="C11:D11"/>
    <x:mergeCell ref="E11:F11"/>
    <x:mergeCell ref="G11:H11"/>
    <x:mergeCell ref="A13:H13"/>
    <x:mergeCell ref="A14:H15"/>
    <x:mergeCell ref="A17:H17"/>
    <x:mergeCell ref="A18:B18"/>
    <x:mergeCell ref="C18:H18"/>
    <x:mergeCell ref="A19:B19"/>
    <x:mergeCell ref="C19:H19"/>
    <x:mergeCell ref="A20:B20"/>
    <x:mergeCell ref="C20:H20"/>
    <x:mergeCell ref="A21:B21"/>
    <x:mergeCell ref="C21:H21"/>
    <x:mergeCell ref="A23:H23"/>
    <x:mergeCell ref="A24:H26"/>
    <x:mergeCell ref="A27:H28"/>
    <x:mergeCell ref="A29:H29"/>
    <x:mergeCell ref="A31:H31"/>
  </x:mergeCells>
  <x:conditionalFormatting sqref="C11:D11">
    <x:cfRule type="containsText" dxfId="0" priority="1" operator="containsText" text="FAIL"/>
    <x:cfRule type="containsText" dxfId="1" priority="2" operator="containsText" text="PASS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3" hidden="0" customWidth="1"/>
    <x:col min="8" max="8" width="16" hidden="0" customWidth="1"/>
  </x:cols>
  <x:sheetData>
    <x:row r="1" ht="27" customHeight="1">
      <x:c r="A1" s="6" t="str">
        <x:v>CHECKS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Credit Underwriting / DSCR · Calculation controls only; business outcomes are shown separately</x:v>
      </x:c>
      <x:c r="B3" s="9"/>
      <x:c r="C3" s="9"/>
      <x:c r="D3" s="9"/>
      <x:c r="E3" s="9"/>
      <x:c r="F3" s="9"/>
      <x:c r="G3" s="9"/>
      <x:c r="H3" s="9"/>
    </x:row>
    <x:row r="4" ht="12" customHeight="1">
      <x:c r="A4" s="3"/>
      <x:c r="B4" s="206" t="str">
        <x:f>IF(COUNTIF(F9:F18,"PASS")=10,"PASS","FAIL")</x:f>
        <x:v>PASS</x:v>
      </x:c>
      <x:c r="C4" s="206"/>
      <x:c r="D4" s="206"/>
      <x:c r="E4" s="206"/>
      <x:c r="F4" s="206"/>
      <x:c r="G4" s="206"/>
      <x:c r="H4" s="206"/>
    </x:row>
    <x:row r="5" ht="20" customHeight="1">
      <x:c r="A5" s="60" t="str">
        <x:v>MODEL STATUS</x:v>
      </x:c>
      <x:c r="B5" s="60"/>
      <x:c r="C5" s="162" t="str">
        <x:f>B4</x:f>
        <x:v>PASS</x:v>
      </x:c>
      <x:c r="D5" s="208"/>
      <x:c r="E5" s="208"/>
      <x:c r="F5" s="208"/>
      <x:c r="G5" s="208"/>
      <x:c r="H5" s="163"/>
    </x:row>
    <x:row r="6" ht="20" customHeight="1">
      <x:c r="A6" s="3"/>
      <x:c r="B6" s="3"/>
      <x:c r="C6" s="3"/>
      <x:c r="D6" s="3"/>
      <x:c r="E6" s="3"/>
      <x:c r="F6" s="3"/>
      <x:c r="G6" s="3"/>
      <x:c r="H6" s="3"/>
    </x:row>
    <x:row r="7" ht="20" customHeight="1">
      <x:c r="A7" s="61" t="str">
        <x:v>10 CALCULATION CONTROLS</x:v>
      </x:c>
      <x:c r="B7" s="61"/>
      <x:c r="C7" s="61"/>
      <x:c r="D7" s="61"/>
      <x:c r="E7" s="61"/>
      <x:c r="F7" s="61"/>
      <x:c r="G7" s="61"/>
      <x:c r="H7" s="61"/>
    </x:row>
    <x:row r="8" ht="20" customHeight="1">
      <x:c r="A8" s="28" t="str">
        <x:v>Control</x:v>
      </x:c>
      <x:c r="B8" s="28" t="str">
        <x:v>Actual</x:v>
      </x:c>
      <x:c r="C8" s="28" t="str">
        <x:v>Expected</x:v>
      </x:c>
      <x:c r="D8" s="28" t="str">
        <x:v>Difference</x:v>
      </x:c>
      <x:c r="E8" s="28" t="str">
        <x:v>Tolerance</x:v>
      </x:c>
      <x:c r="F8" s="28" t="str">
        <x:v>Status</x:v>
      </x:c>
      <x:c r="G8" s="28" t="str">
        <x:v>Where to fix</x:v>
      </x:c>
      <x:c r="H8" s="28"/>
    </x:row>
    <x:row r="9" ht="26" customHeight="1">
      <x:c r="A9" s="195" t="str">
        <x:v>All editable inputs are numeric</x:v>
      </x:c>
      <x:c r="B9" s="211" t="n">
        <x:f>ROUND(COUNT('Inputs'!B10,'Inputs'!B11,'Inputs'!B12,'Inputs'!B13,'Inputs'!B14,'Inputs'!B15,'Inputs'!B16,'Inputs'!B17,'Inputs'!B18,'Inputs'!B19,'Inputs'!B20,'Inputs'!B21),6)</x:f>
        <x:v>12</x:v>
      </x:c>
      <x:c r="C9" s="211" t="n">
        <x:f>12</x:f>
        <x:v>12</x:v>
      </x:c>
      <x:c r="D9" s="211" t="n">
        <x:f>ROUND(B9-C9,6)</x:f>
        <x:v>0</x:v>
      </x:c>
      <x:c r="E9" s="211" t="n">
        <x:f>0</x:f>
        <x:v>0</x:v>
      </x:c>
      <x:c r="F9" s="212" t="str">
        <x:f>IF(ABS(ROUND(D9,6))&lt;=E9,"PASS","FAIL")</x:f>
        <x:v>PASS</x:v>
      </x:c>
      <x:c r="G9" s="195" t="str">
        <x:v>Complete the blue cells on Inputs</x:v>
      </x:c>
      <x:c r="H9" s="195"/>
    </x:row>
    <x:row r="10" ht="26" customHeight="1">
      <x:c r="A10" s="195" t="str">
        <x:v>Results headline KPIs reconcile to Model</x:v>
      </x:c>
      <x:c r="B10" s="215" t="n">
        <x:f>ROUND(IFERROR(SUM(ABS('Results'!A6-'Model'!A6),ABS('Results'!C6-'Model'!C6),ABS('Results'!E6-'Model'!E6),ABS('Results'!G6-'Model'!G6)),1E+99),6)</x:f>
        <x:v>0</x:v>
      </x:c>
      <x:c r="C10" s="215" t="n">
        <x:f>0</x:f>
        <x:v>0</x:v>
      </x:c>
      <x:c r="D10" s="215" t="n">
        <x:f>ROUND(B10-C10,6)</x:f>
        <x:v>0</x:v>
      </x:c>
      <x:c r="E10" s="215" t="n">
        <x:f>0.0001</x:f>
        <x:v>0.0001</x:v>
      </x:c>
      <x:c r="F10" s="212" t="str">
        <x:f>IF(ABS(ROUND(D10,6))&lt;=E10,"PASS","FAIL")</x:f>
        <x:v>PASS</x:v>
      </x:c>
      <x:c r="G10" s="195" t="str">
        <x:v>Review Results-to-Model links</x:v>
      </x:c>
      <x:c r="H10" s="195"/>
    </x:row>
    <x:row r="11" ht="26" customHeight="1">
      <x:c r="A11" s="195" t="str">
        <x:v>Haircut, debt, and cash-flow inputs are valid</x:v>
      </x:c>
      <x:c r="B11" s="215" t="n">
        <x:f>ROUND(IF(AND('Inputs'!$B$10&gt;0,'Inputs'!$B$11&gt;-1,'Inputs'!$B$13&gt;=0,'Inputs'!$B$13&lt;1,'Inputs'!$B$14&gt;=0,'Inputs'!$B$15&gt;=0,'Inputs'!$B$16&gt;=0,'Inputs'!$B$17&gt;0,'Inputs'!$B$18&gt;=0,'Inputs'!$B$19&gt;=0,'Inputs'!$B$20&gt;0,'Inputs'!$B$21&gt;0),1,0),6)</x:f>
        <x:v>1</x:v>
      </x:c>
      <x:c r="C11" s="215" t="n">
        <x:f>1</x:f>
        <x:v>1</x:v>
      </x:c>
      <x:c r="D11" s="215" t="n">
        <x:f>ROUND(B11-C11,6)</x:f>
        <x:v>0</x:v>
      </x:c>
      <x:c r="E11" s="215" t="n">
        <x:f>0.0001</x:f>
        <x:v>0.0001</x:v>
      </x:c>
      <x:c r="F11" s="212" t="str">
        <x:f>IF(ABS(ROUND(D11,6))&lt;=E11,"PASS","FAIL")</x:f>
        <x:v>PASS</x:v>
      </x:c>
      <x:c r="G11" s="195" t="str">
        <x:v>Inputs: underwriting and debt assumptions</x:v>
      </x:c>
      <x:c r="H11" s="195"/>
    </x:row>
    <x:row r="12" ht="26" customHeight="1">
      <x:c r="A12" s="195" t="str">
        <x:v>Normalized EBITDA bridge ties</x:v>
      </x:c>
      <x:c r="B12" s="218" t="n">
        <x:f>ROUND(MAX(ABS('Model'!C30),ABS('Model'!D30),ABS('Model'!E30),ABS('Model'!F30),ABS('Model'!G30)),6)</x:f>
        <x:v>0</x:v>
      </x:c>
      <x:c r="C12" s="218" t="n">
        <x:f>0</x:f>
        <x:v>0</x:v>
      </x:c>
      <x:c r="D12" s="218" t="n">
        <x:f>ROUND(B12-C12,6)</x:f>
        <x:v>0</x:v>
      </x:c>
      <x:c r="E12" s="218" t="n">
        <x:f>0.01</x:f>
        <x:v>0.01</x:v>
      </x:c>
      <x:c r="F12" s="212" t="str">
        <x:f>IF(ABS(ROUND(D12,6))&lt;=E12,"PASS","FAIL")</x:f>
        <x:v>PASS</x:v>
      </x:c>
      <x:c r="G12" s="195" t="str">
        <x:v>Model: normalized EBITDA</x:v>
      </x:c>
      <x:c r="H12" s="195"/>
    </x:row>
    <x:row r="13" ht="26" customHeight="1">
      <x:c r="A13" s="195" t="str">
        <x:v>Underwritten EBITDA bridge ties</x:v>
      </x:c>
      <x:c r="B13" s="218" t="n">
        <x:f>ROUND(MAX(ABS('Model'!C31),ABS('Model'!D31),ABS('Model'!E31),ABS('Model'!F31),ABS('Model'!G31)),6)</x:f>
        <x:v>0</x:v>
      </x:c>
      <x:c r="C13" s="218" t="n">
        <x:f>0</x:f>
        <x:v>0</x:v>
      </x:c>
      <x:c r="D13" s="218" t="n">
        <x:f>ROUND(B13-C13,6)</x:f>
        <x:v>0</x:v>
      </x:c>
      <x:c r="E13" s="218" t="n">
        <x:f>0.01</x:f>
        <x:v>0.01</x:v>
      </x:c>
      <x:c r="F13" s="212" t="str">
        <x:f>IF(ABS(ROUND(D13,6))&lt;=E13,"PASS","FAIL")</x:f>
        <x:v>PASS</x:v>
      </x:c>
      <x:c r="G13" s="195" t="str">
        <x:v>Model: underwritten EBITDA</x:v>
      </x:c>
      <x:c r="H13" s="195"/>
    </x:row>
    <x:row r="14" ht="26" customHeight="1">
      <x:c r="A14" s="195" t="str">
        <x:v>CFADS bridge ties</x:v>
      </x:c>
      <x:c r="B14" s="218" t="n">
        <x:f>ROUND(MAX(ABS('Model'!C32),ABS('Model'!D32),ABS('Model'!E32),ABS('Model'!F32),ABS('Model'!G32)),6)</x:f>
        <x:v>0</x:v>
      </x:c>
      <x:c r="C14" s="218" t="n">
        <x:f>0</x:f>
        <x:v>0</x:v>
      </x:c>
      <x:c r="D14" s="218" t="n">
        <x:f>ROUND(B14-C14,6)</x:f>
        <x:v>0</x:v>
      </x:c>
      <x:c r="E14" s="218" t="n">
        <x:f>0.01</x:f>
        <x:v>0.01</x:v>
      </x:c>
      <x:c r="F14" s="212" t="str">
        <x:f>IF(ABS(ROUND(D14,6))&lt;=E14,"PASS","FAIL")</x:f>
        <x:v>PASS</x:v>
      </x:c>
      <x:c r="G14" s="195" t="str">
        <x:v>Model: CFADS</x:v>
      </x:c>
      <x:c r="H14" s="195"/>
    </x:row>
    <x:row r="15" ht="26" customHeight="1">
      <x:c r="A15" s="195" t="str">
        <x:v>Debt roll-forward ties</x:v>
      </x:c>
      <x:c r="B15" s="218" t="n">
        <x:f>ROUND(MAX(ABS('Model'!C33),ABS('Model'!D33),ABS('Model'!E33),ABS('Model'!F33),ABS('Model'!G33)),6)</x:f>
        <x:v>0</x:v>
      </x:c>
      <x:c r="C15" s="218" t="n">
        <x:f>0</x:f>
        <x:v>0</x:v>
      </x:c>
      <x:c r="D15" s="218" t="n">
        <x:f>ROUND(B15-C15,6)</x:f>
        <x:v>0</x:v>
      </x:c>
      <x:c r="E15" s="218" t="n">
        <x:f>0.01</x:f>
        <x:v>0.01</x:v>
      </x:c>
      <x:c r="F15" s="212" t="str">
        <x:f>IF(ABS(ROUND(D15,6))&lt;=E15,"PASS","FAIL")</x:f>
        <x:v>PASS</x:v>
      </x:c>
      <x:c r="G15" s="195" t="str">
        <x:v>Model: debt schedule</x:v>
      </x:c>
      <x:c r="H15" s="195"/>
    </x:row>
    <x:row r="16" ht="26" customHeight="1">
      <x:c r="A16" s="195" t="str">
        <x:v>DSCR and leverage formulas tie</x:v>
      </x:c>
      <x:c r="B16" s="215" t="n">
        <x:f>ROUND(MAX(ABS('Model'!C34),ABS('Model'!D34),ABS('Model'!E34),ABS('Model'!F34),ABS('Model'!G34)),6)</x:f>
        <x:v>0</x:v>
      </x:c>
      <x:c r="C16" s="215" t="n">
        <x:f>0</x:f>
        <x:v>0</x:v>
      </x:c>
      <x:c r="D16" s="215" t="n">
        <x:f>ROUND(B16-C16,6)</x:f>
        <x:v>0</x:v>
      </x:c>
      <x:c r="E16" s="215" t="n">
        <x:f>0.001</x:f>
        <x:v>0.001</x:v>
      </x:c>
      <x:c r="F16" s="212" t="str">
        <x:f>IF(ABS(ROUND(D16,6))&lt;=E16,"PASS","FAIL")</x:f>
        <x:v>PASS</x:v>
      </x:c>
      <x:c r="G16" s="195" t="str">
        <x:v>Model: credit ratios</x:v>
      </x:c>
      <x:c r="H16" s="195"/>
    </x:row>
    <x:row r="17" ht="26" customHeight="1">
      <x:c r="A17" s="195" t="str">
        <x:v>Headroom bridges tie</x:v>
      </x:c>
      <x:c r="B17" s="218" t="n">
        <x:f>ROUND(MAX(ABS('Model'!C35),ABS('Model'!D35),ABS('Model'!E35),ABS('Model'!F35),ABS('Model'!G35)),6)</x:f>
        <x:v>0</x:v>
      </x:c>
      <x:c r="C17" s="218" t="n">
        <x:f>0</x:f>
        <x:v>0</x:v>
      </x:c>
      <x:c r="D17" s="218" t="n">
        <x:f>ROUND(B17-C17,6)</x:f>
        <x:v>0</x:v>
      </x:c>
      <x:c r="E17" s="218" t="n">
        <x:f>0.01</x:f>
        <x:v>0.01</x:v>
      </x:c>
      <x:c r="F17" s="212" t="str">
        <x:f>IF(ABS(ROUND(D17,6))&lt;=E17,"PASS","FAIL")</x:f>
        <x:v>PASS</x:v>
      </x:c>
      <x:c r="G17" s="195" t="str">
        <x:v>Model: headroom bridge</x:v>
      </x:c>
      <x:c r="H17" s="195"/>
    </x:row>
    <x:row r="18" ht="26" customHeight="1">
      <x:c r="A18" s="195" t="str">
        <x:v>Underwritten EBITDA and debt remain valid</x:v>
      </x:c>
      <x:c r="B18" s="215" t="n">
        <x:f>ROUND(IF(AND(MIN('Model'!C16,'Model'!D16,'Model'!E16,'Model'!F16,'Model'!G16)&gt;0,MIN('Model'!C25,'Model'!D25,'Model'!E25,'Model'!F25,'Model'!G25)&gt;=0),1,0),6)</x:f>
        <x:v>1</x:v>
      </x:c>
      <x:c r="C18" s="215" t="n">
        <x:f>1</x:f>
        <x:v>1</x:v>
      </x:c>
      <x:c r="D18" s="215" t="n">
        <x:f>ROUND(B18-C18,6)</x:f>
        <x:v>0</x:v>
      </x:c>
      <x:c r="E18" s="215" t="n">
        <x:f>0.0001</x:f>
        <x:v>0.0001</x:v>
      </x:c>
      <x:c r="F18" s="212" t="str">
        <x:f>IF(ABS(ROUND(D18,6))&lt;=E18,"PASS","FAIL")</x:f>
        <x:v>PASS</x:v>
      </x:c>
      <x:c r="G18" s="195" t="str">
        <x:v>Model: EBITDA and debt schedules</x:v>
      </x:c>
      <x:c r="H18" s="195"/>
    </x:row>
    <x:row r="19" ht="20" customHeight="1">
      <x:c r="A19" s="222" t="str">
        <x:v>A warning business outcome can still pass these controls; review Model and Results before making a decision.</x:v>
      </x:c>
      <x:c r="B19" s="223"/>
      <x:c r="C19" s="223"/>
      <x:c r="D19" s="223"/>
      <x:c r="E19" s="223"/>
      <x:c r="F19" s="223"/>
      <x:c r="G19" s="223"/>
      <x:c r="H19" s="224"/>
    </x:row>
    <x:row r="20" ht="20" customHeight="1">
      <x:c r="A20" s="60" t="str">
        <x:v>Credit Underwriting / DSCR · 10 / 10 controls should show PASS · v1.4.0</x:v>
      </x:c>
      <x:c r="B20" s="60"/>
      <x:c r="C20" s="60"/>
      <x:c r="D20" s="60"/>
      <x:c r="E20" s="60"/>
      <x:c r="F20" s="60"/>
      <x:c r="G20" s="60"/>
      <x:c r="H20" s="60"/>
    </x:row>
  </x:sheetData>
  <x:mergeCells>
    <x:mergeCell ref="A1:H2"/>
    <x:mergeCell ref="A3:H3"/>
    <x:mergeCell ref="B4:H4"/>
    <x:mergeCell ref="A5:B5"/>
    <x:mergeCell ref="C5:H5"/>
    <x:mergeCell ref="A7:H7"/>
    <x:mergeCell ref="G8:H8"/>
    <x:mergeCell ref="G9:H9"/>
    <x:mergeCell ref="G10:H10"/>
    <x:mergeCell ref="G11:H11"/>
    <x:mergeCell ref="G12:H12"/>
    <x:mergeCell ref="G13:H13"/>
    <x:mergeCell ref="G14:H14"/>
    <x:mergeCell ref="G15:H15"/>
    <x:mergeCell ref="G16:H16"/>
    <x:mergeCell ref="G17:H17"/>
    <x:mergeCell ref="G18:H18"/>
    <x:mergeCell ref="A19:H19"/>
    <x:mergeCell ref="A20:H20"/>
  </x:mergeCells>
  <x:conditionalFormatting sqref="C5:H5">
    <x:cfRule type="containsText" dxfId="2" priority="1" operator="containsText" text="FAIL"/>
    <x:cfRule type="containsText" dxfId="3" priority="2" operator="containsText" text="PASS"/>
  </x:conditionalFormatting>
  <x:conditionalFormatting sqref="F9:F9">
    <x:cfRule type="containsText" dxfId="4" priority="3" operator="containsText" text="FAIL"/>
    <x:cfRule type="containsText" dxfId="5" priority="4" operator="containsText" text="PASS"/>
  </x:conditionalFormatting>
  <x:conditionalFormatting sqref="F10:F10">
    <x:cfRule type="containsText" dxfId="6" priority="5" operator="containsText" text="FAIL"/>
    <x:cfRule type="containsText" dxfId="7" priority="6" operator="containsText" text="PASS"/>
  </x:conditionalFormatting>
  <x:conditionalFormatting sqref="F11:F11">
    <x:cfRule type="containsText" dxfId="8" priority="7" operator="containsText" text="FAIL"/>
    <x:cfRule type="containsText" dxfId="9" priority="8" operator="containsText" text="PASS"/>
  </x:conditionalFormatting>
  <x:conditionalFormatting sqref="F12:F12">
    <x:cfRule type="containsText" dxfId="10" priority="9" operator="containsText" text="FAIL"/>
    <x:cfRule type="containsText" dxfId="11" priority="10" operator="containsText" text="PASS"/>
  </x:conditionalFormatting>
  <x:conditionalFormatting sqref="F13:F13">
    <x:cfRule type="containsText" dxfId="12" priority="11" operator="containsText" text="FAIL"/>
    <x:cfRule type="containsText" dxfId="13" priority="12" operator="containsText" text="PASS"/>
  </x:conditionalFormatting>
  <x:conditionalFormatting sqref="F14:F14">
    <x:cfRule type="containsText" dxfId="14" priority="13" operator="containsText" text="FAIL"/>
    <x:cfRule type="containsText" dxfId="15" priority="14" operator="containsText" text="PASS"/>
  </x:conditionalFormatting>
  <x:conditionalFormatting sqref="F15:F15">
    <x:cfRule type="containsText" dxfId="16" priority="15" operator="containsText" text="FAIL"/>
    <x:cfRule type="containsText" dxfId="17" priority="16" operator="containsText" text="PASS"/>
  </x:conditionalFormatting>
  <x:conditionalFormatting sqref="F16:F16">
    <x:cfRule type="containsText" dxfId="18" priority="17" operator="containsText" text="FAIL"/>
    <x:cfRule type="containsText" dxfId="19" priority="18" operator="containsText" text="PASS"/>
  </x:conditionalFormatting>
  <x:conditionalFormatting sqref="F17:F17">
    <x:cfRule type="containsText" dxfId="20" priority="19" operator="containsText" text="FAIL"/>
    <x:cfRule type="containsText" dxfId="21" priority="20" operator="containsText" text="PASS"/>
  </x:conditionalFormatting>
  <x:conditionalFormatting sqref="F18:F18">
    <x:cfRule type="containsText" dxfId="22" priority="21" operator="containsText" text="FAIL"/>
    <x:cfRule type="containsText" dxfId="23" priority="22" operator="containsText" text="PASS"/>
  </x:conditionalFormatting>
  <x:pageMargins left="0.7" right="0.7" top="0.75" bottom="0.75" header="0.3" footer="0.3"/>
</x:worksheet>
</file>