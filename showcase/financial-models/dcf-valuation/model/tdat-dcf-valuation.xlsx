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0cb21855964b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176977811d174ccb"/>
    <x:sheet xmlns:r="http://schemas.openxmlformats.org/officeDocument/2006/relationships" name="Inputs" sheetId="2" r:id="R74375ef15f32465e"/>
    <x:sheet xmlns:r="http://schemas.openxmlformats.org/officeDocument/2006/relationships" name="Model" sheetId="3" r:id="R6be4dd2fe5a14997"/>
    <x:sheet xmlns:r="http://schemas.openxmlformats.org/officeDocument/2006/relationships" name="Results" sheetId="4" r:id="R013ffdae99ce43bc"/>
    <x:sheet xmlns:r="http://schemas.openxmlformats.org/officeDocument/2006/relationships" name="Checks" sheetId="5" r:id="Re5dd3af3a07049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;[Red](#,##0.0);-"/>
    <x:numFmt numFmtId="201" formatCode="0.0%;[Red](0.0%);-"/>
    <x:numFmt numFmtId="202" formatCode="0.00;[Red](0.00);-"/>
    <x:numFmt numFmtId="203" formatCode="#,##0;[Red](#,##0);-"/>
  </x:numFmts>
  <x:fonts count="15">
    <x:font>
      <x:sz val="11"/>
      <x:name val="Carlito"/>
    </x:font>
    <x:font>
      <x:sz val="11"/>
      <x:color rgb="FF202833"/>
      <x:name val="Carlito"/>
    </x:font>
    <x:font>
      <x:b/>
      <x:sz val="11"/>
      <x:color rgb="FFFFFFFF"/>
      <x:name val="Carlito"/>
    </x:font>
    <x:font>
      <x:b/>
      <x:sz val="11"/>
      <x:color rgb="FF202833"/>
      <x:name val="Carlito"/>
    </x:font>
    <x:font>
      <x:b/>
      <x:sz val="11"/>
      <x:color rgb="FF0000FF"/>
      <x:name val="Carlito"/>
    </x:font>
    <x:font>
      <x:sz val="11"/>
      <x:color rgb="FF68717C"/>
      <x:name val="Carlito"/>
    </x:font>
    <x:font>
      <x:sz val="11"/>
      <x:color rgb="FF805C19"/>
      <x:name val="Carlito"/>
    </x:font>
    <x:font>
      <x:b/>
      <x:sz val="11"/>
      <x:color rgb="FF68717C"/>
      <x:name val="Carlito"/>
    </x:font>
    <x:font>
      <x:sz val="11"/>
      <x:color rgb="FF008000"/>
      <x:name val="Carlito"/>
    </x:font>
    <x:font>
      <x:b/>
      <x:sz val="11"/>
      <x:color rgb="FF008000"/>
      <x:name val="Carlito"/>
    </x:font>
    <x:font>
      <x:sz val="11"/>
      <x:color rgb="FF202833"/>
      <x:name val="Carlito"/>
    </x:font>
    <x:font>
      <x:b/>
      <x:sz val="11"/>
      <x:color rgb="FFB5883A"/>
      <x:name val="Carlito"/>
    </x:font>
    <x:font>
      <x:b/>
      <x:sz val="11"/>
      <x:color rgb="FF247252"/>
      <x:name val="Carlito"/>
    </x:font>
    <x:font>
      <x:b/>
      <x:sz val="11"/>
      <x:color rgb="FF805C19"/>
      <x:name val="Carlito"/>
    </x:font>
    <x:font>
      <x:sz val="11"/>
      <x:color rgb="FFF5F6F8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F5F6F8"/>
      </x:patternFill>
    </x:fill>
    <x:fill>
      <x:patternFill patternType="solid">
        <x:fgColor rgb="FF1C2430"/>
      </x:patternFill>
    </x:fill>
    <x:fill>
      <x:patternFill patternType="solid">
        <x:fgColor rgb="FFB5883A"/>
      </x:patternFill>
    </x:fill>
    <x:fill>
      <x:patternFill patternType="solid">
        <x:fgColor rgb="FFF2E8D5"/>
      </x:patternFill>
    </x:fill>
    <x:fill>
      <x:patternFill patternType="solid">
        <x:fgColor rgb="FF303B49"/>
      </x:patternFill>
    </x:fill>
    <x:fill>
      <x:patternFill patternType="solid">
        <x:fgColor rgb="FFECEFF2"/>
      </x:patternFill>
    </x:fill>
    <x:fill>
      <x:patternFill patternType="solid">
        <x:fgColor rgb="FFFFFFFF"/>
      </x:patternFill>
    </x:fill>
    <x:fill>
      <x:patternFill patternType="solid">
        <x:fgColor rgb="FFF8EBCF"/>
      </x:patternFill>
    </x:fill>
    <x:fill>
      <x:patternFill patternType="solid">
        <x:fgColor rgb="FFE6F2EB"/>
      </x:patternFill>
    </x:fill>
  </x:fills>
  <x:borders count="31">
    <x:border/>
    <x:border>
      <x:left style="thin">
        <x:color rgb="FFD7DBE0"/>
      </x:left>
      <x:top style="thin">
        <x:color rgb="FFD7DBE0"/>
      </x:top>
    </x:border>
    <x:border>
      <x:top style="thin">
        <x:color rgb="FFD7DBE0"/>
      </x:top>
    </x:border>
    <x:border>
      <x:right style="thin">
        <x:color rgb="FFD7DBE0"/>
      </x:right>
      <x:top style="thin">
        <x:color rgb="FFD7DBE0"/>
      </x:top>
    </x:border>
    <x:border>
      <x:left style="thin">
        <x:color rgb="FFD7DBE0"/>
      </x:left>
      <x:bottom style="thin">
        <x:color rgb="FFD7DBE0"/>
      </x:bottom>
    </x:border>
    <x:border>
      <x:bottom style="thin">
        <x:color rgb="FFD7DBE0"/>
      </x:bottom>
    </x:border>
    <x:border>
      <x:right style="thin">
        <x:color rgb="FFD7DBE0"/>
      </x:right>
      <x:bottom style="thin">
        <x:color rgb="FFD7DBE0"/>
      </x:bottom>
    </x:border>
    <x:border>
      <x:bottom style="medium">
        <x:color rgb="FFB5883A"/>
      </x:bottom>
    </x:border>
    <x:border>
      <x:left style="thin">
        <x:color rgb="FFD3AE64"/>
      </x:left>
      <x:right style="thin">
        <x:color rgb="FFD3AE64"/>
      </x:right>
      <x:top style="thin">
        <x:color rgb="FFD3AE64"/>
      </x:top>
      <x:bottom style="thin">
        <x:color rgb="FFD3AE64"/>
      </x:bottom>
    </x:border>
    <x:border>
      <x:left style="thin">
        <x:color rgb="FFD3AE64"/>
      </x:left>
      <x:right style="thin">
        <x:color rgb="FFD3AE64"/>
      </x:right>
    </x:border>
    <x:border>
      <x:left style="thin">
        <x:color rgb="FFD3AE64"/>
      </x:left>
      <x:top style="thin">
        <x:color rgb="FFD3AE64"/>
      </x:top>
    </x:border>
    <x:border>
      <x:top style="thin">
        <x:color rgb="FFD3AE64"/>
      </x:top>
    </x:border>
    <x:border>
      <x:right style="thin">
        <x:color rgb="FFD3AE64"/>
      </x:right>
      <x:top style="thin">
        <x:color rgb="FFD3AE64"/>
      </x:top>
    </x:border>
    <x:border>
      <x:left style="thin">
        <x:color rgb="FFD3AE64"/>
      </x:left>
      <x:bottom style="thin">
        <x:color rgb="FFD3AE64"/>
      </x:bottom>
    </x:border>
    <x:border>
      <x:bottom style="thin">
        <x:color rgb="FFD3AE64"/>
      </x:bottom>
    </x:border>
    <x:border>
      <x:right style="thin">
        <x:color rgb="FFD3AE64"/>
      </x:right>
      <x:bottom style="thin">
        <x:color rgb="FFD3AE64"/>
      </x:bottom>
    </x:border>
    <x:border>
      <x:left style="thin">
        <x:color rgb="FF1C2430"/>
      </x:left>
      <x:top style="thin">
        <x:color rgb="FF1C2430"/>
      </x:top>
      <x:bottom style="thin">
        <x:color rgb="FF1C2430"/>
      </x:bottom>
    </x:border>
    <x:border>
      <x:right style="thin">
        <x:color rgb="FF1C2430"/>
      </x:right>
      <x:top style="thin">
        <x:color rgb="FF1C2430"/>
      </x:top>
      <x:bottom style="thin">
        <x:color rgb="FF1C2430"/>
      </x:bottom>
    </x:border>
    <x:border>
      <x:left style="thin">
        <x:color rgb="FFD7DBE0"/>
      </x:left>
    </x:border>
    <x:border>
      <x:right style="thin">
        <x:color rgb="FFD7DBE0"/>
      </x:right>
    </x:border>
    <x:border>
      <x:left style="thin">
        <x:color rgb="FFF2D58A"/>
      </x:left>
      <x:top style="thin">
        <x:color rgb="FFF2D58A"/>
      </x:top>
    </x:border>
    <x:border>
      <x:top style="thin">
        <x:color rgb="FFF2D58A"/>
      </x:top>
    </x:border>
    <x:border>
      <x:right style="thin">
        <x:color rgb="FFF2D58A"/>
      </x:right>
      <x:top style="thin">
        <x:color rgb="FFF2D58A"/>
      </x:top>
    </x:border>
    <x:border>
      <x:left style="thin">
        <x:color rgb="FFF2D58A"/>
      </x:left>
    </x:border>
    <x:border>
      <x:right style="thin">
        <x:color rgb="FFF2D58A"/>
      </x:right>
    </x:border>
    <x:border>
      <x:left style="thin">
        <x:color rgb="FFF2D58A"/>
      </x:left>
      <x:bottom style="thin">
        <x:color rgb="FFF2D58A"/>
      </x:bottom>
    </x:border>
    <x:border>
      <x:bottom style="thin">
        <x:color rgb="FFF2D58A"/>
      </x:bottom>
    </x:border>
    <x:border>
      <x:right style="thin">
        <x:color rgb="FFF2D58A"/>
      </x:right>
      <x:bottom style="thin">
        <x:color rgb="FFF2D58A"/>
      </x:bottom>
    </x:border>
    <x:border>
      <x:left style="thin">
        <x:color rgb="FFD7DBE0"/>
      </x:left>
      <x:top style="thin">
        <x:color rgb="FFD7DBE0"/>
      </x:top>
      <x:bottom style="thin">
        <x:color rgb="FFD7DBE0"/>
      </x:bottom>
    </x:border>
    <x:border>
      <x:right style="thin">
        <x:color rgb="FFD7DBE0"/>
      </x:right>
      <x:top style="thin">
        <x:color rgb="FFD7DBE0"/>
      </x:top>
      <x:bottom style="thin">
        <x:color rgb="FFD7DBE0"/>
      </x:bottom>
    </x:border>
    <x:border>
      <x:top style="thin">
        <x:color rgb="FFD7DBE0"/>
      </x:top>
      <x:bottom style="thin">
        <x:color rgb="FFD7DBE0"/>
      </x:bottom>
    </x:border>
  </x:borders>
  <x:cellStyleXfs count="1">
    <x:xf numFmtId="0" fontId="0" fillId="0" borderId="0"/>
  </x:cellStyleXfs>
  <x:cellXfs count="2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left" vertical="center"/>
    </x:xf>
    <x:xf numFmtId="0" fontId="1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horizontal="left" vertical="center"/>
    </x:xf>
    <x:xf numFmtId="0" fontId="1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/>
    </x:xf>
    <x:xf numFmtId="0" fontId="3" fillId="5" borderId="2" xfId="0" applyNumberFormat="1" applyFont="1" applyFill="1" applyBorder="1" applyAlignment="1">
      <x:alignment vertical="center"/>
    </x:xf>
    <x:xf numFmtId="0" fontId="3" fillId="5" borderId="3" xfId="0" applyNumberFormat="1" applyFont="1" applyFill="1" applyBorder="1" applyAlignment="1">
      <x:alignment vertical="center"/>
    </x:xf>
    <x:xf numFmtId="0" fontId="3" fillId="5" borderId="4" xfId="0" applyNumberFormat="1" applyFont="1" applyFill="1" applyBorder="1" applyAlignment="1">
      <x:alignment vertical="center"/>
    </x:xf>
    <x:xf numFmtId="0" fontId="3" fillId="5" borderId="5" xfId="0" applyNumberFormat="1" applyFont="1" applyFill="1" applyBorder="1" applyAlignment="1">
      <x:alignment vertical="center"/>
    </x:xf>
    <x:xf numFmtId="0" fontId="3" fillId="5" borderId="6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0" fontId="3" fillId="5" borderId="3" xfId="0" applyNumberFormat="1" applyFont="1" applyFill="1" applyBorder="1" applyAlignment="1">
      <x:alignment vertical="center" wrapText="1"/>
    </x:xf>
    <x:xf numFmtId="0" fontId="3" fillId="5" borderId="4" xfId="0" applyNumberFormat="1" applyFont="1" applyFill="1" applyBorder="1" applyAlignment="1">
      <x:alignment vertical="center" wrapText="1"/>
    </x:xf>
    <x:xf numFmtId="0" fontId="3" fillId="5" borderId="5" xfId="0" applyNumberFormat="1" applyFont="1" applyFill="1" applyBorder="1" applyAlignment="1">
      <x:alignment vertical="center" wrapText="1"/>
    </x:xf>
    <x:xf numFmtId="0" fontId="3" fillId="5" borderId="6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2" fillId="6" borderId="0" xfId="0" applyNumberFormat="1" applyFont="1" applyFill="1" applyBorder="1" applyAlignment="1">
      <x:alignment vertical="center"/>
    </x:xf>
    <x:xf numFmtId="0" fontId="2" fillId="6" borderId="7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0" fontId="4" fillId="8" borderId="8" xfId="0" applyNumberFormat="1" applyFont="1" applyFill="1" applyBorder="1" applyAlignment="1">
      <x:alignment vertical="center"/>
    </x:xf>
    <x:xf numFmtId="200" fontId="4" fillId="8" borderId="8" xfId="0" applyNumberFormat="1" applyFont="1" applyFill="1" applyBorder="1" applyAlignment="1">
      <x:alignment vertical="center"/>
    </x:xf>
    <x:xf numFmtId="200" fontId="4" fillId="8" borderId="8" xfId="0" applyNumberFormat="1" applyFont="1" applyFill="1" applyBorder="1" applyAlignment="1">
      <x:alignment horizontal="right" vertical="center"/>
    </x:xf>
    <x:xf numFmtId="0" fontId="5" fillId="8" borderId="0" xfId="0" applyNumberFormat="1" applyFont="1" applyFill="1" applyBorder="1" applyAlignment="1">
      <x:alignment vertical="center"/>
    </x:xf>
    <x:xf numFmtId="0" fontId="5" fillId="8" borderId="4" xfId="0" applyNumberFormat="1" applyFont="1" applyFill="1" applyBorder="1" applyAlignment="1">
      <x:alignment vertical="center"/>
    </x:xf>
    <x:xf numFmtId="0" fontId="5" fillId="8" borderId="5" xfId="0" applyNumberFormat="1" applyFont="1" applyFill="1" applyBorder="1" applyAlignment="1">
      <x:alignment vertical="center"/>
    </x:xf>
    <x:xf numFmtId="0" fontId="5" fillId="8" borderId="4" xfId="0" applyNumberFormat="1" applyFont="1" applyFill="1" applyBorder="1" applyAlignment="1">
      <x:alignment vertical="center" wrapText="1"/>
    </x:xf>
    <x:xf numFmtId="0" fontId="5" fillId="8" borderId="5" xfId="0" applyNumberFormat="1" applyFont="1" applyFill="1" applyBorder="1" applyAlignment="1">
      <x:alignment vertical="center" wrapText="1"/>
    </x:xf>
    <x:xf numFmtId="200" fontId="4" fillId="8" borderId="9" xfId="0" applyNumberFormat="1" applyFont="1" applyFill="1" applyBorder="1" applyAlignment="1">
      <x:alignment horizontal="right" vertical="center"/>
    </x:xf>
    <x:xf numFmtId="201" fontId="4" fillId="8" borderId="8" xfId="0" applyNumberFormat="1" applyFont="1" applyFill="1" applyBorder="1" applyAlignment="1">
      <x:alignment vertical="center"/>
    </x:xf>
    <x:xf numFmtId="201" fontId="4" fillId="8" borderId="8" xfId="0" applyNumberFormat="1" applyFont="1" applyFill="1" applyBorder="1" applyAlignment="1">
      <x:alignment horizontal="right" vertical="center"/>
    </x:xf>
    <x:xf numFmtId="201" fontId="4" fillId="8" borderId="9" xfId="0" applyNumberFormat="1" applyFont="1" applyFill="1" applyBorder="1" applyAlignment="1">
      <x:alignment horizontal="right" vertical="center"/>
    </x:xf>
    <x:xf numFmtId="0" fontId="1" fillId="9" borderId="0" xfId="0" applyNumberFormat="1" applyFont="1" applyFill="1" applyBorder="1" applyAlignment="1">
      <x:alignment vertical="center"/>
    </x:xf>
    <x:xf numFmtId="0" fontId="6" fillId="9" borderId="0" xfId="0" applyNumberFormat="1" applyFont="1" applyFill="1" applyBorder="1" applyAlignment="1">
      <x:alignment vertical="center"/>
    </x:xf>
    <x:xf numFmtId="0" fontId="6" fillId="9" borderId="10" xfId="0" applyNumberFormat="1" applyFont="1" applyFill="1" applyBorder="1" applyAlignment="1">
      <x:alignment vertical="center"/>
    </x:xf>
    <x:xf numFmtId="0" fontId="6" fillId="9" borderId="11" xfId="0" applyNumberFormat="1" applyFont="1" applyFill="1" applyBorder="1" applyAlignment="1">
      <x:alignment vertical="center"/>
    </x:xf>
    <x:xf numFmtId="0" fontId="6" fillId="9" borderId="12" xfId="0" applyNumberFormat="1" applyFont="1" applyFill="1" applyBorder="1" applyAlignment="1">
      <x:alignment vertical="center"/>
    </x:xf>
    <x:xf numFmtId="0" fontId="6" fillId="9" borderId="13" xfId="0" applyNumberFormat="1" applyFont="1" applyFill="1" applyBorder="1" applyAlignment="1">
      <x:alignment vertical="center"/>
    </x:xf>
    <x:xf numFmtId="0" fontId="6" fillId="9" borderId="14" xfId="0" applyNumberFormat="1" applyFont="1" applyFill="1" applyBorder="1" applyAlignment="1">
      <x:alignment vertical="center"/>
    </x:xf>
    <x:xf numFmtId="0" fontId="6" fillId="9" borderId="15" xfId="0" applyNumberFormat="1" applyFont="1" applyFill="1" applyBorder="1" applyAlignment="1">
      <x:alignment vertical="center"/>
    </x:xf>
    <x:xf numFmtId="0" fontId="6" fillId="9" borderId="10" xfId="0" applyNumberFormat="1" applyFont="1" applyFill="1" applyBorder="1" applyAlignment="1">
      <x:alignment vertical="center" wrapText="1"/>
    </x:xf>
    <x:xf numFmtId="0" fontId="6" fillId="9" borderId="11" xfId="0" applyNumberFormat="1" applyFont="1" applyFill="1" applyBorder="1" applyAlignment="1">
      <x:alignment vertical="center" wrapText="1"/>
    </x:xf>
    <x:xf numFmtId="0" fontId="6" fillId="9" borderId="12" xfId="0" applyNumberFormat="1" applyFont="1" applyFill="1" applyBorder="1" applyAlignment="1">
      <x:alignment vertical="center" wrapText="1"/>
    </x:xf>
    <x:xf numFmtId="0" fontId="6" fillId="9" borderId="13" xfId="0" applyNumberFormat="1" applyFont="1" applyFill="1" applyBorder="1" applyAlignment="1">
      <x:alignment vertical="center" wrapText="1"/>
    </x:xf>
    <x:xf numFmtId="0" fontId="6" fillId="9" borderId="14" xfId="0" applyNumberFormat="1" applyFont="1" applyFill="1" applyBorder="1" applyAlignment="1">
      <x:alignment vertical="center" wrapText="1"/>
    </x:xf>
    <x:xf numFmtId="0" fontId="6" fillId="9" borderId="15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6" borderId="7" xfId="0" applyNumberFormat="1" applyFont="1" applyFill="1" applyBorder="1" applyAlignment="1">
      <x:alignment horizontal="left" vertical="center"/>
    </x:xf>
    <x:xf numFmtId="0" fontId="3" fillId="7" borderId="0" xfId="0" applyNumberFormat="1" applyFont="1" applyFill="1" applyBorder="1" applyAlignment="1">
      <x:alignment horizontal="right" vertical="center"/>
    </x:xf>
    <x:xf numFmtId="0" fontId="3" fillId="7" borderId="0" xfId="0" applyNumberFormat="1" applyFont="1" applyFill="1" applyBorder="1" applyAlignment="1">
      <x:alignment horizontal="left" vertical="center"/>
    </x:xf>
    <x:xf numFmtId="0" fontId="7" fillId="7" borderId="0" xfId="0" applyNumberFormat="1" applyFont="1" applyFill="1" applyBorder="1" applyAlignment="1">
      <x:alignment vertical="center"/>
    </x:xf>
    <x:xf numFmtId="0" fontId="7" fillId="7" borderId="4" xfId="0" applyNumberFormat="1" applyFont="1" applyFill="1" applyBorder="1" applyAlignment="1">
      <x:alignment vertical="center"/>
    </x:xf>
    <x:xf numFmtId="0" fontId="7" fillId="7" borderId="5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200" fontId="8" fillId="2" borderId="0" xfId="0" applyNumberFormat="1" applyFont="1" applyFill="1" applyBorder="1" applyAlignment="1">
      <x:alignment vertical="center"/>
    </x:xf>
    <x:xf numFmtId="200" fontId="8" fillId="2" borderId="0" xfId="0" applyNumberFormat="1" applyFont="1" applyFill="1" applyBorder="1" applyAlignment="1">
      <x:alignment horizontal="right" vertical="center"/>
    </x:xf>
    <x:xf numFmtId="200" fontId="8" fillId="8" borderId="0" xfId="0" applyNumberFormat="1" applyFont="1" applyFill="1" applyBorder="1" applyAlignment="1">
      <x:alignment horizontal="right" vertical="center"/>
    </x:xf>
    <x:xf numFmtId="0" fontId="9" fillId="2" borderId="0" xfId="0" applyNumberFormat="1" applyFont="1" applyFill="1" applyBorder="1" applyAlignment="1">
      <x:alignment vertical="center"/>
    </x:xf>
    <x:xf numFmtId="200" fontId="9" fillId="2" borderId="0" xfId="0" applyNumberFormat="1" applyFont="1" applyFill="1" applyBorder="1" applyAlignment="1">
      <x:alignment vertical="center"/>
    </x:xf>
    <x:xf numFmtId="200" fontId="9" fillId="2" borderId="0" xfId="0" applyNumberFormat="1" applyFont="1" applyFill="1" applyBorder="1" applyAlignment="1">
      <x:alignment horizontal="right" vertical="center"/>
    </x:xf>
    <x:xf numFmtId="200" fontId="9" fillId="5" borderId="0" xfId="0" applyNumberFormat="1" applyFont="1" applyFill="1" applyBorder="1" applyAlignment="1">
      <x:alignment horizontal="right"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 wrapText="1"/>
    </x:xf>
    <x:xf numFmtId="0" fontId="5" fillId="5" borderId="5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horizontal="right" vertical="center"/>
    </x:xf>
    <x:xf numFmtId="200" fontId="3" fillId="5" borderId="0" xfId="0" applyNumberFormat="1" applyFont="1" applyFill="1" applyBorder="1" applyAlignment="1">
      <x:alignment horizontal="right" vertical="center"/>
    </x:xf>
    <x:xf numFmtId="0" fontId="10" fillId="2" borderId="0" xfId="0" applyNumberFormat="1" applyFont="1" applyFill="1" applyBorder="1" applyAlignment="1">
      <x:alignment vertical="center"/>
    </x:xf>
    <x:xf numFmtId="200" fontId="10" fillId="2" borderId="0" xfId="0" applyNumberFormat="1" applyFont="1" applyFill="1" applyBorder="1" applyAlignment="1">
      <x:alignment vertical="center"/>
    </x:xf>
    <x:xf numFmtId="200" fontId="10" fillId="2" borderId="0" xfId="0" applyNumberFormat="1" applyFont="1" applyFill="1" applyBorder="1" applyAlignment="1">
      <x:alignment horizontal="right" vertical="center"/>
    </x:xf>
    <x:xf numFmtId="200" fontId="10" fillId="8" borderId="0" xfId="0" applyNumberFormat="1" applyFont="1" applyFill="1" applyBorder="1" applyAlignment="1">
      <x:alignment horizontal="right" vertical="center"/>
    </x:xf>
    <x:xf numFmtId="0" fontId="1" fillId="10" borderId="0" xfId="0" applyNumberFormat="1" applyFont="1" applyFill="1" applyBorder="1" applyAlignment="1">
      <x:alignment vertical="center"/>
    </x:xf>
    <x:xf numFmtId="200" fontId="3" fillId="10" borderId="0" xfId="0" applyNumberFormat="1" applyFont="1" applyFill="1" applyBorder="1" applyAlignment="1">
      <x:alignment horizontal="right" vertical="center"/>
    </x:xf>
    <x:xf numFmtId="0" fontId="3" fillId="10" borderId="0" xfId="0" applyNumberFormat="1" applyFont="1" applyFill="1" applyBorder="1" applyAlignment="1">
      <x:alignment vertical="center"/>
    </x:xf>
    <x:xf numFmtId="0" fontId="5" fillId="10" borderId="0" xfId="0" applyNumberFormat="1" applyFont="1" applyFill="1" applyBorder="1" applyAlignment="1">
      <x:alignment vertical="center"/>
    </x:xf>
    <x:xf numFmtId="0" fontId="5" fillId="10" borderId="4" xfId="0" applyNumberFormat="1" applyFont="1" applyFill="1" applyBorder="1" applyAlignment="1">
      <x:alignment vertical="center"/>
    </x:xf>
    <x:xf numFmtId="0" fontId="5" fillId="10" borderId="5" xfId="0" applyNumberFormat="1" applyFont="1" applyFill="1" applyBorder="1" applyAlignment="1">
      <x:alignment vertical="center"/>
    </x:xf>
    <x:xf numFmtId="0" fontId="5" fillId="10" borderId="4" xfId="0" applyNumberFormat="1" applyFont="1" applyFill="1" applyBorder="1" applyAlignment="1">
      <x:alignment vertical="center" wrapText="1"/>
    </x:xf>
    <x:xf numFmtId="0" fontId="5" fillId="10" borderId="5" xfId="0" applyNumberFormat="1" applyFont="1" applyFill="1" applyBorder="1" applyAlignment="1">
      <x:alignment vertical="center" wrapText="1"/>
    </x:xf>
    <x:xf numFmtId="202" fontId="8" fillId="2" borderId="0" xfId="0" applyNumberFormat="1" applyFont="1" applyFill="1" applyBorder="1" applyAlignment="1">
      <x:alignment vertical="center"/>
    </x:xf>
    <x:xf numFmtId="202" fontId="8" fillId="2" borderId="0" xfId="0" applyNumberFormat="1" applyFont="1" applyFill="1" applyBorder="1" applyAlignment="1">
      <x:alignment horizontal="right" vertical="center"/>
    </x:xf>
    <x:xf numFmtId="202" fontId="8" fillId="8" borderId="0" xfId="0" applyNumberFormat="1" applyFont="1" applyFill="1" applyBorder="1" applyAlignment="1">
      <x:alignment horizontal="right" vertical="center"/>
    </x:xf>
    <x:xf numFmtId="0" fontId="3" fillId="7" borderId="4" xfId="0" applyNumberFormat="1" applyFont="1" applyFill="1" applyBorder="1" applyAlignment="1">
      <x:alignment vertical="center"/>
    </x:xf>
    <x:xf numFmtId="0" fontId="3" fillId="7" borderId="5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 applyAlignment="1">
      <x:alignment vertical="center"/>
    </x:xf>
    <x:xf numFmtId="200" fontId="8" fillId="8" borderId="0" xfId="0" applyNumberFormat="1" applyFont="1" applyFill="1" applyBorder="1" applyAlignment="1">
      <x:alignment vertical="center"/>
    </x:xf>
    <x:xf numFmtId="0" fontId="10" fillId="8" borderId="0" xfId="0" applyNumberFormat="1" applyFont="1" applyFill="1" applyBorder="1" applyAlignment="1">
      <x:alignment vertical="center"/>
    </x:xf>
    <x:xf numFmtId="200" fontId="10" fillId="8" borderId="0" xfId="0" applyNumberFormat="1" applyFont="1" applyFill="1" applyBorder="1" applyAlignment="1">
      <x:alignment vertical="center"/>
    </x:xf>
    <x:xf numFmtId="200" fontId="3" fillId="5" borderId="0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vertical="center"/>
    </x:xf>
    <x:xf numFmtId="200" fontId="9" fillId="5" borderId="0" xfId="0" applyNumberFormat="1" applyFont="1" applyFill="1" applyBorder="1" applyAlignment="1">
      <x:alignment vertical="center"/>
    </x:xf>
    <x:xf numFmtId="202" fontId="9" fillId="5" borderId="0" xfId="0" applyNumberFormat="1" applyFont="1" applyFill="1" applyBorder="1" applyAlignment="1">
      <x:alignment vertical="center"/>
    </x:xf>
    <x:xf numFmtId="202" fontId="9" fillId="5" borderId="0" xfId="0" applyNumberFormat="1" applyFont="1" applyFill="1" applyBorder="1" applyAlignment="1">
      <x:alignment horizontal="right" vertical="center"/>
    </x:xf>
    <x:xf numFmtId="0" fontId="2" fillId="3" borderId="16" xfId="0" applyNumberFormat="1" applyFont="1" applyFill="1" applyBorder="1" applyAlignment="1">
      <x:alignment vertical="center"/>
    </x:xf>
    <x:xf numFmtId="0" fontId="2" fillId="3" borderId="17" xfId="0" applyNumberFormat="1" applyFont="1" applyFill="1" applyBorder="1" applyAlignment="1">
      <x:alignment vertical="center"/>
    </x:xf>
    <x:xf numFmtId="0" fontId="2" fillId="3" borderId="16" xfId="0" applyNumberFormat="1" applyFont="1" applyFill="1" applyBorder="1" applyAlignment="1">
      <x:alignment horizontal="center" vertical="center"/>
    </x:xf>
    <x:xf numFmtId="0" fontId="2" fillId="3" borderId="17" xfId="0" applyNumberFormat="1" applyFont="1" applyFill="1" applyBorder="1" applyAlignment="1">
      <x:alignment horizontal="center" vertical="center"/>
    </x:xf>
    <x:xf numFmtId="0" fontId="11" fillId="8" borderId="0" xfId="0" applyNumberFormat="1" applyFont="1" applyFill="1" applyBorder="1" applyAlignment="1">
      <x:alignment vertical="center"/>
    </x:xf>
    <x:xf numFmtId="0" fontId="11" fillId="8" borderId="1" xfId="0" applyNumberFormat="1" applyFont="1" applyFill="1" applyBorder="1" applyAlignment="1">
      <x:alignment vertical="center"/>
    </x:xf>
    <x:xf numFmtId="0" fontId="11" fillId="8" borderId="3" xfId="0" applyNumberFormat="1" applyFont="1" applyFill="1" applyBorder="1" applyAlignment="1">
      <x:alignment vertical="center"/>
    </x:xf>
    <x:xf numFmtId="0" fontId="11" fillId="8" borderId="18" xfId="0" applyNumberFormat="1" applyFont="1" applyFill="1" applyBorder="1" applyAlignment="1">
      <x:alignment vertical="center"/>
    </x:xf>
    <x:xf numFmtId="0" fontId="11" fillId="8" borderId="19" xfId="0" applyNumberFormat="1" applyFont="1" applyFill="1" applyBorder="1" applyAlignment="1">
      <x:alignment vertical="center"/>
    </x:xf>
    <x:xf numFmtId="0" fontId="11" fillId="8" borderId="4" xfId="0" applyNumberFormat="1" applyFont="1" applyFill="1" applyBorder="1" applyAlignment="1">
      <x:alignment vertical="center"/>
    </x:xf>
    <x:xf numFmtId="0" fontId="11" fillId="8" borderId="6" xfId="0" applyNumberFormat="1" applyFont="1" applyFill="1" applyBorder="1" applyAlignment="1">
      <x:alignment vertical="center"/>
    </x:xf>
    <x:xf numFmtId="200" fontId="11" fillId="8" borderId="1" xfId="0" applyNumberFormat="1" applyFont="1" applyFill="1" applyBorder="1" applyAlignment="1">
      <x:alignment vertical="center"/>
    </x:xf>
    <x:xf numFmtId="200" fontId="11" fillId="8" borderId="3" xfId="0" applyNumberFormat="1" applyFont="1" applyFill="1" applyBorder="1" applyAlignment="1">
      <x:alignment vertical="center"/>
    </x:xf>
    <x:xf numFmtId="200" fontId="11" fillId="8" borderId="18" xfId="0" applyNumberFormat="1" applyFont="1" applyFill="1" applyBorder="1" applyAlignment="1">
      <x:alignment vertical="center"/>
    </x:xf>
    <x:xf numFmtId="200" fontId="11" fillId="8" borderId="19" xfId="0" applyNumberFormat="1" applyFont="1" applyFill="1" applyBorder="1" applyAlignment="1">
      <x:alignment vertical="center"/>
    </x:xf>
    <x:xf numFmtId="200" fontId="11" fillId="8" borderId="4" xfId="0" applyNumberFormat="1" applyFont="1" applyFill="1" applyBorder="1" applyAlignment="1">
      <x:alignment vertical="center"/>
    </x:xf>
    <x:xf numFmtId="200" fontId="11" fillId="8" borderId="6" xfId="0" applyNumberFormat="1" applyFont="1" applyFill="1" applyBorder="1" applyAlignment="1">
      <x:alignment vertical="center"/>
    </x:xf>
    <x:xf numFmtId="200" fontId="11" fillId="8" borderId="1" xfId="0" applyNumberFormat="1" applyFont="1" applyFill="1" applyBorder="1" applyAlignment="1">
      <x:alignment horizontal="center" vertical="center"/>
    </x:xf>
    <x:xf numFmtId="200" fontId="11" fillId="8" borderId="3" xfId="0" applyNumberFormat="1" applyFont="1" applyFill="1" applyBorder="1" applyAlignment="1">
      <x:alignment horizontal="center" vertical="center"/>
    </x:xf>
    <x:xf numFmtId="200" fontId="11" fillId="8" borderId="18" xfId="0" applyNumberFormat="1" applyFont="1" applyFill="1" applyBorder="1" applyAlignment="1">
      <x:alignment horizontal="center" vertical="center"/>
    </x:xf>
    <x:xf numFmtId="200" fontId="11" fillId="8" borderId="19" xfId="0" applyNumberFormat="1" applyFont="1" applyFill="1" applyBorder="1" applyAlignment="1">
      <x:alignment horizontal="center" vertical="center"/>
    </x:xf>
    <x:xf numFmtId="200" fontId="11" fillId="8" borderId="4" xfId="0" applyNumberFormat="1" applyFont="1" applyFill="1" applyBorder="1" applyAlignment="1">
      <x:alignment horizontal="center" vertical="center"/>
    </x:xf>
    <x:xf numFmtId="200" fontId="11" fillId="8" borderId="6" xfId="0" applyNumberFormat="1" applyFont="1" applyFill="1" applyBorder="1" applyAlignment="1">
      <x:alignment horizontal="center" vertical="center"/>
    </x:xf>
    <x:xf numFmtId="202" fontId="11" fillId="8" borderId="1" xfId="0" applyNumberFormat="1" applyFont="1" applyFill="1" applyBorder="1" applyAlignment="1">
      <x:alignment vertical="center"/>
    </x:xf>
    <x:xf numFmtId="202" fontId="11" fillId="8" borderId="3" xfId="0" applyNumberFormat="1" applyFont="1" applyFill="1" applyBorder="1" applyAlignment="1">
      <x:alignment vertical="center"/>
    </x:xf>
    <x:xf numFmtId="202" fontId="11" fillId="8" borderId="18" xfId="0" applyNumberFormat="1" applyFont="1" applyFill="1" applyBorder="1" applyAlignment="1">
      <x:alignment vertical="center"/>
    </x:xf>
    <x:xf numFmtId="202" fontId="11" fillId="8" borderId="19" xfId="0" applyNumberFormat="1" applyFont="1" applyFill="1" applyBorder="1" applyAlignment="1">
      <x:alignment vertical="center"/>
    </x:xf>
    <x:xf numFmtId="202" fontId="11" fillId="8" borderId="4" xfId="0" applyNumberFormat="1" applyFont="1" applyFill="1" applyBorder="1" applyAlignment="1">
      <x:alignment vertical="center"/>
    </x:xf>
    <x:xf numFmtId="202" fontId="11" fillId="8" borderId="6" xfId="0" applyNumberFormat="1" applyFont="1" applyFill="1" applyBorder="1" applyAlignment="1">
      <x:alignment vertical="center"/>
    </x:xf>
    <x:xf numFmtId="202" fontId="11" fillId="8" borderId="1" xfId="0" applyNumberFormat="1" applyFont="1" applyFill="1" applyBorder="1" applyAlignment="1">
      <x:alignment horizontal="center" vertical="center"/>
    </x:xf>
    <x:xf numFmtId="202" fontId="11" fillId="8" borderId="3" xfId="0" applyNumberFormat="1" applyFont="1" applyFill="1" applyBorder="1" applyAlignment="1">
      <x:alignment horizontal="center" vertical="center"/>
    </x:xf>
    <x:xf numFmtId="202" fontId="11" fillId="8" borderId="18" xfId="0" applyNumberFormat="1" applyFont="1" applyFill="1" applyBorder="1" applyAlignment="1">
      <x:alignment horizontal="center" vertical="center"/>
    </x:xf>
    <x:xf numFmtId="202" fontId="11" fillId="8" borderId="19" xfId="0" applyNumberFormat="1" applyFont="1" applyFill="1" applyBorder="1" applyAlignment="1">
      <x:alignment horizontal="center" vertical="center"/>
    </x:xf>
    <x:xf numFmtId="202" fontId="11" fillId="8" borderId="4" xfId="0" applyNumberFormat="1" applyFont="1" applyFill="1" applyBorder="1" applyAlignment="1">
      <x:alignment horizontal="center" vertical="center"/>
    </x:xf>
    <x:xf numFmtId="202" fontId="11" fillId="8" borderId="6" xfId="0" applyNumberFormat="1" applyFont="1" applyFill="1" applyBorder="1" applyAlignment="1">
      <x:alignment horizontal="center" vertical="center"/>
    </x:xf>
    <x:xf numFmtId="0" fontId="6" fillId="9" borderId="20" xfId="0" applyNumberFormat="1" applyFont="1" applyFill="1" applyBorder="1" applyAlignment="1">
      <x:alignment vertical="center"/>
    </x:xf>
    <x:xf numFmtId="0" fontId="6" fillId="9" borderId="21" xfId="0" applyNumberFormat="1" applyFont="1" applyFill="1" applyBorder="1" applyAlignment="1">
      <x:alignment vertical="center"/>
    </x:xf>
    <x:xf numFmtId="0" fontId="6" fillId="9" borderId="22" xfId="0" applyNumberFormat="1" applyFont="1" applyFill="1" applyBorder="1" applyAlignment="1">
      <x:alignment vertical="center"/>
    </x:xf>
    <x:xf numFmtId="0" fontId="6" fillId="9" borderId="23" xfId="0" applyNumberFormat="1" applyFont="1" applyFill="1" applyBorder="1" applyAlignment="1">
      <x:alignment vertical="center"/>
    </x:xf>
    <x:xf numFmtId="0" fontId="6" fillId="9" borderId="24" xfId="0" applyNumberFormat="1" applyFont="1" applyFill="1" applyBorder="1" applyAlignment="1">
      <x:alignment vertical="center"/>
    </x:xf>
    <x:xf numFmtId="0" fontId="6" fillId="9" borderId="25" xfId="0" applyNumberFormat="1" applyFont="1" applyFill="1" applyBorder="1" applyAlignment="1">
      <x:alignment vertical="center"/>
    </x:xf>
    <x:xf numFmtId="0" fontId="6" fillId="9" borderId="26" xfId="0" applyNumberFormat="1" applyFont="1" applyFill="1" applyBorder="1" applyAlignment="1">
      <x:alignment vertical="center"/>
    </x:xf>
    <x:xf numFmtId="0" fontId="6" fillId="9" borderId="27" xfId="0" applyNumberFormat="1" applyFont="1" applyFill="1" applyBorder="1" applyAlignment="1">
      <x:alignment vertical="center"/>
    </x:xf>
    <x:xf numFmtId="0" fontId="6" fillId="9" borderId="20" xfId="0" applyNumberFormat="1" applyFont="1" applyFill="1" applyBorder="1" applyAlignment="1">
      <x:alignment vertical="center" wrapText="1"/>
    </x:xf>
    <x:xf numFmtId="0" fontId="6" fillId="9" borderId="21" xfId="0" applyNumberFormat="1" applyFont="1" applyFill="1" applyBorder="1" applyAlignment="1">
      <x:alignment vertical="center" wrapText="1"/>
    </x:xf>
    <x:xf numFmtId="0" fontId="6" fillId="9" borderId="22" xfId="0" applyNumberFormat="1" applyFont="1" applyFill="1" applyBorder="1" applyAlignment="1">
      <x:alignment vertical="center" wrapText="1"/>
    </x:xf>
    <x:xf numFmtId="0" fontId="6" fillId="9" borderId="23" xfId="0" applyNumberFormat="1" applyFont="1" applyFill="1" applyBorder="1" applyAlignment="1">
      <x:alignment vertical="center" wrapText="1"/>
    </x:xf>
    <x:xf numFmtId="0" fontId="6" fillId="9" borderId="0" xfId="0" applyNumberFormat="1" applyFont="1" applyFill="1" applyBorder="1" applyAlignment="1">
      <x:alignment vertical="center" wrapText="1"/>
    </x:xf>
    <x:xf numFmtId="0" fontId="6" fillId="9" borderId="24" xfId="0" applyNumberFormat="1" applyFont="1" applyFill="1" applyBorder="1" applyAlignment="1">
      <x:alignment vertical="center" wrapText="1"/>
    </x:xf>
    <x:xf numFmtId="0" fontId="6" fillId="9" borderId="25" xfId="0" applyNumberFormat="1" applyFont="1" applyFill="1" applyBorder="1" applyAlignment="1">
      <x:alignment vertical="center" wrapText="1"/>
    </x:xf>
    <x:xf numFmtId="0" fontId="6" fillId="9" borderId="26" xfId="0" applyNumberFormat="1" applyFont="1" applyFill="1" applyBorder="1" applyAlignment="1">
      <x:alignment vertical="center" wrapText="1"/>
    </x:xf>
    <x:xf numFmtId="0" fontId="6" fillId="9" borderId="27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horizontal="center" vertical="center"/>
    </x:xf>
    <x:xf numFmtId="0" fontId="12" fillId="8" borderId="0" xfId="0" applyNumberFormat="1" applyFont="1" applyFill="1" applyBorder="1" applyAlignment="1">
      <x:alignment vertical="center"/>
    </x:xf>
    <x:xf numFmtId="0" fontId="12" fillId="8" borderId="28" xfId="0" applyNumberFormat="1" applyFont="1" applyFill="1" applyBorder="1" applyAlignment="1">
      <x:alignment vertical="center"/>
    </x:xf>
    <x:xf numFmtId="0" fontId="12" fillId="8" borderId="29" xfId="0" applyNumberFormat="1" applyFont="1" applyFill="1" applyBorder="1" applyAlignment="1">
      <x:alignment vertical="center"/>
    </x:xf>
    <x:xf numFmtId="0" fontId="12" fillId="8" borderId="28" xfId="0" applyNumberFormat="1" applyFont="1" applyFill="1" applyBorder="1" applyAlignment="1">
      <x:alignment horizontal="center" vertical="center"/>
    </x:xf>
    <x:xf numFmtId="0" fontId="12" fillId="8" borderId="29" xfId="0" applyNumberFormat="1" applyFont="1" applyFill="1" applyBorder="1" applyAlignment="1">
      <x:alignment horizontal="center" vertical="center"/>
    </x:xf>
    <x:xf numFmtId="0" fontId="13" fillId="9" borderId="0" xfId="0" applyNumberFormat="1" applyFont="1" applyFill="1" applyBorder="1" applyAlignment="1">
      <x:alignment vertical="center"/>
    </x:xf>
    <x:xf numFmtId="0" fontId="13" fillId="9" borderId="28" xfId="0" applyNumberFormat="1" applyFont="1" applyFill="1" applyBorder="1" applyAlignment="1">
      <x:alignment vertical="center"/>
    </x:xf>
    <x:xf numFmtId="0" fontId="13" fillId="9" borderId="29" xfId="0" applyNumberFormat="1" applyFont="1" applyFill="1" applyBorder="1" applyAlignment="1">
      <x:alignment vertical="center"/>
    </x:xf>
    <x:xf numFmtId="0" fontId="13" fillId="9" borderId="28" xfId="0" applyNumberFormat="1" applyFont="1" applyFill="1" applyBorder="1" applyAlignment="1">
      <x:alignment vertical="center" wrapText="1"/>
    </x:xf>
    <x:xf numFmtId="0" fontId="13" fillId="9" borderId="29" xfId="0" applyNumberFormat="1" applyFont="1" applyFill="1" applyBorder="1" applyAlignment="1">
      <x:alignment vertical="center" wrapText="1"/>
    </x:xf>
    <x:xf numFmtId="0" fontId="13" fillId="9" borderId="28" xfId="0" applyNumberFormat="1" applyFont="1" applyFill="1" applyBorder="1" applyAlignment="1">
      <x:alignment horizontal="center" vertical="center" wrapText="1"/>
    </x:xf>
    <x:xf numFmtId="0" fontId="13" fillId="9" borderId="29" xfId="0" applyNumberFormat="1" applyFont="1" applyFill="1" applyBorder="1" applyAlignment="1">
      <x:alignment horizontal="center" vertical="center" wrapText="1"/>
    </x:xf>
    <x:xf numFmtId="0" fontId="3" fillId="8" borderId="0" xfId="0" applyNumberFormat="1" applyFont="1" applyFill="1" applyBorder="1" applyAlignment="1">
      <x:alignment vertical="center"/>
    </x:xf>
    <x:xf numFmtId="0" fontId="3" fillId="8" borderId="1" xfId="0" applyNumberFormat="1" applyFont="1" applyFill="1" applyBorder="1" applyAlignment="1">
      <x:alignment vertical="center"/>
    </x:xf>
    <x:xf numFmtId="0" fontId="3" fillId="8" borderId="2" xfId="0" applyNumberFormat="1" applyFont="1" applyFill="1" applyBorder="1" applyAlignment="1">
      <x:alignment vertical="center"/>
    </x:xf>
    <x:xf numFmtId="0" fontId="3" fillId="8" borderId="3" xfId="0" applyNumberFormat="1" applyFont="1" applyFill="1" applyBorder="1" applyAlignment="1">
      <x:alignment vertical="center"/>
    </x:xf>
    <x:xf numFmtId="0" fontId="3" fillId="8" borderId="4" xfId="0" applyNumberFormat="1" applyFont="1" applyFill="1" applyBorder="1" applyAlignment="1">
      <x:alignment vertical="center"/>
    </x:xf>
    <x:xf numFmtId="0" fontId="3" fillId="8" borderId="5" xfId="0" applyNumberFormat="1" applyFont="1" applyFill="1" applyBorder="1" applyAlignment="1">
      <x:alignment vertical="center"/>
    </x:xf>
    <x:xf numFmtId="0" fontId="3" fillId="8" borderId="6" xfId="0" applyNumberFormat="1" applyFont="1" applyFill="1" applyBorder="1" applyAlignment="1">
      <x:alignment vertical="center"/>
    </x:xf>
    <x:xf numFmtId="0" fontId="3" fillId="8" borderId="1" xfId="0" applyNumberFormat="1" applyFont="1" applyFill="1" applyBorder="1" applyAlignment="1">
      <x:alignment vertical="center" wrapText="1"/>
    </x:xf>
    <x:xf numFmtId="0" fontId="3" fillId="8" borderId="2" xfId="0" applyNumberFormat="1" applyFont="1" applyFill="1" applyBorder="1" applyAlignment="1">
      <x:alignment vertical="center" wrapText="1"/>
    </x:xf>
    <x:xf numFmtId="0" fontId="3" fillId="8" borderId="3" xfId="0" applyNumberFormat="1" applyFont="1" applyFill="1" applyBorder="1" applyAlignment="1">
      <x:alignment vertical="center" wrapText="1"/>
    </x:xf>
    <x:xf numFmtId="0" fontId="3" fillId="8" borderId="4" xfId="0" applyNumberFormat="1" applyFont="1" applyFill="1" applyBorder="1" applyAlignment="1">
      <x:alignment vertical="center" wrapText="1"/>
    </x:xf>
    <x:xf numFmtId="0" fontId="3" fillId="8" borderId="5" xfId="0" applyNumberFormat="1" applyFont="1" applyFill="1" applyBorder="1" applyAlignment="1">
      <x:alignment vertical="center" wrapText="1"/>
    </x:xf>
    <x:xf numFmtId="0" fontId="3" fillId="8" borderId="6" xfId="0" applyNumberFormat="1" applyFont="1" applyFill="1" applyBorder="1" applyAlignment="1">
      <x:alignment vertical="center" wrapText="1"/>
    </x:xf>
    <x:xf numFmtId="0" fontId="1" fillId="8" borderId="1" xfId="0" applyNumberFormat="1" applyFont="1" applyFill="1" applyBorder="1" applyAlignment="1">
      <x:alignment vertical="center"/>
    </x:xf>
    <x:xf numFmtId="0" fontId="1" fillId="8" borderId="2" xfId="0" applyNumberFormat="1" applyFont="1" applyFill="1" applyBorder="1" applyAlignment="1">
      <x:alignment vertical="center"/>
    </x:xf>
    <x:xf numFmtId="0" fontId="1" fillId="8" borderId="3" xfId="0" applyNumberFormat="1" applyFont="1" applyFill="1" applyBorder="1" applyAlignment="1">
      <x:alignment vertical="center"/>
    </x:xf>
    <x:xf numFmtId="0" fontId="1" fillId="8" borderId="18" xfId="0" applyNumberFormat="1" applyFont="1" applyFill="1" applyBorder="1" applyAlignment="1">
      <x:alignment vertical="center"/>
    </x:xf>
    <x:xf numFmtId="0" fontId="1" fillId="8" borderId="19" xfId="0" applyNumberFormat="1" applyFont="1" applyFill="1" applyBorder="1" applyAlignment="1">
      <x:alignment vertical="center"/>
    </x:xf>
    <x:xf numFmtId="0" fontId="1" fillId="8" borderId="4" xfId="0" applyNumberFormat="1" applyFont="1" applyFill="1" applyBorder="1" applyAlignment="1">
      <x:alignment vertical="center"/>
    </x:xf>
    <x:xf numFmtId="0" fontId="1" fillId="8" borderId="5" xfId="0" applyNumberFormat="1" applyFont="1" applyFill="1" applyBorder="1" applyAlignment="1">
      <x:alignment vertical="center"/>
    </x:xf>
    <x:xf numFmtId="0" fontId="1" fillId="8" borderId="6" xfId="0" applyNumberFormat="1" applyFont="1" applyFill="1" applyBorder="1" applyAlignment="1">
      <x:alignment vertical="center"/>
    </x:xf>
    <x:xf numFmtId="0" fontId="1" fillId="8" borderId="1" xfId="0" applyNumberFormat="1" applyFont="1" applyFill="1" applyBorder="1" applyAlignment="1">
      <x:alignment vertical="center" wrapText="1"/>
    </x:xf>
    <x:xf numFmtId="0" fontId="1" fillId="8" borderId="2" xfId="0" applyNumberFormat="1" applyFont="1" applyFill="1" applyBorder="1" applyAlignment="1">
      <x:alignment vertical="center" wrapText="1"/>
    </x:xf>
    <x:xf numFmtId="0" fontId="1" fillId="8" borderId="3" xfId="0" applyNumberFormat="1" applyFont="1" applyFill="1" applyBorder="1" applyAlignment="1">
      <x:alignment vertical="center" wrapText="1"/>
    </x:xf>
    <x:xf numFmtId="0" fontId="1" fillId="8" borderId="18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1" fillId="8" borderId="19" xfId="0" applyNumberFormat="1" applyFont="1" applyFill="1" applyBorder="1" applyAlignment="1">
      <x:alignment vertical="center" wrapText="1"/>
    </x:xf>
    <x:xf numFmtId="0" fontId="1" fillId="8" borderId="4" xfId="0" applyNumberFormat="1" applyFont="1" applyFill="1" applyBorder="1" applyAlignment="1">
      <x:alignment vertical="center" wrapText="1"/>
    </x:xf>
    <x:xf numFmtId="0" fontId="1" fillId="8" borderId="5" xfId="0" applyNumberFormat="1" applyFont="1" applyFill="1" applyBorder="1" applyAlignment="1">
      <x:alignment vertical="center" wrapText="1"/>
    </x:xf>
    <x:xf numFmtId="0" fontId="1" fillId="8" borderId="6" xfId="0" applyNumberFormat="1" applyFont="1" applyFill="1" applyBorder="1" applyAlignment="1">
      <x:alignment vertical="center" wrapText="1"/>
    </x:xf>
    <x:xf numFmtId="0" fontId="3" fillId="5" borderId="28" xfId="0" applyNumberFormat="1" applyFont="1" applyFill="1" applyBorder="1" applyAlignment="1">
      <x:alignment vertical="center"/>
    </x:xf>
    <x:xf numFmtId="0" fontId="3" fillId="5" borderId="30" xfId="0" applyNumberFormat="1" applyFont="1" applyFill="1" applyBorder="1" applyAlignment="1">
      <x:alignment vertical="center"/>
    </x:xf>
    <x:xf numFmtId="0" fontId="3" fillId="5" borderId="29" xfId="0" applyNumberFormat="1" applyFont="1" applyFill="1" applyBorder="1" applyAlignment="1">
      <x:alignment vertical="center"/>
    </x:xf>
    <x:xf numFmtId="0" fontId="3" fillId="5" borderId="28" xfId="0" applyNumberFormat="1" applyFont="1" applyFill="1" applyBorder="1" applyAlignment="1">
      <x:alignment horizontal="center" vertical="center"/>
    </x:xf>
    <x:xf numFmtId="0" fontId="3" fillId="5" borderId="30" xfId="0" applyNumberFormat="1" applyFont="1" applyFill="1" applyBorder="1" applyAlignment="1">
      <x:alignment horizontal="center" vertical="center"/>
    </x:xf>
    <x:xf numFmtId="0" fontId="3" fillId="5" borderId="29" xfId="0" applyNumberFormat="1" applyFont="1" applyFill="1" applyBorder="1" applyAlignment="1">
      <x:alignment horizontal="center" vertical="center"/>
    </x:xf>
    <x:xf numFmtId="0" fontId="14" fillId="2" borderId="0" xfId="0" applyNumberFormat="1" applyFont="1" applyFill="1" applyBorder="1" applyAlignment="1">
      <x:alignment vertical="center"/>
    </x:xf>
    <x:xf numFmtId="0" fontId="12" fillId="8" borderId="30" xfId="0" applyNumberFormat="1" applyFont="1" applyFill="1" applyBorder="1" applyAlignment="1">
      <x:alignment vertical="center"/>
    </x:xf>
    <x:xf numFmtId="0" fontId="12" fillId="8" borderId="30" xfId="0" applyNumberFormat="1" applyFont="1" applyFill="1" applyBorder="1" applyAlignment="1">
      <x:alignment horizontal="center" vertical="center"/>
    </x:xf>
    <x:xf numFmtId="203" fontId="1" fillId="2" borderId="0" xfId="0" applyNumberFormat="1" applyFont="1" applyFill="1" applyBorder="1" applyAlignment="1">
      <x:alignment vertical="center"/>
    </x:xf>
    <x:xf numFmtId="203" fontId="1" fillId="8" borderId="0" xfId="0" applyNumberFormat="1" applyFont="1" applyFill="1" applyBorder="1" applyAlignment="1">
      <x:alignment vertical="center"/>
    </x:xf>
    <x:xf numFmtId="203" fontId="1" fillId="8" borderId="0" xfId="0" applyNumberFormat="1" applyFont="1" applyFill="1" applyBorder="1" applyAlignment="1">
      <x:alignment vertical="center" wrapText="1"/>
    </x:xf>
    <x:xf numFmtId="0" fontId="12" fillId="8" borderId="0" xfId="0" applyNumberFormat="1" applyFont="1" applyFill="1" applyBorder="1" applyAlignment="1">
      <x:alignment vertical="center" wrapText="1"/>
    </x:xf>
    <x:xf numFmtId="202" fontId="1" fillId="2" borderId="0" xfId="0" applyNumberFormat="1" applyFont="1" applyFill="1" applyBorder="1" applyAlignment="1">
      <x:alignment vertical="center"/>
    </x:xf>
    <x:xf numFmtId="202" fontId="1" fillId="8" borderId="0" xfId="0" applyNumberFormat="1" applyFont="1" applyFill="1" applyBorder="1" applyAlignment="1">
      <x:alignment vertical="center"/>
    </x:xf>
    <x:xf numFmtId="202" fontId="1" fillId="8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/>
    </x:xf>
    <x:xf numFmtId="200" fontId="1" fillId="8" borderId="0" xfId="0" applyNumberFormat="1" applyFont="1" applyFill="1" applyBorder="1" applyAlignment="1">
      <x:alignment vertical="center"/>
    </x:xf>
    <x:xf numFmtId="200" fontId="1" fillId="8" borderId="0" xfId="0" applyNumberFormat="1" applyFont="1" applyFill="1" applyBorder="1" applyAlignment="1">
      <x:alignment vertical="center" wrapText="1"/>
    </x:xf>
    <x:xf numFmtId="0" fontId="6" fillId="9" borderId="28" xfId="0" applyNumberFormat="1" applyFont="1" applyFill="1" applyBorder="1" applyAlignment="1">
      <x:alignment vertical="center"/>
    </x:xf>
    <x:xf numFmtId="0" fontId="6" fillId="9" borderId="30" xfId="0" applyNumberFormat="1" applyFont="1" applyFill="1" applyBorder="1" applyAlignment="1">
      <x:alignment vertical="center"/>
    </x:xf>
    <x:xf numFmtId="0" fontId="6" fillId="9" borderId="29" xfId="0" applyNumberFormat="1" applyFont="1" applyFill="1" applyBorder="1" applyAlignment="1">
      <x:alignment vertical="center"/>
    </x:xf>
    <x:xf numFmtId="0" fontId="6" fillId="9" borderId="28" xfId="0" applyNumberFormat="1" applyFont="1" applyFill="1" applyBorder="1" applyAlignment="1">
      <x:alignment horizontal="center" vertical="center"/>
    </x:xf>
    <x:xf numFmtId="0" fontId="6" fillId="9" borderId="30" xfId="0" applyNumberFormat="1" applyFont="1" applyFill="1" applyBorder="1" applyAlignment="1">
      <x:alignment horizontal="center" vertical="center"/>
    </x:xf>
    <x:xf numFmtId="0" fontId="6" fillId="9" borderId="29" xfId="0" applyNumberFormat="1" applyFont="1" applyFill="1" applyBorder="1" applyAlignment="1">
      <x:alignment horizontal="center" vertical="center"/>
    </x:xf>
    <x:xf numFmtId="0" fontId="3" fillId="5" borderId="18" xfId="0" applyNumberFormat="1" applyFont="1" applyFill="1" applyBorder="1" applyAlignment="1">
      <x:alignment vertical="center"/>
    </x:xf>
    <x:xf numFmtId="0" fontId="3" fillId="5" borderId="19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horizontal="left" vertical="center"/>
    </x:xf>
    <x:xf numFmtId="0" fontId="3" fillId="5" borderId="2" xfId="0" applyNumberFormat="1" applyFont="1" applyFill="1" applyBorder="1" applyAlignment="1">
      <x:alignment horizontal="left" vertical="center"/>
    </x:xf>
    <x:xf numFmtId="0" fontId="3" fillId="5" borderId="3" xfId="0" applyNumberFormat="1" applyFont="1" applyFill="1" applyBorder="1" applyAlignment="1">
      <x:alignment horizontal="left" vertical="center"/>
    </x:xf>
    <x:xf numFmtId="0" fontId="3" fillId="5" borderId="18" xfId="0" applyNumberFormat="1" applyFont="1" applyFill="1" applyBorder="1" applyAlignment="1">
      <x:alignment horizontal="left" vertical="center"/>
    </x:xf>
    <x:xf numFmtId="0" fontId="3" fillId="5" borderId="0" xfId="0" applyNumberFormat="1" applyFont="1" applyFill="1" applyBorder="1" applyAlignment="1">
      <x:alignment horizontal="left" vertical="center"/>
    </x:xf>
    <x:xf numFmtId="0" fontId="3" fillId="5" borderId="19" xfId="0" applyNumberFormat="1" applyFont="1" applyFill="1" applyBorder="1" applyAlignment="1">
      <x:alignment horizontal="left" vertical="center"/>
    </x:xf>
    <x:xf numFmtId="0" fontId="3" fillId="5" borderId="4" xfId="0" applyNumberFormat="1" applyFont="1" applyFill="1" applyBorder="1" applyAlignment="1">
      <x:alignment horizontal="left" vertical="center"/>
    </x:xf>
    <x:xf numFmtId="0" fontId="3" fillId="5" borderId="5" xfId="0" applyNumberFormat="1" applyFont="1" applyFill="1" applyBorder="1" applyAlignment="1">
      <x:alignment horizontal="left" vertical="center"/>
    </x:xf>
    <x:xf numFmtId="0" fontId="3" fillId="5" borderId="6" xfId="0" applyNumberFormat="1" applyFont="1" applyFill="1" applyBorder="1" applyAlignment="1">
      <x:alignment horizontal="left" vertical="center"/>
    </x:xf>
    <x:xf numFmtId="0" fontId="12" fillId="8" borderId="1" xfId="0" applyNumberFormat="1" applyFont="1" applyFill="1" applyBorder="1" applyAlignment="1">
      <x:alignment vertical="center"/>
    </x:xf>
    <x:xf numFmtId="0" fontId="12" fillId="8" borderId="3" xfId="0" applyNumberFormat="1" applyFont="1" applyFill="1" applyBorder="1" applyAlignment="1">
      <x:alignment vertical="center"/>
    </x:xf>
    <x:xf numFmtId="0" fontId="12" fillId="8" borderId="4" xfId="0" applyNumberFormat="1" applyFont="1" applyFill="1" applyBorder="1" applyAlignment="1">
      <x:alignment vertical="center"/>
    </x:xf>
    <x:xf numFmtId="0" fontId="12" fillId="8" borderId="6" xfId="0" applyNumberFormat="1" applyFont="1" applyFill="1" applyBorder="1" applyAlignment="1">
      <x:alignment vertical="center"/>
    </x:xf>
    <x:xf numFmtId="0" fontId="12" fillId="8" borderId="1" xfId="0" applyNumberFormat="1" applyFont="1" applyFill="1" applyBorder="1" applyAlignment="1">
      <x:alignment horizontal="center" vertical="center"/>
    </x:xf>
    <x:xf numFmtId="0" fontId="12" fillId="8" borderId="3" xfId="0" applyNumberFormat="1" applyFont="1" applyFill="1" applyBorder="1" applyAlignment="1">
      <x:alignment horizontal="center" vertical="center"/>
    </x:xf>
    <x:xf numFmtId="0" fontId="12" fillId="8" borderId="4" xfId="0" applyNumberFormat="1" applyFont="1" applyFill="1" applyBorder="1" applyAlignment="1">
      <x:alignment horizontal="center" vertical="center"/>
    </x:xf>
    <x:xf numFmtId="0" fontId="12" fillId="8" borderId="6" xfId="0" applyNumberFormat="1" applyFont="1" applyFill="1" applyBorder="1" applyAlignment="1">
      <x:alignment horizontal="center" vertical="center"/>
    </x:xf>
    <x:xf numFmtId="0" fontId="11" fillId="5" borderId="0" xfId="0" applyNumberFormat="1" applyFont="1" applyFill="1" applyBorder="1" applyAlignment="1">
      <x:alignment vertical="center"/>
    </x:xf>
    <x:xf numFmtId="0" fontId="11" fillId="5" borderId="28" xfId="0" applyNumberFormat="1" applyFont="1" applyFill="1" applyBorder="1" applyAlignment="1">
      <x:alignment vertical="center"/>
    </x:xf>
    <x:xf numFmtId="0" fontId="11" fillId="5" borderId="29" xfId="0" applyNumberFormat="1" applyFont="1" applyFill="1" applyBorder="1" applyAlignment="1">
      <x:alignment vertical="center"/>
    </x:xf>
    <x:xf numFmtId="0" fontId="11" fillId="5" borderId="28" xfId="0" applyNumberFormat="1" applyFont="1" applyFill="1" applyBorder="1" applyAlignment="1">
      <x:alignment horizontal="center" vertical="center"/>
    </x:xf>
    <x:xf numFmtId="0" fontId="11" fillId="5" borderId="29" xfId="0" applyNumberFormat="1" applyFont="1" applyFill="1" applyBorder="1" applyAlignment="1">
      <x:alignment horizontal="center" vertical="center"/>
    </x:xf>
    <x:xf numFmtId="0" fontId="1" fillId="8" borderId="1" xfId="0" applyNumberFormat="1" applyFont="1" applyFill="1" applyBorder="1" applyAlignment="1">
      <x:alignment horizontal="center" vertical="center" wrapText="1"/>
    </x:xf>
    <x:xf numFmtId="0" fontId="1" fillId="8" borderId="3" xfId="0" applyNumberFormat="1" applyFont="1" applyFill="1" applyBorder="1" applyAlignment="1">
      <x:alignment horizontal="center" vertical="center" wrapText="1"/>
    </x:xf>
    <x:xf numFmtId="0" fontId="1" fillId="8" borderId="4" xfId="0" applyNumberFormat="1" applyFont="1" applyFill="1" applyBorder="1" applyAlignment="1">
      <x:alignment horizontal="center" vertical="center" wrapText="1"/>
    </x:xf>
    <x:xf numFmtId="0" fontId="1" fillId="8" borderId="6" xfId="0" applyNumberFormat="1" applyFont="1" applyFill="1" applyBorder="1" applyAlignment="1">
      <x:alignment horizontal="center" vertical="center" wrapText="1"/>
    </x:xf>
    <x:xf numFmtId="0" fontId="6" fillId="9" borderId="1" xfId="0" applyNumberFormat="1" applyFont="1" applyFill="1" applyBorder="1" applyAlignment="1">
      <x:alignment vertical="center"/>
    </x:xf>
    <x:xf numFmtId="0" fontId="6" fillId="9" borderId="2" xfId="0" applyNumberFormat="1" applyFont="1" applyFill="1" applyBorder="1" applyAlignment="1">
      <x:alignment vertical="center"/>
    </x:xf>
    <x:xf numFmtId="0" fontId="6" fillId="9" borderId="3" xfId="0" applyNumberFormat="1" applyFont="1" applyFill="1" applyBorder="1" applyAlignment="1">
      <x:alignment vertical="center"/>
    </x:xf>
    <x:xf numFmtId="0" fontId="6" fillId="9" borderId="4" xfId="0" applyNumberFormat="1" applyFont="1" applyFill="1" applyBorder="1" applyAlignment="1">
      <x:alignment vertical="center"/>
    </x:xf>
    <x:xf numFmtId="0" fontId="6" fillId="9" borderId="5" xfId="0" applyNumberFormat="1" applyFont="1" applyFill="1" applyBorder="1" applyAlignment="1">
      <x:alignment vertical="center"/>
    </x:xf>
    <x:xf numFmtId="0" fontId="6" fillId="9" borderId="6" xfId="0" applyNumberFormat="1" applyFont="1" applyFill="1" applyBorder="1" applyAlignment="1">
      <x:alignment vertical="center"/>
    </x:xf>
    <x:xf numFmtId="0" fontId="6" fillId="9" borderId="1" xfId="0" applyNumberFormat="1" applyFont="1" applyFill="1" applyBorder="1" applyAlignment="1">
      <x:alignment vertical="center" wrapText="1"/>
    </x:xf>
    <x:xf numFmtId="0" fontId="6" fillId="9" borderId="2" xfId="0" applyNumberFormat="1" applyFont="1" applyFill="1" applyBorder="1" applyAlignment="1">
      <x:alignment vertical="center" wrapText="1"/>
    </x:xf>
    <x:xf numFmtId="0" fontId="6" fillId="9" borderId="3" xfId="0" applyNumberFormat="1" applyFont="1" applyFill="1" applyBorder="1" applyAlignment="1">
      <x:alignment vertical="center" wrapText="1"/>
    </x:xf>
    <x:xf numFmtId="0" fontId="6" fillId="9" borderId="4" xfId="0" applyNumberFormat="1" applyFont="1" applyFill="1" applyBorder="1" applyAlignment="1">
      <x:alignment vertical="center" wrapText="1"/>
    </x:xf>
    <x:xf numFmtId="0" fontId="6" fillId="9" borderId="5" xfId="0" applyNumberFormat="1" applyFont="1" applyFill="1" applyBorder="1" applyAlignment="1">
      <x:alignment vertical="center" wrapText="1"/>
    </x:xf>
    <x:xf numFmtId="0" fontId="6" fillId="9" borderId="6" xfId="0" applyNumberFormat="1" applyFont="1" applyFill="1" applyBorder="1" applyAlignment="1">
      <x:alignment vertical="center" wrapText="1"/>
    </x:xf>
    <x:xf numFmtId="0" fontId="7" fillId="8" borderId="0" xfId="0" applyNumberFormat="1" applyFont="1" applyFill="1" applyBorder="1" applyAlignment="1">
      <x:alignment vertical="center"/>
    </x:xf>
    <x:xf numFmtId="0" fontId="7" fillId="8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6"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58eddcf69f4ab5" /><Relationship Type="http://schemas.openxmlformats.org/officeDocument/2006/relationships/theme" Target="/xl/theme/theme1.xml" Id="Rad535fc569bc4f08" /><Relationship Type="http://schemas.openxmlformats.org/officeDocument/2006/relationships/sharedStrings" Target="/xl/sharedStrings.xml" Id="Ra14376a829494a7f" /><Relationship Type="http://schemas.openxmlformats.org/officeDocument/2006/relationships/worksheet" Target="/xl/worksheets/sheet1.xml" Id="R176977811d174ccb" /><Relationship Type="http://schemas.openxmlformats.org/officeDocument/2006/relationships/worksheet" Target="/xl/worksheets/sheet2.xml" Id="R74375ef15f32465e" /><Relationship Type="http://schemas.openxmlformats.org/officeDocument/2006/relationships/worksheet" Target="/xl/worksheets/sheet3.xml" Id="R6be4dd2fe5a14997" /><Relationship Type="http://schemas.openxmlformats.org/officeDocument/2006/relationships/worksheet" Target="/xl/worksheets/sheet4.xml" Id="R013ffdae99ce43bc" /><Relationship Type="http://schemas.openxmlformats.org/officeDocument/2006/relationships/worksheet" Target="/xl/worksheets/sheet5.xml" Id="Re5dd3af3a07049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7" customHeight="1">
      <x:c r="A1" s="6" t="str">
        <x:v>TDAT FINANCIAL MODEL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TDAT-FM-VAL-001 · 5 years · v1.4.0 · Five visible tabs</x:v>
      </x:c>
      <x:c r="B3" s="9"/>
      <x:c r="C3" s="9"/>
      <x:c r="D3" s="9"/>
      <x:c r="E3" s="9"/>
      <x:c r="F3" s="9"/>
      <x:c r="G3" s="9"/>
      <x:c r="H3" s="9"/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>
      <x:c r="A5" s="229" t="str">
        <x:v>DCF Valuation</x:v>
      </x:c>
      <x:c r="B5" s="230"/>
      <x:c r="C5" s="230"/>
      <x:c r="D5" s="230"/>
      <x:c r="E5" s="230"/>
      <x:c r="F5" s="231"/>
      <x:c r="G5" s="57" t="str">
        <x:v>MODEL STATUS</x:v>
      </x:c>
      <x:c r="H5" s="57"/>
    </x:row>
    <x:row r="6" ht="20" customHeight="1">
      <x:c r="A6" s="232"/>
      <x:c r="B6" s="233"/>
      <x:c r="C6" s="233"/>
      <x:c r="D6" s="233"/>
      <x:c r="E6" s="233"/>
      <x:c r="F6" s="234"/>
      <x:c r="G6" s="242" t="str">
        <x:f>'Checks'!B4</x:f>
        <x:v>PASS</x:v>
      </x:c>
      <x:c r="H6" s="243"/>
    </x:row>
    <x:row r="7" ht="20" customHeight="1">
      <x:c r="A7" s="235"/>
      <x:c r="B7" s="236"/>
      <x:c r="C7" s="236"/>
      <x:c r="D7" s="236"/>
      <x:c r="E7" s="236"/>
      <x:c r="F7" s="237"/>
      <x:c r="G7" s="244"/>
      <x:c r="H7" s="245"/>
    </x:row>
    <x:row r="8" ht="20" customHeight="1">
      <x:c r="A8" s="3"/>
      <x:c r="B8" s="3"/>
      <x:c r="C8" s="3"/>
      <x:c r="D8" s="3"/>
      <x:c r="E8" s="3"/>
      <x:c r="F8" s="3"/>
      <x:c r="G8" s="3"/>
      <x:c r="H8" s="3"/>
    </x:row>
    <x:row r="9" ht="20" customHeight="1">
      <x:c r="A9" s="58" t="str">
        <x:v>WHAT THIS MODEL IS FOR</x:v>
      </x:c>
      <x:c r="B9" s="58"/>
      <x:c r="C9" s="58"/>
      <x:c r="D9" s="58"/>
      <x:c r="E9" s="58"/>
      <x:c r="F9" s="58"/>
      <x:c r="G9" s="58"/>
      <x:c r="H9" s="58"/>
    </x:row>
    <x:row r="10" ht="20" customHeight="1">
      <x:c r="A10" s="179" t="str">
        <x:v>What are the business and equity worth under one driver-based operating case?</x:v>
      </x:c>
      <x:c r="B10" s="180"/>
      <x:c r="C10" s="180"/>
      <x:c r="D10" s="180"/>
      <x:c r="E10" s="180"/>
      <x:c r="F10" s="180"/>
      <x:c r="G10" s="180"/>
      <x:c r="H10" s="181"/>
    </x:row>
    <x:row r="11" ht="20" customHeight="1">
      <x:c r="A11" s="182"/>
      <x:c r="B11" s="183"/>
      <x:c r="C11" s="183"/>
      <x:c r="D11" s="183"/>
      <x:c r="E11" s="183"/>
      <x:c r="F11" s="183"/>
      <x:c r="G11" s="183"/>
      <x:c r="H11" s="184"/>
    </x:row>
    <x:row r="12" ht="20" customHeight="1">
      <x:c r="A12" s="3"/>
      <x:c r="B12" s="3"/>
      <x:c r="C12" s="3"/>
      <x:c r="D12" s="3"/>
      <x:c r="E12" s="3"/>
      <x:c r="F12" s="3"/>
      <x:c r="G12" s="3"/>
      <x:c r="H12" s="3"/>
    </x:row>
    <x:row r="13" ht="20" customHeight="1">
      <x:c r="A13" s="58" t="str">
        <x:v>USE IT IN FOUR STEPS</x:v>
      </x:c>
      <x:c r="B13" s="58"/>
      <x:c r="C13" s="58"/>
      <x:c r="D13" s="58"/>
      <x:c r="E13" s="58"/>
      <x:c r="F13" s="58"/>
      <x:c r="G13" s="58"/>
      <x:c r="H13" s="58"/>
    </x:row>
    <x:row r="14" ht="20" customHeight="1">
      <x:c r="A14" s="249" t="str">
        <x:v>1 · INPUTS</x:v>
      </x:c>
      <x:c r="B14" s="250"/>
      <x:c r="C14" s="249" t="str">
        <x:v>2 · MODEL</x:v>
      </x:c>
      <x:c r="D14" s="250"/>
      <x:c r="E14" s="249" t="str">
        <x:v>3 · RESULTS</x:v>
      </x:c>
      <x:c r="F14" s="250"/>
      <x:c r="G14" s="249" t="str">
        <x:v>4 · CHECKS</x:v>
      </x:c>
      <x:c r="H14" s="250"/>
    </x:row>
    <x:row r="15" ht="20" customHeight="1">
      <x:c r="A15" s="251" t="str">
        <x:v>Edit only blue cells</x:v>
      </x:c>
      <x:c r="B15" s="252"/>
      <x:c r="C15" s="251" t="str">
        <x:v>Trace schedules and formulas</x:v>
      </x:c>
      <x:c r="D15" s="252"/>
      <x:c r="E15" s="251" t="str">
        <x:v>Read the linked decision view</x:v>
      </x:c>
      <x:c r="F15" s="252"/>
      <x:c r="G15" s="251" t="str">
        <x:v>Resolve every FAIL</x:v>
      </x:c>
      <x:c r="H15" s="252"/>
    </x:row>
    <x:row r="16" ht="20" customHeight="1">
      <x:c r="A16" s="253"/>
      <x:c r="B16" s="254"/>
      <x:c r="C16" s="253"/>
      <x:c r="D16" s="254"/>
      <x:c r="E16" s="253"/>
      <x:c r="F16" s="254"/>
      <x:c r="G16" s="253"/>
      <x:c r="H16" s="254"/>
    </x:row>
    <x:row r="17" ht="20" customHeight="1">
      <x:c r="A17" s="3"/>
      <x:c r="B17" s="3"/>
      <x:c r="C17" s="3"/>
      <x:c r="D17" s="3"/>
      <x:c r="E17" s="3"/>
      <x:c r="F17" s="3"/>
      <x:c r="G17" s="3"/>
      <x:c r="H17" s="3"/>
    </x:row>
    <x:row r="18" ht="20" customHeight="1">
      <x:c r="A18" s="58" t="str">
        <x:v>DEPTH WITHOUT EXTRA TABS</x:v>
      </x:c>
      <x:c r="B18" s="58"/>
      <x:c r="C18" s="58"/>
      <x:c r="D18" s="58"/>
      <x:c r="E18" s="58"/>
      <x:c r="F18" s="58"/>
      <x:c r="G18" s="58"/>
      <x:c r="H18" s="58"/>
    </x:row>
    <x:row r="19" ht="20" customHeight="1">
      <x:c r="A19" s="61" t="str">
        <x:v>Forecast</x:v>
      </x:c>
      <x:c r="B19" s="61"/>
      <x:c r="C19" s="172" t="str">
        <x:v>5 years</x:v>
      </x:c>
      <x:c r="D19" s="172"/>
      <x:c r="E19" s="172"/>
      <x:c r="F19" s="172"/>
      <x:c r="G19" s="172"/>
      <x:c r="H19" s="172"/>
    </x:row>
    <x:row r="20" ht="20" customHeight="1">
      <x:c r="A20" s="61" t="str">
        <x:v>Editable inputs</x:v>
      </x:c>
      <x:c r="B20" s="61"/>
      <x:c r="C20" s="172" t="str">
        <x:v>11</x:v>
      </x:c>
      <x:c r="D20" s="172"/>
      <x:c r="E20" s="172"/>
      <x:c r="F20" s="172"/>
      <x:c r="G20" s="172"/>
      <x:c r="H20" s="172"/>
    </x:row>
    <x:row r="21" ht="20" customHeight="1">
      <x:c r="A21" s="61" t="str">
        <x:v>Visible sheets</x:v>
      </x:c>
      <x:c r="B21" s="61"/>
      <x:c r="C21" s="172" t="str">
        <x:v>5</x:v>
      </x:c>
      <x:c r="D21" s="172"/>
      <x:c r="E21" s="172"/>
      <x:c r="F21" s="172"/>
      <x:c r="G21" s="172"/>
      <x:c r="H21" s="172"/>
    </x:row>
    <x:row r="22" ht="20" customHeight="1">
      <x:c r="A22" s="61" t="str">
        <x:v>Setup</x:v>
      </x:c>
      <x:c r="B22" s="61"/>
      <x:c r="C22" s="172" t="str">
        <x:v>15–20 minutes</x:v>
      </x:c>
      <x:c r="D22" s="172"/>
      <x:c r="E22" s="172"/>
      <x:c r="F22" s="172"/>
      <x:c r="G22" s="172"/>
      <x:c r="H22" s="172"/>
    </x:row>
    <x:row r="23" ht="20" customHeight="1">
      <x:c r="A23" s="3"/>
      <x:c r="B23" s="3"/>
      <x:c r="C23" s="3"/>
      <x:c r="D23" s="3"/>
      <x:c r="E23" s="3"/>
      <x:c r="F23" s="3"/>
      <x:c r="G23" s="3"/>
      <x:c r="H23" s="3"/>
    </x:row>
    <x:row r="24" ht="20" customHeight="1">
      <x:c r="A24" s="58" t="str">
        <x:v>FIT &amp; SCOPE</x:v>
      </x:c>
      <x:c r="B24" s="58"/>
      <x:c r="C24" s="58"/>
      <x:c r="D24" s="58"/>
      <x:c r="E24" s="58"/>
      <x:c r="F24" s="58"/>
      <x:c r="G24" s="58"/>
      <x:c r="H24" s="58"/>
    </x:row>
    <x:row r="25" ht="20" customHeight="1">
      <x:c r="A25" s="193" t="str">
        <x:v>Included: Five-year driver-based free-cash-flow build · Terminal-value and enterprise-to-equity bridges · Value per share and ten calculation controls</x:v>
      </x:c>
      <x:c r="B25" s="194"/>
      <x:c r="C25" s="194"/>
      <x:c r="D25" s="194"/>
      <x:c r="E25" s="194"/>
      <x:c r="F25" s="194"/>
      <x:c r="G25" s="194"/>
      <x:c r="H25" s="195"/>
    </x:row>
    <x:row r="26" ht="20" customHeight="1">
      <x:c r="A26" s="199"/>
      <x:c r="B26" s="200"/>
      <x:c r="C26" s="200"/>
      <x:c r="D26" s="200"/>
      <x:c r="E26" s="200"/>
      <x:c r="F26" s="200"/>
      <x:c r="G26" s="200"/>
      <x:c r="H26" s="201"/>
    </x:row>
    <x:row r="27" ht="20" customHeight="1">
      <x:c r="A27" s="261" t="str">
        <x:v>Scope boundary: Detailed tax schedules, leases, pensions, dilution, reverse DCF, and valuation advice.</x:v>
      </x:c>
      <x:c r="B27" s="262"/>
      <x:c r="C27" s="262"/>
      <x:c r="D27" s="262"/>
      <x:c r="E27" s="262"/>
      <x:c r="F27" s="262"/>
      <x:c r="G27" s="262"/>
      <x:c r="H27" s="263"/>
    </x:row>
    <x:row r="28" ht="20" customHeight="1">
      <x:c r="A28" s="264"/>
      <x:c r="B28" s="265"/>
      <x:c r="C28" s="265"/>
      <x:c r="D28" s="265"/>
      <x:c r="E28" s="265"/>
      <x:c r="F28" s="265"/>
      <x:c r="G28" s="265"/>
      <x:c r="H28" s="266"/>
    </x:row>
    <x:row r="29" ht="20" customHeight="1">
      <x:c r="A29" s="268" t="str">
        <x:v>Synthetic demonstration only · Tested 2026-08-17 · Excel 365 · Macro-free · No external links</x:v>
      </x:c>
      <x:c r="B29" s="268"/>
      <x:c r="C29" s="268"/>
      <x:c r="D29" s="268"/>
      <x:c r="E29" s="268"/>
      <x:c r="F29" s="268"/>
      <x:c r="G29" s="268"/>
      <x:c r="H29" s="268"/>
    </x:row>
    <x:row r="30" ht="20" customHeight="1">
      <x:c r="A30" s="3"/>
      <x:c r="B30" s="3"/>
      <x:c r="C30" s="3"/>
      <x:c r="D30" s="3"/>
      <x:c r="E30" s="3"/>
      <x:c r="F30" s="3"/>
      <x:c r="G30" s="3"/>
      <x:c r="H30" s="3"/>
    </x:row>
    <x:row r="31" ht="20" customHeight="1">
      <x:c r="A31" s="57" t="str">
        <x:v>DCF Valuation · Start → Inputs → Model → Results → Checks</x:v>
      </x:c>
      <x:c r="B31" s="57"/>
      <x:c r="C31" s="57"/>
      <x:c r="D31" s="57"/>
      <x:c r="E31" s="57"/>
      <x:c r="F31" s="57"/>
      <x:c r="G31" s="57"/>
      <x:c r="H31" s="57"/>
    </x:row>
  </x:sheetData>
  <x:mergeCells>
    <x:mergeCell ref="A1:H2"/>
    <x:mergeCell ref="A3:H3"/>
    <x:mergeCell ref="A5:F7"/>
    <x:mergeCell ref="G5:H5"/>
    <x:mergeCell ref="G6:H7"/>
    <x:mergeCell ref="A9:H9"/>
    <x:mergeCell ref="A10:H11"/>
    <x:mergeCell ref="A13:H13"/>
    <x:mergeCell ref="A14:B14"/>
    <x:mergeCell ref="A15:B16"/>
    <x:mergeCell ref="C14:D14"/>
    <x:mergeCell ref="C15:D16"/>
    <x:mergeCell ref="E14:F14"/>
    <x:mergeCell ref="E15:F16"/>
    <x:mergeCell ref="G14:H14"/>
    <x:mergeCell ref="G15:H16"/>
    <x:mergeCell ref="A18:H18"/>
    <x:mergeCell ref="A19:B19"/>
    <x:mergeCell ref="C19:H19"/>
    <x:mergeCell ref="A20:B20"/>
    <x:mergeCell ref="C20:H20"/>
    <x:mergeCell ref="A21:B21"/>
    <x:mergeCell ref="C21:H21"/>
    <x:mergeCell ref="A22:B22"/>
    <x:mergeCell ref="C22:H22"/>
    <x:mergeCell ref="A24:H24"/>
    <x:mergeCell ref="A25:H26"/>
    <x:mergeCell ref="A27:H28"/>
    <x:mergeCell ref="A29:H29"/>
    <x:mergeCell ref="A31:H31"/>
  </x:mergeCells>
  <x:conditionalFormatting sqref="G6:H7">
    <x:cfRule type="containsText" dxfId="24" priority="1" operator="containsText" text="FAIL"/>
    <x:cfRule type="containsText" dxfId="25" priority="2" operator="containsText" text="PASS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2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7" customHeight="1">
      <x:c r="A1" s="6" t="str">
        <x:v>INPUTS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DCF Valuation · Only blue cells are editable</x:v>
      </x:c>
      <x:c r="B3" s="9"/>
      <x:c r="C3" s="9"/>
      <x:c r="D3" s="9"/>
      <x:c r="E3" s="9"/>
      <x:c r="F3" s="9"/>
      <x:c r="G3" s="9"/>
      <x:c r="H3" s="9"/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>
      <x:c r="A5" s="18" t="str">
        <x:v>Change the blue assumptions below. The Model sheet expands them into visible formulas, schedules, and roll-forwards.</x:v>
      </x:c>
      <x:c r="B5" s="19"/>
      <x:c r="C5" s="19"/>
      <x:c r="D5" s="19"/>
      <x:c r="E5" s="19"/>
      <x:c r="F5" s="19"/>
      <x:c r="G5" s="19"/>
      <x:c r="H5" s="20"/>
    </x:row>
    <x:row r="6" ht="20" customHeight="1">
      <x:c r="A6" s="21"/>
      <x:c r="B6" s="22"/>
      <x:c r="C6" s="22"/>
      <x:c r="D6" s="22"/>
      <x:c r="E6" s="22"/>
      <x:c r="F6" s="22"/>
      <x:c r="G6" s="22"/>
      <x:c r="H6" s="23"/>
    </x:row>
    <x:row r="7" ht="20" customHeight="1">
      <x:c r="A7" s="3"/>
      <x:c r="B7" s="3"/>
      <x:c r="C7" s="3"/>
      <x:c r="D7" s="3"/>
      <x:c r="E7" s="3"/>
      <x:c r="F7" s="3"/>
      <x:c r="G7" s="3"/>
      <x:c r="H7" s="3"/>
    </x:row>
    <x:row r="8" ht="20" customHeight="1">
      <x:c r="A8" s="26" t="str">
        <x:v>OPERATING CASE</x:v>
      </x:c>
      <x:c r="B8" s="26"/>
      <x:c r="C8" s="26"/>
      <x:c r="D8" s="26"/>
      <x:c r="E8" s="26"/>
      <x:c r="F8" s="26"/>
      <x:c r="G8" s="26"/>
      <x:c r="H8" s="26"/>
    </x:row>
    <x:row r="9" ht="20" customHeight="1">
      <x:c r="A9" s="28" t="str">
        <x:v>Input</x:v>
      </x:c>
      <x:c r="B9" s="28" t="str">
        <x:v>Value</x:v>
      </x:c>
      <x:c r="C9" s="28" t="str">
        <x:v>Unit</x:v>
      </x:c>
      <x:c r="D9" s="28" t="str">
        <x:v>Purpose</x:v>
      </x:c>
      <x:c r="E9" s="28"/>
      <x:c r="F9" s="28"/>
      <x:c r="G9" s="28"/>
      <x:c r="H9" s="28"/>
    </x:row>
    <x:row r="10" ht="20" customHeight="1">
      <x:c r="A10" s="3" t="str">
        <x:v>Starting revenue</x:v>
      </x:c>
      <x:c r="B10" s="39" t="n">
        <x:v>500</x:v>
      </x:c>
      <x:c r="C10" s="3" t="str">
        <x:v>LCY m</x:v>
      </x:c>
      <x:c r="D10" s="37" t="str">
        <x:v>Latest annual revenue</x:v>
      </x:c>
      <x:c r="E10" s="38"/>
      <x:c r="F10" s="38"/>
      <x:c r="G10" s="38"/>
      <x:c r="H10" s="38"/>
    </x:row>
    <x:row r="11" ht="20" customHeight="1">
      <x:c r="A11" s="3" t="str">
        <x:v>Annual revenue growth</x:v>
      </x:c>
      <x:c r="B11" s="42" t="n">
        <x:v>0.07</x:v>
      </x:c>
      <x:c r="C11" s="3" t="str">
        <x:v>%</x:v>
      </x:c>
      <x:c r="D11" s="37" t="str">
        <x:v>One growth rate for five years</x:v>
      </x:c>
      <x:c r="E11" s="38"/>
      <x:c r="F11" s="38"/>
      <x:c r="G11" s="38"/>
      <x:c r="H11" s="38"/>
    </x:row>
    <x:row r="12" ht="20" customHeight="1">
      <x:c r="A12" s="3" t="str">
        <x:v>EBITDA margin</x:v>
      </x:c>
      <x:c r="B12" s="42" t="n">
        <x:v>0.22</x:v>
      </x:c>
      <x:c r="C12" s="3" t="str">
        <x:v>%</x:v>
      </x:c>
      <x:c r="D12" s="37" t="str">
        <x:v>Operating margin before D&amp;A</x:v>
      </x:c>
      <x:c r="E12" s="38"/>
      <x:c r="F12" s="38"/>
      <x:c r="G12" s="38"/>
      <x:c r="H12" s="38"/>
    </x:row>
    <x:row r="13" ht="20" customHeight="1">
      <x:c r="A13" s="3" t="str">
        <x:v>Cash tax rate</x:v>
      </x:c>
      <x:c r="B13" s="42" t="n">
        <x:v>0.2</x:v>
      </x:c>
      <x:c r="C13" s="3" t="str">
        <x:v>%</x:v>
      </x:c>
      <x:c r="D13" s="37" t="str">
        <x:v>Cash tax applied to positive EBIT</x:v>
      </x:c>
      <x:c r="E13" s="38"/>
      <x:c r="F13" s="38"/>
      <x:c r="G13" s="38"/>
      <x:c r="H13" s="38"/>
    </x:row>
    <x:row r="14" ht="20" customHeight="1">
      <x:c r="A14" s="26" t="str">
        <x:v>REINVESTMENT</x:v>
      </x:c>
      <x:c r="B14" s="26"/>
      <x:c r="C14" s="26"/>
      <x:c r="D14" s="26"/>
      <x:c r="E14" s="26"/>
      <x:c r="F14" s="26"/>
      <x:c r="G14" s="26"/>
      <x:c r="H14" s="26"/>
    </x:row>
    <x:row r="15" ht="20" customHeight="1">
      <x:c r="A15" s="28" t="str">
        <x:v>Input</x:v>
      </x:c>
      <x:c r="B15" s="28" t="str">
        <x:v>Value</x:v>
      </x:c>
      <x:c r="C15" s="28" t="str">
        <x:v>Unit</x:v>
      </x:c>
      <x:c r="D15" s="28" t="str">
        <x:v>Purpose</x:v>
      </x:c>
      <x:c r="E15" s="28"/>
      <x:c r="F15" s="28"/>
      <x:c r="G15" s="28"/>
      <x:c r="H15" s="28"/>
    </x:row>
    <x:row r="16" ht="20" customHeight="1">
      <x:c r="A16" s="3" t="str">
        <x:v>D&amp;A / revenue</x:v>
      </x:c>
      <x:c r="B16" s="42" t="n">
        <x:v>0.03</x:v>
      </x:c>
      <x:c r="C16" s="3" t="str">
        <x:v>%</x:v>
      </x:c>
      <x:c r="D16" s="37" t="str">
        <x:v>Non-cash depreciation rate</x:v>
      </x:c>
      <x:c r="E16" s="38"/>
      <x:c r="F16" s="38"/>
      <x:c r="G16" s="38"/>
      <x:c r="H16" s="38"/>
    </x:row>
    <x:row r="17" ht="20" customHeight="1">
      <x:c r="A17" s="3" t="str">
        <x:v>Capex / revenue</x:v>
      </x:c>
      <x:c r="B17" s="42" t="n">
        <x:v>0.05</x:v>
      </x:c>
      <x:c r="C17" s="3" t="str">
        <x:v>%</x:v>
      </x:c>
      <x:c r="D17" s="37" t="str">
        <x:v>Annual reinvestment rate</x:v>
      </x:c>
      <x:c r="E17" s="38"/>
      <x:c r="F17" s="38"/>
      <x:c r="G17" s="38"/>
      <x:c r="H17" s="38"/>
    </x:row>
    <x:row r="18" ht="20" customHeight="1">
      <x:c r="A18" s="3" t="str">
        <x:v>NWC / revenue</x:v>
      </x:c>
      <x:c r="B18" s="42" t="n">
        <x:v>0.1</x:v>
      </x:c>
      <x:c r="C18" s="3" t="str">
        <x:v>%</x:v>
      </x:c>
      <x:c r="D18" s="37" t="str">
        <x:v>Working-capital investment on revenue growth</x:v>
      </x:c>
      <x:c r="E18" s="38"/>
      <x:c r="F18" s="38"/>
      <x:c r="G18" s="38"/>
      <x:c r="H18" s="38"/>
    </x:row>
    <x:row r="19" ht="20" customHeight="1">
      <x:c r="A19" s="26" t="str">
        <x:v>VALUATION</x:v>
      </x:c>
      <x:c r="B19" s="26"/>
      <x:c r="C19" s="26"/>
      <x:c r="D19" s="26"/>
      <x:c r="E19" s="26"/>
      <x:c r="F19" s="26"/>
      <x:c r="G19" s="26"/>
      <x:c r="H19" s="26"/>
    </x:row>
    <x:row r="20" ht="20" customHeight="1">
      <x:c r="A20" s="28" t="str">
        <x:v>Input</x:v>
      </x:c>
      <x:c r="B20" s="28" t="str">
        <x:v>Value</x:v>
      </x:c>
      <x:c r="C20" s="28" t="str">
        <x:v>Unit</x:v>
      </x:c>
      <x:c r="D20" s="28" t="str">
        <x:v>Purpose</x:v>
      </x:c>
      <x:c r="E20" s="28"/>
      <x:c r="F20" s="28"/>
      <x:c r="G20" s="28"/>
      <x:c r="H20" s="28"/>
    </x:row>
    <x:row r="21" ht="20" customHeight="1">
      <x:c r="A21" s="3" t="str">
        <x:v>Discount rate (WACC)</x:v>
      </x:c>
      <x:c r="B21" s="42" t="n">
        <x:v>0.105</x:v>
      </x:c>
      <x:c r="C21" s="3" t="str">
        <x:v>%</x:v>
      </x:c>
      <x:c r="D21" s="37" t="str">
        <x:v>Required return</x:v>
      </x:c>
      <x:c r="E21" s="38"/>
      <x:c r="F21" s="38"/>
      <x:c r="G21" s="38"/>
      <x:c r="H21" s="38"/>
    </x:row>
    <x:row r="22" ht="20" customHeight="1">
      <x:c r="A22" s="3" t="str">
        <x:v>Terminal growth</x:v>
      </x:c>
      <x:c r="B22" s="42" t="n">
        <x:v>0.025</x:v>
      </x:c>
      <x:c r="C22" s="3" t="str">
        <x:v>%</x:v>
      </x:c>
      <x:c r="D22" s="37" t="str">
        <x:v>Long-run growth after year five</x:v>
      </x:c>
      <x:c r="E22" s="38"/>
      <x:c r="F22" s="38"/>
      <x:c r="G22" s="38"/>
      <x:c r="H22" s="38"/>
    </x:row>
    <x:row r="23" ht="20" customHeight="1">
      <x:c r="A23" s="3" t="str">
        <x:v>Net debt</x:v>
      </x:c>
      <x:c r="B23" s="39" t="n">
        <x:v>125</x:v>
      </x:c>
      <x:c r="C23" s="3" t="str">
        <x:v>LCY m</x:v>
      </x:c>
      <x:c r="D23" s="37" t="str">
        <x:v>Debt less cash</x:v>
      </x:c>
      <x:c r="E23" s="38"/>
      <x:c r="F23" s="38"/>
      <x:c r="G23" s="38"/>
      <x:c r="H23" s="38"/>
    </x:row>
    <x:row r="24" ht="20" customHeight="1">
      <x:c r="A24" s="3" t="str">
        <x:v>Shares outstanding</x:v>
      </x:c>
      <x:c r="B24" s="39" t="n">
        <x:v>75</x:v>
      </x:c>
      <x:c r="C24" s="3" t="str">
        <x:v>m</x:v>
      </x:c>
      <x:c r="D24" s="37" t="str">
        <x:v>Diluted shares</x:v>
      </x:c>
      <x:c r="E24" s="38"/>
      <x:c r="F24" s="38"/>
      <x:c r="G24" s="38"/>
      <x:c r="H24" s="38"/>
    </x:row>
    <x:row r="25" ht="20" customHeight="1">
      <x:c r="A25" s="3"/>
      <x:c r="B25" s="3"/>
      <x:c r="C25" s="3"/>
      <x:c r="D25" s="3"/>
      <x:c r="E25" s="3"/>
      <x:c r="F25" s="3"/>
      <x:c r="G25" s="3"/>
      <x:c r="H25" s="3"/>
    </x:row>
    <x:row r="26" ht="20" customHeight="1">
      <x:c r="A26" s="51" t="str">
        <x:v>Synthetic example. Replace only the blue values, trace the calculation on Model, then review Results and Checks.</x:v>
      </x:c>
      <x:c r="B26" s="52"/>
      <x:c r="C26" s="52"/>
      <x:c r="D26" s="52"/>
      <x:c r="E26" s="52"/>
      <x:c r="F26" s="52"/>
      <x:c r="G26" s="52"/>
      <x:c r="H26" s="53"/>
    </x:row>
    <x:row r="27" ht="20" customHeight="1">
      <x:c r="A27" s="54"/>
      <x:c r="B27" s="55"/>
      <x:c r="C27" s="55"/>
      <x:c r="D27" s="55"/>
      <x:c r="E27" s="55"/>
      <x:c r="F27" s="55"/>
      <x:c r="G27" s="55"/>
      <x:c r="H27" s="56"/>
    </x:row>
    <x:row r="28" ht="20" customHeight="1">
      <x:c r="A28" s="3"/>
      <x:c r="B28" s="3"/>
      <x:c r="C28" s="3"/>
      <x:c r="D28" s="3"/>
      <x:c r="E28" s="3"/>
      <x:c r="F28" s="3"/>
      <x:c r="G28" s="3"/>
      <x:c r="H28" s="3"/>
    </x:row>
    <x:row r="29" ht="20" customHeight="1">
      <x:c r="A29" s="3"/>
      <x:c r="B29" s="3"/>
      <x:c r="C29" s="3"/>
      <x:c r="D29" s="3"/>
      <x:c r="E29" s="3"/>
      <x:c r="F29" s="3"/>
      <x:c r="G29" s="3"/>
      <x:c r="H29" s="3"/>
    </x:row>
    <x:row r="30" ht="20" customHeight="1">
      <x:c r="A30" s="3"/>
      <x:c r="B30" s="3"/>
      <x:c r="C30" s="3"/>
      <x:c r="D30" s="3"/>
      <x:c r="E30" s="3"/>
      <x:c r="F30" s="3"/>
      <x:c r="G30" s="3"/>
      <x:c r="H30" s="3"/>
    </x:row>
    <x:row r="31" ht="20" customHeight="1">
      <x:c r="A31" s="57" t="str">
        <x:v>DCF Valuation · 11 editable assumptions · v1.4.0</x:v>
      </x:c>
      <x:c r="B31" s="57"/>
      <x:c r="C31" s="57"/>
      <x:c r="D31" s="57"/>
      <x:c r="E31" s="57"/>
      <x:c r="F31" s="57"/>
      <x:c r="G31" s="57"/>
      <x:c r="H31" s="57"/>
    </x:row>
  </x:sheetData>
  <x:mergeCells>
    <x:mergeCell ref="A1:H2"/>
    <x:mergeCell ref="A3:H3"/>
    <x:mergeCell ref="A5:H6"/>
    <x:mergeCell ref="A8:H8"/>
    <x:mergeCell ref="D9:H9"/>
    <x:mergeCell ref="D10:H10"/>
    <x:mergeCell ref="D11:H11"/>
    <x:mergeCell ref="D12:H12"/>
    <x:mergeCell ref="D13:H13"/>
    <x:mergeCell ref="A14:H14"/>
    <x:mergeCell ref="D15:H15"/>
    <x:mergeCell ref="D16:H16"/>
    <x:mergeCell ref="D17:H17"/>
    <x:mergeCell ref="D18:H18"/>
    <x:mergeCell ref="A19:H19"/>
    <x:mergeCell ref="D20:H20"/>
    <x:mergeCell ref="D21:H21"/>
    <x:mergeCell ref="D22:H22"/>
    <x:mergeCell ref="D23:H23"/>
    <x:mergeCell ref="D24:H24"/>
    <x:mergeCell ref="A26:H27"/>
    <x:mergeCell ref="A31:H3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4" hidden="0" customWidth="1"/>
    <x:col min="3" max="3" width="2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7" customHeight="1">
      <x:c r="A1" s="6" t="str">
        <x:v>MODEL DETAIL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DCF Valuation · Five-year driver-based valuation</x:v>
      </x:c>
      <x:c r="B3" s="9"/>
      <x:c r="C3" s="9"/>
      <x:c r="D3" s="9"/>
      <x:c r="E3" s="9"/>
      <x:c r="F3" s="9"/>
      <x:c r="G3" s="9"/>
      <x:c r="H3" s="9"/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>
      <x:c r="A5" s="109" t="str">
        <x:v>ENTERPRISE VALUE</x:v>
      </x:c>
      <x:c r="B5" s="110"/>
      <x:c r="C5" s="109" t="str">
        <x:v>EQUITY VALUE</x:v>
      </x:c>
      <x:c r="D5" s="110"/>
      <x:c r="E5" s="109" t="str">
        <x:v>VALUE / SHARE</x:v>
      </x:c>
      <x:c r="F5" s="110"/>
      <x:c r="G5" s="109" t="str">
        <x:v>YEAR 5 FCF</x:v>
      </x:c>
      <x:c r="H5" s="110"/>
    </x:row>
    <x:row r="6" ht="20" customHeight="1">
      <x:c r="A6" s="124" t="n">
        <x:f>B30</x:f>
        <x:v>969.3123561230465</x:v>
      </x:c>
      <x:c r="B6" s="125"/>
      <x:c r="C6" s="124" t="n">
        <x:f>B31</x:f>
        <x:v>844.3123561230465</x:v>
      </x:c>
      <x:c r="D6" s="125"/>
      <x:c r="E6" s="136" t="n">
        <x:f>B32</x:f>
        <x:v>11.25749808164062</x:v>
      </x:c>
      <x:c r="F6" s="137"/>
      <x:c r="G6" s="124" t="n">
        <x:f>F21</x:f>
        <x:v>87.98062819120001</x:v>
      </x:c>
      <x:c r="H6" s="125"/>
    </x:row>
    <x:row r="7" ht="20" customHeight="1">
      <x:c r="A7" s="126"/>
      <x:c r="B7" s="127"/>
      <x:c r="C7" s="126"/>
      <x:c r="D7" s="127"/>
      <x:c r="E7" s="138"/>
      <x:c r="F7" s="139"/>
      <x:c r="G7" s="126"/>
      <x:c r="H7" s="127"/>
    </x:row>
    <x:row r="8" ht="20" customHeight="1">
      <x:c r="A8" s="128"/>
      <x:c r="B8" s="129"/>
      <x:c r="C8" s="128"/>
      <x:c r="D8" s="129"/>
      <x:c r="E8" s="140"/>
      <x:c r="F8" s="141"/>
      <x:c r="G8" s="128"/>
      <x:c r="H8" s="129"/>
    </x:row>
    <x:row r="9" ht="20" customHeight="1">
      <x:c r="A9" s="3"/>
      <x:c r="B9" s="3"/>
      <x:c r="C9" s="3"/>
      <x:c r="D9" s="3"/>
      <x:c r="E9" s="3"/>
      <x:c r="F9" s="3"/>
      <x:c r="G9" s="3"/>
      <x:c r="H9" s="3"/>
    </x:row>
    <x:row r="10" ht="20" customHeight="1">
      <x:c r="A10" s="58" t="str">
        <x:v>FIVE-YEAR FREE CASH FLOW BUILD</x:v>
      </x:c>
      <x:c r="B10" s="58"/>
      <x:c r="C10" s="58"/>
      <x:c r="D10" s="58"/>
      <x:c r="E10" s="58"/>
      <x:c r="F10" s="58"/>
      <x:c r="G10" s="58"/>
      <x:c r="H10" s="58"/>
    </x:row>
    <x:row r="11" ht="20" customHeight="1">
      <x:c r="A11" s="60" t="str">
        <x:v>Metric</x:v>
      </x:c>
      <x:c r="B11" s="59" t="str">
        <x:v>Y1</x:v>
      </x:c>
      <x:c r="C11" s="59" t="str">
        <x:v>Y2</x:v>
      </x:c>
      <x:c r="D11" s="59" t="str">
        <x:v>Y3</x:v>
      </x:c>
      <x:c r="E11" s="59" t="str">
        <x:v>Y4</x:v>
      </x:c>
      <x:c r="F11" s="59" t="str">
        <x:v>Y5</x:v>
      </x:c>
      <x:c r="G11" s="62" t="str">
        <x:v>Notes</x:v>
      </x:c>
      <x:c r="H11" s="63"/>
    </x:row>
    <x:row r="12" ht="20" customHeight="1">
      <x:c r="A12" s="29" t="str">
        <x:v>Revenue</x:v>
      </x:c>
      <x:c r="B12" s="67" t="n">
        <x:f>'Inputs'!$B$10*(1+'Inputs'!$B$11)</x:f>
        <x:v>535</x:v>
      </x:c>
      <x:c r="C12" s="67" t="n">
        <x:f>B12*(1+'Inputs'!$B$11)</x:f>
        <x:v>572.45</x:v>
      </x:c>
      <x:c r="D12" s="67" t="n">
        <x:f>C12*(1+'Inputs'!$B$11)</x:f>
        <x:v>612.5215000000001</x:v>
      </x:c>
      <x:c r="E12" s="67" t="n">
        <x:f>D12*(1+'Inputs'!$B$11)</x:f>
        <x:v>655.3980050000001</x:v>
      </x:c>
      <x:c r="F12" s="67" t="n">
        <x:f>E12*(1+'Inputs'!$B$11)</x:f>
        <x:v>701.2758653500002</x:v>
      </x:c>
      <x:c r="G12" s="37" t="str"/>
      <x:c r="H12" s="38"/>
    </x:row>
    <x:row r="13" ht="20" customHeight="1">
      <x:c r="A13" s="11" t="str">
        <x:v>EBITDA</x:v>
      </x:c>
      <x:c r="B13" s="71" t="n">
        <x:f>B12*'Inputs'!$B$12</x:f>
        <x:v>117.7</x:v>
      </x:c>
      <x:c r="C13" s="71" t="n">
        <x:f>C12*'Inputs'!$B$12</x:f>
        <x:v>125.93900000000001</x:v>
      </x:c>
      <x:c r="D13" s="71" t="n">
        <x:f>D12*'Inputs'!$B$12</x:f>
        <x:v>134.75473000000002</x:v>
      </x:c>
      <x:c r="E13" s="71" t="n">
        <x:f>E12*'Inputs'!$B$12</x:f>
        <x:v>144.18756110000004</x:v>
      </x:c>
      <x:c r="F13" s="71" t="n">
        <x:f>F12*'Inputs'!$B$12</x:f>
        <x:v>154.28069037700004</x:v>
      </x:c>
      <x:c r="G13" s="75" t="str"/>
      <x:c r="H13" s="76"/>
    </x:row>
    <x:row r="14" ht="20" customHeight="1">
      <x:c r="A14" s="29" t="str">
        <x:v>D&amp;A</x:v>
      </x:c>
      <x:c r="B14" s="67" t="n">
        <x:f>-B12*'Inputs'!$B$16</x:f>
        <x:v>-16.05</x:v>
      </x:c>
      <x:c r="C14" s="67" t="n">
        <x:f>-C12*'Inputs'!$B$16</x:f>
        <x:v>-17.1735</x:v>
      </x:c>
      <x:c r="D14" s="67" t="n">
        <x:f>-D12*'Inputs'!$B$16</x:f>
        <x:v>-18.375645000000002</x:v>
      </x:c>
      <x:c r="E14" s="67" t="n">
        <x:f>-E12*'Inputs'!$B$16</x:f>
        <x:v>-19.661940150000003</x:v>
      </x:c>
      <x:c r="F14" s="67" t="n">
        <x:f>-F12*'Inputs'!$B$16</x:f>
        <x:v>-21.038275960500005</x:v>
      </x:c>
      <x:c r="G14" s="37" t="str"/>
      <x:c r="H14" s="38"/>
    </x:row>
    <x:row r="15" ht="20" customHeight="1">
      <x:c r="A15" s="11" t="str">
        <x:v>EBIT</x:v>
      </x:c>
      <x:c r="B15" s="80" t="n">
        <x:f>SUM(B13,B14)</x:f>
        <x:v>101.65</x:v>
      </x:c>
      <x:c r="C15" s="80" t="n">
        <x:f>SUM(C13,C14)</x:f>
        <x:v>108.7655</x:v>
      </x:c>
      <x:c r="D15" s="80" t="n">
        <x:f>SUM(D13,D14)</x:f>
        <x:v>116.37908500000002</x:v>
      </x:c>
      <x:c r="E15" s="80" t="n">
        <x:f>SUM(E13,E14)</x:f>
        <x:v>124.52562095000003</x:v>
      </x:c>
      <x:c r="F15" s="80" t="n">
        <x:f>SUM(F13,F14)</x:f>
        <x:v>133.24241441650003</x:v>
      </x:c>
      <x:c r="G15" s="75" t="str"/>
      <x:c r="H15" s="76"/>
    </x:row>
    <x:row r="16" ht="20" customHeight="1">
      <x:c r="A16" s="29" t="str">
        <x:v>Cash tax</x:v>
      </x:c>
      <x:c r="B16" s="67" t="n">
        <x:f>-MAX(0,B15*'Inputs'!$B$13)</x:f>
        <x:v>-20.330000000000002</x:v>
      </x:c>
      <x:c r="C16" s="67" t="n">
        <x:f>-MAX(0,C15*'Inputs'!$B$13)</x:f>
        <x:v>-21.753100000000003</x:v>
      </x:c>
      <x:c r="D16" s="67" t="n">
        <x:f>-MAX(0,D15*'Inputs'!$B$13)</x:f>
        <x:v>-23.275817000000004</x:v>
      </x:c>
      <x:c r="E16" s="67" t="n">
        <x:f>-MAX(0,E15*'Inputs'!$B$13)</x:f>
        <x:v>-24.90512419000001</x:v>
      </x:c>
      <x:c r="F16" s="67" t="n">
        <x:f>-MAX(0,F15*'Inputs'!$B$13)</x:f>
        <x:v>-26.648482883300005</x:v>
      </x:c>
      <x:c r="G16" s="37" t="str"/>
      <x:c r="H16" s="38"/>
    </x:row>
    <x:row r="17" ht="20" customHeight="1">
      <x:c r="A17" s="11" t="str">
        <x:v>NOPAT</x:v>
      </x:c>
      <x:c r="B17" s="80" t="n">
        <x:f>SUM(B15,B16)</x:f>
        <x:v>81.32000000000001</x:v>
      </x:c>
      <x:c r="C17" s="80" t="n">
        <x:f>SUM(C15,C16)</x:f>
        <x:v>87.0124</x:v>
      </x:c>
      <x:c r="D17" s="80" t="n">
        <x:f>SUM(D15,D16)</x:f>
        <x:v>93.10326800000001</x:v>
      </x:c>
      <x:c r="E17" s="80" t="n">
        <x:f>SUM(E15,E16)</x:f>
        <x:v>99.62049676000002</x:v>
      </x:c>
      <x:c r="F17" s="80" t="n">
        <x:f>SUM(F15,F16)</x:f>
        <x:v>106.59393153320002</x:v>
      </x:c>
      <x:c r="G17" s="75" t="str"/>
      <x:c r="H17" s="76"/>
    </x:row>
    <x:row r="18" ht="20" customHeight="1">
      <x:c r="A18" s="29" t="str">
        <x:v>D&amp;A add-back</x:v>
      </x:c>
      <x:c r="B18" s="84" t="n">
        <x:f>-B14</x:f>
        <x:v>16.05</x:v>
      </x:c>
      <x:c r="C18" s="84" t="n">
        <x:f>-C14</x:f>
        <x:v>17.1735</x:v>
      </x:c>
      <x:c r="D18" s="84" t="n">
        <x:f>-D14</x:f>
        <x:v>18.375645000000002</x:v>
      </x:c>
      <x:c r="E18" s="84" t="n">
        <x:f>-E14</x:f>
        <x:v>19.661940150000003</x:v>
      </x:c>
      <x:c r="F18" s="84" t="n">
        <x:f>-F14</x:f>
        <x:v>21.038275960500005</x:v>
      </x:c>
      <x:c r="G18" s="37" t="str"/>
      <x:c r="H18" s="38"/>
    </x:row>
    <x:row r="19" ht="20" customHeight="1">
      <x:c r="A19" s="29" t="str">
        <x:v>Capex</x:v>
      </x:c>
      <x:c r="B19" s="67" t="n">
        <x:f>-B12*'Inputs'!$B$17</x:f>
        <x:v>-26.75</x:v>
      </x:c>
      <x:c r="C19" s="67" t="n">
        <x:f>-C12*'Inputs'!$B$17</x:f>
        <x:v>-28.622500000000002</x:v>
      </x:c>
      <x:c r="D19" s="67" t="n">
        <x:f>-D12*'Inputs'!$B$17</x:f>
        <x:v>-30.626075000000004</x:v>
      </x:c>
      <x:c r="E19" s="67" t="n">
        <x:f>-E12*'Inputs'!$B$17</x:f>
        <x:v>-32.769900250000006</x:v>
      </x:c>
      <x:c r="F19" s="67" t="n">
        <x:f>-F12*'Inputs'!$B$17</x:f>
        <x:v>-35.06379326750001</x:v>
      </x:c>
      <x:c r="G19" s="37" t="str"/>
      <x:c r="H19" s="38"/>
    </x:row>
    <x:row r="20" ht="20" customHeight="1">
      <x:c r="A20" s="29" t="str">
        <x:v>Change in NWC</x:v>
      </x:c>
      <x:c r="B20" s="67" t="n">
        <x:f>-(B12-'Inputs'!$B$10)*'Inputs'!$B$18</x:f>
        <x:v>-3.5</x:v>
      </x:c>
      <x:c r="C20" s="67" t="n">
        <x:f>-(C12-B12)*'Inputs'!$B$18</x:f>
        <x:v>-3.7450000000000045</x:v>
      </x:c>
      <x:c r="D20" s="67" t="n">
        <x:f>-(D12-C12)*'Inputs'!$B$18</x:f>
        <x:v>-4.007150000000002</x:v>
      </x:c>
      <x:c r="E20" s="67" t="n">
        <x:f>-(E12-D12)*'Inputs'!$B$18</x:f>
        <x:v>-4.287650500000007</x:v>
      </x:c>
      <x:c r="F20" s="67" t="n">
        <x:f>-(F12-E12)*'Inputs'!$B$18</x:f>
        <x:v>-4.58778603500001</x:v>
      </x:c>
      <x:c r="G20" s="37" t="str"/>
      <x:c r="H20" s="38"/>
    </x:row>
    <x:row r="21" ht="20" customHeight="1">
      <x:c r="A21" s="87" t="str">
        <x:v>Free cash flow</x:v>
      </x:c>
      <x:c r="B21" s="86" t="n">
        <x:f>SUM(B17,B18,B19,B20)</x:f>
        <x:v>67.12</x:v>
      </x:c>
      <x:c r="C21" s="86" t="n">
        <x:f>SUM(C17,C18,C19,C20)</x:f>
        <x:v>71.8184</x:v>
      </x:c>
      <x:c r="D21" s="86" t="n">
        <x:f>SUM(D17,D18,D19,D20)</x:f>
        <x:v>76.84568800000002</x:v>
      </x:c>
      <x:c r="E21" s="86" t="n">
        <x:f>SUM(E17,E18,E19,E20)</x:f>
        <x:v>82.22488616000001</x:v>
      </x:c>
      <x:c r="F21" s="86" t="n">
        <x:f>SUM(F17,F18,F19,F20)</x:f>
        <x:v>87.98062819120001</x:v>
      </x:c>
      <x:c r="G21" s="91" t="str"/>
      <x:c r="H21" s="92"/>
    </x:row>
    <x:row r="22" ht="20" customHeight="1">
      <x:c r="A22" s="29" t="str">
        <x:v>Discount factor</x:v>
      </x:c>
      <x:c r="B22" s="95" t="n">
        <x:f>1/(1+'Inputs'!$B$21)^1</x:f>
        <x:v>0.9049773755656109</x:v>
      </x:c>
      <x:c r="C22" s="95" t="n">
        <x:f>1/(1+'Inputs'!$B$21)^2</x:f>
        <x:v>0.8189840502856207</x:v>
      </x:c>
      <x:c r="D22" s="95" t="n">
        <x:f>1/(1+'Inputs'!$B$21)^3</x:f>
        <x:v>0.7411620364575753</x:v>
      </x:c>
      <x:c r="E22" s="95" t="n">
        <x:f>1/(1+'Inputs'!$B$21)^4</x:f>
        <x:v>0.6707348746222401</x:v>
      </x:c>
      <x:c r="F22" s="95" t="n">
        <x:f>1/(1+'Inputs'!$B$21)^5</x:f>
        <x:v>0.6069998865359639</x:v>
      </x:c>
      <x:c r="G22" s="37" t="str"/>
      <x:c r="H22" s="38"/>
    </x:row>
    <x:row r="23" ht="20" customHeight="1">
      <x:c r="A23" s="11" t="str">
        <x:v>Present value of FCF</x:v>
      </x:c>
      <x:c r="B23" s="80" t="n">
        <x:f>B21*B22</x:f>
        <x:v>60.742081447963805</x:v>
      </x:c>
      <x:c r="C23" s="80" t="n">
        <x:f>C21*C22</x:f>
        <x:v>58.81812411703282</x:v>
      </x:c>
      <x:c r="D23" s="80" t="n">
        <x:f>D21*D22</x:f>
        <x:v>56.95510661106347</x:v>
      </x:c>
      <x:c r="E23" s="80" t="n">
        <x:f>E21*E22</x:f>
        <x:v>55.15109870935557</x:v>
      </x:c>
      <x:c r="F23" s="80" t="n">
        <x:f>F21*F22</x:f>
        <x:v>53.404231329421236</x:v>
      </x:c>
      <x:c r="G23" s="75" t="str"/>
      <x:c r="H23" s="76"/>
    </x:row>
    <x:row r="24" ht="20" customHeight="1">
      <x:c r="A24" s="3"/>
      <x:c r="B24" s="3"/>
      <x:c r="C24" s="3"/>
      <x:c r="D24" s="3"/>
      <x:c r="E24" s="3"/>
      <x:c r="F24" s="3"/>
      <x:c r="G24" s="3"/>
      <x:c r="H24" s="3"/>
    </x:row>
    <x:row r="25" ht="20" customHeight="1">
      <x:c r="A25" s="58" t="str">
        <x:v>VALUATION BRIDGE</x:v>
      </x:c>
      <x:c r="B25" s="58"/>
      <x:c r="C25" s="58"/>
      <x:c r="D25" s="58"/>
      <x:c r="E25" s="58"/>
      <x:c r="F25" s="58"/>
      <x:c r="G25" s="58"/>
      <x:c r="H25" s="58"/>
    </x:row>
    <x:row r="26" ht="20" customHeight="1">
      <x:c r="A26" s="28" t="str">
        <x:v>Metric</x:v>
      </x:c>
      <x:c r="B26" s="28" t="str">
        <x:v>Value</x:v>
      </x:c>
      <x:c r="C26" s="28" t="str">
        <x:v>Unit</x:v>
      </x:c>
      <x:c r="D26" s="96" t="str">
        <x:v>Notes</x:v>
      </x:c>
      <x:c r="E26" s="97"/>
      <x:c r="F26" s="97"/>
      <x:c r="G26" s="97"/>
      <x:c r="H26" s="97"/>
    </x:row>
    <x:row r="27" ht="20" customHeight="1">
      <x:c r="A27" s="29" t="str">
        <x:v>Terminal-year FCF</x:v>
      </x:c>
      <x:c r="B27" s="67" t="n">
        <x:f>F21*(1+'Inputs'!$B$22)</x:f>
        <x:v>90.18014389598001</x:v>
      </x:c>
      <x:c r="C27" s="29" t="str">
        <x:v>LCY m</x:v>
      </x:c>
      <x:c r="D27" s="37" t="str">
        <x:v>Year five FCF grown once</x:v>
      </x:c>
      <x:c r="E27" s="38"/>
      <x:c r="F27" s="38"/>
      <x:c r="G27" s="38"/>
      <x:c r="H27" s="38"/>
    </x:row>
    <x:row r="28" ht="20" customHeight="1">
      <x:c r="A28" s="29" t="str">
        <x:v>Terminal value</x:v>
      </x:c>
      <x:c r="B28" s="67" t="n">
        <x:f>IF(OR('Inputs'!$B$21&lt;='Inputs'!$B$22,'Inputs'!$B$21&lt;=-1),0,B27/('Inputs'!$B$21-'Inputs'!$B$22))</x:f>
        <x:v>1127.2517986997502</x:v>
      </x:c>
      <x:c r="C28" s="29" t="str">
        <x:v>LCY m</x:v>
      </x:c>
      <x:c r="D28" s="37" t="str">
        <x:v>Gordon growth method</x:v>
      </x:c>
      <x:c r="E28" s="38"/>
      <x:c r="F28" s="38"/>
      <x:c r="G28" s="38"/>
      <x:c r="H28" s="38"/>
    </x:row>
    <x:row r="29" ht="20" customHeight="1">
      <x:c r="A29" s="29" t="str">
        <x:v>PV of terminal value</x:v>
      </x:c>
      <x:c r="B29" s="84" t="n">
        <x:f>B28*F22</x:f>
        <x:v>684.2417139082096</x:v>
      </x:c>
      <x:c r="C29" s="29" t="str">
        <x:v>LCY m</x:v>
      </x:c>
      <x:c r="D29" s="37" t="str">
        <x:v>Terminal value discounted to today</x:v>
      </x:c>
      <x:c r="E29" s="38"/>
      <x:c r="F29" s="38"/>
      <x:c r="G29" s="38"/>
      <x:c r="H29" s="38"/>
    </x:row>
    <x:row r="30" ht="20" customHeight="1">
      <x:c r="A30" s="11" t="str">
        <x:v>Enterprise value</x:v>
      </x:c>
      <x:c r="B30" s="80" t="n">
        <x:f>SUM(B23:F23)+B29</x:f>
        <x:v>969.3123561230465</x:v>
      </x:c>
      <x:c r="C30" s="11" t="str">
        <x:v>LCY m</x:v>
      </x:c>
      <x:c r="D30" s="75" t="str">
        <x:v>PV of forecast FCF plus terminal value</x:v>
      </x:c>
      <x:c r="E30" s="76"/>
      <x:c r="F30" s="76"/>
      <x:c r="G30" s="76"/>
      <x:c r="H30" s="76"/>
    </x:row>
    <x:row r="31" ht="20" customHeight="1">
      <x:c r="A31" s="11" t="str">
        <x:v>Equity value</x:v>
      </x:c>
      <x:c r="B31" s="71" t="n">
        <x:f>B30-'Inputs'!$B$23</x:f>
        <x:v>844.3123561230465</x:v>
      </x:c>
      <x:c r="C31" s="11" t="str">
        <x:v>LCY m</x:v>
      </x:c>
      <x:c r="D31" s="75" t="str">
        <x:v>Enterprise value less net debt</x:v>
      </x:c>
      <x:c r="E31" s="76"/>
      <x:c r="F31" s="76"/>
      <x:c r="G31" s="76"/>
      <x:c r="H31" s="76"/>
    </x:row>
    <x:row r="32" ht="20" customHeight="1">
      <x:c r="A32" s="11" t="str">
        <x:v>Value per share</x:v>
      </x:c>
      <x:c r="B32" s="106" t="n">
        <x:f>IF('Inputs'!$B$24&lt;=0,0,B31/'Inputs'!$B$24)</x:f>
        <x:v>11.25749808164062</x:v>
      </x:c>
      <x:c r="C32" s="11" t="str">
        <x:v>LCY</x:v>
      </x:c>
      <x:c r="D32" s="75" t="str">
        <x:v>Equity value divided by shares</x:v>
      </x:c>
      <x:c r="E32" s="76"/>
      <x:c r="F32" s="76"/>
      <x:c r="G32" s="76"/>
      <x:c r="H32" s="76"/>
    </x:row>
    <x:row r="33" ht="20" customHeight="1">
      <x:c r="A33" s="3"/>
      <x:c r="B33" s="3"/>
      <x:c r="C33" s="3"/>
      <x:c r="D33" s="3"/>
      <x:c r="E33" s="3"/>
      <x:c r="F33" s="3"/>
      <x:c r="G33" s="3"/>
      <x:c r="H33" s="3"/>
    </x:row>
    <x:row r="34" ht="20" customHeight="1">
      <x:c r="A34" s="150" t="str">
        <x:f>IF(B31&gt;=0,"POSITIVE EQUITY VALUE · Review terminal-value share","NEGATIVE EQUITY VALUE · Review assumptions and net debt")</x:f>
        <x:v>POSITIVE EQUITY VALUE · Review terminal-value share</x:v>
      </x:c>
      <x:c r="B34" s="151"/>
      <x:c r="C34" s="151"/>
      <x:c r="D34" s="151"/>
      <x:c r="E34" s="151"/>
      <x:c r="F34" s="151"/>
      <x:c r="G34" s="151"/>
      <x:c r="H34" s="152"/>
    </x:row>
    <x:row r="35" ht="20" customHeight="1">
      <x:c r="A35" s="153"/>
      <x:c r="B35" s="154"/>
      <x:c r="C35" s="154"/>
      <x:c r="D35" s="154"/>
      <x:c r="E35" s="154"/>
      <x:c r="F35" s="154"/>
      <x:c r="G35" s="154"/>
      <x:c r="H35" s="155"/>
    </x:row>
    <x:row r="36" ht="20" customHeight="1">
      <x:c r="A36" s="156"/>
      <x:c r="B36" s="157"/>
      <x:c r="C36" s="157"/>
      <x:c r="D36" s="157"/>
      <x:c r="E36" s="157"/>
      <x:c r="F36" s="157"/>
      <x:c r="G36" s="157"/>
      <x:c r="H36" s="158"/>
    </x:row>
    <x:row r="37" ht="20" customHeight="1">
      <x:c r="A37" s="3"/>
      <x:c r="B37" s="3"/>
      <x:c r="C37" s="3"/>
      <x:c r="D37" s="3"/>
      <x:c r="E37" s="3"/>
      <x:c r="F37" s="3"/>
      <x:c r="G37" s="3"/>
      <x:c r="H37" s="3"/>
    </x:row>
    <x:row r="38" ht="20" customHeight="1">
      <x:c r="A38" s="57" t="str">
        <x:v>DCF Valuation · v1.4.0</x:v>
      </x:c>
      <x:c r="B38" s="57"/>
      <x:c r="C38" s="57"/>
      <x:c r="D38" s="57"/>
      <x:c r="E38" s="57"/>
      <x:c r="F38" s="57"/>
      <x:c r="G38" s="57"/>
      <x:c r="H38" s="57"/>
    </x:row>
  </x:sheetData>
  <x:mergeCells>
    <x:mergeCell ref="A1:H2"/>
    <x:mergeCell ref="A3:H3"/>
    <x:mergeCell ref="A10:H10"/>
    <x:mergeCell ref="G11:H11"/>
    <x:mergeCell ref="G12:H12"/>
    <x:mergeCell ref="G13:H13"/>
    <x:mergeCell ref="G14:H14"/>
    <x:mergeCell ref="G15:H15"/>
    <x:mergeCell ref="G16:H16"/>
    <x:mergeCell ref="G17:H17"/>
    <x:mergeCell ref="G18:H18"/>
    <x:mergeCell ref="G19:H19"/>
    <x:mergeCell ref="G20:H20"/>
    <x:mergeCell ref="G21:H21"/>
    <x:mergeCell ref="G22:H22"/>
    <x:mergeCell ref="G23:H23"/>
    <x:mergeCell ref="A25:H25"/>
    <x:mergeCell ref="D26:H26"/>
    <x:mergeCell ref="D27:H27"/>
    <x:mergeCell ref="D28:H28"/>
    <x:mergeCell ref="D29:H29"/>
    <x:mergeCell ref="D30:H30"/>
    <x:mergeCell ref="D31:H31"/>
    <x:mergeCell ref="D32:H32"/>
    <x:mergeCell ref="A5:B5"/>
    <x:mergeCell ref="A6:B8"/>
    <x:mergeCell ref="C5:D5"/>
    <x:mergeCell ref="C6:D8"/>
    <x:mergeCell ref="E5:F5"/>
    <x:mergeCell ref="E6:F8"/>
    <x:mergeCell ref="G5:H5"/>
    <x:mergeCell ref="G6:H8"/>
    <x:mergeCell ref="A34:H36"/>
    <x:mergeCell ref="A38:H3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7" customHeight="1">
      <x:c r="A1" s="6" t="str">
        <x:v>RESULTS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DCF Valuation · Decision view linked to the detailed Model sheet</x:v>
      </x:c>
      <x:c r="B3" s="9"/>
      <x:c r="C3" s="9"/>
      <x:c r="D3" s="9"/>
      <x:c r="E3" s="9"/>
      <x:c r="F3" s="9"/>
      <x:c r="G3" s="9"/>
      <x:c r="H3" s="9"/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>
      <x:c r="A5" s="109" t="str">
        <x:v>ENTERPRISE VALUE</x:v>
      </x:c>
      <x:c r="B5" s="110"/>
      <x:c r="C5" s="109" t="str">
        <x:v>EQUITY VALUE</x:v>
      </x:c>
      <x:c r="D5" s="110"/>
      <x:c r="E5" s="109" t="str">
        <x:v>VALUE / SHARE</x:v>
      </x:c>
      <x:c r="F5" s="110"/>
      <x:c r="G5" s="109" t="str">
        <x:v>YEAR 5 FCF</x:v>
      </x:c>
      <x:c r="H5" s="110"/>
    </x:row>
    <x:row r="6" ht="20" customHeight="1">
      <x:c r="A6" s="124" t="n">
        <x:f>'Model'!A6</x:f>
        <x:v>969.3123561230465</x:v>
      </x:c>
      <x:c r="B6" s="125"/>
      <x:c r="C6" s="124" t="n">
        <x:f>'Model'!C6</x:f>
        <x:v>844.3123561230465</x:v>
      </x:c>
      <x:c r="D6" s="125"/>
      <x:c r="E6" s="136" t="n">
        <x:f>'Model'!E6</x:f>
        <x:v>11.25749808164062</x:v>
      </x:c>
      <x:c r="F6" s="137"/>
      <x:c r="G6" s="124" t="n">
        <x:f>'Model'!G6</x:f>
        <x:v>87.98062819120001</x:v>
      </x:c>
      <x:c r="H6" s="125"/>
    </x:row>
    <x:row r="7" ht="20" customHeight="1">
      <x:c r="A7" s="126"/>
      <x:c r="B7" s="127"/>
      <x:c r="C7" s="126"/>
      <x:c r="D7" s="127"/>
      <x:c r="E7" s="138"/>
      <x:c r="F7" s="139"/>
      <x:c r="G7" s="126"/>
      <x:c r="H7" s="127"/>
    </x:row>
    <x:row r="8" ht="20" customHeight="1">
      <x:c r="A8" s="128"/>
      <x:c r="B8" s="129"/>
      <x:c r="C8" s="128"/>
      <x:c r="D8" s="129"/>
      <x:c r="E8" s="140"/>
      <x:c r="F8" s="141"/>
      <x:c r="G8" s="128"/>
      <x:c r="H8" s="129"/>
    </x:row>
    <x:row r="9" ht="20" customHeight="1">
      <x:c r="A9" s="3"/>
      <x:c r="B9" s="3"/>
      <x:c r="C9" s="3"/>
      <x:c r="D9" s="3"/>
      <x:c r="E9" s="3"/>
      <x:c r="F9" s="3"/>
      <x:c r="G9" s="3"/>
      <x:c r="H9" s="3"/>
    </x:row>
    <x:row r="10" ht="20" customHeight="1">
      <x:c r="A10" s="58" t="str">
        <x:v>DECISION VIEW</x:v>
      </x:c>
      <x:c r="B10" s="58"/>
      <x:c r="C10" s="58"/>
      <x:c r="D10" s="58"/>
      <x:c r="E10" s="58"/>
      <x:c r="F10" s="58"/>
      <x:c r="G10" s="58"/>
      <x:c r="H10" s="58"/>
    </x:row>
    <x:row r="11" ht="34" customHeight="1">
      <x:c r="A11" s="159" t="str">
        <x:v>CALCULATION STATUS</x:v>
      </x:c>
      <x:c r="B11" s="159"/>
      <x:c r="C11" s="163" t="str">
        <x:f>'Checks'!B4</x:f>
        <x:v>PASS</x:v>
      </x:c>
      <x:c r="D11" s="164"/>
      <x:c r="E11" s="159" t="str">
        <x:v>VALUATION OUTCOME</x:v>
      </x:c>
      <x:c r="F11" s="159"/>
      <x:c r="G11" s="170" t="str">
        <x:f>'Model'!A34</x:f>
        <x:v>POSITIVE EQUITY VALUE · Review terminal-value share</x:v>
      </x:c>
      <x:c r="H11" s="171"/>
    </x:row>
    <x:row r="12" ht="20" customHeight="1">
      <x:c r="A12" s="3"/>
      <x:c r="B12" s="3"/>
      <x:c r="C12" s="3"/>
      <x:c r="D12" s="3"/>
      <x:c r="E12" s="3"/>
      <x:c r="F12" s="3"/>
      <x:c r="G12" s="3"/>
      <x:c r="H12" s="3"/>
    </x:row>
    <x:row r="13" ht="20" customHeight="1">
      <x:c r="A13" s="58" t="str">
        <x:v>WHAT IT ANSWERS</x:v>
      </x:c>
      <x:c r="B13" s="58"/>
      <x:c r="C13" s="58"/>
      <x:c r="D13" s="58"/>
      <x:c r="E13" s="58"/>
      <x:c r="F13" s="58"/>
      <x:c r="G13" s="58"/>
      <x:c r="H13" s="58"/>
    </x:row>
    <x:row r="14" ht="20" customHeight="1">
      <x:c r="A14" s="179" t="str">
        <x:v>What are the business and equity worth under one driver-based operating case?</x:v>
      </x:c>
      <x:c r="B14" s="180"/>
      <x:c r="C14" s="180"/>
      <x:c r="D14" s="180"/>
      <x:c r="E14" s="180"/>
      <x:c r="F14" s="180"/>
      <x:c r="G14" s="180"/>
      <x:c r="H14" s="181"/>
    </x:row>
    <x:row r="15" ht="20" customHeight="1">
      <x:c r="A15" s="182"/>
      <x:c r="B15" s="183"/>
      <x:c r="C15" s="183"/>
      <x:c r="D15" s="183"/>
      <x:c r="E15" s="183"/>
      <x:c r="F15" s="183"/>
      <x:c r="G15" s="183"/>
      <x:c r="H15" s="184"/>
    </x:row>
    <x:row r="16" ht="20" customHeight="1">
      <x:c r="A16" s="3"/>
      <x:c r="B16" s="3"/>
      <x:c r="C16" s="3"/>
      <x:c r="D16" s="3"/>
      <x:c r="E16" s="3"/>
      <x:c r="F16" s="3"/>
      <x:c r="G16" s="3"/>
      <x:c r="H16" s="3"/>
    </x:row>
    <x:row r="17" ht="20" customHeight="1">
      <x:c r="A17" s="58" t="str">
        <x:v>MODEL DEPTH</x:v>
      </x:c>
      <x:c r="B17" s="58"/>
      <x:c r="C17" s="58"/>
      <x:c r="D17" s="58"/>
      <x:c r="E17" s="58"/>
      <x:c r="F17" s="58"/>
      <x:c r="G17" s="58"/>
      <x:c r="H17" s="58"/>
    </x:row>
    <x:row r="18" ht="20" customHeight="1">
      <x:c r="A18" s="61" t="str">
        <x:v>Forecast</x:v>
      </x:c>
      <x:c r="B18" s="61"/>
      <x:c r="C18" s="172" t="str">
        <x:v>5 years</x:v>
      </x:c>
      <x:c r="D18" s="172"/>
      <x:c r="E18" s="172"/>
      <x:c r="F18" s="172"/>
      <x:c r="G18" s="172"/>
      <x:c r="H18" s="172"/>
    </x:row>
    <x:row r="19" ht="20" customHeight="1">
      <x:c r="A19" s="61" t="str">
        <x:v>Editable inputs</x:v>
      </x:c>
      <x:c r="B19" s="61"/>
      <x:c r="C19" s="172" t="str">
        <x:v>11</x:v>
      </x:c>
      <x:c r="D19" s="172"/>
      <x:c r="E19" s="172"/>
      <x:c r="F19" s="172"/>
      <x:c r="G19" s="172"/>
      <x:c r="H19" s="172"/>
    </x:row>
    <x:row r="20" ht="20" customHeight="1">
      <x:c r="A20" s="61" t="str">
        <x:v>Calculation detail</x:v>
      </x:c>
      <x:c r="B20" s="61"/>
      <x:c r="C20" s="172" t="str">
        <x:v>Visible formulas, schedules, roll-forwards, and bridges</x:v>
      </x:c>
      <x:c r="D20" s="172"/>
      <x:c r="E20" s="172"/>
      <x:c r="F20" s="172"/>
      <x:c r="G20" s="172"/>
      <x:c r="H20" s="172"/>
    </x:row>
    <x:row r="21" ht="20" customHeight="1">
      <x:c r="A21" s="61" t="str">
        <x:v>Workbook flow</x:v>
      </x:c>
      <x:c r="B21" s="61"/>
      <x:c r="C21" s="172" t="str">
        <x:v>Start → Inputs → Model → Results → Checks</x:v>
      </x:c>
      <x:c r="D21" s="172"/>
      <x:c r="E21" s="172"/>
      <x:c r="F21" s="172"/>
      <x:c r="G21" s="172"/>
      <x:c r="H21" s="172"/>
    </x:row>
    <x:row r="22" ht="20" customHeight="1">
      <x:c r="A22" s="3"/>
      <x:c r="B22" s="3"/>
      <x:c r="C22" s="3"/>
      <x:c r="D22" s="3"/>
      <x:c r="E22" s="3"/>
      <x:c r="F22" s="3"/>
      <x:c r="G22" s="3"/>
      <x:c r="H22" s="3"/>
    </x:row>
    <x:row r="23" ht="20" customHeight="1">
      <x:c r="A23" s="58" t="str">
        <x:v>SCOPE</x:v>
      </x:c>
      <x:c r="B23" s="58"/>
      <x:c r="C23" s="58"/>
      <x:c r="D23" s="58"/>
      <x:c r="E23" s="58"/>
      <x:c r="F23" s="58"/>
      <x:c r="G23" s="58"/>
      <x:c r="H23" s="58"/>
    </x:row>
    <x:row r="24" ht="20" customHeight="1">
      <x:c r="A24" s="193" t="str">
        <x:v>Included: Five-year driver-based free-cash-flow build · Terminal-value and enterprise-to-equity bridges · Value per share and ten calculation controls</x:v>
      </x:c>
      <x:c r="B24" s="194"/>
      <x:c r="C24" s="194"/>
      <x:c r="D24" s="194"/>
      <x:c r="E24" s="194"/>
      <x:c r="F24" s="194"/>
      <x:c r="G24" s="194"/>
      <x:c r="H24" s="195"/>
    </x:row>
    <x:row r="25" ht="20" customHeight="1">
      <x:c r="A25" s="196"/>
      <x:c r="B25" s="197"/>
      <x:c r="C25" s="197"/>
      <x:c r="D25" s="197"/>
      <x:c r="E25" s="197"/>
      <x:c r="F25" s="197"/>
      <x:c r="G25" s="197"/>
      <x:c r="H25" s="198"/>
    </x:row>
    <x:row r="26" ht="20" customHeight="1">
      <x:c r="A26" s="199"/>
      <x:c r="B26" s="200"/>
      <x:c r="C26" s="200"/>
      <x:c r="D26" s="200"/>
      <x:c r="E26" s="200"/>
      <x:c r="F26" s="200"/>
      <x:c r="G26" s="200"/>
      <x:c r="H26" s="201"/>
    </x:row>
    <x:row r="27" ht="20" customHeight="1">
      <x:c r="A27" s="51" t="str">
        <x:v>Outside this model: Detailed tax schedules, leases, pensions, dilution, reverse DCF, and valuation advice.</x:v>
      </x:c>
      <x:c r="B27" s="52"/>
      <x:c r="C27" s="52"/>
      <x:c r="D27" s="52"/>
      <x:c r="E27" s="52"/>
      <x:c r="F27" s="52"/>
      <x:c r="G27" s="52"/>
      <x:c r="H27" s="53"/>
    </x:row>
    <x:row r="28" ht="20" customHeight="1">
      <x:c r="A28" s="54"/>
      <x:c r="B28" s="55"/>
      <x:c r="C28" s="55"/>
      <x:c r="D28" s="55"/>
      <x:c r="E28" s="55"/>
      <x:c r="F28" s="55"/>
      <x:c r="G28" s="55"/>
      <x:c r="H28" s="56"/>
    </x:row>
    <x:row r="29" ht="20" customHeight="1">
      <x:c r="A29" s="205" t="str">
        <x:v>Five visible tabs · No hidden calculations · Calculation status and business outcome are reported separately.</x:v>
      </x:c>
      <x:c r="B29" s="206"/>
      <x:c r="C29" s="206"/>
      <x:c r="D29" s="206"/>
      <x:c r="E29" s="206"/>
      <x:c r="F29" s="206"/>
      <x:c r="G29" s="206"/>
      <x:c r="H29" s="207"/>
    </x:row>
    <x:row r="30" ht="20" customHeight="1">
      <x:c r="A30" s="3"/>
      <x:c r="B30" s="3"/>
      <x:c r="C30" s="3"/>
      <x:c r="D30" s="3"/>
      <x:c r="E30" s="3"/>
      <x:c r="F30" s="3"/>
      <x:c r="G30" s="3"/>
      <x:c r="H30" s="3"/>
    </x:row>
    <x:row r="31" ht="20" customHeight="1">
      <x:c r="A31" s="57" t="str">
        <x:v>DCF Valuation · v1.4.0 · Linked summary only · Trace all formulas on Model</x:v>
      </x:c>
      <x:c r="B31" s="57"/>
      <x:c r="C31" s="57"/>
      <x:c r="D31" s="57"/>
      <x:c r="E31" s="57"/>
      <x:c r="F31" s="57"/>
      <x:c r="G31" s="57"/>
      <x:c r="H31" s="57"/>
    </x:row>
  </x:sheetData>
  <x:mergeCells>
    <x:mergeCell ref="A1:H2"/>
    <x:mergeCell ref="A3:H3"/>
    <x:mergeCell ref="A5:B5"/>
    <x:mergeCell ref="A6:B8"/>
    <x:mergeCell ref="C5:D5"/>
    <x:mergeCell ref="C6:D8"/>
    <x:mergeCell ref="E5:F5"/>
    <x:mergeCell ref="E6:F8"/>
    <x:mergeCell ref="G5:H5"/>
    <x:mergeCell ref="G6:H8"/>
    <x:mergeCell ref="A10:H10"/>
    <x:mergeCell ref="A11:B11"/>
    <x:mergeCell ref="C11:D11"/>
    <x:mergeCell ref="E11:F11"/>
    <x:mergeCell ref="G11:H11"/>
    <x:mergeCell ref="A13:H13"/>
    <x:mergeCell ref="A14:H15"/>
    <x:mergeCell ref="A17:H17"/>
    <x:mergeCell ref="A18:B18"/>
    <x:mergeCell ref="C18:H18"/>
    <x:mergeCell ref="A19:B19"/>
    <x:mergeCell ref="C19:H19"/>
    <x:mergeCell ref="A20:B20"/>
    <x:mergeCell ref="C20:H20"/>
    <x:mergeCell ref="A21:B21"/>
    <x:mergeCell ref="C21:H21"/>
    <x:mergeCell ref="A23:H23"/>
    <x:mergeCell ref="A24:H26"/>
    <x:mergeCell ref="A27:H28"/>
    <x:mergeCell ref="A29:H29"/>
    <x:mergeCell ref="A31:H31"/>
  </x:mergeCells>
  <x:conditionalFormatting sqref="C11:D11">
    <x:cfRule type="containsText" dxfId="0" priority="1" operator="containsText" text="FAIL"/>
    <x:cfRule type="containsText" dxfId="1" priority="2" operator="containsText" text="PASS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23" hidden="0" customWidth="1"/>
    <x:col min="8" max="8" width="16" hidden="0" customWidth="1"/>
  </x:cols>
  <x:sheetData>
    <x:row r="1" ht="27" customHeight="1">
      <x:c r="A1" s="6" t="str">
        <x:v>CHECKS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DCF Valuation · Calculation controls only; business outcomes are shown separately</x:v>
      </x:c>
      <x:c r="B3" s="9"/>
      <x:c r="C3" s="9"/>
      <x:c r="D3" s="9"/>
      <x:c r="E3" s="9"/>
      <x:c r="F3" s="9"/>
      <x:c r="G3" s="9"/>
      <x:c r="H3" s="9"/>
    </x:row>
    <x:row r="4" ht="12" customHeight="1">
      <x:c r="A4" s="3"/>
      <x:c r="B4" s="208" t="str">
        <x:f>IF(COUNTIF(F9:F18,"PASS")=10,"PASS","FAIL")</x:f>
        <x:v>PASS</x:v>
      </x:c>
      <x:c r="C4" s="208"/>
      <x:c r="D4" s="208"/>
      <x:c r="E4" s="208"/>
      <x:c r="F4" s="208"/>
      <x:c r="G4" s="208"/>
      <x:c r="H4" s="208"/>
    </x:row>
    <x:row r="5" ht="20" customHeight="1">
      <x:c r="A5" s="57" t="str">
        <x:v>MODEL STATUS</x:v>
      </x:c>
      <x:c r="B5" s="57"/>
      <x:c r="C5" s="163" t="str">
        <x:f>B4</x:f>
        <x:v>PASS</x:v>
      </x:c>
      <x:c r="D5" s="210"/>
      <x:c r="E5" s="210"/>
      <x:c r="F5" s="210"/>
      <x:c r="G5" s="210"/>
      <x:c r="H5" s="164"/>
    </x:row>
    <x:row r="6" ht="20" customHeight="1">
      <x:c r="A6" s="3"/>
      <x:c r="B6" s="3"/>
      <x:c r="C6" s="3"/>
      <x:c r="D6" s="3"/>
      <x:c r="E6" s="3"/>
      <x:c r="F6" s="3"/>
      <x:c r="G6" s="3"/>
      <x:c r="H6" s="3"/>
    </x:row>
    <x:row r="7" ht="20" customHeight="1">
      <x:c r="A7" s="58" t="str">
        <x:v>10 CALCULATION CONTROLS</x:v>
      </x:c>
      <x:c r="B7" s="58"/>
      <x:c r="C7" s="58"/>
      <x:c r="D7" s="58"/>
      <x:c r="E7" s="58"/>
      <x:c r="F7" s="58"/>
      <x:c r="G7" s="58"/>
      <x:c r="H7" s="58"/>
    </x:row>
    <x:row r="8" ht="20" customHeight="1">
      <x:c r="A8" s="28" t="str">
        <x:v>Control</x:v>
      </x:c>
      <x:c r="B8" s="28" t="str">
        <x:v>Actual</x:v>
      </x:c>
      <x:c r="C8" s="28" t="str">
        <x:v>Expected</x:v>
      </x:c>
      <x:c r="D8" s="28" t="str">
        <x:v>Difference</x:v>
      </x:c>
      <x:c r="E8" s="28" t="str">
        <x:v>Tolerance</x:v>
      </x:c>
      <x:c r="F8" s="28" t="str">
        <x:v>Status</x:v>
      </x:c>
      <x:c r="G8" s="28" t="str">
        <x:v>Where to fix</x:v>
      </x:c>
      <x:c r="H8" s="28"/>
    </x:row>
    <x:row r="9" ht="26" customHeight="1">
      <x:c r="A9" s="197" t="str">
        <x:v>All editable inputs are numeric</x:v>
      </x:c>
      <x:c r="B9" s="213" t="n">
        <x:f>ROUND(COUNT('Inputs'!B10,'Inputs'!B11,'Inputs'!B12,'Inputs'!B13,'Inputs'!B16,'Inputs'!B17,'Inputs'!B18,'Inputs'!B21,'Inputs'!B22,'Inputs'!B23,'Inputs'!B24),6)</x:f>
        <x:v>11</x:v>
      </x:c>
      <x:c r="C9" s="213" t="n">
        <x:f>11</x:f>
        <x:v>11</x:v>
      </x:c>
      <x:c r="D9" s="213" t="n">
        <x:f>ROUND(B9-C9,6)</x:f>
        <x:v>0</x:v>
      </x:c>
      <x:c r="E9" s="213" t="n">
        <x:f>0</x:f>
        <x:v>0</x:v>
      </x:c>
      <x:c r="F9" s="214" t="str">
        <x:f>IF(ABS(ROUND(D9,6))&lt;=E9,"PASS","FAIL")</x:f>
        <x:v>PASS</x:v>
      </x:c>
      <x:c r="G9" s="197" t="str">
        <x:v>Complete the blue cells on Inputs</x:v>
      </x:c>
      <x:c r="H9" s="197"/>
    </x:row>
    <x:row r="10" ht="26" customHeight="1">
      <x:c r="A10" s="197" t="str">
        <x:v>Results headline KPIs reconcile to Model</x:v>
      </x:c>
      <x:c r="B10" s="217" t="n">
        <x:f>ROUND(IFERROR(SUM(ABS('Results'!A6-'Model'!A6),ABS('Results'!C6-'Model'!C6),ABS('Results'!E6-'Model'!E6),ABS('Results'!G6-'Model'!G6)),1E+99),6)</x:f>
        <x:v>0</x:v>
      </x:c>
      <x:c r="C10" s="217" t="n">
        <x:f>0</x:f>
        <x:v>0</x:v>
      </x:c>
      <x:c r="D10" s="217" t="n">
        <x:f>ROUND(B10-C10,6)</x:f>
        <x:v>0</x:v>
      </x:c>
      <x:c r="E10" s="217" t="n">
        <x:f>0.0001</x:f>
        <x:v>0.0001</x:v>
      </x:c>
      <x:c r="F10" s="214" t="str">
        <x:f>IF(ABS(ROUND(D10,6))&lt;=E10,"PASS","FAIL")</x:f>
        <x:v>PASS</x:v>
      </x:c>
      <x:c r="G10" s="197" t="str">
        <x:v>Review Results-to-Model links</x:v>
      </x:c>
      <x:c r="H10" s="197"/>
    </x:row>
    <x:row r="11" ht="26" customHeight="1">
      <x:c r="A11" s="197" t="str">
        <x:v>Valuation inputs are valid</x:v>
      </x:c>
      <x:c r="B11" s="217" t="n">
        <x:f>ROUND(IF(AND('Inputs'!$B$10&gt;=0,'Inputs'!$B$11&gt;-1,'Inputs'!$B$11&lt;=1,'Inputs'!$B$12&gt;=0,'Inputs'!$B$12&lt;=1,'Inputs'!$B$16&gt;=0,'Inputs'!$B$16&lt;=1,'Inputs'!$B$17&gt;=0,'Inputs'!$B$17&lt;=1,'Inputs'!$B$18&gt;=0,'Inputs'!$B$18&lt;=1,'Inputs'!$B$13&gt;=0,'Inputs'!$B$13&lt;=1,'Inputs'!$B$21&gt;'Inputs'!$B$22,'Inputs'!$B$21&gt;-1,'Inputs'!$B$24&gt;0),1,0),6)</x:f>
        <x:v>1</x:v>
      </x:c>
      <x:c r="C11" s="217" t="n">
        <x:f>1</x:f>
        <x:v>1</x:v>
      </x:c>
      <x:c r="D11" s="217" t="n">
        <x:f>ROUND(B11-C11,6)</x:f>
        <x:v>0</x:v>
      </x:c>
      <x:c r="E11" s="217" t="n">
        <x:f>0.0001</x:f>
        <x:v>0.0001</x:v>
      </x:c>
      <x:c r="F11" s="214" t="str">
        <x:f>IF(ABS(ROUND(D11,6))&lt;=E11,"PASS","FAIL")</x:f>
        <x:v>PASS</x:v>
      </x:c>
      <x:c r="G11" s="197" t="str">
        <x:v>Inputs: operating and valuation drivers</x:v>
      </x:c>
      <x:c r="H11" s="197"/>
    </x:row>
    <x:row r="12" ht="26" customHeight="1">
      <x:c r="A12" s="197" t="str">
        <x:v>Revenue roll-forward ties</x:v>
      </x:c>
      <x:c r="B12" s="220" t="n">
        <x:f>ROUND(MAX(ABS('Model'!B12-'Inputs'!$B$10*(1+'Inputs'!$B$11)),ABS('Model'!C12-'Model'!B12*(1+'Inputs'!$B$11)),ABS('Model'!D12-'Model'!C12*(1+'Inputs'!$B$11)),ABS('Model'!E12-'Model'!D12*(1+'Inputs'!$B$11)),ABS('Model'!F12-'Model'!E12*(1+'Inputs'!$B$11))),6)</x:f>
        <x:v>0</x:v>
      </x:c>
      <x:c r="C12" s="220" t="n">
        <x:f>0</x:f>
        <x:v>0</x:v>
      </x:c>
      <x:c r="D12" s="220" t="n">
        <x:f>ROUND(B12-C12,6)</x:f>
        <x:v>0</x:v>
      </x:c>
      <x:c r="E12" s="220" t="n">
        <x:f>0.0001</x:f>
        <x:v>0.0001</x:v>
      </x:c>
      <x:c r="F12" s="214" t="str">
        <x:f>IF(ABS(ROUND(D12,6))&lt;=E12,"PASS","FAIL")</x:f>
        <x:v>PASS</x:v>
      </x:c>
      <x:c r="G12" s="197" t="str">
        <x:v>Model: revenue forecast</x:v>
      </x:c>
      <x:c r="H12" s="197"/>
    </x:row>
    <x:row r="13" ht="26" customHeight="1">
      <x:c r="A13" s="197" t="str">
        <x:v>Operating profit bridge ties</x:v>
      </x:c>
      <x:c r="B13" s="220" t="n">
        <x:f>ROUND(MAX(ABS('Model'!B13-'Model'!B12*'Inputs'!$B$12)+ABS('Model'!B15-SUM('Model'!B13,'Model'!B14)),ABS('Model'!C13-'Model'!C12*'Inputs'!$B$12)+ABS('Model'!C15-SUM('Model'!C13,'Model'!C14)),ABS('Model'!D13-'Model'!D12*'Inputs'!$B$12)+ABS('Model'!D15-SUM('Model'!D13,'Model'!D14)),ABS('Model'!E13-'Model'!E12*'Inputs'!$B$12)+ABS('Model'!E15-SUM('Model'!E13,'Model'!E14)),ABS('Model'!F13-'Model'!F12*'Inputs'!$B$12)+ABS('Model'!F15-SUM('Model'!F13,'Model'!F14))),6)</x:f>
        <x:v>0</x:v>
      </x:c>
      <x:c r="C13" s="220" t="n">
        <x:f>0</x:f>
        <x:v>0</x:v>
      </x:c>
      <x:c r="D13" s="220" t="n">
        <x:f>ROUND(B13-C13,6)</x:f>
        <x:v>0</x:v>
      </x:c>
      <x:c r="E13" s="220" t="n">
        <x:f>0.0001</x:f>
        <x:v>0.0001</x:v>
      </x:c>
      <x:c r="F13" s="214" t="str">
        <x:f>IF(ABS(ROUND(D13,6))&lt;=E13,"PASS","FAIL")</x:f>
        <x:v>PASS</x:v>
      </x:c>
      <x:c r="G13" s="197" t="str">
        <x:v>Model: EBITDA and EBIT</x:v>
      </x:c>
      <x:c r="H13" s="197"/>
    </x:row>
    <x:row r="14" ht="26" customHeight="1">
      <x:c r="A14" s="197" t="str">
        <x:v>Tax and NOPAT bridge ties</x:v>
      </x:c>
      <x:c r="B14" s="220" t="n">
        <x:f>ROUND(MAX(ABS('Model'!B16+MAX(0,'Model'!B15*'Inputs'!$B$13))+ABS('Model'!B17-SUM('Model'!B15,'Model'!B16)),ABS('Model'!C16+MAX(0,'Model'!C15*'Inputs'!$B$13))+ABS('Model'!C17-SUM('Model'!C15,'Model'!C16)),ABS('Model'!D16+MAX(0,'Model'!D15*'Inputs'!$B$13))+ABS('Model'!D17-SUM('Model'!D15,'Model'!D16)),ABS('Model'!E16+MAX(0,'Model'!E15*'Inputs'!$B$13))+ABS('Model'!E17-SUM('Model'!E15,'Model'!E16)),ABS('Model'!F16+MAX(0,'Model'!F15*'Inputs'!$B$13))+ABS('Model'!F17-SUM('Model'!F15,'Model'!F16))),6)</x:f>
        <x:v>0</x:v>
      </x:c>
      <x:c r="C14" s="220" t="n">
        <x:f>0</x:f>
        <x:v>0</x:v>
      </x:c>
      <x:c r="D14" s="220" t="n">
        <x:f>ROUND(B14-C14,6)</x:f>
        <x:v>0</x:v>
      </x:c>
      <x:c r="E14" s="220" t="n">
        <x:f>0.0001</x:f>
        <x:v>0.0001</x:v>
      </x:c>
      <x:c r="F14" s="214" t="str">
        <x:f>IF(ABS(ROUND(D14,6))&lt;=E14,"PASS","FAIL")</x:f>
        <x:v>PASS</x:v>
      </x:c>
      <x:c r="G14" s="197" t="str">
        <x:v>Model: tax and NOPAT</x:v>
      </x:c>
      <x:c r="H14" s="197"/>
    </x:row>
    <x:row r="15" ht="26" customHeight="1">
      <x:c r="A15" s="197" t="str">
        <x:v>Free-cash-flow build ties</x:v>
      </x:c>
      <x:c r="B15" s="220" t="n">
        <x:f>ROUND(MAX(ABS('Model'!B21-SUM('Model'!B17,'Model'!B18,'Model'!B19,'Model'!B20)),ABS('Model'!C21-SUM('Model'!C17,'Model'!C18,'Model'!C19,'Model'!C20)),ABS('Model'!D21-SUM('Model'!D17,'Model'!D18,'Model'!D19,'Model'!D20)),ABS('Model'!E21-SUM('Model'!E17,'Model'!E18,'Model'!E19,'Model'!E20)),ABS('Model'!F21-SUM('Model'!F17,'Model'!F18,'Model'!F19,'Model'!F20))),6)</x:f>
        <x:v>0</x:v>
      </x:c>
      <x:c r="C15" s="220" t="n">
        <x:f>0</x:f>
        <x:v>0</x:v>
      </x:c>
      <x:c r="D15" s="220" t="n">
        <x:f>ROUND(B15-C15,6)</x:f>
        <x:v>0</x:v>
      </x:c>
      <x:c r="E15" s="220" t="n">
        <x:f>0.0001</x:f>
        <x:v>0.0001</x:v>
      </x:c>
      <x:c r="F15" s="214" t="str">
        <x:f>IF(ABS(ROUND(D15,6))&lt;=E15,"PASS","FAIL")</x:f>
        <x:v>PASS</x:v>
      </x:c>
      <x:c r="G15" s="197" t="str">
        <x:v>Model: free-cash-flow build</x:v>
      </x:c>
      <x:c r="H15" s="197"/>
    </x:row>
    <x:row r="16" ht="26" customHeight="1">
      <x:c r="A16" s="197" t="str">
        <x:v>Discount factors and PVs tie</x:v>
      </x:c>
      <x:c r="B16" s="220" t="n">
        <x:f>ROUND(MAX(ABS('Model'!B22-1/(1+'Inputs'!$B$21)^1)+ABS('Model'!B23-'Model'!B21*'Model'!B22),ABS('Model'!C22-1/(1+'Inputs'!$B$21)^2)+ABS('Model'!C23-'Model'!C21*'Model'!C22),ABS('Model'!D22-1/(1+'Inputs'!$B$21)^3)+ABS('Model'!D23-'Model'!D21*'Model'!D22),ABS('Model'!E22-1/(1+'Inputs'!$B$21)^4)+ABS('Model'!E23-'Model'!E21*'Model'!E22),ABS('Model'!F22-1/(1+'Inputs'!$B$21)^5)+ABS('Model'!F23-'Model'!F21*'Model'!F22)),6)</x:f>
        <x:v>0</x:v>
      </x:c>
      <x:c r="C16" s="220" t="n">
        <x:f>0</x:f>
        <x:v>0</x:v>
      </x:c>
      <x:c r="D16" s="220" t="n">
        <x:f>ROUND(B16-C16,6)</x:f>
        <x:v>0</x:v>
      </x:c>
      <x:c r="E16" s="220" t="n">
        <x:f>0.0001</x:f>
        <x:v>0.0001</x:v>
      </x:c>
      <x:c r="F16" s="214" t="str">
        <x:f>IF(ABS(ROUND(D16,6))&lt;=E16,"PASS","FAIL")</x:f>
        <x:v>PASS</x:v>
      </x:c>
      <x:c r="G16" s="197" t="str">
        <x:v>Model: discount factors and PV</x:v>
      </x:c>
      <x:c r="H16" s="197"/>
    </x:row>
    <x:row r="17" ht="26" customHeight="1">
      <x:c r="A17" s="197" t="str">
        <x:v>Terminal-value bridge ties</x:v>
      </x:c>
      <x:c r="B17" s="220" t="n">
        <x:f>ROUND(ABS('Model'!B28-'Model'!B27/('Inputs'!$B$21-'Inputs'!$B$22))+ABS('Model'!B29-'Model'!B28*'Model'!F22),6)</x:f>
        <x:v>0</x:v>
      </x:c>
      <x:c r="C17" s="220" t="n">
        <x:f>0</x:f>
        <x:v>0</x:v>
      </x:c>
      <x:c r="D17" s="220" t="n">
        <x:f>ROUND(B17-C17,6)</x:f>
        <x:v>0</x:v>
      </x:c>
      <x:c r="E17" s="220" t="n">
        <x:f>0.0001</x:f>
        <x:v>0.0001</x:v>
      </x:c>
      <x:c r="F17" s="214" t="str">
        <x:f>IF(ABS(ROUND(D17,6))&lt;=E17,"PASS","FAIL")</x:f>
        <x:v>PASS</x:v>
      </x:c>
      <x:c r="G17" s="197" t="str">
        <x:v>Model: terminal value</x:v>
      </x:c>
      <x:c r="H17" s="197"/>
    </x:row>
    <x:row r="18" ht="26" customHeight="1">
      <x:c r="A18" s="197" t="str">
        <x:v>Enterprise, equity, and per-share bridges tie</x:v>
      </x:c>
      <x:c r="B18" s="220" t="n">
        <x:f>ROUND(ABS('Model'!B30-(SUM('Model'!B23:'Model'!F23)+'Model'!B29))+ABS('Model'!B31-('Model'!B30-'Inputs'!$B$23))+ABS('Model'!B32-'Model'!B31/'Inputs'!$B$24),6)</x:f>
        <x:v>0</x:v>
      </x:c>
      <x:c r="C18" s="220" t="n">
        <x:f>0</x:f>
        <x:v>0</x:v>
      </x:c>
      <x:c r="D18" s="220" t="n">
        <x:f>ROUND(B18-C18,6)</x:f>
        <x:v>0</x:v>
      </x:c>
      <x:c r="E18" s="220" t="n">
        <x:f>0.0001</x:f>
        <x:v>0.0001</x:v>
      </x:c>
      <x:c r="F18" s="214" t="str">
        <x:f>IF(ABS(ROUND(D18,6))&lt;=E18,"PASS","FAIL")</x:f>
        <x:v>PASS</x:v>
      </x:c>
      <x:c r="G18" s="197" t="str">
        <x:v>Model: valuation bridges</x:v>
      </x:c>
      <x:c r="H18" s="197"/>
    </x:row>
    <x:row r="19" ht="20" customHeight="1">
      <x:c r="A19" s="224" t="str">
        <x:v>A warning business outcome can still pass these controls; review Model and Results before making a decision.</x:v>
      </x:c>
      <x:c r="B19" s="225"/>
      <x:c r="C19" s="225"/>
      <x:c r="D19" s="225"/>
      <x:c r="E19" s="225"/>
      <x:c r="F19" s="225"/>
      <x:c r="G19" s="225"/>
      <x:c r="H19" s="226"/>
    </x:row>
    <x:row r="20" ht="20" customHeight="1">
      <x:c r="A20" s="57" t="str">
        <x:v>DCF Valuation · 10 / 10 controls should show PASS · v1.4.0</x:v>
      </x:c>
      <x:c r="B20" s="57"/>
      <x:c r="C20" s="57"/>
      <x:c r="D20" s="57"/>
      <x:c r="E20" s="57"/>
      <x:c r="F20" s="57"/>
      <x:c r="G20" s="57"/>
      <x:c r="H20" s="57"/>
    </x:row>
  </x:sheetData>
  <x:mergeCells>
    <x:mergeCell ref="A1:H2"/>
    <x:mergeCell ref="A3:H3"/>
    <x:mergeCell ref="B4:H4"/>
    <x:mergeCell ref="A5:B5"/>
    <x:mergeCell ref="C5:H5"/>
    <x:mergeCell ref="A7:H7"/>
    <x:mergeCell ref="G8:H8"/>
    <x:mergeCell ref="G9:H9"/>
    <x:mergeCell ref="G10:H10"/>
    <x:mergeCell ref="G11:H11"/>
    <x:mergeCell ref="G12:H12"/>
    <x:mergeCell ref="G13:H13"/>
    <x:mergeCell ref="G14:H14"/>
    <x:mergeCell ref="G15:H15"/>
    <x:mergeCell ref="G16:H16"/>
    <x:mergeCell ref="G17:H17"/>
    <x:mergeCell ref="G18:H18"/>
    <x:mergeCell ref="A19:H19"/>
    <x:mergeCell ref="A20:H20"/>
  </x:mergeCells>
  <x:conditionalFormatting sqref="C5:H5">
    <x:cfRule type="containsText" dxfId="2" priority="1" operator="containsText" text="FAIL"/>
    <x:cfRule type="containsText" dxfId="3" priority="2" operator="containsText" text="PASS"/>
  </x:conditionalFormatting>
  <x:conditionalFormatting sqref="F9:F9">
    <x:cfRule type="containsText" dxfId="4" priority="3" operator="containsText" text="FAIL"/>
    <x:cfRule type="containsText" dxfId="5" priority="4" operator="containsText" text="PASS"/>
  </x:conditionalFormatting>
  <x:conditionalFormatting sqref="F10:F10">
    <x:cfRule type="containsText" dxfId="6" priority="5" operator="containsText" text="FAIL"/>
    <x:cfRule type="containsText" dxfId="7" priority="6" operator="containsText" text="PASS"/>
  </x:conditionalFormatting>
  <x:conditionalFormatting sqref="F11:F11">
    <x:cfRule type="containsText" dxfId="8" priority="7" operator="containsText" text="FAIL"/>
    <x:cfRule type="containsText" dxfId="9" priority="8" operator="containsText" text="PASS"/>
  </x:conditionalFormatting>
  <x:conditionalFormatting sqref="F12:F12">
    <x:cfRule type="containsText" dxfId="10" priority="9" operator="containsText" text="FAIL"/>
    <x:cfRule type="containsText" dxfId="11" priority="10" operator="containsText" text="PASS"/>
  </x:conditionalFormatting>
  <x:conditionalFormatting sqref="F13:F13">
    <x:cfRule type="containsText" dxfId="12" priority="11" operator="containsText" text="FAIL"/>
    <x:cfRule type="containsText" dxfId="13" priority="12" operator="containsText" text="PASS"/>
  </x:conditionalFormatting>
  <x:conditionalFormatting sqref="F14:F14">
    <x:cfRule type="containsText" dxfId="14" priority="13" operator="containsText" text="FAIL"/>
    <x:cfRule type="containsText" dxfId="15" priority="14" operator="containsText" text="PASS"/>
  </x:conditionalFormatting>
  <x:conditionalFormatting sqref="F15:F15">
    <x:cfRule type="containsText" dxfId="16" priority="15" operator="containsText" text="FAIL"/>
    <x:cfRule type="containsText" dxfId="17" priority="16" operator="containsText" text="PASS"/>
  </x:conditionalFormatting>
  <x:conditionalFormatting sqref="F16:F16">
    <x:cfRule type="containsText" dxfId="18" priority="17" operator="containsText" text="FAIL"/>
    <x:cfRule type="containsText" dxfId="19" priority="18" operator="containsText" text="PASS"/>
  </x:conditionalFormatting>
  <x:conditionalFormatting sqref="F17:F17">
    <x:cfRule type="containsText" dxfId="20" priority="19" operator="containsText" text="FAIL"/>
    <x:cfRule type="containsText" dxfId="21" priority="20" operator="containsText" text="PASS"/>
  </x:conditionalFormatting>
  <x:conditionalFormatting sqref="F18:F18">
    <x:cfRule type="containsText" dxfId="22" priority="21" operator="containsText" text="FAIL"/>
    <x:cfRule type="containsText" dxfId="23" priority="22" operator="containsText" text="PASS"/>
  </x:conditionalFormatting>
  <x:pageMargins left="0.7" right="0.7" top="0.75" bottom="0.75" header="0.3" footer="0.3"/>
</x:worksheet>
</file>