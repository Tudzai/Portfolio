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e4c20321e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4186a1bbaee24408"/>
    <x:sheet xmlns:r="http://schemas.openxmlformats.org/officeDocument/2006/relationships" name="Inputs" sheetId="2" r:id="R4cbee188ee8d4c6b"/>
    <x:sheet xmlns:r="http://schemas.openxmlformats.org/officeDocument/2006/relationships" name="Model" sheetId="3" r:id="R85b8658e086248d5"/>
    <x:sheet xmlns:r="http://schemas.openxmlformats.org/officeDocument/2006/relationships" name="Results" sheetId="4" r:id="R9db0c45842a3493c"/>
    <x:sheet xmlns:r="http://schemas.openxmlformats.org/officeDocument/2006/relationships" name="Checks" sheetId="5" r:id="R0325edffde0e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x;[Red](0.0x);-"/>
    <x:numFmt numFmtId="203" formatCode="#,##0;[Red](#,##0);-"/>
    <x:numFmt numFmtId="204" formatCode="0.00;[Red](0.00);-"/>
  </x:numFmts>
  <x:fonts count="13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68717C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1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</x:border>
    <x:border>
      <x:right style="thin">
        <x:color rgb="FFB5883A"/>
      </x:right>
    </x:border>
    <x:border>
      <x:left style="thin">
        <x:color rgb="FFB5883A"/>
      </x:left>
      <x:bottom style="thin">
        <x:color rgb="FFB5883A"/>
      </x:bottom>
    </x:border>
    <x:border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200" fontId="3" fillId="8" borderId="0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/>
    </x:xf>
    <x:xf numFmtId="200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horizontal="left" vertical="center" wrapText="1"/>
    </x:xf>
    <x:xf numFmtId="202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2" fontId="3" fillId="8" borderId="0" xfId="0" applyNumberFormat="1" applyFont="1" applyFill="1" applyBorder="1" applyAlignment="1">
      <x:alignment horizontal="right" vertical="center"/>
    </x:xf>
    <x:xf numFmtId="202" fontId="3" fillId="10" borderId="0" xfId="0" applyNumberFormat="1" applyFont="1" applyFill="1" applyBorder="1" applyAlignment="1">
      <x:alignment horizontal="right" vertical="center"/>
    </x:xf>
    <x:xf numFmtId="202" fontId="8" fillId="2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right" vertical="center"/>
    </x:xf>
    <x:xf numFmtId="203" fontId="3" fillId="8" borderId="0" xfId="0" applyNumberFormat="1" applyFont="1" applyFill="1" applyBorder="1" applyAlignment="1">
      <x:alignment horizontal="right" vertical="center"/>
    </x:xf>
    <x:xf numFmtId="204" fontId="8" fillId="2" borderId="0" xfId="0" applyNumberFormat="1" applyFont="1" applyFill="1" applyBorder="1" applyAlignment="1">
      <x:alignment vertical="center"/>
    </x:xf>
    <x:xf numFmtId="204" fontId="8" fillId="2" borderId="0" xfId="0" applyNumberFormat="1" applyFont="1" applyFill="1" applyBorder="1" applyAlignment="1">
      <x:alignment horizontal="right" vertical="center"/>
    </x:xf>
    <x:xf numFmtId="204" fontId="8" fillId="8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/>
    </x:xf>
    <x:xf numFmtId="0" fontId="9" fillId="8" borderId="1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4" xfId="0" applyNumberFormat="1" applyFont="1" applyFill="1" applyBorder="1" applyAlignment="1">
      <x:alignment vertical="center"/>
    </x:xf>
    <x:xf numFmtId="0" fontId="9" fillId="8" borderId="6" xfId="0" applyNumberFormat="1" applyFont="1" applyFill="1" applyBorder="1" applyAlignment="1">
      <x:alignment vertical="center"/>
    </x:xf>
    <x:xf numFmtId="202" fontId="9" fillId="8" borderId="1" xfId="0" applyNumberFormat="1" applyFont="1" applyFill="1" applyBorder="1" applyAlignment="1">
      <x:alignment vertical="center"/>
    </x:xf>
    <x:xf numFmtId="202" fontId="9" fillId="8" borderId="3" xfId="0" applyNumberFormat="1" applyFont="1" applyFill="1" applyBorder="1" applyAlignment="1">
      <x:alignment vertical="center"/>
    </x:xf>
    <x:xf numFmtId="202" fontId="9" fillId="8" borderId="18" xfId="0" applyNumberFormat="1" applyFont="1" applyFill="1" applyBorder="1" applyAlignment="1">
      <x:alignment vertical="center"/>
    </x:xf>
    <x:xf numFmtId="202" fontId="9" fillId="8" borderId="19" xfId="0" applyNumberFormat="1" applyFont="1" applyFill="1" applyBorder="1" applyAlignment="1">
      <x:alignment vertical="center"/>
    </x:xf>
    <x:xf numFmtId="202" fontId="9" fillId="8" borderId="4" xfId="0" applyNumberFormat="1" applyFont="1" applyFill="1" applyBorder="1" applyAlignment="1">
      <x:alignment vertical="center"/>
    </x:xf>
    <x:xf numFmtId="202" fontId="9" fillId="8" borderId="6" xfId="0" applyNumberFormat="1" applyFont="1" applyFill="1" applyBorder="1" applyAlignment="1">
      <x:alignment vertical="center"/>
    </x:xf>
    <x:xf numFmtId="202" fontId="9" fillId="8" borderId="1" xfId="0" applyNumberFormat="1" applyFont="1" applyFill="1" applyBorder="1" applyAlignment="1">
      <x:alignment horizontal="center" vertical="center"/>
    </x:xf>
    <x:xf numFmtId="202" fontId="9" fillId="8" borderId="3" xfId="0" applyNumberFormat="1" applyFont="1" applyFill="1" applyBorder="1" applyAlignment="1">
      <x:alignment horizontal="center" vertical="center"/>
    </x:xf>
    <x:xf numFmtId="202" fontId="9" fillId="8" borderId="18" xfId="0" applyNumberFormat="1" applyFont="1" applyFill="1" applyBorder="1" applyAlignment="1">
      <x:alignment horizontal="center" vertical="center"/>
    </x:xf>
    <x:xf numFmtId="202" fontId="9" fillId="8" borderId="19" xfId="0" applyNumberFormat="1" applyFont="1" applyFill="1" applyBorder="1" applyAlignment="1">
      <x:alignment horizontal="center" vertical="center"/>
    </x:xf>
    <x:xf numFmtId="202" fontId="9" fillId="8" borderId="4" xfId="0" applyNumberFormat="1" applyFont="1" applyFill="1" applyBorder="1" applyAlignment="1">
      <x:alignment horizontal="center" vertical="center"/>
    </x:xf>
    <x:xf numFmtId="202" fontId="9" fillId="8" borderId="6" xfId="0" applyNumberFormat="1" applyFont="1" applyFill="1" applyBorder="1" applyAlignment="1">
      <x:alignment horizontal="center" vertical="center"/>
    </x:xf>
    <x:xf numFmtId="200" fontId="9" fillId="8" borderId="1" xfId="0" applyNumberFormat="1" applyFont="1" applyFill="1" applyBorder="1" applyAlignment="1">
      <x:alignment vertical="center"/>
    </x:xf>
    <x:xf numFmtId="200" fontId="9" fillId="8" borderId="3" xfId="0" applyNumberFormat="1" applyFont="1" applyFill="1" applyBorder="1" applyAlignment="1">
      <x:alignment vertical="center"/>
    </x:xf>
    <x:xf numFmtId="200" fontId="9" fillId="8" borderId="18" xfId="0" applyNumberFormat="1" applyFont="1" applyFill="1" applyBorder="1" applyAlignment="1">
      <x:alignment vertical="center"/>
    </x:xf>
    <x:xf numFmtId="200" fontId="9" fillId="8" borderId="19" xfId="0" applyNumberFormat="1" applyFont="1" applyFill="1" applyBorder="1" applyAlignment="1">
      <x:alignment vertical="center"/>
    </x:xf>
    <x:xf numFmtId="200" fontId="9" fillId="8" borderId="4" xfId="0" applyNumberFormat="1" applyFont="1" applyFill="1" applyBorder="1" applyAlignment="1">
      <x:alignment vertical="center"/>
    </x:xf>
    <x:xf numFmtId="200" fontId="9" fillId="8" borderId="6" xfId="0" applyNumberFormat="1" applyFont="1" applyFill="1" applyBorder="1" applyAlignment="1">
      <x:alignment vertical="center"/>
    </x:xf>
    <x:xf numFmtId="200" fontId="9" fillId="8" borderId="1" xfId="0" applyNumberFormat="1" applyFont="1" applyFill="1" applyBorder="1" applyAlignment="1">
      <x:alignment horizontal="center" vertical="center"/>
    </x:xf>
    <x:xf numFmtId="200" fontId="9" fillId="8" borderId="3" xfId="0" applyNumberFormat="1" applyFont="1" applyFill="1" applyBorder="1" applyAlignment="1">
      <x:alignment horizontal="center" vertical="center"/>
    </x:xf>
    <x:xf numFmtId="200" fontId="9" fillId="8" borderId="18" xfId="0" applyNumberFormat="1" applyFont="1" applyFill="1" applyBorder="1" applyAlignment="1">
      <x:alignment horizontal="center" vertical="center"/>
    </x:xf>
    <x:xf numFmtId="200" fontId="9" fillId="8" borderId="19" xfId="0" applyNumberFormat="1" applyFont="1" applyFill="1" applyBorder="1" applyAlignment="1">
      <x:alignment horizontal="center" vertical="center"/>
    </x:xf>
    <x:xf numFmtId="200" fontId="9" fillId="8" borderId="4" xfId="0" applyNumberFormat="1" applyFont="1" applyFill="1" applyBorder="1" applyAlignment="1">
      <x:alignment horizontal="center" vertical="center"/>
    </x:xf>
    <x:xf numFmtId="200" fontId="9" fillId="8" borderId="6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/>
    </x:xf>
    <x:xf numFmtId="0" fontId="9" fillId="5" borderId="21" xfId="0" applyNumberFormat="1" applyFont="1" applyFill="1" applyBorder="1" applyAlignment="1">
      <x:alignment vertical="center"/>
    </x:xf>
    <x:xf numFmtId="0" fontId="9" fillId="5" borderId="22" xfId="0" applyNumberFormat="1" applyFont="1" applyFill="1" applyBorder="1" applyAlignment="1">
      <x:alignment vertical="center"/>
    </x:xf>
    <x:xf numFmtId="0" fontId="9" fillId="5" borderId="23" xfId="0" applyNumberFormat="1" applyFont="1" applyFill="1" applyBorder="1" applyAlignment="1">
      <x:alignment vertical="center"/>
    </x:xf>
    <x:xf numFmtId="0" fontId="9" fillId="5" borderId="24" xfId="0" applyNumberFormat="1" applyFont="1" applyFill="1" applyBorder="1" applyAlignment="1">
      <x:alignment vertical="center"/>
    </x:xf>
    <x:xf numFmtId="0" fontId="9" fillId="5" borderId="25" xfId="0" applyNumberFormat="1" applyFont="1" applyFill="1" applyBorder="1" applyAlignment="1">
      <x:alignment vertical="center"/>
    </x:xf>
    <x:xf numFmtId="0" fontId="9" fillId="5" borderId="26" xfId="0" applyNumberFormat="1" applyFont="1" applyFill="1" applyBorder="1" applyAlignment="1">
      <x:alignment vertical="center"/>
    </x:xf>
    <x:xf numFmtId="0" fontId="9" fillId="5" borderId="27" xfId="0" applyNumberFormat="1" applyFont="1" applyFill="1" applyBorder="1" applyAlignment="1">
      <x:alignment vertical="center"/>
    </x:xf>
    <x:xf numFmtId="0" fontId="9" fillId="5" borderId="20" xfId="0" applyNumberFormat="1" applyFont="1" applyFill="1" applyBorder="1" applyAlignment="1">
      <x:alignment vertical="center" wrapText="1"/>
    </x:xf>
    <x:xf numFmtId="0" fontId="9" fillId="5" borderId="21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24" xfId="0" applyNumberFormat="1" applyFont="1" applyFill="1" applyBorder="1" applyAlignment="1">
      <x:alignment vertical="center" wrapText="1"/>
    </x:xf>
    <x:xf numFmtId="0" fontId="9" fillId="5" borderId="25" xfId="0" applyNumberFormat="1" applyFont="1" applyFill="1" applyBorder="1" applyAlignment="1">
      <x:alignment vertical="center" wrapText="1"/>
    </x:xf>
    <x:xf numFmtId="0" fontId="9" fillId="5" borderId="26" xfId="0" applyNumberFormat="1" applyFont="1" applyFill="1" applyBorder="1" applyAlignment="1">
      <x:alignment vertical="center" wrapText="1"/>
    </x:xf>
    <x:xf numFmtId="0" fontId="9" fillId="5" borderId="27" xfId="0" applyNumberFormat="1" applyFont="1" applyFill="1" applyBorder="1" applyAlignment="1">
      <x:alignment vertical="center" wrapText="1"/>
    </x:xf>
    <x:xf numFmtId="0" fontId="9" fillId="5" borderId="20" xfId="0" applyNumberFormat="1" applyFont="1" applyFill="1" applyBorder="1" applyAlignment="1">
      <x:alignment horizontal="center" vertical="center" wrapText="1"/>
    </x:xf>
    <x:xf numFmtId="0" fontId="9" fillId="5" borderId="21" xfId="0" applyNumberFormat="1" applyFont="1" applyFill="1" applyBorder="1" applyAlignment="1">
      <x:alignment horizontal="center"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24" xfId="0" applyNumberFormat="1" applyFont="1" applyFill="1" applyBorder="1" applyAlignment="1">
      <x:alignment horizontal="center" vertical="center" wrapText="1"/>
    </x:xf>
    <x:xf numFmtId="0" fontId="9" fillId="5" borderId="25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9" fillId="5" borderId="27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vertical="center"/>
    </x:xf>
    <x:xf numFmtId="0" fontId="10" fillId="8" borderId="29" xfId="0" applyNumberFormat="1" applyFont="1" applyFill="1" applyBorder="1" applyAlignment="1">
      <x:alignment vertical="center"/>
    </x:xf>
    <x:xf numFmtId="0" fontId="10" fillId="8" borderId="28" xfId="0" applyNumberFormat="1" applyFont="1" applyFill="1" applyBorder="1" applyAlignment="1">
      <x:alignment horizontal="center" vertical="center"/>
    </x:xf>
    <x:xf numFmtId="0" fontId="10" fillId="8" borderId="29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/>
    </x:xf>
    <x:xf numFmtId="0" fontId="11" fillId="9" borderId="29" xfId="0" applyNumberFormat="1" applyFont="1" applyFill="1" applyBorder="1" applyAlignment="1">
      <x:alignment vertical="center"/>
    </x:xf>
    <x:xf numFmtId="0" fontId="11" fillId="9" borderId="28" xfId="0" applyNumberFormat="1" applyFont="1" applyFill="1" applyBorder="1" applyAlignment="1">
      <x:alignment vertical="center" wrapText="1"/>
    </x:xf>
    <x:xf numFmtId="0" fontId="11" fillId="9" borderId="29" xfId="0" applyNumberFormat="1" applyFont="1" applyFill="1" applyBorder="1" applyAlignment="1">
      <x:alignment vertical="center" wrapText="1"/>
    </x:xf>
    <x:xf numFmtId="0" fontId="11" fillId="9" borderId="28" xfId="0" applyNumberFormat="1" applyFont="1" applyFill="1" applyBorder="1" applyAlignment="1">
      <x:alignment horizontal="center" vertical="center" wrapText="1"/>
    </x:xf>
    <x:xf numFmtId="0" fontId="11" fillId="9" borderId="29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8" xfId="0" applyNumberFormat="1" applyFont="1" applyFill="1" applyBorder="1" applyAlignment="1">
      <x:alignment vertical="center"/>
    </x:xf>
    <x:xf numFmtId="0" fontId="3" fillId="5" borderId="30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30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vertical="center"/>
    </x:xf>
    <x:xf numFmtId="0" fontId="10" fillId="8" borderId="3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8" xfId="0" applyNumberFormat="1" applyFont="1" applyFill="1" applyBorder="1" applyAlignment="1">
      <x:alignment vertical="center"/>
    </x:xf>
    <x:xf numFmtId="0" fontId="6" fillId="9" borderId="30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30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horizontal="center" vertical="center"/>
    </x:xf>
    <x:xf numFmtId="0" fontId="10" fillId="8" borderId="3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9" fillId="5" borderId="28" xfId="0" applyNumberFormat="1" applyFont="1" applyFill="1" applyBorder="1" applyAlignment="1">
      <x:alignment vertical="center"/>
    </x:xf>
    <x:xf numFmtId="0" fontId="9" fillId="5" borderId="29" xfId="0" applyNumberFormat="1" applyFont="1" applyFill="1" applyBorder="1" applyAlignment="1">
      <x:alignment vertical="center"/>
    </x:xf>
    <x:xf numFmtId="0" fontId="9" fillId="5" borderId="28" xfId="0" applyNumberFormat="1" applyFont="1" applyFill="1" applyBorder="1" applyAlignment="1">
      <x:alignment horizontal="center" vertical="center"/>
    </x:xf>
    <x:xf numFmtId="0" fontId="9" fillId="5" borderId="29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9934aeba84c3d" /><Relationship Type="http://schemas.openxmlformats.org/officeDocument/2006/relationships/theme" Target="/xl/theme/theme1.xml" Id="R7e625e4e82d443ac" /><Relationship Type="http://schemas.openxmlformats.org/officeDocument/2006/relationships/sharedStrings" Target="/xl/sharedStrings.xml" Id="R6921afd3cf114eb1" /><Relationship Type="http://schemas.openxmlformats.org/officeDocument/2006/relationships/worksheet" Target="/xl/worksheets/sheet1.xml" Id="R4186a1bbaee24408" /><Relationship Type="http://schemas.openxmlformats.org/officeDocument/2006/relationships/worksheet" Target="/xl/worksheets/sheet2.xml" Id="R4cbee188ee8d4c6b" /><Relationship Type="http://schemas.openxmlformats.org/officeDocument/2006/relationships/worksheet" Target="/xl/worksheets/sheet3.xml" Id="R85b8658e086248d5" /><Relationship Type="http://schemas.openxmlformats.org/officeDocument/2006/relationships/worksheet" Target="/xl/worksheets/sheet4.xml" Id="R9db0c45842a3493c" /><Relationship Type="http://schemas.openxmlformats.org/officeDocument/2006/relationships/worksheet" Target="/xl/worksheets/sheet5.xml" Id="R0325edffde0e4c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TDAT-FM-TSY-002 · Base plus five forecast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30" t="str">
        <x:v>Debt &amp; Covenant Model</x:v>
      </x:c>
      <x:c r="B5" s="231"/>
      <x:c r="C5" s="231"/>
      <x:c r="D5" s="231"/>
      <x:c r="E5" s="231"/>
      <x:c r="F5" s="232"/>
      <x:c r="G5" s="60" t="str">
        <x:v>MODEL STATUS</x:v>
      </x:c>
      <x:c r="H5" s="60"/>
    </x:row>
    <x:row r="6" ht="20" customHeight="1">
      <x:c r="A6" s="233"/>
      <x:c r="B6" s="234"/>
      <x:c r="C6" s="234"/>
      <x:c r="D6" s="234"/>
      <x:c r="E6" s="234"/>
      <x:c r="F6" s="235"/>
      <x:c r="G6" s="243" t="str">
        <x:f>'Checks'!B4</x:f>
        <x:v>PASS</x:v>
      </x:c>
      <x:c r="H6" s="244"/>
    </x:row>
    <x:row r="7" ht="20" customHeight="1">
      <x:c r="A7" s="236"/>
      <x:c r="B7" s="237"/>
      <x:c r="C7" s="237"/>
      <x:c r="D7" s="237"/>
      <x:c r="E7" s="237"/>
      <x:c r="F7" s="238"/>
      <x:c r="G7" s="245"/>
      <x:c r="H7" s="246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80" t="str">
        <x:v>Does the five-year forecast remain inside leverage, coverage, and DSCR covenants?</x:v>
      </x:c>
      <x:c r="B10" s="181"/>
      <x:c r="C10" s="181"/>
      <x:c r="D10" s="181"/>
      <x:c r="E10" s="181"/>
      <x:c r="F10" s="181"/>
      <x:c r="G10" s="181"/>
      <x:c r="H10" s="182"/>
    </x:row>
    <x:row r="11" ht="20" customHeight="1">
      <x:c r="A11" s="183"/>
      <x:c r="B11" s="184"/>
      <x:c r="C11" s="184"/>
      <x:c r="D11" s="184"/>
      <x:c r="E11" s="184"/>
      <x:c r="F11" s="184"/>
      <x:c r="G11" s="184"/>
      <x:c r="H11" s="185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49" t="str">
        <x:v>1 · INPUTS</x:v>
      </x:c>
      <x:c r="B14" s="250"/>
      <x:c r="C14" s="249" t="str">
        <x:v>2 · MODEL</x:v>
      </x:c>
      <x:c r="D14" s="250"/>
      <x:c r="E14" s="249" t="str">
        <x:v>3 · RESULTS</x:v>
      </x:c>
      <x:c r="F14" s="250"/>
      <x:c r="G14" s="249" t="str">
        <x:v>4 · CHECKS</x:v>
      </x:c>
      <x:c r="H14" s="250"/>
    </x:row>
    <x:row r="15" ht="20" customHeight="1">
      <x:c r="A15" s="251" t="str">
        <x:v>Edit only blue cells</x:v>
      </x:c>
      <x:c r="B15" s="252"/>
      <x:c r="C15" s="251" t="str">
        <x:v>Trace schedules and formulas</x:v>
      </x:c>
      <x:c r="D15" s="252"/>
      <x:c r="E15" s="251" t="str">
        <x:v>Read the linked decision view</x:v>
      </x:c>
      <x:c r="F15" s="252"/>
      <x:c r="G15" s="251" t="str">
        <x:v>Resolve every FAIL</x:v>
      </x:c>
      <x:c r="H15" s="252"/>
    </x:row>
    <x:row r="16" ht="20" customHeight="1">
      <x:c r="A16" s="253"/>
      <x:c r="B16" s="254"/>
      <x:c r="C16" s="253"/>
      <x:c r="D16" s="254"/>
      <x:c r="E16" s="253"/>
      <x:c r="F16" s="254"/>
      <x:c r="G16" s="253"/>
      <x:c r="H16" s="254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160" t="str">
        <x:v>Forecast</x:v>
      </x:c>
      <x:c r="B19" s="160"/>
      <x:c r="C19" s="71" t="str">
        <x:v>Base plus five forecast years</x:v>
      </x:c>
      <x:c r="D19" s="71"/>
      <x:c r="E19" s="71"/>
      <x:c r="F19" s="71"/>
      <x:c r="G19" s="71"/>
      <x:c r="H19" s="71"/>
    </x:row>
    <x:row r="20" ht="20" customHeight="1">
      <x:c r="A20" s="160" t="str">
        <x:v>Editable inputs</x:v>
      </x:c>
      <x:c r="B20" s="160"/>
      <x:c r="C20" s="71" t="str">
        <x:v>12</x:v>
      </x:c>
      <x:c r="D20" s="71"/>
      <x:c r="E20" s="71"/>
      <x:c r="F20" s="71"/>
      <x:c r="G20" s="71"/>
      <x:c r="H20" s="71"/>
    </x:row>
    <x:row r="21" ht="20" customHeight="1">
      <x:c r="A21" s="160" t="str">
        <x:v>Visible sheets</x:v>
      </x:c>
      <x:c r="B21" s="160"/>
      <x:c r="C21" s="71" t="str">
        <x:v>5</x:v>
      </x:c>
      <x:c r="D21" s="71"/>
      <x:c r="E21" s="71"/>
      <x:c r="F21" s="71"/>
      <x:c r="G21" s="71"/>
      <x:c r="H21" s="71"/>
    </x:row>
    <x:row r="22" ht="20" customHeight="1">
      <x:c r="A22" s="160" t="str">
        <x:v>Setup</x:v>
      </x:c>
      <x:c r="B22" s="160"/>
      <x:c r="C22" s="71" t="str">
        <x:v>15–20 minutes</x:v>
      </x:c>
      <x:c r="D22" s="71"/>
      <x:c r="E22" s="71"/>
      <x:c r="F22" s="71"/>
      <x:c r="G22" s="71"/>
      <x:c r="H22" s="71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194" t="str">
        <x:v>Included: Five-year EBITDA and debt roll-forward · Interest, CFADS, and debt-service bridge · Leverage, coverage, DSCR, and covenant headroom by year</x:v>
      </x:c>
      <x:c r="B25" s="195"/>
      <x:c r="C25" s="195"/>
      <x:c r="D25" s="195"/>
      <x:c r="E25" s="195"/>
      <x:c r="F25" s="195"/>
      <x:c r="G25" s="195"/>
      <x:c r="H25" s="196"/>
    </x:row>
    <x:row r="26" ht="20" customHeight="1">
      <x:c r="A26" s="200"/>
      <x:c r="B26" s="201"/>
      <x:c r="C26" s="201"/>
      <x:c r="D26" s="201"/>
      <x:c r="E26" s="201"/>
      <x:c r="F26" s="201"/>
      <x:c r="G26" s="201"/>
      <x:c r="H26" s="202"/>
    </x:row>
    <x:row r="27" ht="20" customHeight="1">
      <x:c r="A27" s="261" t="str">
        <x:v>Scope boundary: Multiple tranches, revolver mechanics, legal covenant definitions, cure rights, and refinancing advice.</x:v>
      </x:c>
      <x:c r="B27" s="262"/>
      <x:c r="C27" s="262"/>
      <x:c r="D27" s="262"/>
      <x:c r="E27" s="262"/>
      <x:c r="F27" s="262"/>
      <x:c r="G27" s="262"/>
      <x:c r="H27" s="263"/>
    </x:row>
    <x:row r="28" ht="20" customHeight="1">
      <x:c r="A28" s="264"/>
      <x:c r="B28" s="265"/>
      <x:c r="C28" s="265"/>
      <x:c r="D28" s="265"/>
      <x:c r="E28" s="265"/>
      <x:c r="F28" s="265"/>
      <x:c r="G28" s="265"/>
      <x:c r="H28" s="266"/>
    </x:row>
    <x:row r="29" ht="20" customHeight="1">
      <x:c r="A29" s="268" t="str">
        <x:v>Synthetic demonstration only · Tested 2026-08-17 · Excel 365 · Macro-free · No external links</x:v>
      </x:c>
      <x:c r="B29" s="268"/>
      <x:c r="C29" s="268"/>
      <x:c r="D29" s="268"/>
      <x:c r="E29" s="268"/>
      <x:c r="F29" s="268"/>
      <x:c r="G29" s="268"/>
      <x:c r="H29" s="268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Debt &amp; Covenant Model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&amp; Covenant Model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Opening gross debt</x:v>
      </x:c>
      <x:c r="B10" s="39" t="n">
        <x:v>310</x:v>
      </x:c>
      <x:c r="C10" s="3" t="str">
        <x:v>LCY m</x:v>
      </x:c>
      <x:c r="D10" s="37" t="str">
        <x:v>Debt at the base date</x:v>
      </x:c>
      <x:c r="E10" s="38"/>
      <x:c r="F10" s="38"/>
      <x:c r="G10" s="38"/>
      <x:c r="H10" s="38"/>
    </x:row>
    <x:row r="11" ht="20" customHeight="1">
      <x:c r="A11" s="3" t="str">
        <x:v>Annual new borrowing</x:v>
      </x:c>
      <x:c r="B11" s="39" t="n">
        <x:v>0</x:v>
      </x:c>
      <x:c r="C11" s="3" t="str">
        <x:v>LCY m</x:v>
      </x:c>
      <x:c r="D11" s="37" t="str">
        <x:v>Repeated in each forecast year</x:v>
      </x:c>
      <x:c r="E11" s="38"/>
      <x:c r="F11" s="38"/>
      <x:c r="G11" s="38"/>
      <x:c r="H11" s="38"/>
    </x:row>
    <x:row r="12" ht="20" customHeight="1">
      <x:c r="A12" s="3" t="str">
        <x:v>Base covenant EBITDA</x:v>
      </x:c>
      <x:c r="B12" s="39" t="n">
        <x:v>105</x:v>
      </x:c>
      <x:c r="C12" s="3" t="str">
        <x:v>LCY m</x:v>
      </x:c>
      <x:c r="D12" s="37" t="str">
        <x:v>Starting covenant earnings base</x:v>
      </x:c>
      <x:c r="E12" s="38"/>
      <x:c r="F12" s="38"/>
      <x:c r="G12" s="38"/>
      <x:c r="H12" s="38"/>
    </x:row>
    <x:row r="13" ht="20" customHeight="1">
      <x:c r="A13" s="3" t="str">
        <x:v>Annual EBITDA growth</x:v>
      </x:c>
      <x:c r="B13" s="42" t="n">
        <x:v>0.04</x:v>
      </x:c>
      <x:c r="C13" s="3" t="str">
        <x:v>%</x:v>
      </x:c>
      <x:c r="D13" s="37" t="str">
        <x:v>Applied consistently through Year 5</x:v>
      </x:c>
      <x:c r="E13" s="38"/>
      <x:c r="F13" s="38"/>
      <x:c r="G13" s="38"/>
      <x:c r="H13" s="38"/>
    </x:row>
    <x:row r="14" ht="20" customHeight="1">
      <x:c r="A14" s="3" t="str">
        <x:v>Cash interest rate</x:v>
      </x:c>
      <x:c r="B14" s="42" t="n">
        <x:v>0.075</x:v>
      </x:c>
      <x:c r="C14" s="3" t="str">
        <x:v>%</x:v>
      </x:c>
      <x:c r="D14" s="37" t="str">
        <x:v>Applied to average debt</x:v>
      </x:c>
      <x:c r="E14" s="38"/>
      <x:c r="F14" s="38"/>
      <x:c r="G14" s="38"/>
      <x:c r="H14" s="38"/>
    </x:row>
    <x:row r="15" ht="20" customHeight="1">
      <x:c r="A15" s="3" t="str">
        <x:v>Annual cash capex</x:v>
      </x:c>
      <x:c r="B15" s="39" t="n">
        <x:v>24</x:v>
      </x:c>
      <x:c r="C15" s="3" t="str">
        <x:v>LCY m</x:v>
      </x:c>
      <x:c r="D15" s="37" t="str">
        <x:v>Recurring annual cash spend</x:v>
      </x:c>
      <x:c r="E15" s="38"/>
      <x:c r="F15" s="38"/>
      <x:c r="G15" s="38"/>
      <x:c r="H15" s="38"/>
    </x:row>
    <x:row r="16" ht="20" customHeight="1">
      <x:c r="A16" s="3" t="str">
        <x:v>Annual increase in NWC</x:v>
      </x:c>
      <x:c r="B16" s="39" t="n">
        <x:v>5</x:v>
      </x:c>
      <x:c r="C16" s="3" t="str">
        <x:v>LCY m</x:v>
      </x:c>
      <x:c r="D16" s="37" t="str">
        <x:v>Recurring cash absorbed</x:v>
      </x:c>
      <x:c r="E16" s="38"/>
      <x:c r="F16" s="38"/>
      <x:c r="G16" s="38"/>
      <x:c r="H16" s="38"/>
    </x:row>
    <x:row r="17" ht="20" customHeight="1">
      <x:c r="A17" s="3" t="str">
        <x:v>Annual cash tax</x:v>
      </x:c>
      <x:c r="B17" s="39" t="n">
        <x:v>12</x:v>
      </x:c>
      <x:c r="C17" s="3" t="str">
        <x:v>LCY m</x:v>
      </x:c>
      <x:c r="D17" s="37" t="str">
        <x:v>Recurring cash tax</x:v>
      </x:c>
      <x:c r="E17" s="38"/>
      <x:c r="F17" s="38"/>
      <x:c r="G17" s="38"/>
      <x:c r="H17" s="38"/>
    </x:row>
    <x:row r="18" ht="20" customHeight="1">
      <x:c r="A18" s="3" t="str">
        <x:v>Annual contractual principal</x:v>
      </x:c>
      <x:c r="B18" s="39" t="n">
        <x:v>22</x:v>
      </x:c>
      <x:c r="C18" s="3" t="str">
        <x:v>LCY m</x:v>
      </x:c>
      <x:c r="D18" s="37" t="str">
        <x:v>Capped at debt available</x:v>
      </x:c>
      <x:c r="E18" s="38"/>
      <x:c r="F18" s="38"/>
      <x:c r="G18" s="38"/>
      <x:c r="H18" s="38"/>
    </x:row>
    <x:row r="19" ht="20" customHeight="1">
      <x:c r="A19" s="3" t="str">
        <x:v>Maximum gross leverage</x:v>
      </x:c>
      <x:c r="B19" s="45" t="n">
        <x:v>3.25</x:v>
      </x:c>
      <x:c r="C19" s="3" t="str">
        <x:v>x</x:v>
      </x:c>
      <x:c r="D19" s="37" t="str">
        <x:v>Closing debt / EBITDA limit</x:v>
      </x:c>
      <x:c r="E19" s="38"/>
      <x:c r="F19" s="38"/>
      <x:c r="G19" s="38"/>
      <x:c r="H19" s="38"/>
    </x:row>
    <x:row r="20" ht="20" customHeight="1">
      <x:c r="A20" s="3" t="str">
        <x:v>Minimum interest coverage</x:v>
      </x:c>
      <x:c r="B20" s="45" t="n">
        <x:v>3</x:v>
      </x:c>
      <x:c r="C20" s="3" t="str">
        <x:v>x</x:v>
      </x:c>
      <x:c r="D20" s="37" t="str">
        <x:v>EBITDA / interest floor</x:v>
      </x:c>
      <x:c r="E20" s="38"/>
      <x:c r="F20" s="38"/>
      <x:c r="G20" s="38"/>
      <x:c r="H20" s="38"/>
    </x:row>
    <x:row r="21" ht="20" customHeight="1">
      <x:c r="A21" s="3" t="str">
        <x:v>Minimum DSCR</x:v>
      </x:c>
      <x:c r="B21" s="45" t="n">
        <x:v>1.25</x:v>
      </x:c>
      <x:c r="C21" s="3" t="str">
        <x:v>x</x:v>
      </x:c>
      <x:c r="D21" s="37" t="str">
        <x:v>CFADS / debt service floor</x:v>
      </x:c>
      <x:c r="E21" s="38"/>
      <x:c r="F21" s="38"/>
      <x:c r="G21" s="38"/>
      <x:c r="H21" s="38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54" t="str">
        <x:v>Synthetic example. Replace only the blue values, trace the calculation on Model, then review Results and Checks.</x:v>
      </x:c>
      <x:c r="B23" s="55"/>
      <x:c r="C23" s="55"/>
      <x:c r="D23" s="55"/>
      <x:c r="E23" s="55"/>
      <x:c r="F23" s="55"/>
      <x:c r="G23" s="55"/>
      <x:c r="H23" s="56"/>
    </x:row>
    <x:row r="24" ht="20" customHeight="1">
      <x:c r="A24" s="57"/>
      <x:c r="B24" s="58"/>
      <x:c r="C24" s="58"/>
      <x:c r="D24" s="58"/>
      <x:c r="E24" s="58"/>
      <x:c r="F24" s="58"/>
      <x:c r="G24" s="58"/>
      <x:c r="H24" s="59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</x:row>
    <x:row r="28" ht="20" customHeight="1">
      <x:c r="A28" s="60" t="str">
        <x:v>Debt &amp; Covenant Model · 12 editable assumptions · v1.4.0</x:v>
      </x:c>
      <x:c r="B28" s="60"/>
      <x:c r="C28" s="60"/>
      <x:c r="D28" s="60"/>
      <x:c r="E28" s="60"/>
      <x:c r="F28" s="60"/>
      <x:c r="G28" s="60"/>
      <x:c r="H28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D20:H20"/>
    <x:mergeCell ref="D21:H21"/>
    <x:mergeCell ref="A23:H24"/>
    <x:mergeCell ref="A28:H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0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&amp; Covenant Model · Five-year covenant forecast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0" t="str">
        <x:v>MINIMUM DSCR</x:v>
      </x:c>
      <x:c r="B5" s="101"/>
      <x:c r="C5" s="100" t="str">
        <x:v>MAXIMUM LEVERAGE</x:v>
      </x:c>
      <x:c r="D5" s="101"/>
      <x:c r="E5" s="100" t="str">
        <x:v>MINIMUM COVERAGE</x:v>
      </x:c>
      <x:c r="F5" s="101"/>
      <x:c r="G5" s="100" t="str">
        <x:v>YEAR-5 DEBT</x:v>
      </x:c>
      <x:c r="H5" s="101"/>
    </x:row>
    <x:row r="6" ht="20" customHeight="1">
      <x:c r="A6" s="115" t="n">
        <x:f>MIN('Model'!C26:G26)</x:f>
        <x:v>1.5351716375914464</x:v>
      </x:c>
      <x:c r="B6" s="116"/>
      <x:c r="C6" s="115" t="n">
        <x:f>MAX('Model'!C24:G24)</x:f>
        <x:v>2.6373626373626373</x:v>
      </x:c>
      <x:c r="D6" s="116"/>
      <x:c r="E6" s="115" t="n">
        <x:f>MIN('Model'!C25:G25)</x:f>
        <x:v>4.869565217391305</x:v>
      </x:c>
      <x:c r="F6" s="116"/>
      <x:c r="G6" s="127" t="n">
        <x:f>G16</x:f>
        <x:v>200</x:v>
      </x:c>
      <x:c r="H6" s="128"/>
    </x:row>
    <x:row r="7" ht="20" customHeight="1">
      <x:c r="A7" s="117"/>
      <x:c r="B7" s="118"/>
      <x:c r="C7" s="117"/>
      <x:c r="D7" s="118"/>
      <x:c r="E7" s="117"/>
      <x:c r="F7" s="118"/>
      <x:c r="G7" s="129"/>
      <x:c r="H7" s="130"/>
    </x:row>
    <x:row r="8" ht="20" customHeight="1">
      <x:c r="A8" s="119"/>
      <x:c r="B8" s="120"/>
      <x:c r="C8" s="119"/>
      <x:c r="D8" s="120"/>
      <x:c r="E8" s="119"/>
      <x:c r="F8" s="120"/>
      <x:c r="G8" s="131"/>
      <x:c r="H8" s="13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DEBT, CASH FLOW &amp; COVENANTS</x:v>
      </x:c>
      <x:c r="B10" s="61"/>
      <x:c r="C10" s="61"/>
      <x:c r="D10" s="61"/>
      <x:c r="E10" s="61"/>
      <x:c r="F10" s="61"/>
      <x:c r="G10" s="61"/>
      <x:c r="H10" s="61"/>
    </x:row>
    <x:row r="11" ht="20" customHeight="1">
      <x:c r="A11" s="6" t="str">
        <x:v>Metric</x:v>
      </x:c>
      <x:c r="B11" s="62" t="str">
        <x:v>BASE / ENTRY</x:v>
      </x:c>
      <x:c r="C11" s="62" t="str">
        <x:v>YEAR 1</x:v>
      </x:c>
      <x:c r="D11" s="62" t="str">
        <x:v>YEAR 2</x:v>
      </x:c>
      <x:c r="E11" s="62" t="str">
        <x:v>YEAR 3</x:v>
      </x:c>
      <x:c r="F11" s="62" t="str">
        <x:v>YEAR 4</x:v>
      </x:c>
      <x:c r="G11" s="62" t="str">
        <x:v>YEAR 5</x:v>
      </x:c>
      <x:c r="H11" s="6" t="str">
        <x:v>How to read it</x:v>
      </x:c>
    </x:row>
    <x:row r="12" ht="42" customHeight="1">
      <x:c r="A12" s="71" t="str">
        <x:v>Covenant EBITDA</x:v>
      </x:c>
      <x:c r="B12" s="69" t="n">
        <x:f>'Inputs'!$B$12</x:f>
        <x:v>105</x:v>
      </x:c>
      <x:c r="C12" s="69" t="n">
        <x:f>B12*(1+'Inputs'!$B$13)</x:f>
        <x:v>109.2</x:v>
      </x:c>
      <x:c r="D12" s="69" t="n">
        <x:f>C12*(1+'Inputs'!$B$13)</x:f>
        <x:v>113.56800000000001</x:v>
      </x:c>
      <x:c r="E12" s="69" t="n">
        <x:f>D12*(1+'Inputs'!$B$13)</x:f>
        <x:v>118.11072000000001</x:v>
      </x:c>
      <x:c r="F12" s="69" t="n">
        <x:f>E12*(1+'Inputs'!$B$13)</x:f>
        <x:v>122.83514880000001</x:v>
      </x:c>
      <x:c r="G12" s="69" t="n">
        <x:f>F12*(1+'Inputs'!$B$13)</x:f>
        <x:v>127.74855475200002</x:v>
      </x:c>
      <x:c r="H12" s="72" t="str">
        <x:v>Base EBITDA compounds at the selected growth rate.</x:v>
      </x:c>
    </x:row>
    <x:row r="13" ht="42" customHeight="1">
      <x:c r="A13" s="29" t="str">
        <x:v>Opening debt</x:v>
      </x:c>
      <x:c r="B13" s="76" t="n">
        <x:f>'Inputs'!$B$10</x:f>
        <x:v>310</x:v>
      </x:c>
      <x:c r="C13" s="76" t="n">
        <x:f>B16</x:f>
        <x:v>310</x:v>
      </x:c>
      <x:c r="D13" s="76" t="n">
        <x:f>C16</x:f>
        <x:v>288</x:v>
      </x:c>
      <x:c r="E13" s="76" t="n">
        <x:f>D16</x:f>
        <x:v>266</x:v>
      </x:c>
      <x:c r="F13" s="76" t="n">
        <x:f>E16</x:f>
        <x:v>244</x:v>
      </x:c>
      <x:c r="G13" s="76" t="n">
        <x:f>F16</x:f>
        <x:v>222</x:v>
      </x:c>
      <x:c r="H13" s="70" t="str">
        <x:v>Each forecast year opens at the prior-year closing balance.</x:v>
      </x:c>
    </x:row>
    <x:row r="14" ht="28" customHeight="1">
      <x:c r="A14" s="29" t="str">
        <x:v>New borrowing</x:v>
      </x:c>
      <x:c r="B14" s="76" t="n">
        <x:f>0</x:f>
        <x:v>0</x:v>
      </x:c>
      <x:c r="C14" s="76" t="n">
        <x:f>'Inputs'!$B$11</x:f>
        <x:v>0</x:v>
      </x:c>
      <x:c r="D14" s="76" t="n">
        <x:f>'Inputs'!$B$11</x:f>
        <x:v>0</x:v>
      </x:c>
      <x:c r="E14" s="76" t="n">
        <x:f>'Inputs'!$B$11</x:f>
        <x:v>0</x:v>
      </x:c>
      <x:c r="F14" s="76" t="n">
        <x:f>'Inputs'!$B$11</x:f>
        <x:v>0</x:v>
      </x:c>
      <x:c r="G14" s="76" t="n">
        <x:f>'Inputs'!$B$11</x:f>
        <x:v>0</x:v>
      </x:c>
      <x:c r="H14" s="70" t="str">
        <x:v>Positive financing inflow repeated annually.</x:v>
      </x:c>
    </x:row>
    <x:row r="15" ht="28" customHeight="1">
      <x:c r="A15" s="29" t="str">
        <x:v>Principal paid</x:v>
      </x:c>
      <x:c r="B15" s="76" t="n">
        <x:f>0</x:f>
        <x:v>0</x:v>
      </x:c>
      <x:c r="C15" s="76" t="n">
        <x:f>MIN(MAX(0,C13+C14),MAX(0,'Inputs'!$B$18))</x:f>
        <x:v>22</x:v>
      </x:c>
      <x:c r="D15" s="76" t="n">
        <x:f>MIN(MAX(0,D13+D14),MAX(0,'Inputs'!$B$18))</x:f>
        <x:v>22</x:v>
      </x:c>
      <x:c r="E15" s="76" t="n">
        <x:f>MIN(MAX(0,E13+E14),MAX(0,'Inputs'!$B$18))</x:f>
        <x:v>22</x:v>
      </x:c>
      <x:c r="F15" s="76" t="n">
        <x:f>MIN(MAX(0,F13+F14),MAX(0,'Inputs'!$B$18))</x:f>
        <x:v>22</x:v>
      </x:c>
      <x:c r="G15" s="76" t="n">
        <x:f>MIN(MAX(0,G13+G14),MAX(0,'Inputs'!$B$18))</x:f>
        <x:v>22</x:v>
      </x:c>
      <x:c r="H15" s="70" t="str">
        <x:v>Capped at opening debt plus new borrowing.</x:v>
      </x:c>
    </x:row>
    <x:row r="16" ht="28" customHeight="1">
      <x:c r="A16" s="11" t="str">
        <x:v>Closing debt</x:v>
      </x:c>
      <x:c r="B16" s="77" t="n">
        <x:f>'Inputs'!$B$10</x:f>
        <x:v>310</x:v>
      </x:c>
      <x:c r="C16" s="77" t="n">
        <x:f>MAX(0,C13+C14-C15)</x:f>
        <x:v>288</x:v>
      </x:c>
      <x:c r="D16" s="77" t="n">
        <x:f>MAX(0,D13+D14-D15)</x:f>
        <x:v>266</x:v>
      </x:c>
      <x:c r="E16" s="77" t="n">
        <x:f>MAX(0,E13+E14-E15)</x:f>
        <x:v>244</x:v>
      </x:c>
      <x:c r="F16" s="77" t="n">
        <x:f>MAX(0,F13+F14-F15)</x:f>
        <x:v>222</x:v>
      </x:c>
      <x:c r="G16" s="77" t="n">
        <x:f>MAX(0,G13+G14-G15)</x:f>
        <x:v>200</x:v>
      </x:c>
      <x:c r="H16" s="79" t="str">
        <x:v>Opening debt + borrowing − principal paid.</x:v>
      </x:c>
    </x:row>
    <x:row r="17" ht="42" customHeight="1">
      <x:c r="A17" s="29" t="str">
        <x:v>Average debt</x:v>
      </x:c>
      <x:c r="B17" s="76" t="n">
        <x:f>B13</x:f>
        <x:v>310</x:v>
      </x:c>
      <x:c r="C17" s="76" t="n">
        <x:f>AVERAGE(C13,C16)</x:f>
        <x:v>299</x:v>
      </x:c>
      <x:c r="D17" s="76" t="n">
        <x:f>AVERAGE(D13,D16)</x:f>
        <x:v>277</x:v>
      </x:c>
      <x:c r="E17" s="76" t="n">
        <x:f>AVERAGE(E13,E16)</x:f>
        <x:v>255</x:v>
      </x:c>
      <x:c r="F17" s="76" t="n">
        <x:f>AVERAGE(F13,F16)</x:f>
        <x:v>233</x:v>
      </x:c>
      <x:c r="G17" s="76" t="n">
        <x:f>AVERAGE(G13,G16)</x:f>
        <x:v>211</x:v>
      </x:c>
      <x:c r="H17" s="70" t="str">
        <x:v>Average opening and closing balance for cash interest.</x:v>
      </x:c>
    </x:row>
    <x:row r="18" ht="42" customHeight="1">
      <x:c r="A18" s="29" t="str">
        <x:v>Cash interest</x:v>
      </x:c>
      <x:c r="B18" s="76" t="n">
        <x:f>B17*MAX(0,'Inputs'!$B$14)</x:f>
        <x:v>23.25</x:v>
      </x:c>
      <x:c r="C18" s="76" t="n">
        <x:f>C17*MAX(0,'Inputs'!$B$14)</x:f>
        <x:v>22.425</x:v>
      </x:c>
      <x:c r="D18" s="76" t="n">
        <x:f>D17*MAX(0,'Inputs'!$B$14)</x:f>
        <x:v>20.775</x:v>
      </x:c>
      <x:c r="E18" s="76" t="n">
        <x:f>E17*MAX(0,'Inputs'!$B$14)</x:f>
        <x:v>19.125</x:v>
      </x:c>
      <x:c r="F18" s="76" t="n">
        <x:f>F17*MAX(0,'Inputs'!$B$14)</x:f>
        <x:v>17.474999999999998</x:v>
      </x:c>
      <x:c r="G18" s="76" t="n">
        <x:f>G17*MAX(0,'Inputs'!$B$14)</x:f>
        <x:v>15.825</x:v>
      </x:c>
      <x:c r="H18" s="70" t="str">
        <x:v>Average debt multiplied by the cash interest rate.</x:v>
      </x:c>
    </x:row>
    <x:row r="19" ht="28" customHeight="1">
      <x:c r="A19" s="29" t="str">
        <x:v>Cash capex</x:v>
      </x:c>
      <x:c r="B19" s="76" t="n">
        <x:f>'Inputs'!$B$15</x:f>
        <x:v>24</x:v>
      </x:c>
      <x:c r="C19" s="76" t="n">
        <x:f>'Inputs'!$B$15</x:f>
        <x:v>24</x:v>
      </x:c>
      <x:c r="D19" s="76" t="n">
        <x:f>'Inputs'!$B$15</x:f>
        <x:v>24</x:v>
      </x:c>
      <x:c r="E19" s="76" t="n">
        <x:f>'Inputs'!$B$15</x:f>
        <x:v>24</x:v>
      </x:c>
      <x:c r="F19" s="76" t="n">
        <x:f>'Inputs'!$B$15</x:f>
        <x:v>24</x:v>
      </x:c>
      <x:c r="G19" s="76" t="n">
        <x:f>'Inputs'!$B$15</x:f>
        <x:v>24</x:v>
      </x:c>
      <x:c r="H19" s="70" t="str">
        <x:v>Recurring annual cash use.</x:v>
      </x:c>
    </x:row>
    <x:row r="20" ht="28" customHeight="1">
      <x:c r="A20" s="29" t="str">
        <x:v>Increase in NWC</x:v>
      </x:c>
      <x:c r="B20" s="76" t="n">
        <x:f>'Inputs'!$B$16</x:f>
        <x:v>5</x:v>
      </x:c>
      <x:c r="C20" s="76" t="n">
        <x:f>'Inputs'!$B$16</x:f>
        <x:v>5</x:v>
      </x:c>
      <x:c r="D20" s="76" t="n">
        <x:f>'Inputs'!$B$16</x:f>
        <x:v>5</x:v>
      </x:c>
      <x:c r="E20" s="76" t="n">
        <x:f>'Inputs'!$B$16</x:f>
        <x:v>5</x:v>
      </x:c>
      <x:c r="F20" s="76" t="n">
        <x:f>'Inputs'!$B$16</x:f>
        <x:v>5</x:v>
      </x:c>
      <x:c r="G20" s="76" t="n">
        <x:f>'Inputs'!$B$16</x:f>
        <x:v>5</x:v>
      </x:c>
      <x:c r="H20" s="70" t="str">
        <x:v>Recurring annual working-capital use.</x:v>
      </x:c>
    </x:row>
    <x:row r="21" ht="28" customHeight="1">
      <x:c r="A21" s="29" t="str">
        <x:v>Cash tax</x:v>
      </x:c>
      <x:c r="B21" s="76" t="n">
        <x:f>'Inputs'!$B$17</x:f>
        <x:v>12</x:v>
      </x:c>
      <x:c r="C21" s="76" t="n">
        <x:f>'Inputs'!$B$17</x:f>
        <x:v>12</x:v>
      </x:c>
      <x:c r="D21" s="76" t="n">
        <x:f>'Inputs'!$B$17</x:f>
        <x:v>12</x:v>
      </x:c>
      <x:c r="E21" s="76" t="n">
        <x:f>'Inputs'!$B$17</x:f>
        <x:v>12</x:v>
      </x:c>
      <x:c r="F21" s="76" t="n">
        <x:f>'Inputs'!$B$17</x:f>
        <x:v>12</x:v>
      </x:c>
      <x:c r="G21" s="76" t="n">
        <x:f>'Inputs'!$B$17</x:f>
        <x:v>12</x:v>
      </x:c>
      <x:c r="H21" s="70" t="str">
        <x:v>Recurring annual cash tax.</x:v>
      </x:c>
    </x:row>
    <x:row r="22" ht="28" customHeight="1">
      <x:c r="A22" s="83" t="str">
        <x:v>CFADS</x:v>
      </x:c>
      <x:c r="B22" s="81" t="n">
        <x:f>B12-B19-B20-B21</x:f>
        <x:v>64</x:v>
      </x:c>
      <x:c r="C22" s="81" t="n">
        <x:f>C12-C19-C20-C21</x:f>
        <x:v>68.2</x:v>
      </x:c>
      <x:c r="D22" s="81" t="n">
        <x:f>D12-D19-D20-D21</x:f>
        <x:v>72.56800000000001</x:v>
      </x:c>
      <x:c r="E22" s="81" t="n">
        <x:f>E12-E19-E20-E21</x:f>
        <x:v>77.11072000000001</x:v>
      </x:c>
      <x:c r="F22" s="81" t="n">
        <x:f>F12-F19-F20-F21</x:f>
        <x:v>81.83514880000001</x:v>
      </x:c>
      <x:c r="G22" s="81" t="n">
        <x:f>G12-G19-G20-G21</x:f>
        <x:v>86.74855475200002</x:v>
      </x:c>
      <x:c r="H22" s="84" t="str">
        <x:v>EBITDA less capex, NWC investment, and cash tax.</x:v>
      </x:c>
    </x:row>
    <x:row r="23" ht="28" customHeight="1">
      <x:c r="A23" s="29" t="str">
        <x:v>Debt service</x:v>
      </x:c>
      <x:c r="B23" s="76" t="n">
        <x:f>B18+B15</x:f>
        <x:v>23.25</x:v>
      </x:c>
      <x:c r="C23" s="76" t="n">
        <x:f>C18+C15</x:f>
        <x:v>44.425</x:v>
      </x:c>
      <x:c r="D23" s="76" t="n">
        <x:f>D18+D15</x:f>
        <x:v>42.775</x:v>
      </x:c>
      <x:c r="E23" s="76" t="n">
        <x:f>E18+E15</x:f>
        <x:v>41.125</x:v>
      </x:c>
      <x:c r="F23" s="76" t="n">
        <x:f>F18+F15</x:f>
        <x:v>39.474999999999994</x:v>
      </x:c>
      <x:c r="G23" s="76" t="n">
        <x:f>G18+G15</x:f>
        <x:v>37.825</x:v>
      </x:c>
      <x:c r="H23" s="70" t="str">
        <x:v>Cash interest plus principal paid.</x:v>
      </x:c>
    </x:row>
    <x:row r="24" ht="28" customHeight="1">
      <x:c r="A24" s="71" t="str">
        <x:v>Gross leverage</x:v>
      </x:c>
      <x:c r="B24" s="87" t="n">
        <x:f>IF(B12&lt;=0,0,B16/B12)</x:f>
        <x:v>2.9523809523809526</x:v>
      </x:c>
      <x:c r="C24" s="87" t="n">
        <x:f>IF(C12&lt;=0,0,C16/C12)</x:f>
        <x:v>2.6373626373626373</x:v>
      </x:c>
      <x:c r="D24" s="87" t="n">
        <x:f>IF(D12&lt;=0,0,D16/D12)</x:f>
        <x:v>2.3422090729783034</x:v>
      </x:c>
      <x:c r="E24" s="87" t="n">
        <x:f>IF(E12&lt;=0,0,E16/E12)</x:f>
        <x:v>2.065858204911459</x:v>
      </x:c>
      <x:c r="F24" s="87" t="n">
        <x:f>IF(F12&lt;=0,0,F16/F12)</x:f>
        <x:v>1.807300289605706</x:v>
      </x:c>
      <x:c r="G24" s="87" t="n">
        <x:f>IF(G12&lt;=0,0,G16/G12)</x:f>
        <x:v>1.565575441446384</x:v>
      </x:c>
      <x:c r="H24" s="72" t="str">
        <x:v>Closing debt / covenant EBITDA.</x:v>
      </x:c>
    </x:row>
    <x:row r="25" ht="28" customHeight="1">
      <x:c r="A25" s="71" t="str">
        <x:v>Interest coverage</x:v>
      </x:c>
      <x:c r="B25" s="87" t="n">
        <x:f>IF(B18&lt;=0,0,B12/B18)</x:f>
        <x:v>4.516129032258065</x:v>
      </x:c>
      <x:c r="C25" s="87" t="n">
        <x:f>IF(C18&lt;=0,0,C12/C18)</x:f>
        <x:v>4.869565217391305</x:v>
      </x:c>
      <x:c r="D25" s="87" t="n">
        <x:f>IF(D18&lt;=0,0,D12/D18)</x:f>
        <x:v>5.466570397111914</x:v>
      </x:c>
      <x:c r="E25" s="87" t="n">
        <x:f>IF(E18&lt;=0,0,E12/E18)</x:f>
        <x:v>6.175723921568628</x:v>
      </x:c>
      <x:c r="F25" s="87" t="n">
        <x:f>IF(F18&lt;=0,0,F12/F18)</x:f>
        <x:v>7.029193064377684</x:v>
      </x:c>
      <x:c r="G25" s="87" t="n">
        <x:f>IF(G18&lt;=0,0,G12/G18)</x:f>
        <x:v>8.072578499336494</x:v>
      </x:c>
      <x:c r="H25" s="72" t="str">
        <x:v>Covenant EBITDA / cash interest.</x:v>
      </x:c>
    </x:row>
    <x:row r="26" ht="22" customHeight="1">
      <x:c r="A26" s="83" t="str">
        <x:v>DSCR</x:v>
      </x:c>
      <x:c r="B26" s="88" t="n">
        <x:f>IF(B23&lt;=0,0,B22/B23)</x:f>
        <x:v>2.752688172043011</x:v>
      </x:c>
      <x:c r="C26" s="88" t="n">
        <x:f>IF(C23&lt;=0,0,C22/C23)</x:f>
        <x:v>1.5351716375914464</x:v>
      </x:c>
      <x:c r="D26" s="88" t="n">
        <x:f>IF(D23&lt;=0,0,D22/D23)</x:f>
        <x:v>1.696504967855056</x:v>
      </x:c>
      <x:c r="E26" s="88" t="n">
        <x:f>IF(E23&lt;=0,0,E22/E23)</x:f>
        <x:v>1.8750327051671736</x:v>
      </x:c>
      <x:c r="F26" s="88" t="n">
        <x:f>IF(F23&lt;=0,0,F22/F23)</x:f>
        <x:v>2.0730880000000007</x:v>
      </x:c>
      <x:c r="G26" s="88" t="n">
        <x:f>IF(G23&lt;=0,0,G22/G23)</x:f>
        <x:v>2.293418499722406</x:v>
      </x:c>
      <x:c r="H26" s="84" t="str">
        <x:v>CFADS / debt service.</x:v>
      </x:c>
    </x:row>
    <x:row r="27" ht="28" customHeight="1">
      <x:c r="A27" s="29" t="str">
        <x:v>Leverage headroom</x:v>
      </x:c>
      <x:c r="B27" s="91" t="n">
        <x:f>'Inputs'!$B$19-B24</x:f>
        <x:v>0.29761904761904745</x:v>
      </x:c>
      <x:c r="C27" s="91" t="n">
        <x:f>'Inputs'!$B$19-C24</x:f>
        <x:v>0.6126373626373627</x:v>
      </x:c>
      <x:c r="D27" s="91" t="n">
        <x:f>'Inputs'!$B$19-D24</x:f>
        <x:v>0.9077909270216966</x:v>
      </x:c>
      <x:c r="E27" s="91" t="n">
        <x:f>'Inputs'!$B$19-E24</x:f>
        <x:v>1.1841417950885411</x:v>
      </x:c>
      <x:c r="F27" s="91" t="n">
        <x:f>'Inputs'!$B$19-F24</x:f>
        <x:v>1.442699710394294</x:v>
      </x:c>
      <x:c r="G27" s="91" t="n">
        <x:f>'Inputs'!$B$19-G24</x:f>
        <x:v>1.684424558553616</x:v>
      </x:c>
      <x:c r="H27" s="70" t="str">
        <x:v>Positive means leverage is below the limit.</x:v>
      </x:c>
    </x:row>
    <x:row r="28" ht="28" customHeight="1">
      <x:c r="A28" s="29" t="str">
        <x:v>Coverage headroom</x:v>
      </x:c>
      <x:c r="B28" s="91" t="n">
        <x:f>B25-'Inputs'!$B$20</x:f>
        <x:v>1.516129032258065</x:v>
      </x:c>
      <x:c r="C28" s="91" t="n">
        <x:f>C25-'Inputs'!$B$20</x:f>
        <x:v>1.8695652173913047</x:v>
      </x:c>
      <x:c r="D28" s="91" t="n">
        <x:f>D25-'Inputs'!$B$20</x:f>
        <x:v>2.466570397111914</x:v>
      </x:c>
      <x:c r="E28" s="91" t="n">
        <x:f>E25-'Inputs'!$B$20</x:f>
        <x:v>3.175723921568628</x:v>
      </x:c>
      <x:c r="F28" s="91" t="n">
        <x:f>F25-'Inputs'!$B$20</x:f>
        <x:v>4.029193064377684</x:v>
      </x:c>
      <x:c r="G28" s="91" t="n">
        <x:f>G25-'Inputs'!$B$20</x:f>
        <x:v>5.072578499336494</x:v>
      </x:c>
      <x:c r="H28" s="70" t="str">
        <x:v>Positive means coverage is above the floor.</x:v>
      </x:c>
    </x:row>
    <x:row r="29" ht="28" customHeight="1">
      <x:c r="A29" s="29" t="str">
        <x:v>DSCR headroom</x:v>
      </x:c>
      <x:c r="B29" s="91" t="n">
        <x:f>B26-'Inputs'!$B$21</x:f>
        <x:v>1.502688172043011</x:v>
      </x:c>
      <x:c r="C29" s="91" t="n">
        <x:f>C26-'Inputs'!$B$21</x:f>
        <x:v>0.28517163759144637</x:v>
      </x:c>
      <x:c r="D29" s="91" t="n">
        <x:f>D26-'Inputs'!$B$21</x:f>
        <x:v>0.4465049678550559</x:v>
      </x:c>
      <x:c r="E29" s="91" t="n">
        <x:f>E26-'Inputs'!$B$21</x:f>
        <x:v>0.6250327051671736</x:v>
      </x:c>
      <x:c r="F29" s="91" t="n">
        <x:f>F26-'Inputs'!$B$21</x:f>
        <x:v>0.8230880000000007</x:v>
      </x:c>
      <x:c r="G29" s="91" t="n">
        <x:f>G26-'Inputs'!$B$21</x:f>
        <x:v>1.043418499722406</x:v>
      </x:c>
      <x:c r="H29" s="70" t="str">
        <x:v>Positive means DSCR is above the floor.</x:v>
      </x:c>
    </x:row>
    <x:row r="30" ht="28" customHeight="1">
      <x:c r="A30" s="71" t="str">
        <x:v>All covenants passed</x:v>
      </x:c>
      <x:c r="B30" s="94" t="n">
        <x:f>IF(AND(B27&gt;=0,B28&gt;=0,B29&gt;=0),1,0)</x:f>
        <x:v>1</x:v>
      </x:c>
      <x:c r="C30" s="94" t="n">
        <x:f>IF(AND(C27&gt;=0,C28&gt;=0,C29&gt;=0),1,0)</x:f>
        <x:v>1</x:v>
      </x:c>
      <x:c r="D30" s="94" t="n">
        <x:f>IF(AND(D27&gt;=0,D28&gt;=0,D29&gt;=0),1,0)</x:f>
        <x:v>1</x:v>
      </x:c>
      <x:c r="E30" s="94" t="n">
        <x:f>IF(AND(E27&gt;=0,E28&gt;=0,E29&gt;=0),1,0)</x:f>
        <x:v>1</x:v>
      </x:c>
      <x:c r="F30" s="94" t="n">
        <x:f>IF(AND(F27&gt;=0,F28&gt;=0,F29&gt;=0),1,0)</x:f>
        <x:v>1</x:v>
      </x:c>
      <x:c r="G30" s="94" t="n">
        <x:f>IF(AND(G27&gt;=0,G28&gt;=0,G29&gt;=0),1,0)</x:f>
        <x:v>1</x:v>
      </x:c>
      <x:c r="H30" s="72" t="str">
        <x:v>One means all three selected thresholds pass.</x:v>
      </x:c>
    </x:row>
    <x:row r="31" ht="22" customHeight="1">
      <x:c r="A31" s="29" t="str">
        <x:v>Debt roll-forward check</x:v>
      </x:c>
      <x:c r="B31" s="76" t="n">
        <x:f>ROUND(B16-'Inputs'!$B$10,6)</x:f>
        <x:v>0</x:v>
      </x:c>
      <x:c r="C31" s="76" t="n">
        <x:f>ROUND(C16-C13-C14+C15,6)</x:f>
        <x:v>0</x:v>
      </x:c>
      <x:c r="D31" s="76" t="n">
        <x:f>ROUND(D16-D13-D14+D15,6)</x:f>
        <x:v>0</x:v>
      </x:c>
      <x:c r="E31" s="76" t="n">
        <x:f>ROUND(E16-E13-E14+E15,6)</x:f>
        <x:v>0</x:v>
      </x:c>
      <x:c r="F31" s="76" t="n">
        <x:f>ROUND(F16-F13-F14+F15,6)</x:f>
        <x:v>0</x:v>
      </x:c>
      <x:c r="G31" s="76" t="n">
        <x:f>ROUND(G16-G13-G14+G15,6)</x:f>
        <x:v>0</x:v>
      </x:c>
      <x:c r="H31" s="70" t="str">
        <x:v>Must equal zero.</x:v>
      </x:c>
    </x:row>
    <x:row r="32" ht="28" customHeight="1">
      <x:c r="A32" s="29" t="str">
        <x:v>Interest calculation check</x:v>
      </x:c>
      <x:c r="B32" s="76" t="n">
        <x:f>ROUND(B18-B17*MAX(0,'Inputs'!$B$14),6)</x:f>
        <x:v>0</x:v>
      </x:c>
      <x:c r="C32" s="76" t="n">
        <x:f>ROUND(C18-C17*MAX(0,'Inputs'!$B$14),6)</x:f>
        <x:v>0</x:v>
      </x:c>
      <x:c r="D32" s="76" t="n">
        <x:f>ROUND(D18-D17*MAX(0,'Inputs'!$B$14),6)</x:f>
        <x:v>0</x:v>
      </x:c>
      <x:c r="E32" s="76" t="n">
        <x:f>ROUND(E18-E17*MAX(0,'Inputs'!$B$14),6)</x:f>
        <x:v>0</x:v>
      </x:c>
      <x:c r="F32" s="76" t="n">
        <x:f>ROUND(F18-F17*MAX(0,'Inputs'!$B$14),6)</x:f>
        <x:v>0</x:v>
      </x:c>
      <x:c r="G32" s="76" t="n">
        <x:f>ROUND(G18-G17*MAX(0,'Inputs'!$B$14),6)</x:f>
        <x:v>0</x:v>
      </x:c>
      <x:c r="H32" s="70" t="str">
        <x:v>Must equal zero against average debt × rate.</x:v>
      </x:c>
    </x:row>
    <x:row r="33" ht="28" customHeight="1">
      <x:c r="A33" s="29" t="str">
        <x:v>CFADS bridge check</x:v>
      </x:c>
      <x:c r="B33" s="76" t="n">
        <x:f>ROUND(B22-B12+B19+B20+B21,6)</x:f>
        <x:v>0</x:v>
      </x:c>
      <x:c r="C33" s="76" t="n">
        <x:f>ROUND(C22-C12+C19+C20+C21,6)</x:f>
        <x:v>0</x:v>
      </x:c>
      <x:c r="D33" s="76" t="n">
        <x:f>ROUND(D22-D12+D19+D20+D21,6)</x:f>
        <x:v>0</x:v>
      </x:c>
      <x:c r="E33" s="76" t="n">
        <x:f>ROUND(E22-E12+E19+E20+E21,6)</x:f>
        <x:v>0</x:v>
      </x:c>
      <x:c r="F33" s="76" t="n">
        <x:f>ROUND(F22-F12+F19+F20+F21,6)</x:f>
        <x:v>0</x:v>
      </x:c>
      <x:c r="G33" s="76" t="n">
        <x:f>ROUND(G22-G12+G19+G20+G21,6)</x:f>
        <x:v>0</x:v>
      </x:c>
      <x:c r="H33" s="70" t="str">
        <x:v>Must equal zero against EBITDA and cash uses.</x:v>
      </x:c>
    </x:row>
    <x:row r="34" ht="28" customHeight="1">
      <x:c r="A34" s="29" t="str">
        <x:v>Debt-service bridge check</x:v>
      </x:c>
      <x:c r="B34" s="76" t="n">
        <x:f>ROUND(B23-B18-B15,6)</x:f>
        <x:v>0</x:v>
      </x:c>
      <x:c r="C34" s="76" t="n">
        <x:f>ROUND(C23-C18-C15,6)</x:f>
        <x:v>0</x:v>
      </x:c>
      <x:c r="D34" s="76" t="n">
        <x:f>ROUND(D23-D18-D15,6)</x:f>
        <x:v>0</x:v>
      </x:c>
      <x:c r="E34" s="76" t="n">
        <x:f>ROUND(E23-E18-E15,6)</x:f>
        <x:v>0</x:v>
      </x:c>
      <x:c r="F34" s="76" t="n">
        <x:f>ROUND(F23-F18-F15,6)</x:f>
        <x:v>0</x:v>
      </x:c>
      <x:c r="G34" s="76" t="n">
        <x:f>ROUND(G23-G18-G15,6)</x:f>
        <x:v>0</x:v>
      </x:c>
      <x:c r="H34" s="70" t="str">
        <x:v>Must equal zero against interest and principal.</x:v>
      </x:c>
    </x:row>
    <x:row r="35" ht="42" customHeight="1">
      <x:c r="A35" s="29" t="str">
        <x:v>Covenant-ratio check</x:v>
      </x:c>
      <x:c r="B35" s="97" t="n">
        <x:f>ROUND(ABS(B24-IF(B12&lt;=0,0,B16/B12))+ABS(B25-IF(B18&lt;=0,0,B12/B18))+ABS(B26-IF(B23&lt;=0,0,B22/B23)),6)</x:f>
        <x:v>0</x:v>
      </x:c>
      <x:c r="C35" s="97" t="n">
        <x:f>ROUND(ABS(C24-IF(C12&lt;=0,0,C16/C12))+ABS(C25-IF(C18&lt;=0,0,C12/C18))+ABS(C26-IF(C23&lt;=0,0,C22/C23)),6)</x:f>
        <x:v>0</x:v>
      </x:c>
      <x:c r="D35" s="97" t="n">
        <x:f>ROUND(ABS(D24-IF(D12&lt;=0,0,D16/D12))+ABS(D25-IF(D18&lt;=0,0,D12/D18))+ABS(D26-IF(D23&lt;=0,0,D22/D23)),6)</x:f>
        <x:v>0</x:v>
      </x:c>
      <x:c r="E35" s="97" t="n">
        <x:f>ROUND(ABS(E24-IF(E12&lt;=0,0,E16/E12))+ABS(E25-IF(E18&lt;=0,0,E12/E18))+ABS(E26-IF(E23&lt;=0,0,E22/E23)),6)</x:f>
        <x:v>0</x:v>
      </x:c>
      <x:c r="F35" s="97" t="n">
        <x:f>ROUND(ABS(F24-IF(F12&lt;=0,0,F16/F12))+ABS(F25-IF(F18&lt;=0,0,F12/F18))+ABS(F26-IF(F23&lt;=0,0,F22/F23)),6)</x:f>
        <x:v>0</x:v>
      </x:c>
      <x:c r="G35" s="97" t="n">
        <x:f>ROUND(ABS(G24-IF(G12&lt;=0,0,G16/G12))+ABS(G25-IF(G18&lt;=0,0,G12/G18))+ABS(G26-IF(G23&lt;=0,0,G22/G23)),6)</x:f>
        <x:v>0</x:v>
      </x:c>
      <x:c r="H35" s="70" t="str">
        <x:v>Combined leverage, coverage, and DSCR formula control.</x:v>
      </x:c>
    </x:row>
    <x:row r="36" ht="20" customHeight="1">
      <x:c r="A36" s="3"/>
      <x:c r="B36" s="3"/>
      <x:c r="C36" s="3"/>
      <x:c r="D36" s="3"/>
      <x:c r="E36" s="3"/>
      <x:c r="F36" s="3"/>
      <x:c r="G36" s="3"/>
      <x:c r="H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</x:row>
    <x:row r="38" ht="20" customHeight="1">
      <x:c r="A38" s="151" t="str">
        <x:f>IF(MIN(C30:G30)=1,"WITHIN SELECTED COVENANTS IN ALL YEARS","COVENANT BREACH · inspect the first failed year")</x:f>
        <x:v>WITHIN SELECTED COVENANTS IN ALL YEARS</x:v>
      </x:c>
      <x:c r="B38" s="152"/>
      <x:c r="C38" s="152"/>
      <x:c r="D38" s="152"/>
      <x:c r="E38" s="152"/>
      <x:c r="F38" s="152"/>
      <x:c r="G38" s="152"/>
      <x:c r="H38" s="153"/>
    </x:row>
    <x:row r="39" ht="20" customHeight="1">
      <x:c r="A39" s="154"/>
      <x:c r="B39" s="155"/>
      <x:c r="C39" s="155"/>
      <x:c r="D39" s="155"/>
      <x:c r="E39" s="155"/>
      <x:c r="F39" s="155"/>
      <x:c r="G39" s="155"/>
      <x:c r="H39" s="156"/>
    </x:row>
    <x:row r="40" ht="20" customHeight="1">
      <x:c r="A40" s="157"/>
      <x:c r="B40" s="158"/>
      <x:c r="C40" s="158"/>
      <x:c r="D40" s="158"/>
      <x:c r="E40" s="158"/>
      <x:c r="F40" s="158"/>
      <x:c r="G40" s="158"/>
      <x:c r="H40" s="159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</x:row>
    <x:row r="48" ht="20" customHeight="1">
      <x:c r="A48" s="60" t="str">
        <x:v>Debt &amp; Covenant Model · Option C standard · Base + five years</x:v>
      </x:c>
      <x:c r="B48" s="60"/>
      <x:c r="C48" s="60"/>
      <x:c r="D48" s="60"/>
      <x:c r="E48" s="60"/>
      <x:c r="F48" s="60"/>
      <x:c r="G48" s="60"/>
      <x:c r="H48" s="60"/>
    </x:row>
  </x:sheetData>
  <x:mergeCells>
    <x:mergeCell ref="A1:H2"/>
    <x:mergeCell ref="A3:H3"/>
    <x:mergeCell ref="A10:H10"/>
    <x:mergeCell ref="A5:B5"/>
    <x:mergeCell ref="A6:B8"/>
    <x:mergeCell ref="C5:D5"/>
    <x:mergeCell ref="C6:D8"/>
    <x:mergeCell ref="E5:F5"/>
    <x:mergeCell ref="E6:F8"/>
    <x:mergeCell ref="G5:H5"/>
    <x:mergeCell ref="G6:H8"/>
    <x:mergeCell ref="A38:H40"/>
    <x:mergeCell ref="A48:H4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&amp; Covenant Model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0" t="str">
        <x:v>MINIMUM DSCR</x:v>
      </x:c>
      <x:c r="B5" s="101"/>
      <x:c r="C5" s="100" t="str">
        <x:v>MAXIMUM LEVERAGE</x:v>
      </x:c>
      <x:c r="D5" s="101"/>
      <x:c r="E5" s="100" t="str">
        <x:v>MINIMUM COVERAGE</x:v>
      </x:c>
      <x:c r="F5" s="101"/>
      <x:c r="G5" s="100" t="str">
        <x:v>YEAR-5 DEBT</x:v>
      </x:c>
      <x:c r="H5" s="101"/>
    </x:row>
    <x:row r="6" ht="20" customHeight="1">
      <x:c r="A6" s="115" t="n">
        <x:f>'Model'!A6</x:f>
        <x:v>1.5351716375914464</x:v>
      </x:c>
      <x:c r="B6" s="116"/>
      <x:c r="C6" s="115" t="n">
        <x:f>'Model'!C6</x:f>
        <x:v>2.6373626373626373</x:v>
      </x:c>
      <x:c r="D6" s="116"/>
      <x:c r="E6" s="115" t="n">
        <x:f>'Model'!E6</x:f>
        <x:v>4.869565217391305</x:v>
      </x:c>
      <x:c r="F6" s="116"/>
      <x:c r="G6" s="127" t="n">
        <x:f>'Model'!G6</x:f>
        <x:v>200</x:v>
      </x:c>
      <x:c r="H6" s="128"/>
    </x:row>
    <x:row r="7" ht="20" customHeight="1">
      <x:c r="A7" s="117"/>
      <x:c r="B7" s="118"/>
      <x:c r="C7" s="117"/>
      <x:c r="D7" s="118"/>
      <x:c r="E7" s="117"/>
      <x:c r="F7" s="118"/>
      <x:c r="G7" s="129"/>
      <x:c r="H7" s="130"/>
    </x:row>
    <x:row r="8" ht="20" customHeight="1">
      <x:c r="A8" s="119"/>
      <x:c r="B8" s="120"/>
      <x:c r="C8" s="119"/>
      <x:c r="D8" s="120"/>
      <x:c r="E8" s="119"/>
      <x:c r="F8" s="120"/>
      <x:c r="G8" s="131"/>
      <x:c r="H8" s="13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61" t="str">
        <x:v>CALCULATION STATUS</x:v>
      </x:c>
      <x:c r="B11" s="161"/>
      <x:c r="C11" s="165" t="str">
        <x:f>'Checks'!B4</x:f>
        <x:v>PASS</x:v>
      </x:c>
      <x:c r="D11" s="166"/>
      <x:c r="E11" s="161" t="str">
        <x:v>COVENANT OUTCOME</x:v>
      </x:c>
      <x:c r="F11" s="161"/>
      <x:c r="G11" s="172" t="str">
        <x:f>'Model'!A38</x:f>
        <x:v>WITHIN SELECTED COVENANTS IN ALL YEARS</x:v>
      </x:c>
      <x:c r="H11" s="17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80" t="str">
        <x:v>Does the five-year forecast remain inside leverage, coverage, and DSCR covenants?</x:v>
      </x:c>
      <x:c r="B14" s="181"/>
      <x:c r="C14" s="181"/>
      <x:c r="D14" s="181"/>
      <x:c r="E14" s="181"/>
      <x:c r="F14" s="181"/>
      <x:c r="G14" s="181"/>
      <x:c r="H14" s="182"/>
    </x:row>
    <x:row r="15" ht="20" customHeight="1">
      <x:c r="A15" s="183"/>
      <x:c r="B15" s="184"/>
      <x:c r="C15" s="184"/>
      <x:c r="D15" s="184"/>
      <x:c r="E15" s="184"/>
      <x:c r="F15" s="184"/>
      <x:c r="G15" s="184"/>
      <x:c r="H15" s="185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160" t="str">
        <x:v>Forecast</x:v>
      </x:c>
      <x:c r="B18" s="160"/>
      <x:c r="C18" s="71" t="str">
        <x:v>Base plus five forecast years</x:v>
      </x:c>
      <x:c r="D18" s="71"/>
      <x:c r="E18" s="71"/>
      <x:c r="F18" s="71"/>
      <x:c r="G18" s="71"/>
      <x:c r="H18" s="71"/>
    </x:row>
    <x:row r="19" ht="20" customHeight="1">
      <x:c r="A19" s="160" t="str">
        <x:v>Editable inputs</x:v>
      </x:c>
      <x:c r="B19" s="160"/>
      <x:c r="C19" s="71" t="str">
        <x:v>12</x:v>
      </x:c>
      <x:c r="D19" s="71"/>
      <x:c r="E19" s="71"/>
      <x:c r="F19" s="71"/>
      <x:c r="G19" s="71"/>
      <x:c r="H19" s="71"/>
    </x:row>
    <x:row r="20" ht="20" customHeight="1">
      <x:c r="A20" s="160" t="str">
        <x:v>Calculation detail</x:v>
      </x:c>
      <x:c r="B20" s="160"/>
      <x:c r="C20" s="71" t="str">
        <x:v>Visible formulas, schedules, roll-forwards, and bridges</x:v>
      </x:c>
      <x:c r="D20" s="71"/>
      <x:c r="E20" s="71"/>
      <x:c r="F20" s="71"/>
      <x:c r="G20" s="71"/>
      <x:c r="H20" s="71"/>
    </x:row>
    <x:row r="21" ht="20" customHeight="1">
      <x:c r="A21" s="160" t="str">
        <x:v>Workbook flow</x:v>
      </x:c>
      <x:c r="B21" s="160"/>
      <x:c r="C21" s="71" t="str">
        <x:v>Start → Inputs → Model → Results → Checks</x:v>
      </x:c>
      <x:c r="D21" s="71"/>
      <x:c r="E21" s="71"/>
      <x:c r="F21" s="71"/>
      <x:c r="G21" s="71"/>
      <x:c r="H21" s="71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194" t="str">
        <x:v>Included: Five-year EBITDA and debt roll-forward · Interest, CFADS, and debt-service bridge · Leverage, coverage, DSCR, and covenant headroom by year</x:v>
      </x:c>
      <x:c r="B24" s="195"/>
      <x:c r="C24" s="195"/>
      <x:c r="D24" s="195"/>
      <x:c r="E24" s="195"/>
      <x:c r="F24" s="195"/>
      <x:c r="G24" s="195"/>
      <x:c r="H24" s="196"/>
    </x:row>
    <x:row r="25" ht="20" customHeight="1">
      <x:c r="A25" s="197"/>
      <x:c r="B25" s="198"/>
      <x:c r="C25" s="198"/>
      <x:c r="D25" s="198"/>
      <x:c r="E25" s="198"/>
      <x:c r="F25" s="198"/>
      <x:c r="G25" s="198"/>
      <x:c r="H25" s="199"/>
    </x:row>
    <x:row r="26" ht="20" customHeight="1">
      <x:c r="A26" s="200"/>
      <x:c r="B26" s="201"/>
      <x:c r="C26" s="201"/>
      <x:c r="D26" s="201"/>
      <x:c r="E26" s="201"/>
      <x:c r="F26" s="201"/>
      <x:c r="G26" s="201"/>
      <x:c r="H26" s="202"/>
    </x:row>
    <x:row r="27" ht="20" customHeight="1">
      <x:c r="A27" s="54" t="str">
        <x:v>Outside this model: Multiple tranches, revolver mechanics, legal covenant definitions, cure rights, and refinancing advice.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206" t="str">
        <x:v>Five visible tabs · No hidden calculations · Calculation status and business outcome are reported separately.</x:v>
      </x:c>
      <x:c r="B29" s="207"/>
      <x:c r="C29" s="207"/>
      <x:c r="D29" s="207"/>
      <x:c r="E29" s="207"/>
      <x:c r="F29" s="207"/>
      <x:c r="G29" s="207"/>
      <x:c r="H29" s="208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Debt &amp; Covenant Model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Debt &amp; Covenant Model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09" t="str">
        <x:f>IF(COUNTIF(F9:F18,"PASS")=10,"PASS","FAIL")</x:f>
        <x:v>PASS</x:v>
      </x:c>
      <x:c r="C4" s="209"/>
      <x:c r="D4" s="209"/>
      <x:c r="E4" s="209"/>
      <x:c r="F4" s="209"/>
      <x:c r="G4" s="209"/>
      <x:c r="H4" s="209"/>
    </x:row>
    <x:row r="5" ht="20" customHeight="1">
      <x:c r="A5" s="60" t="str">
        <x:v>MODEL STATUS</x:v>
      </x:c>
      <x:c r="B5" s="60"/>
      <x:c r="C5" s="165" t="str">
        <x:f>B4</x:f>
        <x:v>PASS</x:v>
      </x:c>
      <x:c r="D5" s="211"/>
      <x:c r="E5" s="211"/>
      <x:c r="F5" s="211"/>
      <x:c r="G5" s="211"/>
      <x:c r="H5" s="166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98" t="str">
        <x:v>All editable inputs are numeric</x:v>
      </x:c>
      <x:c r="B9" s="214" t="n">
        <x:f>ROUND(COUNT('Inputs'!B10,'Inputs'!B11,'Inputs'!B12,'Inputs'!B13,'Inputs'!B14,'Inputs'!B15,'Inputs'!B16,'Inputs'!B17,'Inputs'!B18,'Inputs'!B19,'Inputs'!B20,'Inputs'!B21),6)</x:f>
        <x:v>12</x:v>
      </x:c>
      <x:c r="C9" s="214" t="n">
        <x:f>12</x:f>
        <x:v>12</x:v>
      </x:c>
      <x:c r="D9" s="214" t="n">
        <x:f>ROUND(B9-C9,6)</x:f>
        <x:v>0</x:v>
      </x:c>
      <x:c r="E9" s="214" t="n">
        <x:f>0</x:f>
        <x:v>0</x:v>
      </x:c>
      <x:c r="F9" s="215" t="str">
        <x:f>IF(ABS(ROUND(D9,6))&lt;=E9,"PASS","FAIL")</x:f>
        <x:v>PASS</x:v>
      </x:c>
      <x:c r="G9" s="198" t="str">
        <x:v>Complete the blue cells on Inputs</x:v>
      </x:c>
      <x:c r="H9" s="198"/>
    </x:row>
    <x:row r="10" ht="26" customHeight="1">
      <x:c r="A10" s="198" t="str">
        <x:v>Results headline KPIs reconcile to Model</x:v>
      </x:c>
      <x:c r="B10" s="218" t="n">
        <x:f>ROUND(IFERROR(SUM(ABS('Results'!A6-'Model'!A6),ABS('Results'!C6-'Model'!C6),ABS('Results'!E6-'Model'!E6),ABS('Results'!G6-'Model'!G6)),1E+99),6)</x:f>
        <x:v>0</x:v>
      </x:c>
      <x:c r="C10" s="218" t="n">
        <x:f>0</x:f>
        <x:v>0</x:v>
      </x:c>
      <x:c r="D10" s="218" t="n">
        <x:f>ROUND(B10-C10,6)</x:f>
        <x:v>0</x:v>
      </x:c>
      <x:c r="E10" s="218" t="n">
        <x:f>0.0001</x:f>
        <x:v>0.0001</x:v>
      </x:c>
      <x:c r="F10" s="215" t="str">
        <x:f>IF(ABS(ROUND(D10,6))&lt;=E10,"PASS","FAIL")</x:f>
        <x:v>PASS</x:v>
      </x:c>
      <x:c r="G10" s="198" t="str">
        <x:v>Review Results-to-Model links</x:v>
      </x:c>
      <x:c r="H10" s="198"/>
    </x:row>
    <x:row r="11" ht="26" customHeight="1">
      <x:c r="A11" s="198" t="str">
        <x:v>Debt, cash-flow, and threshold inputs are valid</x:v>
      </x:c>
      <x:c r="B11" s="218" t="n">
        <x:f>ROUND(IF(AND('Inputs'!$B$10&gt;=0,'Inputs'!$B$11&gt;=0,'Inputs'!$B$12&gt;0,'Inputs'!$B$13&gt;-1,'Inputs'!$B$14&gt;=0,'Inputs'!$B$15&gt;=0,'Inputs'!$B$16&gt;=0,'Inputs'!$B$17&gt;=0,'Inputs'!$B$18&gt;=0,'Inputs'!$B$19&gt;0,'Inputs'!$B$20&gt;0,'Inputs'!$B$21&gt;0),1,0),6)</x:f>
        <x:v>1</x:v>
      </x:c>
      <x:c r="C11" s="218" t="n">
        <x:f>1</x:f>
        <x:v>1</x:v>
      </x:c>
      <x:c r="D11" s="218" t="n">
        <x:f>ROUND(B11-C11,6)</x:f>
        <x:v>0</x:v>
      </x:c>
      <x:c r="E11" s="218" t="n">
        <x:f>0.0001</x:f>
        <x:v>0.0001</x:v>
      </x:c>
      <x:c r="F11" s="215" t="str">
        <x:f>IF(ABS(ROUND(D11,6))&lt;=E11,"PASS","FAIL")</x:f>
        <x:v>PASS</x:v>
      </x:c>
      <x:c r="G11" s="198" t="str">
        <x:v>Inputs: debt, cash flow, and covenant assumptions</x:v>
      </x:c>
      <x:c r="H11" s="198"/>
    </x:row>
    <x:row r="12" ht="26" customHeight="1">
      <x:c r="A12" s="198" t="str">
        <x:v>Debt roll-forward ties</x:v>
      </x:c>
      <x:c r="B12" s="221" t="n">
        <x:f>ROUND(MAX(ABS('Model'!C31),ABS('Model'!D31),ABS('Model'!E31),ABS('Model'!F31),ABS('Model'!G31)),6)</x:f>
        <x:v>0</x:v>
      </x:c>
      <x:c r="C12" s="221" t="n">
        <x:f>0</x:f>
        <x:v>0</x:v>
      </x:c>
      <x:c r="D12" s="221" t="n">
        <x:f>ROUND(B12-C12,6)</x:f>
        <x:v>0</x:v>
      </x:c>
      <x:c r="E12" s="221" t="n">
        <x:f>0.01</x:f>
        <x:v>0.01</x:v>
      </x:c>
      <x:c r="F12" s="215" t="str">
        <x:f>IF(ABS(ROUND(D12,6))&lt;=E12,"PASS","FAIL")</x:f>
        <x:v>PASS</x:v>
      </x:c>
      <x:c r="G12" s="198" t="str">
        <x:v>Model: debt schedule</x:v>
      </x:c>
      <x:c r="H12" s="198"/>
    </x:row>
    <x:row r="13" ht="26" customHeight="1">
      <x:c r="A13" s="198" t="str">
        <x:v>Interest calculation ties</x:v>
      </x:c>
      <x:c r="B13" s="221" t="n">
        <x:f>ROUND(MAX(ABS('Model'!C32),ABS('Model'!D32),ABS('Model'!E32),ABS('Model'!F32),ABS('Model'!G32)),6)</x:f>
        <x:v>0</x:v>
      </x:c>
      <x:c r="C13" s="221" t="n">
        <x:f>0</x:f>
        <x:v>0</x:v>
      </x:c>
      <x:c r="D13" s="221" t="n">
        <x:f>ROUND(B13-C13,6)</x:f>
        <x:v>0</x:v>
      </x:c>
      <x:c r="E13" s="221" t="n">
        <x:f>0.01</x:f>
        <x:v>0.01</x:v>
      </x:c>
      <x:c r="F13" s="215" t="str">
        <x:f>IF(ABS(ROUND(D13,6))&lt;=E13,"PASS","FAIL")</x:f>
        <x:v>PASS</x:v>
      </x:c>
      <x:c r="G13" s="198" t="str">
        <x:v>Model: interest schedule</x:v>
      </x:c>
      <x:c r="H13" s="198"/>
    </x:row>
    <x:row r="14" ht="26" customHeight="1">
      <x:c r="A14" s="198" t="str">
        <x:v>CFADS bridge ties</x:v>
      </x:c>
      <x:c r="B14" s="221" t="n">
        <x:f>ROUND(MAX(ABS('Model'!C33),ABS('Model'!D33),ABS('Model'!E33),ABS('Model'!F33),ABS('Model'!G33)),6)</x:f>
        <x:v>0</x:v>
      </x:c>
      <x:c r="C14" s="221" t="n">
        <x:f>0</x:f>
        <x:v>0</x:v>
      </x:c>
      <x:c r="D14" s="221" t="n">
        <x:f>ROUND(B14-C14,6)</x:f>
        <x:v>0</x:v>
      </x:c>
      <x:c r="E14" s="221" t="n">
        <x:f>0.01</x:f>
        <x:v>0.01</x:v>
      </x:c>
      <x:c r="F14" s="215" t="str">
        <x:f>IF(ABS(ROUND(D14,6))&lt;=E14,"PASS","FAIL")</x:f>
        <x:v>PASS</x:v>
      </x:c>
      <x:c r="G14" s="198" t="str">
        <x:v>Model: CFADS bridge</x:v>
      </x:c>
      <x:c r="H14" s="198"/>
    </x:row>
    <x:row r="15" ht="26" customHeight="1">
      <x:c r="A15" s="198" t="str">
        <x:v>Debt-service bridge ties</x:v>
      </x:c>
      <x:c r="B15" s="221" t="n">
        <x:f>ROUND(MAX(ABS('Model'!C34),ABS('Model'!D34),ABS('Model'!E34),ABS('Model'!F34),ABS('Model'!G34)),6)</x:f>
        <x:v>0</x:v>
      </x:c>
      <x:c r="C15" s="221" t="n">
        <x:f>0</x:f>
        <x:v>0</x:v>
      </x:c>
      <x:c r="D15" s="221" t="n">
        <x:f>ROUND(B15-C15,6)</x:f>
        <x:v>0</x:v>
      </x:c>
      <x:c r="E15" s="221" t="n">
        <x:f>0.01</x:f>
        <x:v>0.01</x:v>
      </x:c>
      <x:c r="F15" s="215" t="str">
        <x:f>IF(ABS(ROUND(D15,6))&lt;=E15,"PASS","FAIL")</x:f>
        <x:v>PASS</x:v>
      </x:c>
      <x:c r="G15" s="198" t="str">
        <x:v>Model: debt service</x:v>
      </x:c>
      <x:c r="H15" s="198"/>
    </x:row>
    <x:row r="16" ht="26" customHeight="1">
      <x:c r="A16" s="198" t="str">
        <x:v>Covenant ratios recalculate</x:v>
      </x:c>
      <x:c r="B16" s="218" t="n">
        <x:f>ROUND(MAX(ABS('Model'!C35),ABS('Model'!D35),ABS('Model'!E35),ABS('Model'!F35),ABS('Model'!G35)),6)</x:f>
        <x:v>0</x:v>
      </x:c>
      <x:c r="C16" s="218" t="n">
        <x:f>0</x:f>
        <x:v>0</x:v>
      </x:c>
      <x:c r="D16" s="218" t="n">
        <x:f>ROUND(B16-C16,6)</x:f>
        <x:v>0</x:v>
      </x:c>
      <x:c r="E16" s="218" t="n">
        <x:f>0.001</x:f>
        <x:v>0.001</x:v>
      </x:c>
      <x:c r="F16" s="215" t="str">
        <x:f>IF(ABS(ROUND(D16,6))&lt;=E16,"PASS","FAIL")</x:f>
        <x:v>PASS</x:v>
      </x:c>
      <x:c r="G16" s="198" t="str">
        <x:v>Model: covenant ratios</x:v>
      </x:c>
      <x:c r="H16" s="198"/>
    </x:row>
    <x:row r="17" ht="26" customHeight="1">
      <x:c r="A17" s="198" t="str">
        <x:v>Debt remains non-negative</x:v>
      </x:c>
      <x:c r="B17" s="218" t="n">
        <x:f>ROUND(IF(MIN('Model'!C16,'Model'!D16,'Model'!E16,'Model'!F16,'Model'!G16)&gt;=0,1,0),6)</x:f>
        <x:v>1</x:v>
      </x:c>
      <x:c r="C17" s="218" t="n">
        <x:f>1</x:f>
        <x:v>1</x:v>
      </x:c>
      <x:c r="D17" s="218" t="n">
        <x:f>ROUND(B17-C17,6)</x:f>
        <x:v>0</x:v>
      </x:c>
      <x:c r="E17" s="218" t="n">
        <x:f>0.0001</x:f>
        <x:v>0.0001</x:v>
      </x:c>
      <x:c r="F17" s="215" t="str">
        <x:f>IF(ABS(ROUND(D17,6))&lt;=E17,"PASS","FAIL")</x:f>
        <x:v>PASS</x:v>
      </x:c>
      <x:c r="G17" s="198" t="str">
        <x:v>Model: debt schedule</x:v>
      </x:c>
      <x:c r="H17" s="198"/>
    </x:row>
    <x:row r="18" ht="26" customHeight="1">
      <x:c r="A18" s="198" t="str">
        <x:v>Compliance flags are complete</x:v>
      </x:c>
      <x:c r="B18" s="218" t="n">
        <x:f>ROUND(COUNT('Model'!C30,'Model'!D30,'Model'!E30,'Model'!F30,'Model'!G30),6)</x:f>
        <x:v>5</x:v>
      </x:c>
      <x:c r="C18" s="218" t="n">
        <x:f>5</x:f>
        <x:v>5</x:v>
      </x:c>
      <x:c r="D18" s="218" t="n">
        <x:f>ROUND(B18-C18,6)</x:f>
        <x:v>0</x:v>
      </x:c>
      <x:c r="E18" s="218" t="n">
        <x:f>0.0001</x:f>
        <x:v>0.0001</x:v>
      </x:c>
      <x:c r="F18" s="215" t="str">
        <x:f>IF(ABS(ROUND(D18,6))&lt;=E18,"PASS","FAIL")</x:f>
        <x:v>PASS</x:v>
      </x:c>
      <x:c r="G18" s="198" t="str">
        <x:v>Model: covenant flags</x:v>
      </x:c>
      <x:c r="H18" s="198"/>
    </x:row>
    <x:row r="19" ht="20" customHeight="1">
      <x:c r="A19" s="225" t="str">
        <x:v>A warning business outcome can still pass these controls; review Model and Results before making a decision.</x:v>
      </x:c>
      <x:c r="B19" s="226"/>
      <x:c r="C19" s="226"/>
      <x:c r="D19" s="226"/>
      <x:c r="E19" s="226"/>
      <x:c r="F19" s="226"/>
      <x:c r="G19" s="226"/>
      <x:c r="H19" s="227"/>
    </x:row>
    <x:row r="20" ht="20" customHeight="1">
      <x:c r="A20" s="60" t="str">
        <x:v>Debt &amp; Covenant Model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