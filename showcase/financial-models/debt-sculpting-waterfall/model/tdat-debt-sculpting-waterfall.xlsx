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7051f0594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6bbf5d5c2e149e3"/>
    <x:sheet xmlns:r="http://schemas.openxmlformats.org/officeDocument/2006/relationships" name="Inputs" sheetId="2" r:id="Rabb3b16a45334f0d"/>
    <x:sheet xmlns:r="http://schemas.openxmlformats.org/officeDocument/2006/relationships" name="Model" sheetId="3" r:id="R808235843a814364"/>
    <x:sheet xmlns:r="http://schemas.openxmlformats.org/officeDocument/2006/relationships" name="Results" sheetId="4" r:id="Re25c46ee6d2b4492"/>
    <x:sheet xmlns:r="http://schemas.openxmlformats.org/officeDocument/2006/relationships" name="Checks" sheetId="5" r:id="R768054854478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x;[Red](0.0x);-"/>
    <x:numFmt numFmtId="203" formatCode="#,##0;[Red](#,##0);-"/>
    <x:numFmt numFmtId="204" formatCode="0.00;[Red](0.00);-"/>
  </x:numFmts>
  <x:fonts count="16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sz val="11"/>
      <x:color rgb="FF008000"/>
      <x:name val="Carlito"/>
    </x:font>
    <x:font>
      <x:sz val="11"/>
      <x:color rgb="FF247252"/>
      <x:name val="Carlito"/>
    </x:font>
    <x:font>
      <x:b/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68717C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30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bottom style="thin">
        <x:color rgb="FFB5883A"/>
      </x:bottom>
    </x:border>
    <x:border>
      <x:left style="thin">
        <x:color rgb="FFD7DBE0"/>
      </x:left>
      <x:bottom style="thin">
        <x:color rgb="FFB5883A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203" fontId="4" fillId="8" borderId="8" xfId="0" applyNumberFormat="1" applyFont="1" applyFill="1" applyBorder="1" applyAlignment="1">
      <x:alignment vertical="center"/>
    </x:xf>
    <x:xf numFmtId="203" fontId="4" fillId="8" borderId="8" xfId="0" applyNumberFormat="1" applyFont="1" applyFill="1" applyBorder="1" applyAlignment="1">
      <x:alignment horizontal="right" vertical="center"/>
    </x:xf>
    <x:xf numFmtId="203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6" borderId="16" xfId="0" applyNumberFormat="1" applyFont="1" applyFill="1" applyBorder="1" applyAlignment="1">
      <x:alignment horizontal="lef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horizontal="right" vertical="center"/>
    </x:xf>
    <x:xf numFmtId="201" fontId="7" fillId="8" borderId="0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horizontal="right" vertical="center"/>
    </x:xf>
    <x:xf numFmtId="202" fontId="7" fillId="8" borderId="0" xfId="0" applyNumberFormat="1" applyFont="1" applyFill="1" applyBorder="1" applyAlignment="1">
      <x:alignment vertical="center"/>
    </x:xf>
    <x:xf numFmtId="202" fontId="7" fillId="8" borderId="0" xfId="0" applyNumberFormat="1" applyFont="1" applyFill="1" applyBorder="1" applyAlignment="1">
      <x:alignment horizontal="right" vertical="center"/>
    </x:xf>
    <x:xf numFmtId="203" fontId="7" fillId="8" borderId="0" xfId="0" applyNumberFormat="1" applyFont="1" applyFill="1" applyBorder="1" applyAlignment="1">
      <x:alignment vertical="center"/>
    </x:xf>
    <x:xf numFmtId="203" fontId="7" fillId="8" borderId="0" xfId="0" applyNumberFormat="1" applyFont="1" applyFill="1" applyBorder="1" applyAlignment="1">
      <x:alignment horizontal="right"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2" fillId="6" borderId="4" xfId="0" applyNumberFormat="1" applyFont="1" applyFill="1" applyBorder="1" applyAlignment="1">
      <x:alignment vertical="center"/>
    </x:xf>
    <x:xf numFmtId="0" fontId="2" fillId="6" borderId="5" xfId="0" applyNumberFormat="1" applyFont="1" applyFill="1" applyBorder="1" applyAlignment="1">
      <x:alignment vertical="center"/>
    </x:xf>
    <x:xf numFmtId="0" fontId="2" fillId="6" borderId="16" xfId="0" applyNumberFormat="1" applyFont="1" applyFill="1" applyBorder="1" applyAlignment="1">
      <x:alignment vertical="center"/>
    </x:xf>
    <x:xf numFmtId="0" fontId="2" fillId="6" borderId="17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1" fontId="8" fillId="8" borderId="0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3" fontId="8" fillId="8" borderId="0" xfId="0" applyNumberFormat="1" applyFont="1" applyFill="1" applyBorder="1" applyAlignment="1">
      <x:alignment horizontal="right" vertical="center"/>
    </x:xf>
    <x:xf numFmtId="0" fontId="2" fillId="6" borderId="16" xfId="0" applyNumberFormat="1" applyFont="1" applyFill="1" applyBorder="1" applyAlignment="1">
      <x:alignment horizontal="right"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horizontal="right"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vertical="center"/>
    </x:xf>
    <x:xf numFmtId="200" fontId="9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vertical="center"/>
    </x:xf>
    <x:xf numFmtId="202" fontId="10" fillId="8" borderId="0" xfId="0" applyNumberFormat="1" applyFont="1" applyFill="1" applyBorder="1" applyAlignment="1">
      <x:alignment horizontal="right" vertical="center"/>
    </x:xf>
    <x:xf numFmtId="203" fontId="10" fillId="8" borderId="0" xfId="0" applyNumberFormat="1" applyFont="1" applyFill="1" applyBorder="1" applyAlignment="1">
      <x:alignment vertical="center"/>
    </x:xf>
    <x:xf numFmtId="203" fontId="10" fillId="8" borderId="0" xfId="0" applyNumberFormat="1" applyFont="1" applyFill="1" applyBorder="1" applyAlignment="1">
      <x:alignment horizontal="right" vertical="center"/>
    </x:xf>
    <x:xf numFmtId="200" fontId="10" fillId="8" borderId="0" xfId="0" applyNumberFormat="1" applyFont="1" applyFill="1" applyBorder="1" applyAlignment="1">
      <x:alignment vertical="center"/>
    </x:xf>
    <x:xf numFmtId="200" fontId="10" fillId="8" borderId="0" xfId="0" applyNumberFormat="1" applyFont="1" applyFill="1" applyBorder="1" applyAlignment="1">
      <x:alignment horizontal="right"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9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horizontal="center" vertical="center"/>
    </x:xf>
    <x:xf numFmtId="0" fontId="2" fillId="3" borderId="19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20" xfId="0" applyNumberFormat="1" applyFont="1" applyFill="1" applyBorder="1" applyAlignment="1">
      <x:alignment vertical="center"/>
    </x:xf>
    <x:xf numFmtId="0" fontId="11" fillId="8" borderId="21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vertical="center"/>
    </x:xf>
    <x:xf numFmtId="200" fontId="11" fillId="8" borderId="3" xfId="0" applyNumberFormat="1" applyFont="1" applyFill="1" applyBorder="1" applyAlignment="1">
      <x:alignment vertical="center"/>
    </x:xf>
    <x:xf numFmtId="200" fontId="11" fillId="8" borderId="20" xfId="0" applyNumberFormat="1" applyFont="1" applyFill="1" applyBorder="1" applyAlignment="1">
      <x:alignment vertical="center"/>
    </x:xf>
    <x:xf numFmtId="200" fontId="11" fillId="8" borderId="21" xfId="0" applyNumberFormat="1" applyFont="1" applyFill="1" applyBorder="1" applyAlignment="1">
      <x:alignment vertical="center"/>
    </x:xf>
    <x:xf numFmtId="200" fontId="11" fillId="8" borderId="4" xfId="0" applyNumberFormat="1" applyFont="1" applyFill="1" applyBorder="1" applyAlignment="1">
      <x:alignment vertical="center"/>
    </x:xf>
    <x:xf numFmtId="20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horizontal="center" vertical="center"/>
    </x:xf>
    <x:xf numFmtId="200" fontId="11" fillId="8" borderId="3" xfId="0" applyNumberFormat="1" applyFont="1" applyFill="1" applyBorder="1" applyAlignment="1">
      <x:alignment horizontal="center" vertical="center"/>
    </x:xf>
    <x:xf numFmtId="200" fontId="11" fillId="8" borderId="20" xfId="0" applyNumberFormat="1" applyFont="1" applyFill="1" applyBorder="1" applyAlignment="1">
      <x:alignment horizontal="center" vertical="center"/>
    </x:xf>
    <x:xf numFmtId="200" fontId="11" fillId="8" borderId="21" xfId="0" applyNumberFormat="1" applyFont="1" applyFill="1" applyBorder="1" applyAlignment="1">
      <x:alignment horizontal="center" vertical="center"/>
    </x:xf>
    <x:xf numFmtId="200" fontId="11" fillId="8" borderId="4" xfId="0" applyNumberFormat="1" applyFont="1" applyFill="1" applyBorder="1" applyAlignment="1">
      <x:alignment horizontal="center" vertical="center"/>
    </x:xf>
    <x:xf numFmtId="200" fontId="11" fillId="8" borderId="6" xfId="0" applyNumberFormat="1" applyFont="1" applyFill="1" applyBorder="1" applyAlignment="1">
      <x:alignment horizontal="center" vertical="center"/>
    </x:xf>
    <x:xf numFmtId="202" fontId="11" fillId="8" borderId="1" xfId="0" applyNumberFormat="1" applyFont="1" applyFill="1" applyBorder="1" applyAlignment="1">
      <x:alignment vertical="center"/>
    </x:xf>
    <x:xf numFmtId="202" fontId="11" fillId="8" borderId="3" xfId="0" applyNumberFormat="1" applyFont="1" applyFill="1" applyBorder="1" applyAlignment="1">
      <x:alignment vertical="center"/>
    </x:xf>
    <x:xf numFmtId="202" fontId="11" fillId="8" borderId="20" xfId="0" applyNumberFormat="1" applyFont="1" applyFill="1" applyBorder="1" applyAlignment="1">
      <x:alignment vertical="center"/>
    </x:xf>
    <x:xf numFmtId="202" fontId="11" fillId="8" borderId="21" xfId="0" applyNumberFormat="1" applyFont="1" applyFill="1" applyBorder="1" applyAlignment="1">
      <x:alignment vertical="center"/>
    </x:xf>
    <x:xf numFmtId="202" fontId="11" fillId="8" borderId="4" xfId="0" applyNumberFormat="1" applyFont="1" applyFill="1" applyBorder="1" applyAlignment="1">
      <x:alignment vertical="center"/>
    </x:xf>
    <x:xf numFmtId="202" fontId="11" fillId="8" borderId="6" xfId="0" applyNumberFormat="1" applyFont="1" applyFill="1" applyBorder="1" applyAlignment="1">
      <x:alignment vertical="center"/>
    </x:xf>
    <x:xf numFmtId="202" fontId="11" fillId="8" borderId="1" xfId="0" applyNumberFormat="1" applyFont="1" applyFill="1" applyBorder="1" applyAlignment="1">
      <x:alignment horizontal="center" vertical="center"/>
    </x:xf>
    <x:xf numFmtId="202" fontId="11" fillId="8" borderId="3" xfId="0" applyNumberFormat="1" applyFont="1" applyFill="1" applyBorder="1" applyAlignment="1">
      <x:alignment horizontal="center" vertical="center"/>
    </x:xf>
    <x:xf numFmtId="202" fontId="11" fillId="8" borderId="20" xfId="0" applyNumberFormat="1" applyFont="1" applyFill="1" applyBorder="1" applyAlignment="1">
      <x:alignment horizontal="center" vertical="center"/>
    </x:xf>
    <x:xf numFmtId="202" fontId="11" fillId="8" borderId="21" xfId="0" applyNumberFormat="1" applyFont="1" applyFill="1" applyBorder="1" applyAlignment="1">
      <x:alignment horizontal="center" vertical="center"/>
    </x:xf>
    <x:xf numFmtId="202" fontId="11" fillId="8" borderId="4" xfId="0" applyNumberFormat="1" applyFont="1" applyFill="1" applyBorder="1" applyAlignment="1">
      <x:alignment horizontal="center" vertical="center"/>
    </x:xf>
    <x:xf numFmtId="202" fontId="11" fillId="8" borderId="6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2" xfId="0" applyNumberFormat="1" applyFont="1" applyFill="1" applyBorder="1" applyAlignment="1">
      <x:alignment vertical="center"/>
    </x:xf>
    <x:xf numFmtId="0" fontId="11" fillId="5" borderId="23" xfId="0" applyNumberFormat="1" applyFont="1" applyFill="1" applyBorder="1" applyAlignment="1">
      <x:alignment vertical="center"/>
    </x:xf>
    <x:xf numFmtId="0" fontId="11" fillId="5" borderId="24" xfId="0" applyNumberFormat="1" applyFont="1" applyFill="1" applyBorder="1" applyAlignment="1">
      <x:alignment vertical="center"/>
    </x:xf>
    <x:xf numFmtId="0" fontId="11" fillId="5" borderId="25" xfId="0" applyNumberFormat="1" applyFont="1" applyFill="1" applyBorder="1" applyAlignment="1">
      <x:alignment vertical="center"/>
    </x:xf>
    <x:xf numFmtId="0" fontId="11" fillId="5" borderId="16" xfId="0" applyNumberFormat="1" applyFont="1" applyFill="1" applyBorder="1" applyAlignment="1">
      <x:alignment vertical="center"/>
    </x:xf>
    <x:xf numFmtId="0" fontId="11" fillId="5" borderId="26" xfId="0" applyNumberFormat="1" applyFont="1" applyFill="1" applyBorder="1" applyAlignment="1">
      <x:alignment vertical="center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11" fillId="5" borderId="24" xfId="0" applyNumberFormat="1" applyFont="1" applyFill="1" applyBorder="1" applyAlignment="1">
      <x:alignment vertical="center" wrapText="1"/>
    </x:xf>
    <x:xf numFmtId="0" fontId="11" fillId="5" borderId="25" xfId="0" applyNumberFormat="1" applyFont="1" applyFill="1" applyBorder="1" applyAlignment="1">
      <x:alignment vertical="center" wrapText="1"/>
    </x:xf>
    <x:xf numFmtId="0" fontId="11" fillId="5" borderId="16" xfId="0" applyNumberFormat="1" applyFont="1" applyFill="1" applyBorder="1" applyAlignment="1">
      <x:alignment vertical="center" wrapText="1"/>
    </x:xf>
    <x:xf numFmtId="0" fontId="11" fillId="5" borderId="26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horizontal="center" vertical="center" wrapText="1"/>
    </x:xf>
    <x:xf numFmtId="0" fontId="11" fillId="5" borderId="23" xfId="0" applyNumberFormat="1" applyFont="1" applyFill="1" applyBorder="1" applyAlignment="1">
      <x:alignment horizontal="center" vertical="center" wrapText="1"/>
    </x:xf>
    <x:xf numFmtId="0" fontId="11" fillId="5" borderId="24" xfId="0" applyNumberFormat="1" applyFont="1" applyFill="1" applyBorder="1" applyAlignment="1">
      <x:alignment horizontal="center" vertical="center" wrapText="1"/>
    </x:xf>
    <x:xf numFmtId="0" fontId="11" fillId="5" borderId="25" xfId="0" applyNumberFormat="1" applyFont="1" applyFill="1" applyBorder="1" applyAlignment="1">
      <x:alignment horizontal="center" vertical="center" wrapText="1"/>
    </x:xf>
    <x:xf numFmtId="0" fontId="11" fillId="5" borderId="16" xfId="0" applyNumberFormat="1" applyFont="1" applyFill="1" applyBorder="1" applyAlignment="1">
      <x:alignment horizontal="center" vertical="center" wrapText="1"/>
    </x:xf>
    <x:xf numFmtId="0" fontId="11" fillId="5" borderId="26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3" fillId="8" borderId="0" xfId="0" applyNumberFormat="1" applyFont="1" applyFill="1" applyBorder="1" applyAlignment="1">
      <x:alignment vertical="center"/>
    </x:xf>
    <x:xf numFmtId="0" fontId="13" fillId="8" borderId="27" xfId="0" applyNumberFormat="1" applyFont="1" applyFill="1" applyBorder="1" applyAlignment="1">
      <x:alignment vertical="center"/>
    </x:xf>
    <x:xf numFmtId="0" fontId="13" fillId="8" borderId="28" xfId="0" applyNumberFormat="1" applyFont="1" applyFill="1" applyBorder="1" applyAlignment="1">
      <x:alignment vertical="center"/>
    </x:xf>
    <x:xf numFmtId="0" fontId="13" fillId="8" borderId="27" xfId="0" applyNumberFormat="1" applyFont="1" applyFill="1" applyBorder="1" applyAlignment="1">
      <x:alignment horizontal="center" vertical="center"/>
    </x:xf>
    <x:xf numFmtId="0" fontId="13" fillId="8" borderId="28" xfId="0" applyNumberFormat="1" applyFont="1" applyFill="1" applyBorder="1" applyAlignment="1">
      <x:alignment horizontal="center" vertical="center"/>
    </x:xf>
    <x:xf numFmtId="0" fontId="14" fillId="9" borderId="0" xfId="0" applyNumberFormat="1" applyFont="1" applyFill="1" applyBorder="1" applyAlignment="1">
      <x:alignment vertical="center"/>
    </x:xf>
    <x:xf numFmtId="0" fontId="14" fillId="9" borderId="27" xfId="0" applyNumberFormat="1" applyFont="1" applyFill="1" applyBorder="1" applyAlignment="1">
      <x:alignment vertical="center"/>
    </x:xf>
    <x:xf numFmtId="0" fontId="14" fillId="9" borderId="28" xfId="0" applyNumberFormat="1" applyFont="1" applyFill="1" applyBorder="1" applyAlignment="1">
      <x:alignment vertical="center"/>
    </x:xf>
    <x:xf numFmtId="0" fontId="14" fillId="9" borderId="27" xfId="0" applyNumberFormat="1" applyFont="1" applyFill="1" applyBorder="1" applyAlignment="1">
      <x:alignment vertical="center" wrapText="1"/>
    </x:xf>
    <x:xf numFmtId="0" fontId="14" fillId="9" borderId="28" xfId="0" applyNumberFormat="1" applyFont="1" applyFill="1" applyBorder="1" applyAlignment="1">
      <x:alignment vertical="center" wrapText="1"/>
    </x:xf>
    <x:xf numFmtId="0" fontId="14" fillId="9" borderId="27" xfId="0" applyNumberFormat="1" applyFont="1" applyFill="1" applyBorder="1" applyAlignment="1">
      <x:alignment horizontal="center" vertical="center" wrapText="1"/>
    </x:xf>
    <x:xf numFmtId="0" fontId="14" fillId="9" borderId="28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20" xfId="0" applyNumberFormat="1" applyFont="1" applyFill="1" applyBorder="1" applyAlignment="1">
      <x:alignment vertical="center"/>
    </x:xf>
    <x:xf numFmtId="0" fontId="1" fillId="8" borderId="21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1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7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vertical="center"/>
    </x:xf>
    <x:xf numFmtId="0" fontId="13" fillId="8" borderId="29" xfId="0" applyNumberFormat="1" applyFont="1" applyFill="1" applyBorder="1" applyAlignment="1">
      <x:alignment vertical="center"/>
    </x:xf>
    <x:xf numFmtId="0" fontId="13" fillId="8" borderId="29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3" fillId="5" borderId="20" xfId="0" applyNumberFormat="1" applyFont="1" applyFill="1" applyBorder="1" applyAlignment="1">
      <x:alignment vertical="center"/>
    </x:xf>
    <x:xf numFmtId="0" fontId="3" fillId="5" borderId="2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2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21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3" fillId="8" borderId="1" xfId="0" applyNumberFormat="1" applyFont="1" applyFill="1" applyBorder="1" applyAlignment="1">
      <x:alignment vertical="center"/>
    </x:xf>
    <x:xf numFmtId="0" fontId="13" fillId="8" borderId="3" xfId="0" applyNumberFormat="1" applyFont="1" applyFill="1" applyBorder="1" applyAlignment="1">
      <x:alignment vertical="center"/>
    </x:xf>
    <x:xf numFmtId="0" fontId="13" fillId="8" borderId="4" xfId="0" applyNumberFormat="1" applyFont="1" applyFill="1" applyBorder="1" applyAlignment="1">
      <x:alignment vertical="center"/>
    </x:xf>
    <x:xf numFmtId="0" fontId="13" fillId="8" borderId="6" xfId="0" applyNumberFormat="1" applyFont="1" applyFill="1" applyBorder="1" applyAlignment="1">
      <x:alignment vertical="center"/>
    </x:xf>
    <x:xf numFmtId="0" fontId="13" fillId="8" borderId="1" xfId="0" applyNumberFormat="1" applyFont="1" applyFill="1" applyBorder="1" applyAlignment="1">
      <x:alignment horizontal="center" vertical="center"/>
    </x:xf>
    <x:xf numFmtId="0" fontId="13" fillId="8" borderId="3" xfId="0" applyNumberFormat="1" applyFont="1" applyFill="1" applyBorder="1" applyAlignment="1">
      <x:alignment horizontal="center" vertical="center"/>
    </x:xf>
    <x:xf numFmtId="0" fontId="13" fillId="8" borderId="4" xfId="0" applyNumberFormat="1" applyFont="1" applyFill="1" applyBorder="1" applyAlignment="1">
      <x:alignment horizontal="center" vertical="center"/>
    </x:xf>
    <x:xf numFmtId="0" fontId="13" fillId="8" borderId="6" xfId="0" applyNumberFormat="1" applyFont="1" applyFill="1" applyBorder="1" applyAlignment="1">
      <x:alignment horizontal="center" vertical="center"/>
    </x:xf>
    <x:xf numFmtId="0" fontId="11" fillId="5" borderId="27" xfId="0" applyNumberFormat="1" applyFont="1" applyFill="1" applyBorder="1" applyAlignment="1">
      <x:alignment vertical="center"/>
    </x:xf>
    <x:xf numFmtId="0" fontId="11" fillId="5" borderId="28" xfId="0" applyNumberFormat="1" applyFont="1" applyFill="1" applyBorder="1" applyAlignment="1">
      <x:alignment vertical="center"/>
    </x:xf>
    <x:xf numFmtId="0" fontId="11" fillId="5" borderId="27" xfId="0" applyNumberFormat="1" applyFont="1" applyFill="1" applyBorder="1" applyAlignment="1">
      <x:alignment horizontal="center" vertical="center"/>
    </x:xf>
    <x:xf numFmtId="0" fontId="11" fillId="5" borderId="28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373e495b54b20" /><Relationship Type="http://schemas.openxmlformats.org/officeDocument/2006/relationships/theme" Target="/xl/theme/theme1.xml" Id="R0521e1f735bb47ca" /><Relationship Type="http://schemas.openxmlformats.org/officeDocument/2006/relationships/sharedStrings" Target="/xl/sharedStrings.xml" Id="Rf52e576c674c46da" /><Relationship Type="http://schemas.openxmlformats.org/officeDocument/2006/relationships/worksheet" Target="/xl/worksheets/sheet1.xml" Id="R76bbf5d5c2e149e3" /><Relationship Type="http://schemas.openxmlformats.org/officeDocument/2006/relationships/worksheet" Target="/xl/worksheets/sheet2.xml" Id="Rabb3b16a45334f0d" /><Relationship Type="http://schemas.openxmlformats.org/officeDocument/2006/relationships/worksheet" Target="/xl/worksheets/sheet3.xml" Id="R808235843a814364" /><Relationship Type="http://schemas.openxmlformats.org/officeDocument/2006/relationships/worksheet" Target="/xl/worksheets/sheet4.xml" Id="Re25c46ee6d2b4492" /><Relationship Type="http://schemas.openxmlformats.org/officeDocument/2006/relationships/worksheet" Target="/xl/worksheets/sheet5.xml" Id="R7680548544784b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TDAT-FM-PF-002 · Up to 10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33" t="str">
        <x:v>Debt Sculpting &amp; Waterfall</x:v>
      </x:c>
      <x:c r="B5" s="234"/>
      <x:c r="C5" s="234"/>
      <x:c r="D5" s="234"/>
      <x:c r="E5" s="234"/>
      <x:c r="F5" s="235"/>
      <x:c r="G5" s="63" t="str">
        <x:v>MODEL STATUS</x:v>
      </x:c>
      <x:c r="H5" s="63"/>
    </x:row>
    <x:row r="6" ht="20" customHeight="1">
      <x:c r="A6" s="236"/>
      <x:c r="B6" s="237"/>
      <x:c r="C6" s="237"/>
      <x:c r="D6" s="237"/>
      <x:c r="E6" s="237"/>
      <x:c r="F6" s="238"/>
      <x:c r="G6" s="246" t="str">
        <x:f>'Checks'!B4</x:f>
        <x:v>PASS</x:v>
      </x:c>
      <x:c r="H6" s="247"/>
    </x:row>
    <x:row r="7" ht="20" customHeight="1">
      <x:c r="A7" s="239"/>
      <x:c r="B7" s="240"/>
      <x:c r="C7" s="240"/>
      <x:c r="D7" s="240"/>
      <x:c r="E7" s="240"/>
      <x:c r="F7" s="241"/>
      <x:c r="G7" s="248"/>
      <x:c r="H7" s="249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4" t="str">
        <x:v>WHAT THIS MODEL IS FOR</x:v>
      </x:c>
      <x:c r="B9" s="64"/>
      <x:c r="C9" s="64"/>
      <x:c r="D9" s="64"/>
      <x:c r="E9" s="64"/>
      <x:c r="F9" s="64"/>
      <x:c r="G9" s="64"/>
      <x:c r="H9" s="64"/>
    </x:row>
    <x:row r="10" ht="20" customHeight="1">
      <x:c r="A10" s="185" t="str">
        <x:v>Can projected cash repay one term loan at the target DSCR?</x:v>
      </x:c>
      <x:c r="B10" s="186"/>
      <x:c r="C10" s="186"/>
      <x:c r="D10" s="186"/>
      <x:c r="E10" s="186"/>
      <x:c r="F10" s="186"/>
      <x:c r="G10" s="186"/>
      <x:c r="H10" s="187"/>
    </x:row>
    <x:row r="11" ht="20" customHeight="1">
      <x:c r="A11" s="188"/>
      <x:c r="B11" s="189"/>
      <x:c r="C11" s="189"/>
      <x:c r="D11" s="189"/>
      <x:c r="E11" s="189"/>
      <x:c r="F11" s="189"/>
      <x:c r="G11" s="189"/>
      <x:c r="H11" s="19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USE IT IN FOUR STEPS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252" t="str">
        <x:v>1 · INPUTS</x:v>
      </x:c>
      <x:c r="B14" s="253"/>
      <x:c r="C14" s="252" t="str">
        <x:v>2 · MODEL</x:v>
      </x:c>
      <x:c r="D14" s="253"/>
      <x:c r="E14" s="252" t="str">
        <x:v>3 · RESULTS</x:v>
      </x:c>
      <x:c r="F14" s="253"/>
      <x:c r="G14" s="252" t="str">
        <x:v>4 · CHECKS</x:v>
      </x:c>
      <x:c r="H14" s="253"/>
    </x:row>
    <x:row r="15" ht="20" customHeight="1">
      <x:c r="A15" s="254" t="str">
        <x:v>Edit only blue cells</x:v>
      </x:c>
      <x:c r="B15" s="255"/>
      <x:c r="C15" s="254" t="str">
        <x:v>Trace schedules and formulas</x:v>
      </x:c>
      <x:c r="D15" s="255"/>
      <x:c r="E15" s="254" t="str">
        <x:v>Read the linked decision view</x:v>
      </x:c>
      <x:c r="F15" s="255"/>
      <x:c r="G15" s="254" t="str">
        <x:v>Resolve every FAIL</x:v>
      </x:c>
      <x:c r="H15" s="255"/>
    </x:row>
    <x:row r="16" ht="20" customHeight="1">
      <x:c r="A16" s="256"/>
      <x:c r="B16" s="257"/>
      <x:c r="C16" s="256"/>
      <x:c r="D16" s="257"/>
      <x:c r="E16" s="256"/>
      <x:c r="F16" s="257"/>
      <x:c r="G16" s="256"/>
      <x:c r="H16" s="257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4" t="str">
        <x:v>DEPTH WITHOUT EXTRA TABS</x:v>
      </x:c>
      <x:c r="B18" s="64"/>
      <x:c r="C18" s="64"/>
      <x:c r="D18" s="64"/>
      <x:c r="E18" s="64"/>
      <x:c r="F18" s="64"/>
      <x:c r="G18" s="64"/>
      <x:c r="H18" s="64"/>
    </x:row>
    <x:row r="19" ht="20" customHeight="1">
      <x:c r="A19" s="164" t="str">
        <x:v>Forecast</x:v>
      </x:c>
      <x:c r="B19" s="164"/>
      <x:c r="C19" s="178" t="str">
        <x:v>Up to 10 years</x:v>
      </x:c>
      <x:c r="D19" s="178"/>
      <x:c r="E19" s="178"/>
      <x:c r="F19" s="178"/>
      <x:c r="G19" s="178"/>
      <x:c r="H19" s="178"/>
    </x:row>
    <x:row r="20" ht="20" customHeight="1">
      <x:c r="A20" s="164" t="str">
        <x:v>Editable inputs</x:v>
      </x:c>
      <x:c r="B20" s="164"/>
      <x:c r="C20" s="178" t="str">
        <x:v>6</x:v>
      </x:c>
      <x:c r="D20" s="178"/>
      <x:c r="E20" s="178"/>
      <x:c r="F20" s="178"/>
      <x:c r="G20" s="178"/>
      <x:c r="H20" s="178"/>
    </x:row>
    <x:row r="21" ht="20" customHeight="1">
      <x:c r="A21" s="164" t="str">
        <x:v>Visible sheets</x:v>
      </x:c>
      <x:c r="B21" s="164"/>
      <x:c r="C21" s="178" t="str">
        <x:v>5</x:v>
      </x:c>
      <x:c r="D21" s="178"/>
      <x:c r="E21" s="178"/>
      <x:c r="F21" s="178"/>
      <x:c r="G21" s="178"/>
      <x:c r="H21" s="178"/>
    </x:row>
    <x:row r="22" ht="20" customHeight="1">
      <x:c r="A22" s="164" t="str">
        <x:v>Setup</x:v>
      </x:c>
      <x:c r="B22" s="164"/>
      <x:c r="C22" s="178" t="str">
        <x:v>10–15 minutes</x:v>
      </x:c>
      <x:c r="D22" s="178"/>
      <x:c r="E22" s="178"/>
      <x:c r="F22" s="178"/>
      <x:c r="G22" s="178"/>
      <x:c r="H22" s="178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4" t="str">
        <x:v>FIT &amp; SCOPE</x:v>
      </x:c>
      <x:c r="B24" s="64"/>
      <x:c r="C24" s="64"/>
      <x:c r="D24" s="64"/>
      <x:c r="E24" s="64"/>
      <x:c r="F24" s="64"/>
      <x:c r="G24" s="64"/>
      <x:c r="H24" s="64"/>
    </x:row>
    <x:row r="25" ht="20" customHeight="1">
      <x:c r="A25" s="199" t="str">
        <x:v>Included: Ten-year CFADS generated from two inputs · Target-DSCR principal sculpting · Debt capacity, balloon, and cash to equity</x:v>
      </x:c>
      <x:c r="B25" s="200"/>
      <x:c r="C25" s="200"/>
      <x:c r="D25" s="200"/>
      <x:c r="E25" s="200"/>
      <x:c r="F25" s="200"/>
      <x:c r="G25" s="200"/>
      <x:c r="H25" s="201"/>
    </x:row>
    <x:row r="26" ht="20" customHeight="1">
      <x:c r="A26" s="205"/>
      <x:c r="B26" s="206"/>
      <x:c r="C26" s="206"/>
      <x:c r="D26" s="206"/>
      <x:c r="E26" s="206"/>
      <x:c r="F26" s="206"/>
      <x:c r="G26" s="206"/>
      <x:c r="H26" s="207"/>
    </x:row>
    <x:row r="27" ht="20" customHeight="1">
      <x:c r="A27" s="264" t="str">
        <x:v>Scope boundary: Reserve accounts, lock-ups, multiple tranches, tax waterfalls, iterative solvers, and legal terms.</x:v>
      </x:c>
      <x:c r="B27" s="265"/>
      <x:c r="C27" s="265"/>
      <x:c r="D27" s="265"/>
      <x:c r="E27" s="265"/>
      <x:c r="F27" s="265"/>
      <x:c r="G27" s="265"/>
      <x:c r="H27" s="266"/>
    </x:row>
    <x:row r="28" ht="20" customHeight="1">
      <x:c r="A28" s="267"/>
      <x:c r="B28" s="268"/>
      <x:c r="C28" s="268"/>
      <x:c r="D28" s="268"/>
      <x:c r="E28" s="268"/>
      <x:c r="F28" s="268"/>
      <x:c r="G28" s="268"/>
      <x:c r="H28" s="269"/>
    </x:row>
    <x:row r="29" ht="20" customHeight="1">
      <x:c r="A29" s="271" t="str">
        <x:v>Synthetic demonstration only · Tested 2026-08-17 · Excel 365 · Macro-free · No external links</x:v>
      </x:c>
      <x:c r="B29" s="271"/>
      <x:c r="C29" s="271"/>
      <x:c r="D29" s="271"/>
      <x:c r="E29" s="271"/>
      <x:c r="F29" s="271"/>
      <x:c r="G29" s="271"/>
      <x:c r="H29" s="271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Debt Sculpting &amp; Waterfall · Start → Inputs → Model → Results → Checks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Sculpting &amp; Waterfall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Opening debt</x:v>
      </x:c>
      <x:c r="B10" s="39" t="n">
        <x:v>280</x:v>
      </x:c>
      <x:c r="C10" s="3" t="str">
        <x:v>LCY m</x:v>
      </x:c>
      <x:c r="D10" s="37" t="str">
        <x:v>Debt outstanding at the start</x:v>
      </x:c>
      <x:c r="E10" s="38"/>
      <x:c r="F10" s="38"/>
      <x:c r="G10" s="38"/>
      <x:c r="H10" s="38"/>
    </x:row>
    <x:row r="11" ht="20" customHeight="1">
      <x:c r="A11" s="3" t="str">
        <x:v>Year 1 CFADS</x:v>
      </x:c>
      <x:c r="B11" s="39" t="n">
        <x:v>52</x:v>
      </x:c>
      <x:c r="C11" s="3" t="str">
        <x:v>LCY m</x:v>
      </x:c>
      <x:c r="D11" s="37" t="str">
        <x:v>Cash available for debt service</x:v>
      </x:c>
      <x:c r="E11" s="38"/>
      <x:c r="F11" s="38"/>
      <x:c r="G11" s="38"/>
      <x:c r="H11" s="38"/>
    </x:row>
    <x:row r="12" ht="20" customHeight="1">
      <x:c r="A12" s="3" t="str">
        <x:v>Annual CFADS growth</x:v>
      </x:c>
      <x:c r="B12" s="42" t="n">
        <x:v>0.05</x:v>
      </x:c>
      <x:c r="C12" s="3" t="str">
        <x:v>%</x:v>
      </x:c>
      <x:c r="D12" s="37" t="str">
        <x:v>One growth rate across the term</x:v>
      </x:c>
      <x:c r="E12" s="38"/>
      <x:c r="F12" s="38"/>
      <x:c r="G12" s="38"/>
      <x:c r="H12" s="38"/>
    </x:row>
    <x:row r="13" ht="20" customHeight="1">
      <x:c r="A13" s="3" t="str">
        <x:v>Debt interest rate</x:v>
      </x:c>
      <x:c r="B13" s="42" t="n">
        <x:v>0.08</x:v>
      </x:c>
      <x:c r="C13" s="3" t="str">
        <x:v>%</x:v>
      </x:c>
      <x:c r="D13" s="37" t="str">
        <x:v>Annual rate on opening debt</x:v>
      </x:c>
      <x:c r="E13" s="38"/>
      <x:c r="F13" s="38"/>
      <x:c r="G13" s="38"/>
      <x:c r="H13" s="38"/>
    </x:row>
    <x:row r="14" ht="20" customHeight="1">
      <x:c r="A14" s="3" t="str">
        <x:v>Target DSCR</x:v>
      </x:c>
      <x:c r="B14" s="45" t="n">
        <x:v>1.3</x:v>
      </x:c>
      <x:c r="C14" s="3" t="str">
        <x:v>x</x:v>
      </x:c>
      <x:c r="D14" s="37" t="str">
        <x:v>CFADS divided by debt service</x:v>
      </x:c>
      <x:c r="E14" s="38"/>
      <x:c r="F14" s="38"/>
      <x:c r="G14" s="38"/>
      <x:c r="H14" s="38"/>
    </x:row>
    <x:row r="15" ht="20" customHeight="1">
      <x:c r="A15" s="3" t="str">
        <x:v>Loan term</x:v>
      </x:c>
      <x:c r="B15" s="48" t="n">
        <x:v>10</x:v>
      </x:c>
      <x:c r="C15" s="3" t="str">
        <x:v>years</x:v>
      </x:c>
      <x:c r="D15" s="37" t="str">
        <x:v>Whole years from 1 to 10</x:v>
      </x:c>
      <x:c r="E15" s="38"/>
      <x:c r="F15" s="38"/>
      <x:c r="G15" s="38"/>
      <x:c r="H15" s="38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57" t="str">
        <x:v>Synthetic example. Replace only the blue values, trace the calculation on Model, then review Results and Checks.</x:v>
      </x:c>
      <x:c r="B17" s="58"/>
      <x:c r="C17" s="58"/>
      <x:c r="D17" s="58"/>
      <x:c r="E17" s="58"/>
      <x:c r="F17" s="58"/>
      <x:c r="G17" s="58"/>
      <x:c r="H17" s="59"/>
    </x:row>
    <x:row r="18" ht="20" customHeight="1">
      <x:c r="A18" s="60"/>
      <x:c r="B18" s="61"/>
      <x:c r="C18" s="61"/>
      <x:c r="D18" s="61"/>
      <x:c r="E18" s="61"/>
      <x:c r="F18" s="61"/>
      <x:c r="G18" s="61"/>
      <x:c r="H18" s="62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3" t="str">
        <x:v>Debt Sculpting &amp; Waterfall · 6 editable assumptions · v1.4.0</x:v>
      </x:c>
      <x:c r="B24" s="63"/>
      <x:c r="C24" s="63"/>
      <x:c r="D24" s="63"/>
      <x:c r="E24" s="63"/>
      <x:c r="F24" s="63"/>
      <x:c r="G24" s="63"/>
      <x:c r="H24" s="63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A17:H18"/>
    <x:mergeCell ref="A24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Sculpting &amp; Waterfall · Ten-year driver, capacity, and repayment schedule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2" t="str">
        <x:v>DEBT CAPACITY</x:v>
      </x:c>
      <x:c r="B5" s="113"/>
      <x:c r="C5" s="112" t="str">
        <x:v>MINIMUM DSCR</x:v>
      </x:c>
      <x:c r="D5" s="113"/>
      <x:c r="E5" s="112" t="str">
        <x:v>CLOSING BALLOON</x:v>
      </x:c>
      <x:c r="F5" s="113"/>
      <x:c r="G5" s="112" t="str">
        <x:v>CASH TO EQUITY</x:v>
      </x:c>
      <x:c r="H5" s="113"/>
    </x:row>
    <x:row r="6" ht="20" customHeight="1">
      <x:c r="A6" s="127" t="n">
        <x:f>B32</x:f>
        <x:v>327.34215480074204</x:v>
      </x:c>
      <x:c r="B6" s="128"/>
      <x:c r="C6" s="139" t="n">
        <x:f>B35</x:f>
        <x:v>1.3</x:v>
      </x:c>
      <x:c r="D6" s="140"/>
      <x:c r="E6" s="127" t="n">
        <x:f>B33</x:f>
        <x:v>0</x:v>
      </x:c>
      <x:c r="F6" s="128"/>
      <x:c r="G6" s="127" t="n">
        <x:f>B37</x:f>
        <x:v>250.1684249777078</x:v>
      </x:c>
      <x:c r="H6" s="128"/>
    </x:row>
    <x:row r="7" ht="20" customHeight="1">
      <x:c r="A7" s="129"/>
      <x:c r="B7" s="130"/>
      <x:c r="C7" s="141"/>
      <x:c r="D7" s="142"/>
      <x:c r="E7" s="129"/>
      <x:c r="F7" s="130"/>
      <x:c r="G7" s="129"/>
      <x:c r="H7" s="130"/>
    </x:row>
    <x:row r="8" ht="20" customHeight="1">
      <x:c r="A8" s="131"/>
      <x:c r="B8" s="132"/>
      <x:c r="C8" s="143"/>
      <x:c r="D8" s="144"/>
      <x:c r="E8" s="131"/>
      <x:c r="F8" s="132"/>
      <x:c r="G8" s="131"/>
      <x:c r="H8" s="13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5" t="str">
        <x:v>DRIVER &amp; CAPACITY SETUP</x:v>
      </x:c>
      <x:c r="B10" s="65"/>
      <x:c r="C10" s="65"/>
      <x:c r="D10" s="65"/>
      <x:c r="E10" s="65"/>
      <x:c r="F10" s="65"/>
      <x:c r="G10" s="65"/>
      <x:c r="H10" s="65"/>
    </x:row>
    <x:row r="11" ht="20" customHeight="1">
      <x:c r="A11" s="82" t="str">
        <x:v>Metric</x:v>
      </x:c>
      <x:c r="B11" s="82" t="str">
        <x:v>Value</x:v>
      </x:c>
      <x:c r="C11" s="82" t="str">
        <x:v>Unit</x:v>
      </x:c>
      <x:c r="D11" s="83" t="str">
        <x:v>Notes</x:v>
      </x:c>
      <x:c r="E11" s="82"/>
      <x:c r="F11" s="82"/>
      <x:c r="G11" s="82"/>
      <x:c r="H11" s="82"/>
    </x:row>
    <x:row r="12" ht="20" customHeight="1">
      <x:c r="A12" s="29" t="str">
        <x:v>Opening debt</x:v>
      </x:c>
      <x:c r="B12" s="84" t="n">
        <x:f>'Inputs'!$B$10</x:f>
        <x:v>280</x:v>
      </x:c>
      <x:c r="C12" s="29" t="str">
        <x:v>LCY m</x:v>
      </x:c>
      <x:c r="D12" s="37" t="str">
        <x:v>Debt outstanding before the first sculpted payment</x:v>
      </x:c>
      <x:c r="E12" s="38"/>
      <x:c r="F12" s="38"/>
      <x:c r="G12" s="38"/>
      <x:c r="H12" s="38"/>
    </x:row>
    <x:row r="13" ht="20" customHeight="1">
      <x:c r="A13" s="29" t="str">
        <x:v>Year 1 CFADS</x:v>
      </x:c>
      <x:c r="B13" s="84" t="n">
        <x:f>'Inputs'!$B$11</x:f>
        <x:v>52</x:v>
      </x:c>
      <x:c r="C13" s="29" t="str">
        <x:v>LCY m</x:v>
      </x:c>
      <x:c r="D13" s="37" t="str">
        <x:v>Opening cash available for debt service</x:v>
      </x:c>
      <x:c r="E13" s="38"/>
      <x:c r="F13" s="38"/>
      <x:c r="G13" s="38"/>
      <x:c r="H13" s="38"/>
    </x:row>
    <x:row r="14" ht="20" customHeight="1">
      <x:c r="A14" s="29" t="str">
        <x:v>Annual CFADS growth</x:v>
      </x:c>
      <x:c r="B14" s="85" t="n">
        <x:f>'Inputs'!$B$12</x:f>
        <x:v>0.05</x:v>
      </x:c>
      <x:c r="C14" s="29" t="str">
        <x:v>%</x:v>
      </x:c>
      <x:c r="D14" s="37" t="str">
        <x:v>Copy-across growth driver</x:v>
      </x:c>
      <x:c r="E14" s="38"/>
      <x:c r="F14" s="38"/>
      <x:c r="G14" s="38"/>
      <x:c r="H14" s="38"/>
    </x:row>
    <x:row r="15" ht="20" customHeight="1">
      <x:c r="A15" s="29" t="str">
        <x:v>Debt interest rate</x:v>
      </x:c>
      <x:c r="B15" s="85" t="n">
        <x:f>'Inputs'!$B$13</x:f>
        <x:v>0.08</x:v>
      </x:c>
      <x:c r="C15" s="29" t="str">
        <x:v>%</x:v>
      </x:c>
      <x:c r="D15" s="37" t="str">
        <x:v>Applied to opening debt each year</x:v>
      </x:c>
      <x:c r="E15" s="38"/>
      <x:c r="F15" s="38"/>
      <x:c r="G15" s="38"/>
      <x:c r="H15" s="38"/>
    </x:row>
    <x:row r="16" ht="20" customHeight="1">
      <x:c r="A16" s="29" t="str">
        <x:v>Target DSCR</x:v>
      </x:c>
      <x:c r="B16" s="86" t="n">
        <x:f>'Inputs'!$B$14</x:f>
        <x:v>1.3</x:v>
      </x:c>
      <x:c r="C16" s="29" t="str">
        <x:v>x</x:v>
      </x:c>
      <x:c r="D16" s="37" t="str">
        <x:v>Sets maximum annual debt service</x:v>
      </x:c>
      <x:c r="E16" s="38"/>
      <x:c r="F16" s="38"/>
      <x:c r="G16" s="38"/>
      <x:c r="H16" s="38"/>
    </x:row>
    <x:row r="17" ht="20" customHeight="1">
      <x:c r="A17" s="29" t="str">
        <x:v>Selected loan term</x:v>
      </x:c>
      <x:c r="B17" s="87" t="n">
        <x:f>'Inputs'!$B$15</x:f>
        <x:v>10</x:v>
      </x:c>
      <x:c r="C17" s="29" t="str">
        <x:v>years</x:v>
      </x:c>
      <x:c r="D17" s="37" t="str">
        <x:v>Rows after the selected term remain blank</x:v>
      </x:c>
      <x:c r="E17" s="38"/>
      <x:c r="F17" s="38"/>
      <x:c r="G17" s="38"/>
      <x:c r="H17" s="38"/>
    </x:row>
    <x:row r="18" ht="20" customHeight="1">
      <x:c r="A18" s="65" t="str">
        <x:v>TEN-YEAR DEBT SCHEDULE</x:v>
      </x:c>
      <x:c r="B18" s="65"/>
      <x:c r="C18" s="65"/>
      <x:c r="D18" s="65"/>
      <x:c r="E18" s="65"/>
      <x:c r="F18" s="65"/>
      <x:c r="G18" s="65"/>
      <x:c r="H18" s="65"/>
    </x:row>
    <x:row r="19" ht="20" customHeight="1">
      <x:c r="A19" s="65" t="str">
        <x:v>Year</x:v>
      </x:c>
      <x:c r="B19" s="88" t="str">
        <x:v>CFADS</x:v>
      </x:c>
      <x:c r="C19" s="88" t="str">
        <x:v>Interest</x:v>
      </x:c>
      <x:c r="D19" s="88" t="str">
        <x:v>Principal</x:v>
      </x:c>
      <x:c r="E19" s="88" t="str">
        <x:v>Debt service</x:v>
      </x:c>
      <x:c r="F19" s="88" t="str">
        <x:v>Closing debt</x:v>
      </x:c>
      <x:c r="G19" s="88" t="str">
        <x:v>DSCR</x:v>
      </x:c>
      <x:c r="H19" s="88" t="str">
        <x:v>Cash to equity</x:v>
      </x:c>
    </x:row>
    <x:row r="20" ht="20" customHeight="1">
      <x:c r="A20" s="90" t="n">
        <x:f>IF(1&lt;='Inputs'!$B$15,1,"")</x:f>
        <x:v>1</x:v>
      </x:c>
      <x:c r="B20" s="92" t="n">
        <x:f>IF(A20="","",'Inputs'!$B$11*(1+'Inputs'!$B$12)^(A20-1))</x:f>
        <x:v>52</x:v>
      </x:c>
      <x:c r="C20" s="92" t="n">
        <x:f>IF(A20="","",'Inputs'!$B$10*'Inputs'!$B$13)</x:f>
        <x:v>22.400000000000002</x:v>
      </x:c>
      <x:c r="D20" s="92" t="n">
        <x:f>IF(A20="","",IF('Inputs'!$B$14&lt;=0,0,MIN('Inputs'!$B$10,MAX(0,B20/'Inputs'!$B$14-C20))))</x:f>
        <x:v>17.599999999999998</x:v>
      </x:c>
      <x:c r="E20" s="92" t="n">
        <x:f>IF(A20="","",C20+D20)</x:f>
        <x:v>40</x:v>
      </x:c>
      <x:c r="F20" s="92" t="n">
        <x:f>IF(A20="","",MAX(0,'Inputs'!$B$10-D20))</x:f>
        <x:v>262.4</x:v>
      </x:c>
      <x:c r="G20" s="94" t="n">
        <x:f>IF(OR(A20="",E20=0),"",B20/E20)</x:f>
        <x:v>1.3</x:v>
      </x:c>
      <x:c r="H20" s="92" t="n">
        <x:f>IF(A20="","",B20-E20)</x:f>
        <x:v>12</x:v>
      </x:c>
    </x:row>
    <x:row r="21" ht="20" customHeight="1">
      <x:c r="A21" s="90" t="n">
        <x:f>IF(2&lt;='Inputs'!$B$15,2,"")</x:f>
        <x:v>2</x:v>
      </x:c>
      <x:c r="B21" s="92" t="n">
        <x:f>IF(A21="","",'Inputs'!$B$11*(1+'Inputs'!$B$12)^(A21-1))</x:f>
        <x:v>54.6</x:v>
      </x:c>
      <x:c r="C21" s="92" t="n">
        <x:f>IF(A21="","",F20*'Inputs'!$B$13)</x:f>
        <x:v>20.991999999999997</x:v>
      </x:c>
      <x:c r="D21" s="92" t="n">
        <x:f>IF(A21="","",IF('Inputs'!$B$14&lt;=0,0,MIN(F20,MAX(0,B21/'Inputs'!$B$14-C21))))</x:f>
        <x:v>21.008000000000003</x:v>
      </x:c>
      <x:c r="E21" s="92" t="n">
        <x:f>IF(A21="","",C21+D21)</x:f>
        <x:v>42</x:v>
      </x:c>
      <x:c r="F21" s="92" t="n">
        <x:f>IF(A21="","",MAX(0,F20-D21))</x:f>
        <x:v>241.39199999999997</x:v>
      </x:c>
      <x:c r="G21" s="94" t="n">
        <x:f>IF(OR(A21="",E21=0),"",B21/E21)</x:f>
        <x:v>1.3</x:v>
      </x:c>
      <x:c r="H21" s="92" t="n">
        <x:f>IF(A21="","",B21-E21)</x:f>
        <x:v>12.600000000000001</x:v>
      </x:c>
    </x:row>
    <x:row r="22" ht="20" customHeight="1">
      <x:c r="A22" s="90" t="n">
        <x:f>IF(3&lt;='Inputs'!$B$15,3,"")</x:f>
        <x:v>3</x:v>
      </x:c>
      <x:c r="B22" s="92" t="n">
        <x:f>IF(A22="","",'Inputs'!$B$11*(1+'Inputs'!$B$12)^(A22-1))</x:f>
        <x:v>57.33</x:v>
      </x:c>
      <x:c r="C22" s="92" t="n">
        <x:f>IF(A22="","",F21*'Inputs'!$B$13)</x:f>
        <x:v>19.311359999999997</x:v>
      </x:c>
      <x:c r="D22" s="92" t="n">
        <x:f>IF(A22="","",IF('Inputs'!$B$14&lt;=0,0,MIN(F21,MAX(0,B22/'Inputs'!$B$14-C22))))</x:f>
        <x:v>24.788639999999997</x:v>
      </x:c>
      <x:c r="E22" s="92" t="n">
        <x:f>IF(A22="","",C22+D22)</x:f>
        <x:v>44.099999999999994</x:v>
      </x:c>
      <x:c r="F22" s="92" t="n">
        <x:f>IF(A22="","",MAX(0,F21-D22))</x:f>
        <x:v>216.60335999999998</x:v>
      </x:c>
      <x:c r="G22" s="94" t="n">
        <x:f>IF(OR(A22="",E22=0),"",B22/E22)</x:f>
        <x:v>1.3</x:v>
      </x:c>
      <x:c r="H22" s="92" t="n">
        <x:f>IF(A22="","",B22-E22)</x:f>
        <x:v>13.230000000000004</x:v>
      </x:c>
    </x:row>
    <x:row r="23" ht="20" customHeight="1">
      <x:c r="A23" s="90" t="n">
        <x:f>IF(4&lt;='Inputs'!$B$15,4,"")</x:f>
        <x:v>4</x:v>
      </x:c>
      <x:c r="B23" s="92" t="n">
        <x:f>IF(A23="","",'Inputs'!$B$11*(1+'Inputs'!$B$12)^(A23-1))</x:f>
        <x:v>60.19650000000001</x:v>
      </x:c>
      <x:c r="C23" s="92" t="n">
        <x:f>IF(A23="","",F22*'Inputs'!$B$13)</x:f>
        <x:v>17.3282688</x:v>
      </x:c>
      <x:c r="D23" s="92" t="n">
        <x:f>IF(A23="","",IF('Inputs'!$B$14&lt;=0,0,MIN(F22,MAX(0,B23/'Inputs'!$B$14-C23))))</x:f>
        <x:v>28.976731200000007</x:v>
      </x:c>
      <x:c r="E23" s="92" t="n">
        <x:f>IF(A23="","",C23+D23)</x:f>
        <x:v>46.30500000000001</x:v>
      </x:c>
      <x:c r="F23" s="92" t="n">
        <x:f>IF(A23="","",MAX(0,F22-D23))</x:f>
        <x:v>187.62662879999996</x:v>
      </x:c>
      <x:c r="G23" s="94" t="n">
        <x:f>IF(OR(A23="",E23=0),"",B23/E23)</x:f>
        <x:v>1.3</x:v>
      </x:c>
      <x:c r="H23" s="92" t="n">
        <x:f>IF(A23="","",B23-E23)</x:f>
        <x:v>13.8915</x:v>
      </x:c>
    </x:row>
    <x:row r="24" ht="20" customHeight="1">
      <x:c r="A24" s="90" t="n">
        <x:f>IF(5&lt;='Inputs'!$B$15,5,"")</x:f>
        <x:v>5</x:v>
      </x:c>
      <x:c r="B24" s="92" t="n">
        <x:f>IF(A24="","",'Inputs'!$B$11*(1+'Inputs'!$B$12)^(A24-1))</x:f>
        <x:v>63.206325000000014</x:v>
      </x:c>
      <x:c r="C24" s="92" t="n">
        <x:f>IF(A24="","",F23*'Inputs'!$B$13)</x:f>
        <x:v>15.010130303999997</x:v>
      </x:c>
      <x:c r="D24" s="92" t="n">
        <x:f>IF(A24="","",IF('Inputs'!$B$14&lt;=0,0,MIN(F23,MAX(0,B24/'Inputs'!$B$14-C24))))</x:f>
        <x:v>33.61011969600001</x:v>
      </x:c>
      <x:c r="E24" s="92" t="n">
        <x:f>IF(A24="","",C24+D24)</x:f>
        <x:v>48.62025000000001</x:v>
      </x:c>
      <x:c r="F24" s="92" t="n">
        <x:f>IF(A24="","",MAX(0,F23-D24))</x:f>
        <x:v>154.01650910399997</x:v>
      </x:c>
      <x:c r="G24" s="94" t="n">
        <x:f>IF(OR(A24="",E24=0),"",B24/E24)</x:f>
        <x:v>1.3</x:v>
      </x:c>
      <x:c r="H24" s="92" t="n">
        <x:f>IF(A24="","",B24-E24)</x:f>
        <x:v>14.586075000000001</x:v>
      </x:c>
    </x:row>
    <x:row r="25" ht="20" customHeight="1">
      <x:c r="A25" s="90" t="n">
        <x:f>IF(6&lt;='Inputs'!$B$15,6,"")</x:f>
        <x:v>6</x:v>
      </x:c>
      <x:c r="B25" s="92" t="n">
        <x:f>IF(A25="","",'Inputs'!$B$11*(1+'Inputs'!$B$12)^(A25-1))</x:f>
        <x:v>66.36664125000001</x:v>
      </x:c>
      <x:c r="C25" s="92" t="n">
        <x:f>IF(A25="","",F24*'Inputs'!$B$13)</x:f>
        <x:v>12.321320728319998</x:v>
      </x:c>
      <x:c r="D25" s="92" t="n">
        <x:f>IF(A25="","",IF('Inputs'!$B$14&lt;=0,0,MIN(F24,MAX(0,B25/'Inputs'!$B$14-C25))))</x:f>
        <x:v>38.72994177168001</x:v>
      </x:c>
      <x:c r="E25" s="92" t="n">
        <x:f>IF(A25="","",C25+D25)</x:f>
        <x:v>51.05126250000001</x:v>
      </x:c>
      <x:c r="F25" s="92" t="n">
        <x:f>IF(A25="","",MAX(0,F24-D25))</x:f>
        <x:v>115.28656733231995</x:v>
      </x:c>
      <x:c r="G25" s="94" t="n">
        <x:f>IF(OR(A25="",E25=0),"",B25/E25)</x:f>
        <x:v>1.3</x:v>
      </x:c>
      <x:c r="H25" s="92" t="n">
        <x:f>IF(A25="","",B25-E25)</x:f>
        <x:v>15.315378750000008</x:v>
      </x:c>
    </x:row>
    <x:row r="26" ht="20" customHeight="1">
      <x:c r="A26" s="90" t="n">
        <x:f>IF(7&lt;='Inputs'!$B$15,7,"")</x:f>
        <x:v>7</x:v>
      </x:c>
      <x:c r="B26" s="92" t="n">
        <x:f>IF(A26="","",'Inputs'!$B$11*(1+'Inputs'!$B$12)^(A26-1))</x:f>
        <x:v>69.68497331250002</x:v>
      </x:c>
      <x:c r="C26" s="92" t="n">
        <x:f>IF(A26="","",F25*'Inputs'!$B$13)</x:f>
        <x:v>9.222925386585596</x:v>
      </x:c>
      <x:c r="D26" s="92" t="n">
        <x:f>IF(A26="","",IF('Inputs'!$B$14&lt;=0,0,MIN(F25,MAX(0,B26/'Inputs'!$B$14-C26))))</x:f>
        <x:v>44.38090023841442</x:v>
      </x:c>
      <x:c r="E26" s="92" t="n">
        <x:f>IF(A26="","",C26+D26)</x:f>
        <x:v>53.60382562500001</x:v>
      </x:c>
      <x:c r="F26" s="92" t="n">
        <x:f>IF(A26="","",MAX(0,F25-D26))</x:f>
        <x:v>70.90566709390552</x:v>
      </x:c>
      <x:c r="G26" s="94" t="n">
        <x:f>IF(OR(A26="",E26=0),"",B26/E26)</x:f>
        <x:v>1.3</x:v>
      </x:c>
      <x:c r="H26" s="92" t="n">
        <x:f>IF(A26="","",B26-E26)</x:f>
        <x:v>16.081147687500007</x:v>
      </x:c>
    </x:row>
    <x:row r="27" ht="20" customHeight="1">
      <x:c r="A27" s="90" t="n">
        <x:f>IF(8&lt;='Inputs'!$B$15,8,"")</x:f>
        <x:v>8</x:v>
      </x:c>
      <x:c r="B27" s="92" t="n">
        <x:f>IF(A27="","",'Inputs'!$B$11*(1+'Inputs'!$B$12)^(A27-1))</x:f>
        <x:v>73.16922197812502</x:v>
      </x:c>
      <x:c r="C27" s="92" t="n">
        <x:f>IF(A27="","",F26*'Inputs'!$B$13)</x:f>
        <x:v>5.672453367512442</x:v>
      </x:c>
      <x:c r="D27" s="92" t="n">
        <x:f>IF(A27="","",IF('Inputs'!$B$14&lt;=0,0,MIN(F26,MAX(0,B27/'Inputs'!$B$14-C27))))</x:f>
        <x:v>50.61156353873758</x:v>
      </x:c>
      <x:c r="E27" s="92" t="n">
        <x:f>IF(A27="","",C27+D27)</x:f>
        <x:v>56.28401690625002</x:v>
      </x:c>
      <x:c r="F27" s="92" t="n">
        <x:f>IF(A27="","",MAX(0,F26-D27))</x:f>
        <x:v>20.294103555167943</x:v>
      </x:c>
      <x:c r="G27" s="94" t="n">
        <x:f>IF(OR(A27="",E27=0),"",B27/E27)</x:f>
        <x:v>1.3</x:v>
      </x:c>
      <x:c r="H27" s="92" t="n">
        <x:f>IF(A27="","",B27-E27)</x:f>
        <x:v>16.885205071875006</x:v>
      </x:c>
    </x:row>
    <x:row r="28" ht="20" customHeight="1">
      <x:c r="A28" s="90" t="n">
        <x:f>IF(9&lt;='Inputs'!$B$15,9,"")</x:f>
        <x:v>9</x:v>
      </x:c>
      <x:c r="B28" s="92" t="n">
        <x:f>IF(A28="","",'Inputs'!$B$11*(1+'Inputs'!$B$12)^(A28-1))</x:f>
        <x:v>76.82768307703128</x:v>
      </x:c>
      <x:c r="C28" s="92" t="n">
        <x:f>IF(A28="","",F27*'Inputs'!$B$13)</x:f>
        <x:v>1.6235282844134356</x:v>
      </x:c>
      <x:c r="D28" s="92" t="n">
        <x:f>IF(A28="","",IF('Inputs'!$B$14&lt;=0,0,MIN(F27,MAX(0,B28/'Inputs'!$B$14-C28))))</x:f>
        <x:v>20.294103555167943</x:v>
      </x:c>
      <x:c r="E28" s="92" t="n">
        <x:f>IF(A28="","",C28+D28)</x:f>
        <x:v>21.91763183958138</x:v>
      </x:c>
      <x:c r="F28" s="92" t="n">
        <x:f>IF(A28="","",MAX(0,F27-D28))</x:f>
        <x:v>0</x:v>
      </x:c>
      <x:c r="G28" s="94" t="n">
        <x:f>IF(OR(A28="",E28=0),"",B28/E28)</x:f>
        <x:v>3.5052912485867664</x:v>
      </x:c>
      <x:c r="H28" s="92" t="n">
        <x:f>IF(A28="","",B28-E28)</x:f>
        <x:v>54.910051237449906</x:v>
      </x:c>
    </x:row>
    <x:row r="29" ht="20" customHeight="1">
      <x:c r="A29" s="90" t="n">
        <x:f>IF(10&lt;='Inputs'!$B$15,10,"")</x:f>
        <x:v>10</x:v>
      </x:c>
      <x:c r="B29" s="92" t="n">
        <x:f>IF(A29="","",'Inputs'!$B$11*(1+'Inputs'!$B$12)^(A29-1))</x:f>
        <x:v>80.66906723088285</x:v>
      </x:c>
      <x:c r="C29" s="92" t="n">
        <x:f>IF(A29="","",F28*'Inputs'!$B$13)</x:f>
        <x:v>0</x:v>
      </x:c>
      <x:c r="D29" s="92" t="n">
        <x:f>IF(A29="","",IF('Inputs'!$B$14&lt;=0,0,MIN(F28,MAX(0,B29/'Inputs'!$B$14-C29))))</x:f>
        <x:v>0</x:v>
      </x:c>
      <x:c r="E29" s="92" t="n">
        <x:f>IF(A29="","",C29+D29)</x:f>
        <x:v>0</x:v>
      </x:c>
      <x:c r="F29" s="92" t="n">
        <x:f>IF(A29="","",MAX(0,F28-D29))</x:f>
        <x:v>0</x:v>
      </x:c>
      <x:c r="G29" s="94" t="str">
        <x:f>IF(OR(A29="",E29=0),"",B29/E29)</x:f>
      </x:c>
      <x:c r="H29" s="92" t="n">
        <x:f>IF(A29="","",B29-E29)</x:f>
        <x:v>80.66906723088285</x:v>
      </x:c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82" t="str">
        <x:v>Metric</x:v>
      </x:c>
      <x:c r="B31" s="82" t="str">
        <x:v>Value</x:v>
      </x:c>
      <x:c r="C31" s="82" t="str">
        <x:v>Unit</x:v>
      </x:c>
      <x:c r="D31" s="83" t="str">
        <x:v>Notes</x:v>
      </x:c>
      <x:c r="E31" s="82"/>
      <x:c r="F31" s="82"/>
      <x:c r="G31" s="82"/>
      <x:c r="H31" s="82"/>
    </x:row>
    <x:row r="32" ht="20" customHeight="1">
      <x:c r="A32" s="11" t="str">
        <x:v>Debt capacity</x:v>
      </x:c>
      <x:c r="B32" s="97" t="n">
        <x:f>SUM(IF(OR(A20="",'Inputs'!$B$14&lt;=0,1+'Inputs'!$B$13&lt;=0),0,B20/'Inputs'!$B$14/(1+'Inputs'!$B$13)^A20),IF(OR(A21="",'Inputs'!$B$14&lt;=0,1+'Inputs'!$B$13&lt;=0),0,B21/'Inputs'!$B$14/(1+'Inputs'!$B$13)^A21),IF(OR(A22="",'Inputs'!$B$14&lt;=0,1+'Inputs'!$B$13&lt;=0),0,B22/'Inputs'!$B$14/(1+'Inputs'!$B$13)^A22),IF(OR(A23="",'Inputs'!$B$14&lt;=0,1+'Inputs'!$B$13&lt;=0),0,B23/'Inputs'!$B$14/(1+'Inputs'!$B$13)^A23),IF(OR(A24="",'Inputs'!$B$14&lt;=0,1+'Inputs'!$B$13&lt;=0),0,B24/'Inputs'!$B$14/(1+'Inputs'!$B$13)^A24),IF(OR(A25="",'Inputs'!$B$14&lt;=0,1+'Inputs'!$B$13&lt;=0),0,B25/'Inputs'!$B$14/(1+'Inputs'!$B$13)^A25),IF(OR(A26="",'Inputs'!$B$14&lt;=0,1+'Inputs'!$B$13&lt;=0),0,B26/'Inputs'!$B$14/(1+'Inputs'!$B$13)^A26),IF(OR(A27="",'Inputs'!$B$14&lt;=0,1+'Inputs'!$B$13&lt;=0),0,B27/'Inputs'!$B$14/(1+'Inputs'!$B$13)^A27),IF(OR(A28="",'Inputs'!$B$14&lt;=0,1+'Inputs'!$B$13&lt;=0),0,B28/'Inputs'!$B$14/(1+'Inputs'!$B$13)^A28),IF(OR(A29="",'Inputs'!$B$14&lt;=0,1+'Inputs'!$B$13&lt;=0),0,B29/'Inputs'!$B$14/(1+'Inputs'!$B$13)^A29))</x:f>
        <x:v>327.34215480074204</x:v>
      </x:c>
      <x:c r="C32" s="11" t="str">
        <x:v>LCY m</x:v>
      </x:c>
      <x:c r="D32" s="101" t="str">
        <x:v>PV of target debt service</x:v>
      </x:c>
      <x:c r="E32" s="102"/>
      <x:c r="F32" s="102"/>
      <x:c r="G32" s="102"/>
      <x:c r="H32" s="102"/>
    </x:row>
    <x:row r="33" ht="20" customHeight="1">
      <x:c r="A33" s="11" t="str">
        <x:v>Closing debt / balloon</x:v>
      </x:c>
      <x:c r="B33" s="97" t="n">
        <x:f>INDEX(F20:F29,MAX(1,MIN(10,ROUND('Inputs'!$B$15,0))))</x:f>
        <x:v>0</x:v>
      </x:c>
      <x:c r="C33" s="11" t="str">
        <x:v>LCY m</x:v>
      </x:c>
      <x:c r="D33" s="101" t="str">
        <x:v>Debt left at the end of the selected term</x:v>
      </x:c>
      <x:c r="E33" s="102"/>
      <x:c r="F33" s="102"/>
      <x:c r="G33" s="102"/>
      <x:c r="H33" s="102"/>
    </x:row>
    <x:row r="34" ht="20" customHeight="1">
      <x:c r="A34" s="29" t="str">
        <x:v>Capacity headroom</x:v>
      </x:c>
      <x:c r="B34" s="70" t="n">
        <x:f>B32-'Inputs'!$B$10</x:f>
        <x:v>47.34215480074204</x:v>
      </x:c>
      <x:c r="C34" s="29" t="str">
        <x:v>LCY m</x:v>
      </x:c>
      <x:c r="D34" s="37" t="str">
        <x:v>Debt capacity less opening debt</x:v>
      </x:c>
      <x:c r="E34" s="38"/>
      <x:c r="F34" s="38"/>
      <x:c r="G34" s="38"/>
      <x:c r="H34" s="38"/>
    </x:row>
    <x:row r="35" ht="20" customHeight="1">
      <x:c r="A35" s="29" t="str">
        <x:v>Minimum active DSCR</x:v>
      </x:c>
      <x:c r="B35" s="105" t="n">
        <x:f>IF(COUNT(G20:G29)=0,0,MIN(G20:G29))</x:f>
        <x:v>1.3</x:v>
      </x:c>
      <x:c r="C35" s="29" t="str">
        <x:v>x</x:v>
      </x:c>
      <x:c r="D35" s="37" t="str">
        <x:v>Blank years after repayment are ignored</x:v>
      </x:c>
      <x:c r="E35" s="38"/>
      <x:c r="F35" s="38"/>
      <x:c r="G35" s="38"/>
      <x:c r="H35" s="38"/>
    </x:row>
    <x:row r="36" ht="20" customHeight="1">
      <x:c r="A36" s="29" t="str">
        <x:v>Debt repaid in year</x:v>
      </x:c>
      <x:c r="B36" s="107" t="n">
        <x:f>IF(OR(B33&gt;0,COUNTIF(F20:F29,0)=0),0,MATCH(0,F20:F29,0))</x:f>
        <x:v>9</x:v>
      </x:c>
      <x:c r="C36" s="29" t="str">
        <x:v>year</x:v>
      </x:c>
      <x:c r="D36" s="37" t="str">
        <x:v>Zero means a balloon remains</x:v>
      </x:c>
      <x:c r="E36" s="38"/>
      <x:c r="F36" s="38"/>
      <x:c r="G36" s="38"/>
      <x:c r="H36" s="38"/>
    </x:row>
    <x:row r="37" ht="20" customHeight="1">
      <x:c r="A37" s="29" t="str">
        <x:v>Total cash to equity</x:v>
      </x:c>
      <x:c r="B37" s="109" t="n">
        <x:f>SUM(H20:H29)</x:f>
        <x:v>250.1684249777078</x:v>
      </x:c>
      <x:c r="C37" s="29" t="str">
        <x:v>LCY m</x:v>
      </x:c>
      <x:c r="D37" s="37" t="str">
        <x:v>CFADS left after debt service</x:v>
      </x:c>
      <x:c r="E37" s="38"/>
      <x:c r="F37" s="38"/>
      <x:c r="G37" s="38"/>
      <x:c r="H37" s="38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</x:row>
    <x:row r="40" ht="20" customHeight="1">
      <x:c r="A40" s="158" t="str">
        <x:f>IF(B33&lt;=0.0001,"FITS CAPACITY · debt is repaid","BALLOON REMAINS · reduce debt or extend the term")</x:f>
        <x:v>FITS CAPACITY · debt is repaid</x:v>
      </x:c>
      <x:c r="B40" s="159"/>
      <x:c r="C40" s="159"/>
      <x:c r="D40" s="159"/>
      <x:c r="E40" s="159"/>
      <x:c r="F40" s="159"/>
      <x:c r="G40" s="159"/>
      <x:c r="H40" s="160"/>
    </x:row>
    <x:row r="41" ht="20" customHeight="1">
      <x:c r="A41" s="161"/>
      <x:c r="B41" s="162"/>
      <x:c r="C41" s="162"/>
      <x:c r="D41" s="162"/>
      <x:c r="E41" s="162"/>
      <x:c r="F41" s="162"/>
      <x:c r="G41" s="162"/>
      <x:c r="H41" s="16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</x:row>
    <x:row r="45" ht="20" customHeight="1">
      <x:c r="A45" s="63" t="str">
        <x:v>Debt Sculpting &amp; Waterfall · Driver setup + ten annual debt periods · One debt tranche</x:v>
      </x:c>
      <x:c r="B45" s="63"/>
      <x:c r="C45" s="63"/>
      <x:c r="D45" s="63"/>
      <x:c r="E45" s="63"/>
      <x:c r="F45" s="63"/>
      <x:c r="G45" s="63"/>
      <x:c r="H45" s="63"/>
    </x:row>
  </x:sheetData>
  <x:mergeCells>
    <x:mergeCell ref="A1:H2"/>
    <x:mergeCell ref="A3:H3"/>
    <x:mergeCell ref="A10:H10"/>
    <x:mergeCell ref="D11:H11"/>
    <x:mergeCell ref="D12:H12"/>
    <x:mergeCell ref="D13:H13"/>
    <x:mergeCell ref="D14:H14"/>
    <x:mergeCell ref="D15:H15"/>
    <x:mergeCell ref="D16:H16"/>
    <x:mergeCell ref="D17:H17"/>
    <x:mergeCell ref="A18:H18"/>
    <x:mergeCell ref="D31:H31"/>
    <x:mergeCell ref="D32:H32"/>
    <x:mergeCell ref="D33:H33"/>
    <x:mergeCell ref="D34:H34"/>
    <x:mergeCell ref="D35:H35"/>
    <x:mergeCell ref="D36:H36"/>
    <x:mergeCell ref="D37:H37"/>
    <x:mergeCell ref="A5:B5"/>
    <x:mergeCell ref="A6:B8"/>
    <x:mergeCell ref="C5:D5"/>
    <x:mergeCell ref="C6:D8"/>
    <x:mergeCell ref="E5:F5"/>
    <x:mergeCell ref="E6:F8"/>
    <x:mergeCell ref="G5:H5"/>
    <x:mergeCell ref="G6:H8"/>
    <x:mergeCell ref="A40:H41"/>
    <x:mergeCell ref="A45:H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Sculpting &amp; Waterfall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2" t="str">
        <x:v>DEBT CAPACITY</x:v>
      </x:c>
      <x:c r="B5" s="113"/>
      <x:c r="C5" s="112" t="str">
        <x:v>MINIMUM DSCR</x:v>
      </x:c>
      <x:c r="D5" s="113"/>
      <x:c r="E5" s="112" t="str">
        <x:v>CLOSING BALLOON</x:v>
      </x:c>
      <x:c r="F5" s="113"/>
      <x:c r="G5" s="112" t="str">
        <x:v>CASH TO EQUITY</x:v>
      </x:c>
      <x:c r="H5" s="113"/>
    </x:row>
    <x:row r="6" ht="20" customHeight="1">
      <x:c r="A6" s="127" t="n">
        <x:f>'Model'!A6</x:f>
        <x:v>327.34215480074204</x:v>
      </x:c>
      <x:c r="B6" s="128"/>
      <x:c r="C6" s="139" t="n">
        <x:f>'Model'!C6</x:f>
        <x:v>1.3</x:v>
      </x:c>
      <x:c r="D6" s="140"/>
      <x:c r="E6" s="127" t="n">
        <x:f>'Model'!E6</x:f>
        <x:v>0</x:v>
      </x:c>
      <x:c r="F6" s="128"/>
      <x:c r="G6" s="127" t="n">
        <x:f>'Model'!G6</x:f>
        <x:v>250.1684249777078</x:v>
      </x:c>
      <x:c r="H6" s="128"/>
    </x:row>
    <x:row r="7" ht="20" customHeight="1">
      <x:c r="A7" s="129"/>
      <x:c r="B7" s="130"/>
      <x:c r="C7" s="141"/>
      <x:c r="D7" s="142"/>
      <x:c r="E7" s="129"/>
      <x:c r="F7" s="130"/>
      <x:c r="G7" s="129"/>
      <x:c r="H7" s="130"/>
    </x:row>
    <x:row r="8" ht="20" customHeight="1">
      <x:c r="A8" s="131"/>
      <x:c r="B8" s="132"/>
      <x:c r="C8" s="143"/>
      <x:c r="D8" s="144"/>
      <x:c r="E8" s="131"/>
      <x:c r="F8" s="132"/>
      <x:c r="G8" s="131"/>
      <x:c r="H8" s="13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4" t="str">
        <x:v>DECISION VIEW</x:v>
      </x:c>
      <x:c r="B10" s="64"/>
      <x:c r="C10" s="64"/>
      <x:c r="D10" s="64"/>
      <x:c r="E10" s="64"/>
      <x:c r="F10" s="64"/>
      <x:c r="G10" s="64"/>
      <x:c r="H10" s="64"/>
    </x:row>
    <x:row r="11" ht="34" customHeight="1">
      <x:c r="A11" s="165" t="str">
        <x:v>CALCULATION STATUS</x:v>
      </x:c>
      <x:c r="B11" s="165"/>
      <x:c r="C11" s="169" t="str">
        <x:f>'Checks'!B4</x:f>
        <x:v>PASS</x:v>
      </x:c>
      <x:c r="D11" s="170"/>
      <x:c r="E11" s="165" t="str">
        <x:v>DEBT CAPACITY OUTCOME</x:v>
      </x:c>
      <x:c r="F11" s="165"/>
      <x:c r="G11" s="176" t="str">
        <x:f>'Model'!A40</x:f>
        <x:v>FITS CAPACITY · debt is repaid</x:v>
      </x:c>
      <x:c r="H11" s="177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WHAT IT ANSWERS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185" t="str">
        <x:v>Can projected cash repay one term loan at the target DSCR?</x:v>
      </x:c>
      <x:c r="B14" s="186"/>
      <x:c r="C14" s="186"/>
      <x:c r="D14" s="186"/>
      <x:c r="E14" s="186"/>
      <x:c r="F14" s="186"/>
      <x:c r="G14" s="186"/>
      <x:c r="H14" s="187"/>
    </x:row>
    <x:row r="15" ht="20" customHeight="1">
      <x:c r="A15" s="188"/>
      <x:c r="B15" s="189"/>
      <x:c r="C15" s="189"/>
      <x:c r="D15" s="189"/>
      <x:c r="E15" s="189"/>
      <x:c r="F15" s="189"/>
      <x:c r="G15" s="189"/>
      <x:c r="H15" s="190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4" t="str">
        <x:v>MODEL DEPTH</x:v>
      </x:c>
      <x:c r="B17" s="64"/>
      <x:c r="C17" s="64"/>
      <x:c r="D17" s="64"/>
      <x:c r="E17" s="64"/>
      <x:c r="F17" s="64"/>
      <x:c r="G17" s="64"/>
      <x:c r="H17" s="64"/>
    </x:row>
    <x:row r="18" ht="20" customHeight="1">
      <x:c r="A18" s="164" t="str">
        <x:v>Forecast</x:v>
      </x:c>
      <x:c r="B18" s="164"/>
      <x:c r="C18" s="178" t="str">
        <x:v>Up to 10 years</x:v>
      </x:c>
      <x:c r="D18" s="178"/>
      <x:c r="E18" s="178"/>
      <x:c r="F18" s="178"/>
      <x:c r="G18" s="178"/>
      <x:c r="H18" s="178"/>
    </x:row>
    <x:row r="19" ht="20" customHeight="1">
      <x:c r="A19" s="164" t="str">
        <x:v>Editable inputs</x:v>
      </x:c>
      <x:c r="B19" s="164"/>
      <x:c r="C19" s="178" t="str">
        <x:v>6</x:v>
      </x:c>
      <x:c r="D19" s="178"/>
      <x:c r="E19" s="178"/>
      <x:c r="F19" s="178"/>
      <x:c r="G19" s="178"/>
      <x:c r="H19" s="178"/>
    </x:row>
    <x:row r="20" ht="20" customHeight="1">
      <x:c r="A20" s="164" t="str">
        <x:v>Calculation detail</x:v>
      </x:c>
      <x:c r="B20" s="164"/>
      <x:c r="C20" s="178" t="str">
        <x:v>Visible formulas, schedules, roll-forwards, and bridges</x:v>
      </x:c>
      <x:c r="D20" s="178"/>
      <x:c r="E20" s="178"/>
      <x:c r="F20" s="178"/>
      <x:c r="G20" s="178"/>
      <x:c r="H20" s="178"/>
    </x:row>
    <x:row r="21" ht="20" customHeight="1">
      <x:c r="A21" s="164" t="str">
        <x:v>Workbook flow</x:v>
      </x:c>
      <x:c r="B21" s="164"/>
      <x:c r="C21" s="178" t="str">
        <x:v>Start → Inputs → Model → Results → Checks</x:v>
      </x:c>
      <x:c r="D21" s="178"/>
      <x:c r="E21" s="178"/>
      <x:c r="F21" s="178"/>
      <x:c r="G21" s="178"/>
      <x:c r="H21" s="178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4" t="str">
        <x:v>SCOPE</x:v>
      </x:c>
      <x:c r="B23" s="64"/>
      <x:c r="C23" s="64"/>
      <x:c r="D23" s="64"/>
      <x:c r="E23" s="64"/>
      <x:c r="F23" s="64"/>
      <x:c r="G23" s="64"/>
      <x:c r="H23" s="64"/>
    </x:row>
    <x:row r="24" ht="20" customHeight="1">
      <x:c r="A24" s="199" t="str">
        <x:v>Included: Ten-year CFADS generated from two inputs · Target-DSCR principal sculpting · Debt capacity, balloon, and cash to equity</x:v>
      </x:c>
      <x:c r="B24" s="200"/>
      <x:c r="C24" s="200"/>
      <x:c r="D24" s="200"/>
      <x:c r="E24" s="200"/>
      <x:c r="F24" s="200"/>
      <x:c r="G24" s="200"/>
      <x:c r="H24" s="201"/>
    </x:row>
    <x:row r="25" ht="20" customHeight="1">
      <x:c r="A25" s="202"/>
      <x:c r="B25" s="203"/>
      <x:c r="C25" s="203"/>
      <x:c r="D25" s="203"/>
      <x:c r="E25" s="203"/>
      <x:c r="F25" s="203"/>
      <x:c r="G25" s="203"/>
      <x:c r="H25" s="204"/>
    </x:row>
    <x:row r="26" ht="20" customHeight="1">
      <x:c r="A26" s="205"/>
      <x:c r="B26" s="206"/>
      <x:c r="C26" s="206"/>
      <x:c r="D26" s="206"/>
      <x:c r="E26" s="206"/>
      <x:c r="F26" s="206"/>
      <x:c r="G26" s="206"/>
      <x:c r="H26" s="207"/>
    </x:row>
    <x:row r="27" ht="20" customHeight="1">
      <x:c r="A27" s="57" t="str">
        <x:v>Outside this model: Reserve accounts, lock-ups, multiple tranches, tax waterfalls, iterative solvers, and legal terms.</x:v>
      </x:c>
      <x:c r="B27" s="58"/>
      <x:c r="C27" s="58"/>
      <x:c r="D27" s="58"/>
      <x:c r="E27" s="58"/>
      <x:c r="F27" s="58"/>
      <x:c r="G27" s="58"/>
      <x:c r="H27" s="59"/>
    </x:row>
    <x:row r="28" ht="20" customHeight="1">
      <x:c r="A28" s="60"/>
      <x:c r="B28" s="61"/>
      <x:c r="C28" s="61"/>
      <x:c r="D28" s="61"/>
      <x:c r="E28" s="61"/>
      <x:c r="F28" s="61"/>
      <x:c r="G28" s="61"/>
      <x:c r="H28" s="62"/>
    </x:row>
    <x:row r="29" ht="20" customHeight="1">
      <x:c r="A29" s="211" t="str">
        <x:v>Five visible tabs · No hidden calculations · Calculation status and business outcome are reported separately.</x:v>
      </x:c>
      <x:c r="B29" s="212"/>
      <x:c r="C29" s="212"/>
      <x:c r="D29" s="212"/>
      <x:c r="E29" s="212"/>
      <x:c r="F29" s="212"/>
      <x:c r="G29" s="212"/>
      <x:c r="H29" s="21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Debt Sculpting &amp; Waterfall · v1.4.0 · Linked summary only · Trace all formulas on Model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Sculpting &amp; Waterfall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14" t="str">
        <x:f>IF(COUNTIF(F9:F18,"PASS")=10,"PASS","FAIL")</x:f>
        <x:v>PASS</x:v>
      </x:c>
      <x:c r="C4" s="214"/>
      <x:c r="D4" s="214"/>
      <x:c r="E4" s="214"/>
      <x:c r="F4" s="214"/>
      <x:c r="G4" s="214"/>
      <x:c r="H4" s="214"/>
    </x:row>
    <x:row r="5" ht="20" customHeight="1">
      <x:c r="A5" s="63" t="str">
        <x:v>MODEL STATUS</x:v>
      </x:c>
      <x:c r="B5" s="63"/>
      <x:c r="C5" s="169" t="str">
        <x:f>B4</x:f>
        <x:v>PASS</x:v>
      </x:c>
      <x:c r="D5" s="216"/>
      <x:c r="E5" s="216"/>
      <x:c r="F5" s="216"/>
      <x:c r="G5" s="216"/>
      <x:c r="H5" s="170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4" t="str">
        <x:v>10 CALCULATION CONTROLS</x:v>
      </x:c>
      <x:c r="B7" s="64"/>
      <x:c r="C7" s="64"/>
      <x:c r="D7" s="64"/>
      <x:c r="E7" s="64"/>
      <x:c r="F7" s="64"/>
      <x:c r="G7" s="64"/>
      <x:c r="H7" s="64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203" t="str">
        <x:v>All editable inputs are numeric</x:v>
      </x:c>
      <x:c r="B9" s="218" t="n">
        <x:f>ROUND(COUNT('Inputs'!B10,'Inputs'!B11,'Inputs'!B12,'Inputs'!B13,'Inputs'!B14,'Inputs'!B15),6)</x:f>
        <x:v>6</x:v>
      </x:c>
      <x:c r="C9" s="218" t="n">
        <x:f>6</x:f>
        <x:v>6</x:v>
      </x:c>
      <x:c r="D9" s="218" t="n">
        <x:f>ROUND(B9-C9,6)</x:f>
        <x:v>0</x:v>
      </x:c>
      <x:c r="E9" s="218" t="n">
        <x:f>0</x:f>
        <x:v>0</x:v>
      </x:c>
      <x:c r="F9" s="219" t="str">
        <x:f>IF(ABS(ROUND(D9,6))&lt;=E9,"PASS","FAIL")</x:f>
        <x:v>PASS</x:v>
      </x:c>
      <x:c r="G9" s="203" t="str">
        <x:v>Complete the blue cells on Inputs</x:v>
      </x:c>
      <x:c r="H9" s="203"/>
    </x:row>
    <x:row r="10" ht="26" customHeight="1">
      <x:c r="A10" s="203" t="str">
        <x:v>Results headline KPIs reconcile to Model</x:v>
      </x:c>
      <x:c r="B10" s="222" t="n">
        <x:f>ROUND(IFERROR(SUM(ABS('Results'!A6-'Model'!A6),ABS('Results'!C6-'Model'!C6),ABS('Results'!E6-'Model'!E6),ABS('Results'!G6-'Model'!G6)),1E+99),6)</x:f>
        <x:v>0</x:v>
      </x:c>
      <x:c r="C10" s="222" t="n">
        <x:f>0</x:f>
        <x:v>0</x:v>
      </x:c>
      <x:c r="D10" s="222" t="n">
        <x:f>ROUND(B10-C10,6)</x:f>
        <x:v>0</x:v>
      </x:c>
      <x:c r="E10" s="222" t="n">
        <x:f>0.0001</x:f>
        <x:v>0.0001</x:v>
      </x:c>
      <x:c r="F10" s="219" t="str">
        <x:f>IF(ABS(ROUND(D10,6))&lt;=E10,"PASS","FAIL")</x:f>
        <x:v>PASS</x:v>
      </x:c>
      <x:c r="G10" s="203" t="str">
        <x:v>Review Results-to-Model links</x:v>
      </x:c>
      <x:c r="H10" s="203"/>
    </x:row>
    <x:row r="11" ht="26" customHeight="1">
      <x:c r="A11" s="203" t="str">
        <x:v>Debt assumptions are valid</x:v>
      </x:c>
      <x:c r="B11" s="222" t="n">
        <x:f>ROUND(IF(AND('Inputs'!$B$10&gt;0,'Inputs'!$B$11&gt;=0,'Inputs'!$B$12&gt;-1,'Inputs'!$B$13&gt;=0,'Inputs'!$B$14&gt;1,'Inputs'!$B$15&gt;=1,'Inputs'!$B$15&lt;=10,'Inputs'!$B$15=INT('Inputs'!$B$15)),1,0),6)</x:f>
        <x:v>1</x:v>
      </x:c>
      <x:c r="C11" s="222" t="n">
        <x:f>1</x:f>
        <x:v>1</x:v>
      </x:c>
      <x:c r="D11" s="222" t="n">
        <x:f>ROUND(B11-C11,6)</x:f>
        <x:v>0</x:v>
      </x:c>
      <x:c r="E11" s="222" t="n">
        <x:f>0.0001</x:f>
        <x:v>0.0001</x:v>
      </x:c>
      <x:c r="F11" s="219" t="str">
        <x:f>IF(ABS(ROUND(D11,6))&lt;=E11,"PASS","FAIL")</x:f>
        <x:v>PASS</x:v>
      </x:c>
      <x:c r="G11" s="203" t="str">
        <x:v>Inputs: debt assumptions</x:v>
      </x:c>
      <x:c r="H11" s="203"/>
    </x:row>
    <x:row r="12" ht="26" customHeight="1">
      <x:c r="A12" s="203" t="str">
        <x:v>Debt roll-forward ties</x:v>
      </x:c>
      <x:c r="B12" s="224" t="n">
        <x:f>ROUND(SUM(IF('Model'!A20="",0,ABS('Model'!F20-('Inputs'!$B$10-'Model'!D20))+MAX(0,-'Model'!D20)+MAX(0,'Model'!D20-'Inputs'!$B$10)),IF('Model'!A21="",0,ABS('Model'!F21-('Model'!F20-'Model'!D21))+MAX(0,-'Model'!D21)+MAX(0,'Model'!D21-'Model'!F20)),IF('Model'!A22="",0,ABS('Model'!F22-('Model'!F21-'Model'!D22))+MAX(0,-'Model'!D22)+MAX(0,'Model'!D22-'Model'!F21)),IF('Model'!A23="",0,ABS('Model'!F23-('Model'!F22-'Model'!D23))+MAX(0,-'Model'!D23)+MAX(0,'Model'!D23-'Model'!F22)),IF('Model'!A24="",0,ABS('Model'!F24-('Model'!F23-'Model'!D24))+MAX(0,-'Model'!D24)+MAX(0,'Model'!D24-'Model'!F23)),IF('Model'!A25="",0,ABS('Model'!F25-('Model'!F24-'Model'!D25))+MAX(0,-'Model'!D25)+MAX(0,'Model'!D25-'Model'!F24)),IF('Model'!A26="",0,ABS('Model'!F26-('Model'!F25-'Model'!D26))+MAX(0,-'Model'!D26)+MAX(0,'Model'!D26-'Model'!F25)),IF('Model'!A27="",0,ABS('Model'!F27-('Model'!F26-'Model'!D27))+MAX(0,-'Model'!D27)+MAX(0,'Model'!D27-'Model'!F26)),IF('Model'!A28="",0,ABS('Model'!F28-('Model'!F27-'Model'!D28))+MAX(0,-'Model'!D28)+MAX(0,'Model'!D28-'Model'!F27)),IF('Model'!A29="",0,ABS('Model'!F29-('Model'!F28-'Model'!D29))+MAX(0,-'Model'!D29)+MAX(0,'Model'!D29-'Model'!F28))),6)</x:f>
        <x:v>0</x:v>
      </x:c>
      <x:c r="C12" s="224" t="n">
        <x:f>0</x:f>
        <x:v>0</x:v>
      </x:c>
      <x:c r="D12" s="224" t="n">
        <x:f>ROUND(B12-C12,6)</x:f>
        <x:v>0</x:v>
      </x:c>
      <x:c r="E12" s="224" t="n">
        <x:f>0.0001</x:f>
        <x:v>0.0001</x:v>
      </x:c>
      <x:c r="F12" s="219" t="str">
        <x:f>IF(ABS(ROUND(D12,6))&lt;=E12,"PASS","FAIL")</x:f>
        <x:v>PASS</x:v>
      </x:c>
      <x:c r="G12" s="203" t="str">
        <x:v>Model: debt schedule</x:v>
      </x:c>
      <x:c r="H12" s="203"/>
    </x:row>
    <x:row r="13" ht="26" customHeight="1">
      <x:c r="A13" s="203" t="str">
        <x:v>CFADS waterfall ties</x:v>
      </x:c>
      <x:c r="B13" s="224" t="n">
        <x:f>ROUND(SUM(IF('Model'!A20="",0,ABS('Model'!B20-'Model'!E20-'Model'!H20)),IF('Model'!A21="",0,ABS('Model'!B21-'Model'!E21-'Model'!H21)),IF('Model'!A22="",0,ABS('Model'!B22-'Model'!E22-'Model'!H22)),IF('Model'!A23="",0,ABS('Model'!B23-'Model'!E23-'Model'!H23)),IF('Model'!A24="",0,ABS('Model'!B24-'Model'!E24-'Model'!H24)),IF('Model'!A25="",0,ABS('Model'!B25-'Model'!E25-'Model'!H25)),IF('Model'!A26="",0,ABS('Model'!B26-'Model'!E26-'Model'!H26)),IF('Model'!A27="",0,ABS('Model'!B27-'Model'!E27-'Model'!H27)),IF('Model'!A28="",0,ABS('Model'!B28-'Model'!E28-'Model'!H28)),IF('Model'!A29="",0,ABS('Model'!B29-'Model'!E29-'Model'!H29))),6)</x:f>
        <x:v>0</x:v>
      </x:c>
      <x:c r="C13" s="224" t="n">
        <x:f>0</x:f>
        <x:v>0</x:v>
      </x:c>
      <x:c r="D13" s="224" t="n">
        <x:f>ROUND(B13-C13,6)</x:f>
        <x:v>0</x:v>
      </x:c>
      <x:c r="E13" s="224" t="n">
        <x:f>0.0001</x:f>
        <x:v>0.0001</x:v>
      </x:c>
      <x:c r="F13" s="219" t="str">
        <x:f>IF(ABS(ROUND(D13,6))&lt;=E13,"PASS","FAIL")</x:f>
        <x:v>PASS</x:v>
      </x:c>
      <x:c r="G13" s="203" t="str">
        <x:v>Model: cash to equity</x:v>
      </x:c>
      <x:c r="H13" s="203"/>
    </x:row>
    <x:row r="14" ht="26" customHeight="1">
      <x:c r="A14" s="203" t="str">
        <x:v>CFADS growth schedule traces</x:v>
      </x:c>
      <x:c r="B14" s="224" t="n">
        <x:f>ROUND(SUM(IF('Model'!A20="",0,ABS('Model'!B20-'Inputs'!$B$11*(1+'Inputs'!$B$12)^('Model'!A20-1))),IF('Model'!A21="",0,ABS('Model'!B21-'Inputs'!$B$11*(1+'Inputs'!$B$12)^('Model'!A21-1))),IF('Model'!A22="",0,ABS('Model'!B22-'Inputs'!$B$11*(1+'Inputs'!$B$12)^('Model'!A22-1))),IF('Model'!A23="",0,ABS('Model'!B23-'Inputs'!$B$11*(1+'Inputs'!$B$12)^('Model'!A23-1))),IF('Model'!A24="",0,ABS('Model'!B24-'Inputs'!$B$11*(1+'Inputs'!$B$12)^('Model'!A24-1))),IF('Model'!A25="",0,ABS('Model'!B25-'Inputs'!$B$11*(1+'Inputs'!$B$12)^('Model'!A25-1))),IF('Model'!A26="",0,ABS('Model'!B26-'Inputs'!$B$11*(1+'Inputs'!$B$12)^('Model'!A26-1))),IF('Model'!A27="",0,ABS('Model'!B27-'Inputs'!$B$11*(1+'Inputs'!$B$12)^('Model'!A27-1))),IF('Model'!A28="",0,ABS('Model'!B28-'Inputs'!$B$11*(1+'Inputs'!$B$12)^('Model'!A28-1))),IF('Model'!A29="",0,ABS('Model'!B29-'Inputs'!$B$11*(1+'Inputs'!$B$12)^('Model'!A29-1)))),6)</x:f>
        <x:v>0</x:v>
      </x:c>
      <x:c r="C14" s="224" t="n">
        <x:f>0</x:f>
        <x:v>0</x:v>
      </x:c>
      <x:c r="D14" s="224" t="n">
        <x:f>ROUND(B14-C14,6)</x:f>
        <x:v>0</x:v>
      </x:c>
      <x:c r="E14" s="224" t="n">
        <x:f>0.0001</x:f>
        <x:v>0.0001</x:v>
      </x:c>
      <x:c r="F14" s="219" t="str">
        <x:f>IF(ABS(ROUND(D14,6))&lt;=E14,"PASS","FAIL")</x:f>
        <x:v>PASS</x:v>
      </x:c>
      <x:c r="G14" s="203" t="str">
        <x:v>Model: CFADS schedule</x:v>
      </x:c>
      <x:c r="H14" s="203"/>
    </x:row>
    <x:row r="15" ht="26" customHeight="1">
      <x:c r="A15" s="203" t="str">
        <x:v>Interest schedule traces to opening debt</x:v>
      </x:c>
      <x:c r="B15" s="224" t="n">
        <x:f>ROUND(SUM(IF('Model'!A20="",0,ABS('Model'!C20-'Inputs'!$B$10*'Inputs'!$B$13)),IF('Model'!A21="",0,ABS('Model'!C21-'Model'!F20*'Inputs'!$B$13)),IF('Model'!A22="",0,ABS('Model'!C22-'Model'!F21*'Inputs'!$B$13)),IF('Model'!A23="",0,ABS('Model'!C23-'Model'!F22*'Inputs'!$B$13)),IF('Model'!A24="",0,ABS('Model'!C24-'Model'!F23*'Inputs'!$B$13)),IF('Model'!A25="",0,ABS('Model'!C25-'Model'!F24*'Inputs'!$B$13)),IF('Model'!A26="",0,ABS('Model'!C26-'Model'!F25*'Inputs'!$B$13)),IF('Model'!A27="",0,ABS('Model'!C27-'Model'!F26*'Inputs'!$B$13)),IF('Model'!A28="",0,ABS('Model'!C28-'Model'!F27*'Inputs'!$B$13)),IF('Model'!A29="",0,ABS('Model'!C29-'Model'!F28*'Inputs'!$B$13))),6)</x:f>
        <x:v>0</x:v>
      </x:c>
      <x:c r="C15" s="224" t="n">
        <x:f>0</x:f>
        <x:v>0</x:v>
      </x:c>
      <x:c r="D15" s="224" t="n">
        <x:f>ROUND(B15-C15,6)</x:f>
        <x:v>0</x:v>
      </x:c>
      <x:c r="E15" s="224" t="n">
        <x:f>0.0001</x:f>
        <x:v>0.0001</x:v>
      </x:c>
      <x:c r="F15" s="219" t="str">
        <x:f>IF(ABS(ROUND(D15,6))&lt;=E15,"PASS","FAIL")</x:f>
        <x:v>PASS</x:v>
      </x:c>
      <x:c r="G15" s="203" t="str">
        <x:v>Model: annual interest</x:v>
      </x:c>
      <x:c r="H15" s="203"/>
    </x:row>
    <x:row r="16" ht="26" customHeight="1">
      <x:c r="A16" s="203" t="str">
        <x:v>Debt service and DSCR calculations tie</x:v>
      </x:c>
      <x:c r="B16" s="224" t="n">
        <x:f>ROUND(SUM(IF('Model'!A20="",0,ABS('Model'!E20-'Model'!C20-'Model'!D20)+IF('Model'!E20=0,IF('Model'!G20="",0,1),ABS('Model'!G20-'Model'!B20/'Model'!E20))),IF('Model'!A21="",0,ABS('Model'!E21-'Model'!C21-'Model'!D21)+IF('Model'!E21=0,IF('Model'!G21="",0,1),ABS('Model'!G21-'Model'!B21/'Model'!E21))),IF('Model'!A22="",0,ABS('Model'!E22-'Model'!C22-'Model'!D22)+IF('Model'!E22=0,IF('Model'!G22="",0,1),ABS('Model'!G22-'Model'!B22/'Model'!E22))),IF('Model'!A23="",0,ABS('Model'!E23-'Model'!C23-'Model'!D23)+IF('Model'!E23=0,IF('Model'!G23="",0,1),ABS('Model'!G23-'Model'!B23/'Model'!E23))),IF('Model'!A24="",0,ABS('Model'!E24-'Model'!C24-'Model'!D24)+IF('Model'!E24=0,IF('Model'!G24="",0,1),ABS('Model'!G24-'Model'!B24/'Model'!E24))),IF('Model'!A25="",0,ABS('Model'!E25-'Model'!C25-'Model'!D25)+IF('Model'!E25=0,IF('Model'!G25="",0,1),ABS('Model'!G25-'Model'!B25/'Model'!E25))),IF('Model'!A26="",0,ABS('Model'!E26-'Model'!C26-'Model'!D26)+IF('Model'!E26=0,IF('Model'!G26="",0,1),ABS('Model'!G26-'Model'!B26/'Model'!E26))),IF('Model'!A27="",0,ABS('Model'!E27-'Model'!C27-'Model'!D27)+IF('Model'!E27=0,IF('Model'!G27="",0,1),ABS('Model'!G27-'Model'!B27/'Model'!E27))),IF('Model'!A28="",0,ABS('Model'!E28-'Model'!C28-'Model'!D28)+IF('Model'!E28=0,IF('Model'!G28="",0,1),ABS('Model'!G28-'Model'!B28/'Model'!E28))),IF('Model'!A29="",0,ABS('Model'!E29-'Model'!C29-'Model'!D29)+IF('Model'!E29=0,IF('Model'!G29="",0,1),ABS('Model'!G29-'Model'!B29/'Model'!E29)))),6)</x:f>
        <x:v>0</x:v>
      </x:c>
      <x:c r="C16" s="224" t="n">
        <x:f>0</x:f>
        <x:v>0</x:v>
      </x:c>
      <x:c r="D16" s="224" t="n">
        <x:f>ROUND(B16-C16,6)</x:f>
        <x:v>0</x:v>
      </x:c>
      <x:c r="E16" s="224" t="n">
        <x:f>0.0001</x:f>
        <x:v>0.0001</x:v>
      </x:c>
      <x:c r="F16" s="219" t="str">
        <x:f>IF(ABS(ROUND(D16,6))&lt;=E16,"PASS","FAIL")</x:f>
        <x:v>PASS</x:v>
      </x:c>
      <x:c r="G16" s="203" t="str">
        <x:v>Model: debt service and DSCR</x:v>
      </x:c>
      <x:c r="H16" s="203"/>
    </x:row>
    <x:row r="17" ht="26" customHeight="1">
      <x:c r="A17" s="203" t="str">
        <x:v>Sculpted principal formula traces</x:v>
      </x:c>
      <x:c r="B17" s="224" t="n">
        <x:f>ROUND(SUM(IF('Model'!A20="",0,ABS('Model'!D20-MIN('Inputs'!$B$10,MAX(0,'Model'!B20/'Inputs'!$B$14-'Model'!C20)))),IF('Model'!A21="",0,ABS('Model'!D21-MIN('Model'!F20,MAX(0,'Model'!B21/'Inputs'!$B$14-'Model'!C21)))),IF('Model'!A22="",0,ABS('Model'!D22-MIN('Model'!F21,MAX(0,'Model'!B22/'Inputs'!$B$14-'Model'!C22)))),IF('Model'!A23="",0,ABS('Model'!D23-MIN('Model'!F22,MAX(0,'Model'!B23/'Inputs'!$B$14-'Model'!C23)))),IF('Model'!A24="",0,ABS('Model'!D24-MIN('Model'!F23,MAX(0,'Model'!B24/'Inputs'!$B$14-'Model'!C24)))),IF('Model'!A25="",0,ABS('Model'!D25-MIN('Model'!F24,MAX(0,'Model'!B25/'Inputs'!$B$14-'Model'!C25)))),IF('Model'!A26="",0,ABS('Model'!D26-MIN('Model'!F25,MAX(0,'Model'!B26/'Inputs'!$B$14-'Model'!C26)))),IF('Model'!A27="",0,ABS('Model'!D27-MIN('Model'!F26,MAX(0,'Model'!B27/'Inputs'!$B$14-'Model'!C27)))),IF('Model'!A28="",0,ABS('Model'!D28-MIN('Model'!F27,MAX(0,'Model'!B28/'Inputs'!$B$14-'Model'!C28)))),IF('Model'!A29="",0,ABS('Model'!D29-MIN('Model'!F28,MAX(0,'Model'!B29/'Inputs'!$B$14-'Model'!C29))))),6)</x:f>
        <x:v>0</x:v>
      </x:c>
      <x:c r="C17" s="224" t="n">
        <x:f>0</x:f>
        <x:v>0</x:v>
      </x:c>
      <x:c r="D17" s="224" t="n">
        <x:f>ROUND(B17-C17,6)</x:f>
        <x:v>0</x:v>
      </x:c>
      <x:c r="E17" s="224" t="n">
        <x:f>0.0001</x:f>
        <x:v>0.0001</x:v>
      </x:c>
      <x:c r="F17" s="219" t="str">
        <x:f>IF(ABS(ROUND(D17,6))&lt;=E17,"PASS","FAIL")</x:f>
        <x:v>PASS</x:v>
      </x:c>
      <x:c r="G17" s="203" t="str">
        <x:v>Model: sculpted principal</x:v>
      </x:c>
      <x:c r="H17" s="203"/>
    </x:row>
    <x:row r="18" ht="26" customHeight="1">
      <x:c r="A18" s="203" t="str">
        <x:v>Debt summary roll-ups tie to the schedule</x:v>
      </x:c>
      <x:c r="B18" s="224" t="n">
        <x:f>ROUND(SUM(ABS('Model'!B33-INDEX('Model'!F20:F29,'Inputs'!$B$15)),ABS('Model'!B37-SUM('Model'!H20:H29)),ABS('Model'!B34-'Model'!B32+'Inputs'!$B$10)),6)</x:f>
        <x:v>0</x:v>
      </x:c>
      <x:c r="C18" s="224" t="n">
        <x:f>0</x:f>
        <x:v>0</x:v>
      </x:c>
      <x:c r="D18" s="224" t="n">
        <x:f>ROUND(B18-C18,6)</x:f>
        <x:v>0</x:v>
      </x:c>
      <x:c r="E18" s="224" t="n">
        <x:f>0.0001</x:f>
        <x:v>0.0001</x:v>
      </x:c>
      <x:c r="F18" s="219" t="str">
        <x:f>IF(ABS(ROUND(D18,6))&lt;=E18,"PASS","FAIL")</x:f>
        <x:v>PASS</x:v>
      </x:c>
      <x:c r="G18" s="203" t="str">
        <x:v>Model: debt summary</x:v>
      </x:c>
      <x:c r="H18" s="203"/>
    </x:row>
    <x:row r="19" ht="20" customHeight="1">
      <x:c r="A19" s="228" t="str">
        <x:v>A warning business outcome can still pass these controls; review Model and Results before making a decision.</x:v>
      </x:c>
      <x:c r="B19" s="229"/>
      <x:c r="C19" s="229"/>
      <x:c r="D19" s="229"/>
      <x:c r="E19" s="229"/>
      <x:c r="F19" s="229"/>
      <x:c r="G19" s="229"/>
      <x:c r="H19" s="230"/>
    </x:row>
    <x:row r="20" ht="20" customHeight="1">
      <x:c r="A20" s="63" t="str">
        <x:v>Debt Sculpting &amp; Waterfall · 10 / 10 controls should show PASS · v1.4.0</x:v>
      </x:c>
      <x:c r="B20" s="63"/>
      <x:c r="C20" s="63"/>
      <x:c r="D20" s="63"/>
      <x:c r="E20" s="63"/>
      <x:c r="F20" s="63"/>
      <x:c r="G20" s="63"/>
      <x:c r="H20" s="63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