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300c099cbcb403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over" sheetId="1" r:id="Rb061b01a250145aa"/>
    <x:sheet xmlns:r="http://schemas.openxmlformats.org/officeDocument/2006/relationships" name="Guide" sheetId="2" r:id="R28bf20f4a6474a02"/>
    <x:sheet xmlns:r="http://schemas.openxmlformats.org/officeDocument/2006/relationships" name="Assumptions" sheetId="3" r:id="R6fadc5d7d368476c"/>
    <x:sheet xmlns:r="http://schemas.openxmlformats.org/officeDocument/2006/relationships" name="CFADS Inputs" sheetId="4" r:id="R0c9566220af34379"/>
    <x:sheet xmlns:r="http://schemas.openxmlformats.org/officeDocument/2006/relationships" name="Sculpting Waterfall" sheetId="5" r:id="R1456d734ee664d04"/>
    <x:sheet xmlns:r="http://schemas.openxmlformats.org/officeDocument/2006/relationships" name="Sensitivity" sheetId="6" r:id="R56f19bbe12e441a0"/>
    <x:sheet xmlns:r="http://schemas.openxmlformats.org/officeDocument/2006/relationships" name="Summary" sheetId="7" r:id="R96cda57cab7849c9"/>
    <x:sheet xmlns:r="http://schemas.openxmlformats.org/officeDocument/2006/relationships" name="Checks" sheetId="8" r:id="Re2c467d859d64494"/>
    <x:sheet xmlns:r="http://schemas.openxmlformats.org/officeDocument/2006/relationships" name="Sources &amp; Version" sheetId="9" r:id="Rb2f767394c0543a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0.0x;(0.0x);-"/>
    <x:numFmt numFmtId="201" formatCode="0.0%;(0.0%);-"/>
    <x:numFmt numFmtId="202" formatCode="#,##0.0;(#,##0.0);-"/>
    <x:numFmt numFmtId="203" formatCode="#,##0;(#,##0);-"/>
  </x:numFmts>
  <x:fonts count="36">
    <x:font>
      <x:sz val="11"/>
      <x:name val="Carlito"/>
    </x:font>
    <x:font>
      <x:b/>
      <x:sz val="20"/>
      <x:color rgb="FFFFFFFF"/>
      <x:name val="Aptos Display"/>
    </x:font>
    <x:font>
      <x:sz val="9"/>
      <x:color rgb="FFDCE6F2"/>
      <x:name val="Aptos"/>
    </x:font>
    <x:font>
      <x:b/>
      <x:sz val="10"/>
      <x:color rgb="FFFFFFFF"/>
      <x:name val="Aptos"/>
    </x:font>
    <x:font>
      <x:sz val="10"/>
      <x:color rgb="FF101827"/>
      <x:name val="Carlito"/>
    </x:font>
    <x:font>
      <x:b/>
      <x:sz val="11"/>
      <x:color rgb="FFFFFFFF"/>
      <x:name val="Carlito"/>
    </x:font>
    <x:font>
      <x:b/>
      <x:sz val="11"/>
      <x:color rgb="FF101827"/>
      <x:name val="Carlito"/>
    </x:font>
    <x:font>
      <x:sz val="9"/>
      <x:color rgb="FF5B687A"/>
      <x:name val="Carlito"/>
    </x:font>
    <x:font>
      <x:b/>
      <x:sz val="11"/>
      <x:color rgb="FF075CCF"/>
      <x:name val="Carlito"/>
    </x:font>
    <x:font>
      <x:sz val="9"/>
      <x:color rgb="FF8A5A00"/>
      <x:name val="Aptos"/>
    </x:font>
    <x:font>
      <x:b/>
      <x:sz val="9"/>
      <x:color rgb="FFFFFFFF"/>
      <x:name val="Aptos"/>
    </x:font>
    <x:font>
      <x:b/>
      <x:sz val="11"/>
      <x:color rgb="FF8A5A00"/>
      <x:name val="Carlito"/>
    </x:font>
    <x:font>
      <x:sz val="10"/>
      <x:color rgb="FF0000FF"/>
      <x:name val="Aptos"/>
    </x:font>
    <x:font>
      <x:sz val="10"/>
      <x:color rgb="FF000000"/>
      <x:name val="Aptos"/>
    </x:font>
    <x:font>
      <x:sz val="11"/>
      <x:color rgb="FF101827"/>
      <x:name val="Carlito"/>
    </x:font>
    <x:font>
      <x:sz val="11"/>
      <x:color rgb="FF101827"/>
      <x:name val="Carlito"/>
    </x:font>
    <x:font>
      <x:sz val="10"/>
      <x:color rgb="FF008000"/>
      <x:name val="Aptos"/>
    </x:font>
    <x:font>
      <x:b/>
      <x:sz val="9"/>
      <x:color rgb="FFFFFFFF"/>
      <x:name val="Carlito"/>
    </x:font>
    <x:font>
      <x:b/>
      <x:sz val="18"/>
      <x:color rgb="FF075CCF"/>
      <x:name val="Aptos"/>
    </x:font>
    <x:font>
      <x:b/>
      <x:sz val="18"/>
      <x:color rgb="FF0F9F8F"/>
      <x:name val="Aptos"/>
    </x:font>
    <x:font>
      <x:b/>
      <x:sz val="8"/>
      <x:color rgb="FFFFFFFF"/>
      <x:name val="Carlito"/>
    </x:font>
    <x:font>
      <x:b/>
      <x:sz val="14"/>
      <x:color rgb="FF0F9F8F"/>
      <x:name val="Carlito"/>
    </x:font>
    <x:font>
      <x:b/>
      <x:sz val="12"/>
      <x:color rgb="FF8A5A00"/>
      <x:name val="Carlito"/>
    </x:font>
    <x:font>
      <x:sz val="11"/>
      <x:color rgb="FF008000"/>
      <x:name val="Carlito"/>
    </x:font>
    <x:font>
      <x:b/>
      <x:sz val="9"/>
      <x:color rgb="FF075CCF"/>
      <x:name val="Carlito"/>
    </x:font>
    <x:font>
      <x:b/>
      <x:sz val="16"/>
      <x:color rgb="FF0F9F8F"/>
      <x:name val="Carlito"/>
    </x:font>
    <x:font>
      <x:b/>
      <x:sz val="11"/>
      <x:color rgb="FF0F9F8F"/>
      <x:name val="Carlito"/>
    </x:font>
    <x:font>
      <x:b/>
      <x:sz val="11"/>
      <x:color rgb="FF5B687A"/>
      <x:name val="Carlito"/>
    </x:font>
    <x:font>
      <x:b/>
      <x:sz val="22"/>
      <x:color rgb="FF101827"/>
      <x:name val="Aptos Display"/>
    </x:font>
    <x:font>
      <x:b/>
      <x:sz val="20"/>
      <x:color rgb="FF0F9F8F"/>
      <x:name val="Carlito"/>
    </x:font>
    <x:font>
      <x:b/>
      <x:sz val="11"/>
      <x:color rgb="FF008000"/>
      <x:name val="Carlito"/>
    </x:font>
    <x:font>
      <x:b/>
      <x:sz val="11"/>
      <x:color rgb="FF075CCF"/>
      <x:name val="Aptos"/>
    </x:font>
    <x:font>
      <x:sz val="9"/>
      <x:color rgb="FF101827"/>
      <x:name val="Carlito"/>
    </x:font>
    <x:font>
      <x:b/>
      <x:sz val="9"/>
      <x:color rgb="FF0000FF"/>
      <x:name val="Carlito"/>
    </x:font>
    <x:font>
      <x:b/>
      <x:sz val="9"/>
      <x:color rgb="FF000000"/>
      <x:name val="Carlito"/>
    </x:font>
    <x:font>
      <x:b/>
      <x:sz val="9"/>
      <x:color rgb="FF008000"/>
      <x:name val="Carlito"/>
    </x:font>
  </x:fonts>
  <x:fills count="10">
    <x:fill>
      <x:patternFill patternType="none"/>
    </x:fill>
    <x:fill>
      <x:patternFill patternType="gray125"/>
    </x:fill>
    <x:fill>
      <x:patternFill patternType="solid">
        <x:fgColor rgb="FF07111F"/>
      </x:patternFill>
    </x:fill>
    <x:fill>
      <x:patternFill patternType="solid">
        <x:fgColor rgb="FF101827"/>
      </x:patternFill>
    </x:fill>
    <x:fill>
      <x:patternFill patternType="solid">
        <x:fgColor rgb="FF1479FF"/>
      </x:patternFill>
    </x:fill>
    <x:fill>
      <x:patternFill patternType="solid">
        <x:fgColor rgb="FFEEF5FF"/>
      </x:patternFill>
    </x:fill>
    <x:fill>
      <x:patternFill patternType="solid">
        <x:fgColor rgb="FFF7F9FC"/>
      </x:patternFill>
    </x:fill>
    <x:fill>
      <x:patternFill patternType="solid">
        <x:fgColor rgb="FFFFF4DB"/>
      </x:patternFill>
    </x:fill>
    <x:fill>
      <x:patternFill patternType="solid">
        <x:fgColor rgb="FFE5F6F3"/>
      </x:patternFill>
    </x:fill>
    <x:fill>
      <x:patternFill patternType="solid">
        <x:fgColor rgb="FFFFFFFF"/>
      </x:patternFill>
    </x:fill>
  </x:fills>
  <x:borders count="25">
    <x:border/>
    <x:border>
      <x:left style="thin">
        <x:color rgb="FFC88922"/>
      </x:left>
      <x:top style="thin">
        <x:color rgb="FFC88922"/>
      </x:top>
    </x:border>
    <x:border>
      <x:top style="thin">
        <x:color rgb="FFC88922"/>
      </x:top>
    </x:border>
    <x:border>
      <x:right style="thin">
        <x:color rgb="FFC88922"/>
      </x:right>
      <x:top style="thin">
        <x:color rgb="FFC88922"/>
      </x:top>
    </x:border>
    <x:border>
      <x:left style="thin">
        <x:color rgb="FFC88922"/>
      </x:left>
    </x:border>
    <x:border>
      <x:right style="thin">
        <x:color rgb="FFC88922"/>
      </x:right>
    </x:border>
    <x:border>
      <x:left style="thin">
        <x:color rgb="FFC88922"/>
      </x:left>
      <x:bottom style="thin">
        <x:color rgb="FFC88922"/>
      </x:bottom>
    </x:border>
    <x:border>
      <x:bottom style="thin">
        <x:color rgb="FFC88922"/>
      </x:bottom>
    </x:border>
    <x:border>
      <x:right style="thin">
        <x:color rgb="FFC88922"/>
      </x:right>
      <x:bottom style="thin">
        <x:color rgb="FFC88922"/>
      </x:bottom>
    </x:border>
    <x:border>
      <x:right style="thin">
        <x:color rgb="FFDBE4EF"/>
      </x:right>
    </x:border>
    <x:border>
      <x:left style="thin">
        <x:color rgb="FFDBE4EF"/>
      </x:left>
      <x:right style="thin">
        <x:color rgb="FFDBE4EF"/>
      </x:right>
    </x:border>
    <x:border>
      <x:left style="thin">
        <x:color rgb="FFDBE4EF"/>
      </x:left>
    </x:border>
    <x:border>
      <x:right style="thin">
        <x:color rgb="FFDBE4EF"/>
      </x:right>
      <x:bottom style="thin">
        <x:color rgb="FFDBE4EF"/>
      </x:bottom>
    </x:border>
    <x:border>
      <x:left style="thin">
        <x:color rgb="FFDBE4EF"/>
      </x:left>
      <x:right style="thin">
        <x:color rgb="FFDBE4EF"/>
      </x:right>
      <x:bottom style="thin">
        <x:color rgb="FFDBE4EF"/>
      </x:bottom>
    </x:border>
    <x:border>
      <x:left style="thin">
        <x:color rgb="FFDBE4EF"/>
      </x:left>
      <x:bottom style="thin">
        <x:color rgb="FFDBE4EF"/>
      </x:bottom>
    </x:border>
    <x:border>
      <x:right style="thin">
        <x:color rgb="FFDBE4EF"/>
      </x:right>
      <x:top style="thin">
        <x:color rgb="FFDBE4EF"/>
      </x:top>
      <x:bottom style="thin">
        <x:color rgb="FFDBE4EF"/>
      </x:bottom>
    </x:border>
    <x:border>
      <x:left style="thin">
        <x:color rgb="FFDBE4EF"/>
      </x:left>
      <x:right style="thin">
        <x:color rgb="FFDBE4EF"/>
      </x:right>
      <x:top style="thin">
        <x:color rgb="FFDBE4EF"/>
      </x:top>
      <x:bottom style="thin">
        <x:color rgb="FFDBE4EF"/>
      </x:bottom>
    </x:border>
    <x:border>
      <x:left style="thin">
        <x:color rgb="FFDBE4EF"/>
      </x:left>
      <x:top style="thin">
        <x:color rgb="FFDBE4EF"/>
      </x:top>
      <x:bottom style="thin">
        <x:color rgb="FFDBE4EF"/>
      </x:bottom>
    </x:border>
    <x:border>
      <x:right style="thin">
        <x:color rgb="FFDBE4EF"/>
      </x:right>
      <x:top style="thin">
        <x:color rgb="FFDBE4EF"/>
      </x:top>
    </x:border>
    <x:border>
      <x:left style="thin">
        <x:color rgb="FFDBE4EF"/>
      </x:left>
      <x:right style="thin">
        <x:color rgb="FFDBE4EF"/>
      </x:right>
      <x:top style="thin">
        <x:color rgb="FFDBE4EF"/>
      </x:top>
    </x:border>
    <x:border>
      <x:left style="thin">
        <x:color rgb="FFDBE4EF"/>
      </x:left>
      <x:top style="thin">
        <x:color rgb="FFDBE4EF"/>
      </x:top>
    </x:border>
    <x:border>
      <x:top style="thin">
        <x:color rgb="FF101827"/>
      </x:top>
    </x:border>
    <x:border>
      <x:bottom style="thin">
        <x:color rgb="FFDBE4EF"/>
      </x:bottom>
    </x:border>
    <x:border>
      <x:top style="thin">
        <x:color rgb="FFDBE4EF"/>
      </x:top>
      <x:bottom style="thin">
        <x:color rgb="FFDBE4EF"/>
      </x:bottom>
    </x:border>
    <x:border>
      <x:top style="thin">
        <x:color rgb="FFDBE4EF"/>
      </x:top>
    </x:border>
  </x:borders>
  <x:cellStyleXfs count="1">
    <x:xf numFmtId="0" fontId="0" fillId="0" borderId="0"/>
  </x:cellStyleXfs>
  <x:cellXfs count="28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top" wrapText="1"/>
    </x:xf>
    <x:xf numFmtId="0" fontId="5" fillId="4" borderId="0" xfId="0" applyNumberFormat="1" applyFont="1" applyFill="1" applyBorder="1"/>
    <x:xf numFmtId="0" fontId="5" fillId="4" borderId="0" xfId="0" applyNumberFormat="1" applyFont="1" applyFill="1" applyBorder="1" applyAlignment="1">
      <x:alignment horizontal="center"/>
    </x:xf>
    <x:xf numFmtId="0" fontId="6" fillId="0" borderId="0" xfId="0" applyNumberFormat="1" applyFont="1" applyFill="1" applyBorder="1"/>
    <x:xf numFmtId="0" fontId="7" fillId="0" borderId="0" xfId="0" applyNumberFormat="1" applyFont="1" applyFill="1" applyBorder="1"/>
    <x:xf numFmtId="0" fontId="7" fillId="0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8" fillId="5" borderId="0" xfId="0" applyNumberFormat="1" applyFont="1" applyFill="1" applyBorder="1"/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9" fillId="7" borderId="0" xfId="0" applyNumberFormat="1" applyFont="1" applyFill="1" applyBorder="1"/>
    <x:xf numFmtId="0" fontId="9" fillId="7" borderId="1" xfId="0" applyNumberFormat="1" applyFont="1" applyFill="1" applyBorder="1"/>
    <x:xf numFmtId="0" fontId="9" fillId="7" borderId="2" xfId="0" applyNumberFormat="1" applyFont="1" applyFill="1" applyBorder="1"/>
    <x:xf numFmtId="0" fontId="9" fillId="7" borderId="3" xfId="0" applyNumberFormat="1" applyFont="1" applyFill="1" applyBorder="1"/>
    <x:xf numFmtId="0" fontId="9" fillId="7" borderId="4" xfId="0" applyNumberFormat="1" applyFont="1" applyFill="1" applyBorder="1"/>
    <x:xf numFmtId="0" fontId="9" fillId="7" borderId="5" xfId="0" applyNumberFormat="1" applyFont="1" applyFill="1" applyBorder="1"/>
    <x:xf numFmtId="0" fontId="9" fillId="7" borderId="6" xfId="0" applyNumberFormat="1" applyFont="1" applyFill="1" applyBorder="1"/>
    <x:xf numFmtId="0" fontId="9" fillId="7" borderId="7" xfId="0" applyNumberFormat="1" applyFont="1" applyFill="1" applyBorder="1"/>
    <x:xf numFmtId="0" fontId="9" fillId="7" borderId="8" xfId="0" applyNumberFormat="1" applyFont="1" applyFill="1" applyBorder="1"/>
    <x:xf numFmtId="0" fontId="9" fillId="7" borderId="1" xfId="0" applyNumberFormat="1" applyFont="1" applyFill="1" applyBorder="1" applyAlignment="1">
      <x:alignment wrapText="1"/>
    </x:xf>
    <x:xf numFmtId="0" fontId="9" fillId="7" borderId="2" xfId="0" applyNumberFormat="1" applyFont="1" applyFill="1" applyBorder="1" applyAlignment="1">
      <x:alignment wrapText="1"/>
    </x:xf>
    <x:xf numFmtId="0" fontId="9" fillId="7" borderId="3" xfId="0" applyNumberFormat="1" applyFont="1" applyFill="1" applyBorder="1" applyAlignment="1">
      <x:alignment wrapText="1"/>
    </x:xf>
    <x:xf numFmtId="0" fontId="9" fillId="7" borderId="4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wrapText="1"/>
    </x:xf>
    <x:xf numFmtId="0" fontId="9" fillId="7" borderId="5" xfId="0" applyNumberFormat="1" applyFont="1" applyFill="1" applyBorder="1" applyAlignment="1">
      <x:alignment wrapText="1"/>
    </x:xf>
    <x:xf numFmtId="0" fontId="9" fillId="7" borderId="6" xfId="0" applyNumberFormat="1" applyFont="1" applyFill="1" applyBorder="1" applyAlignment="1">
      <x:alignment wrapText="1"/>
    </x:xf>
    <x:xf numFmtId="0" fontId="9" fillId="7" borderId="7" xfId="0" applyNumberFormat="1" applyFont="1" applyFill="1" applyBorder="1" applyAlignment="1">
      <x:alignment wrapText="1"/>
    </x:xf>
    <x:xf numFmtId="0" fontId="9" fillId="7" borderId="8" xfId="0" applyNumberFormat="1" applyFont="1" applyFill="1" applyBorder="1" applyAlignment="1">
      <x:alignment wrapText="1"/>
    </x:xf>
    <x:xf numFmtId="0" fontId="9" fillId="7" borderId="1" xfId="0" applyNumberFormat="1" applyFont="1" applyFill="1" applyBorder="1" applyAlignment="1">
      <x:alignment vertical="center" wrapText="1"/>
    </x:xf>
    <x:xf numFmtId="0" fontId="9" fillId="7" borderId="2" xfId="0" applyNumberFormat="1" applyFont="1" applyFill="1" applyBorder="1" applyAlignment="1">
      <x:alignment vertical="center" wrapText="1"/>
    </x:xf>
    <x:xf numFmtId="0" fontId="9" fillId="7" borderId="3" xfId="0" applyNumberFormat="1" applyFont="1" applyFill="1" applyBorder="1" applyAlignment="1">
      <x:alignment vertical="center" wrapText="1"/>
    </x:xf>
    <x:xf numFmtId="0" fontId="9" fillId="7" borderId="4" xfId="0" applyNumberFormat="1" applyFont="1" applyFill="1" applyBorder="1" applyAlignment="1">
      <x:alignment vertical="center" wrapText="1"/>
    </x:xf>
    <x:xf numFmtId="0" fontId="9" fillId="7" borderId="0" xfId="0" applyNumberFormat="1" applyFont="1" applyFill="1" applyBorder="1" applyAlignment="1">
      <x:alignment vertical="center" wrapText="1"/>
    </x:xf>
    <x:xf numFmtId="0" fontId="9" fillId="7" borderId="5" xfId="0" applyNumberFormat="1" applyFont="1" applyFill="1" applyBorder="1" applyAlignment="1">
      <x:alignment vertical="center" wrapText="1"/>
    </x:xf>
    <x:xf numFmtId="0" fontId="9" fillId="7" borderId="6" xfId="0" applyNumberFormat="1" applyFont="1" applyFill="1" applyBorder="1" applyAlignment="1">
      <x:alignment vertical="center" wrapText="1"/>
    </x:xf>
    <x:xf numFmtId="0" fontId="9" fillId="7" borderId="7" xfId="0" applyNumberFormat="1" applyFont="1" applyFill="1" applyBorder="1" applyAlignment="1">
      <x:alignment vertical="center" wrapText="1"/>
    </x:xf>
    <x:xf numFmtId="0" fontId="9" fillId="7" borderId="8" xfId="0" applyNumberFormat="1" applyFont="1" applyFill="1" applyBorder="1" applyAlignment="1">
      <x:alignment vertical="center" wrapText="1"/>
    </x:xf>
    <x:xf numFmtId="0" fontId="10" fillId="3" borderId="0" xfId="0" applyNumberFormat="1" applyFont="1" applyFill="1" applyBorder="1"/>
    <x:xf numFmtId="0" fontId="10" fillId="3" borderId="0" xfId="0" applyNumberFormat="1" applyFont="1" applyFill="1" applyBorder="1" applyAlignment="1">
      <x:alignment horizontal="center"/>
    </x:xf>
    <x:xf numFmtId="0" fontId="10" fillId="3" borderId="0" xfId="0" applyNumberFormat="1" applyFont="1" applyFill="1" applyBorder="1" applyAlignment="1">
      <x:alignment horizontal="center" vertical="center"/>
    </x:xf>
    <x:xf numFmtId="0" fontId="5" fillId="3" borderId="0" xfId="0" applyNumberFormat="1" applyFont="1" applyFill="1" applyBorder="1"/>
    <x:xf numFmtId="0" fontId="11" fillId="7" borderId="0" xfId="0" applyNumberFormat="1" applyFont="1" applyFill="1" applyBorder="1"/>
    <x:xf numFmtId="0" fontId="11" fillId="7" borderId="0" xfId="0" applyNumberFormat="1" applyFont="1" applyFill="1" applyBorder="1" applyAlignment="1">
      <x:alignment horizontal="center"/>
    </x:xf>
    <x:xf numFmtId="0" fontId="10" fillId="3" borderId="9" xfId="0" applyNumberFormat="1" applyFont="1" applyFill="1" applyBorder="1"/>
    <x:xf numFmtId="0" fontId="10" fillId="3" borderId="10" xfId="0" applyNumberFormat="1" applyFont="1" applyFill="1" applyBorder="1"/>
    <x:xf numFmtId="0" fontId="10" fillId="3" borderId="11" xfId="0" applyNumberFormat="1" applyFont="1" applyFill="1" applyBorder="1"/>
    <x:xf numFmtId="0" fontId="10" fillId="3" borderId="9" xfId="0" applyNumberFormat="1" applyFont="1" applyFill="1" applyBorder="1" applyAlignment="1">
      <x:alignment wrapText="1"/>
    </x:xf>
    <x:xf numFmtId="0" fontId="10" fillId="3" borderId="10" xfId="0" applyNumberFormat="1" applyFont="1" applyFill="1" applyBorder="1" applyAlignment="1">
      <x:alignment wrapText="1"/>
    </x:xf>
    <x:xf numFmtId="0" fontId="10" fillId="3" borderId="11" xfId="0" applyNumberFormat="1" applyFont="1" applyFill="1" applyBorder="1" applyAlignment="1">
      <x:alignment wrapText="1"/>
    </x:xf>
    <x:xf numFmtId="0" fontId="10" fillId="3" borderId="9" xfId="0" applyNumberFormat="1" applyFont="1" applyFill="1" applyBorder="1" applyAlignment="1">
      <x:alignment horizontal="center" wrapText="1"/>
    </x:xf>
    <x:xf numFmtId="0" fontId="10" fillId="3" borderId="10" xfId="0" applyNumberFormat="1" applyFont="1" applyFill="1" applyBorder="1" applyAlignment="1">
      <x:alignment horizontal="center" wrapText="1"/>
    </x:xf>
    <x:xf numFmtId="0" fontId="10" fillId="3" borderId="11" xfId="0" applyNumberFormat="1" applyFont="1" applyFill="1" applyBorder="1" applyAlignment="1">
      <x:alignment horizontal="center" wrapText="1"/>
    </x:xf>
    <x:xf numFmtId="0" fontId="10" fillId="3" borderId="9" xfId="0" applyNumberFormat="1" applyFont="1" applyFill="1" applyBorder="1" applyAlignment="1">
      <x:alignment horizontal="center" vertical="center" wrapText="1"/>
    </x:xf>
    <x:xf numFmtId="0" fontId="10" fillId="3" borderId="10" xfId="0" applyNumberFormat="1" applyFont="1" applyFill="1" applyBorder="1" applyAlignment="1">
      <x:alignment horizontal="center" vertical="center" wrapText="1"/>
    </x:xf>
    <x:xf numFmtId="0" fontId="10" fillId="3" borderId="11" xfId="0" applyNumberFormat="1" applyFont="1" applyFill="1" applyBorder="1" applyAlignment="1">
      <x:alignment horizontal="center" vertical="center" wrapText="1"/>
    </x:xf>
    <x:xf numFmtId="0" fontId="12" fillId="5" borderId="0" xfId="0" applyNumberFormat="1" applyFont="1" applyFill="1" applyBorder="1"/>
    <x:xf numFmtId="200" fontId="12" fillId="5" borderId="0" xfId="0" applyNumberFormat="1" applyFont="1" applyFill="1" applyBorder="1"/>
    <x:xf numFmtId="200" fontId="12" fillId="5" borderId="0" xfId="0" applyNumberFormat="1" applyFont="1" applyFill="1" applyBorder="1" applyAlignment="1">
      <x:alignment horizontal="right"/>
    </x:xf>
    <x:xf numFmtId="0" fontId="13" fillId="0" borderId="0" xfId="0" applyNumberFormat="1" applyFont="1" applyFill="1" applyBorder="1"/>
    <x:xf numFmtId="200" fontId="13" fillId="0" borderId="0" xfId="0" applyNumberFormat="1" applyFont="1" applyFill="1" applyBorder="1"/>
    <x:xf numFmtId="200" fontId="13" fillId="0" borderId="0" xfId="0" applyNumberFormat="1" applyFont="1" applyFill="1" applyBorder="1" applyAlignment="1">
      <x:alignment horizontal="right"/>
    </x:xf>
    <x:xf numFmtId="201" fontId="12" fillId="5" borderId="0" xfId="0" applyNumberFormat="1" applyFont="1" applyFill="1" applyBorder="1"/>
    <x:xf numFmtId="201" fontId="12" fillId="5" borderId="0" xfId="0" applyNumberFormat="1" applyFont="1" applyFill="1" applyBorder="1" applyAlignment="1">
      <x:alignment horizontal="right"/>
    </x:xf>
    <x:xf numFmtId="201" fontId="13" fillId="0" borderId="0" xfId="0" applyNumberFormat="1" applyFont="1" applyFill="1" applyBorder="1"/>
    <x:xf numFmtId="201" fontId="13" fillId="0" borderId="0" xfId="0" applyNumberFormat="1" applyFont="1" applyFill="1" applyBorder="1" applyAlignment="1">
      <x:alignment horizontal="right"/>
    </x:xf>
    <x:xf numFmtId="202" fontId="12" fillId="5" borderId="0" xfId="0" applyNumberFormat="1" applyFont="1" applyFill="1" applyBorder="1"/>
    <x:xf numFmtId="202" fontId="12" fillId="5" borderId="0" xfId="0" applyNumberFormat="1" applyFont="1" applyFill="1" applyBorder="1" applyAlignment="1">
      <x:alignment horizontal="right"/>
    </x:xf>
    <x:xf numFmtId="202" fontId="13" fillId="0" borderId="0" xfId="0" applyNumberFormat="1" applyFont="1" applyFill="1" applyBorder="1"/>
    <x:xf numFmtId="202" fontId="13" fillId="0" borderId="0" xfId="0" applyNumberFormat="1" applyFont="1" applyFill="1" applyBorder="1" applyAlignment="1">
      <x:alignment horizontal="right"/>
    </x:xf>
    <x:xf numFmtId="203" fontId="12" fillId="5" borderId="0" xfId="0" applyNumberFormat="1" applyFont="1" applyFill="1" applyBorder="1"/>
    <x:xf numFmtId="203" fontId="12" fillId="5" borderId="0" xfId="0" applyNumberFormat="1" applyFont="1" applyFill="1" applyBorder="1" applyAlignment="1">
      <x:alignment horizontal="right"/>
    </x:xf>
    <x:xf numFmtId="203" fontId="13" fillId="0" borderId="0" xfId="0" applyNumberFormat="1" applyFont="1" applyFill="1" applyBorder="1"/>
    <x:xf numFmtId="203" fontId="13" fillId="0" borderId="0" xfId="0" applyNumberFormat="1" applyFont="1" applyFill="1" applyBorder="1" applyAlignment="1">
      <x:alignment horizontal="right"/>
    </x:xf>
    <x:xf numFmtId="0" fontId="14" fillId="0" borderId="0" xfId="0" applyNumberFormat="1" applyFont="1" applyFill="1" applyBorder="1"/>
    <x:xf numFmtId="0" fontId="14" fillId="0" borderId="12" xfId="0" applyNumberFormat="1" applyFont="1" applyFill="1" applyBorder="1"/>
    <x:xf numFmtId="0" fontId="14" fillId="0" borderId="13" xfId="0" applyNumberFormat="1" applyFont="1" applyFill="1" applyBorder="1"/>
    <x:xf numFmtId="200" fontId="12" fillId="5" borderId="13" xfId="0" applyNumberFormat="1" applyFont="1" applyFill="1" applyBorder="1" applyAlignment="1">
      <x:alignment horizontal="right"/>
    </x:xf>
    <x:xf numFmtId="200" fontId="13" fillId="0" borderId="13" xfId="0" applyNumberFormat="1" applyFont="1" applyFill="1" applyBorder="1" applyAlignment="1">
      <x:alignment horizontal="right"/>
    </x:xf>
    <x:xf numFmtId="0" fontId="7" fillId="0" borderId="14" xfId="0" applyNumberFormat="1" applyFont="1" applyFill="1" applyBorder="1" applyAlignment="1">
      <x:alignment wrapText="1"/>
    </x:xf>
    <x:xf numFmtId="0" fontId="14" fillId="0" borderId="15" xfId="0" applyNumberFormat="1" applyFont="1" applyFill="1" applyBorder="1"/>
    <x:xf numFmtId="0" fontId="14" fillId="0" borderId="16" xfId="0" applyNumberFormat="1" applyFont="1" applyFill="1" applyBorder="1"/>
    <x:xf numFmtId="201" fontId="12" fillId="5" borderId="16" xfId="0" applyNumberFormat="1" applyFont="1" applyFill="1" applyBorder="1" applyAlignment="1">
      <x:alignment horizontal="right"/>
    </x:xf>
    <x:xf numFmtId="201" fontId="13" fillId="0" borderId="16" xfId="0" applyNumberFormat="1" applyFont="1" applyFill="1" applyBorder="1" applyAlignment="1">
      <x:alignment horizontal="right"/>
    </x:xf>
    <x:xf numFmtId="0" fontId="7" fillId="0" borderId="17" xfId="0" applyNumberFormat="1" applyFont="1" applyFill="1" applyBorder="1" applyAlignment="1">
      <x:alignment wrapText="1"/>
    </x:xf>
    <x:xf numFmtId="202" fontId="12" fillId="5" borderId="16" xfId="0" applyNumberFormat="1" applyFont="1" applyFill="1" applyBorder="1" applyAlignment="1">
      <x:alignment horizontal="right"/>
    </x:xf>
    <x:xf numFmtId="202" fontId="13" fillId="0" borderId="16" xfId="0" applyNumberFormat="1" applyFont="1" applyFill="1" applyBorder="1" applyAlignment="1">
      <x:alignment horizontal="right"/>
    </x:xf>
    <x:xf numFmtId="203" fontId="12" fillId="5" borderId="16" xfId="0" applyNumberFormat="1" applyFont="1" applyFill="1" applyBorder="1" applyAlignment="1">
      <x:alignment horizontal="right"/>
    </x:xf>
    <x:xf numFmtId="203" fontId="13" fillId="0" borderId="16" xfId="0" applyNumberFormat="1" applyFont="1" applyFill="1" applyBorder="1" applyAlignment="1">
      <x:alignment horizontal="right"/>
    </x:xf>
    <x:xf numFmtId="0" fontId="14" fillId="0" borderId="18" xfId="0" applyNumberFormat="1" applyFont="1" applyFill="1" applyBorder="1"/>
    <x:xf numFmtId="0" fontId="14" fillId="0" borderId="19" xfId="0" applyNumberFormat="1" applyFont="1" applyFill="1" applyBorder="1"/>
    <x:xf numFmtId="200" fontId="12" fillId="5" borderId="19" xfId="0" applyNumberFormat="1" applyFont="1" applyFill="1" applyBorder="1" applyAlignment="1">
      <x:alignment horizontal="right"/>
    </x:xf>
    <x:xf numFmtId="200" fontId="13" fillId="0" borderId="19" xfId="0" applyNumberFormat="1" applyFont="1" applyFill="1" applyBorder="1" applyAlignment="1">
      <x:alignment horizontal="right"/>
    </x:xf>
    <x:xf numFmtId="0" fontId="7" fillId="0" borderId="20" xfId="0" applyNumberFormat="1" applyFont="1" applyFill="1" applyBorder="1" applyAlignment="1">
      <x:alignment wrapText="1"/>
    </x:xf>
    <x:xf numFmtId="0" fontId="15" fillId="0" borderId="0" xfId="0" applyNumberFormat="1" applyFont="1" applyFill="1" applyBorder="1"/>
    <x:xf numFmtId="0" fontId="16" fillId="0" borderId="0" xfId="0" applyNumberFormat="1" applyFont="1" applyFill="1" applyBorder="1"/>
    <x:xf numFmtId="202" fontId="16" fillId="0" borderId="0" xfId="0" applyNumberFormat="1" applyFont="1" applyFill="1" applyBorder="1"/>
    <x:xf numFmtId="202" fontId="16" fillId="0" borderId="0" xfId="0" applyNumberFormat="1" applyFont="1" applyFill="1" applyBorder="1" applyAlignment="1">
      <x:alignment horizontal="right"/>
    </x:xf>
    <x:xf numFmtId="0" fontId="15" fillId="0" borderId="0" xfId="0" applyNumberFormat="1" applyFont="1" applyFill="1" applyBorder="1" applyAlignment="1">
      <x:alignment wrapText="1"/>
    </x:xf>
    <x:xf numFmtId="0" fontId="6" fillId="0" borderId="0" xfId="0" applyNumberFormat="1" applyFont="1" applyFill="1" applyBorder="1" applyAlignment="1">
      <x:alignment wrapText="1"/>
    </x:xf>
    <x:xf numFmtId="0" fontId="6" fillId="0" borderId="21" xfId="0" applyNumberFormat="1" applyFont="1" applyFill="1" applyBorder="1" applyAlignment="1">
      <x:alignment wrapText="1"/>
    </x:xf>
    <x:xf numFmtId="202" fontId="16" fillId="0" borderId="21" xfId="0" applyNumberFormat="1" applyFont="1" applyFill="1" applyBorder="1" applyAlignment="1">
      <x:alignment horizontal="right"/>
    </x:xf>
    <x:xf numFmtId="0" fontId="6" fillId="6" borderId="21" xfId="0" applyNumberFormat="1" applyFont="1" applyFill="1" applyBorder="1" applyAlignment="1">
      <x:alignment wrapText="1"/>
    </x:xf>
    <x:xf numFmtId="202" fontId="16" fillId="6" borderId="21" xfId="0" applyNumberFormat="1" applyFont="1" applyFill="1" applyBorder="1" applyAlignment="1">
      <x:alignment horizontal="right"/>
    </x:xf>
    <x:xf numFmtId="202" fontId="13" fillId="0" borderId="21" xfId="0" applyNumberFormat="1" applyFont="1" applyFill="1" applyBorder="1" applyAlignment="1">
      <x:alignment horizontal="right"/>
    </x:xf>
    <x:xf numFmtId="0" fontId="6" fillId="8" borderId="21" xfId="0" applyNumberFormat="1" applyFont="1" applyFill="1" applyBorder="1" applyAlignment="1">
      <x:alignment wrapText="1"/>
    </x:xf>
    <x:xf numFmtId="202" fontId="13" fillId="8" borderId="21" xfId="0" applyNumberFormat="1" applyFont="1" applyFill="1" applyBorder="1" applyAlignment="1">
      <x:alignment horizontal="right"/>
    </x:xf>
    <x:xf numFmtId="200" fontId="16" fillId="0" borderId="0" xfId="0" applyNumberFormat="1" applyFont="1" applyFill="1" applyBorder="1"/>
    <x:xf numFmtId="200" fontId="16" fillId="0" borderId="0" xfId="0" applyNumberFormat="1" applyFont="1" applyFill="1" applyBorder="1" applyAlignment="1">
      <x:alignment horizontal="right"/>
    </x:xf>
    <x:xf numFmtId="200" fontId="16" fillId="0" borderId="21" xfId="0" applyNumberFormat="1" applyFont="1" applyFill="1" applyBorder="1" applyAlignment="1">
      <x:alignment horizontal="right"/>
    </x:xf>
    <x:xf numFmtId="200" fontId="16" fillId="6" borderId="21" xfId="0" applyNumberFormat="1" applyFont="1" applyFill="1" applyBorder="1" applyAlignment="1">
      <x:alignment horizontal="right"/>
    </x:xf>
    <x:xf numFmtId="202" fontId="13" fillId="6" borderId="21" xfId="0" applyNumberFormat="1" applyFont="1" applyFill="1" applyBorder="1" applyAlignment="1">
      <x:alignment horizontal="right"/>
    </x:xf>
    <x:xf numFmtId="202" fontId="16" fillId="8" borderId="21" xfId="0" applyNumberFormat="1" applyFont="1" applyFill="1" applyBorder="1" applyAlignment="1">
      <x:alignment horizontal="right"/>
    </x:xf>
    <x:xf numFmtId="0" fontId="15" fillId="0" borderId="22" xfId="0" applyNumberFormat="1" applyFont="1" applyFill="1" applyBorder="1" applyAlignment="1">
      <x:alignment wrapText="1"/>
    </x:xf>
    <x:xf numFmtId="202" fontId="16" fillId="0" borderId="22" xfId="0" applyNumberFormat="1" applyFont="1" applyFill="1" applyBorder="1" applyAlignment="1">
      <x:alignment horizontal="right"/>
    </x:xf>
    <x:xf numFmtId="0" fontId="6" fillId="6" borderId="23" xfId="0" applyNumberFormat="1" applyFont="1" applyFill="1" applyBorder="1" applyAlignment="1">
      <x:alignment wrapText="1"/>
    </x:xf>
    <x:xf numFmtId="202" fontId="16" fillId="6" borderId="23" xfId="0" applyNumberFormat="1" applyFont="1" applyFill="1" applyBorder="1" applyAlignment="1">
      <x:alignment horizontal="right"/>
    </x:xf>
    <x:xf numFmtId="0" fontId="15" fillId="0" borderId="23" xfId="0" applyNumberFormat="1" applyFont="1" applyFill="1" applyBorder="1" applyAlignment="1">
      <x:alignment wrapText="1"/>
    </x:xf>
    <x:xf numFmtId="202" fontId="16" fillId="0" borderId="23" xfId="0" applyNumberFormat="1" applyFont="1" applyFill="1" applyBorder="1" applyAlignment="1">
      <x:alignment horizontal="right"/>
    </x:xf>
    <x:xf numFmtId="202" fontId="13" fillId="0" borderId="23" xfId="0" applyNumberFormat="1" applyFont="1" applyFill="1" applyBorder="1" applyAlignment="1">
      <x:alignment horizontal="right"/>
    </x:xf>
    <x:xf numFmtId="0" fontId="6" fillId="8" borderId="23" xfId="0" applyNumberFormat="1" applyFont="1" applyFill="1" applyBorder="1" applyAlignment="1">
      <x:alignment wrapText="1"/>
    </x:xf>
    <x:xf numFmtId="202" fontId="13" fillId="8" borderId="23" xfId="0" applyNumberFormat="1" applyFont="1" applyFill="1" applyBorder="1" applyAlignment="1">
      <x:alignment horizontal="right"/>
    </x:xf>
    <x:xf numFmtId="200" fontId="16" fillId="6" borderId="23" xfId="0" applyNumberFormat="1" applyFont="1" applyFill="1" applyBorder="1" applyAlignment="1">
      <x:alignment horizontal="right"/>
    </x:xf>
    <x:xf numFmtId="202" fontId="13" fillId="6" borderId="23" xfId="0" applyNumberFormat="1" applyFont="1" applyFill="1" applyBorder="1" applyAlignment="1">
      <x:alignment horizontal="right"/>
    </x:xf>
    <x:xf numFmtId="202" fontId="16" fillId="8" borderId="23" xfId="0" applyNumberFormat="1" applyFont="1" applyFill="1" applyBorder="1" applyAlignment="1">
      <x:alignment horizontal="right"/>
    </x:xf>
    <x:xf numFmtId="0" fontId="15" fillId="0" borderId="24" xfId="0" applyNumberFormat="1" applyFont="1" applyFill="1" applyBorder="1" applyAlignment="1">
      <x:alignment wrapText="1"/>
    </x:xf>
    <x:xf numFmtId="202" fontId="13" fillId="0" borderId="24" xfId="0" applyNumberFormat="1" applyFont="1" applyFill="1" applyBorder="1" applyAlignment="1">
      <x:alignment horizontal="right"/>
    </x:xf>
    <x:xf numFmtId="0" fontId="5" fillId="3" borderId="0" xfId="0" applyNumberFormat="1" applyFont="1" applyFill="1" applyBorder="1" applyAlignment="1">
      <x:alignment horizontal="center"/>
    </x:xf>
    <x:xf numFmtId="202" fontId="16" fillId="6" borderId="0" xfId="0" applyNumberFormat="1" applyFont="1" applyFill="1" applyBorder="1" applyAlignment="1">
      <x:alignment horizontal="right"/>
    </x:xf>
    <x:xf numFmtId="202" fontId="16" fillId="6" borderId="16" xfId="0" applyNumberFormat="1" applyFont="1" applyFill="1" applyBorder="1" applyAlignment="1">
      <x:alignment horizontal="right"/>
    </x:xf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0" fontId="0" fillId="0" borderId="20" xfId="0" applyNumberFormat="1" applyFont="1" applyFill="1" applyBorder="1"/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0" fillId="0" borderId="20" xfId="0" applyNumberFormat="1" applyFont="1" applyFill="1" applyBorder="1" applyAlignment="1">
      <x:alignment wrapText="1"/>
    </x:xf>
    <x:xf numFmtId="0" fontId="17" fillId="3" borderId="0" xfId="0" applyNumberFormat="1" applyFont="1" applyFill="1" applyBorder="1"/>
    <x:xf numFmtId="0" fontId="17" fillId="3" borderId="0" xfId="0" applyNumberFormat="1" applyFont="1" applyFill="1" applyBorder="1" applyAlignment="1">
      <x:alignment horizontal="center"/>
    </x:xf>
    <x:xf numFmtId="202" fontId="16" fillId="5" borderId="0" xfId="0" applyNumberFormat="1" applyFont="1" applyFill="1" applyBorder="1" applyAlignment="1">
      <x:alignment horizontal="right"/>
    </x:xf>
    <x:xf numFmtId="202" fontId="18" fillId="5" borderId="0" xfId="0" applyNumberFormat="1" applyFont="1" applyFill="1" applyBorder="1" applyAlignment="1">
      <x:alignment horizontal="right"/>
    </x:xf>
    <x:xf numFmtId="202" fontId="18" fillId="5" borderId="0" xfId="0" applyNumberFormat="1" applyFont="1" applyFill="1" applyBorder="1" applyAlignment="1">
      <x:alignment horizontal="center"/>
    </x:xf>
    <x:xf numFmtId="202" fontId="18" fillId="5" borderId="0" xfId="0" applyNumberFormat="1" applyFont="1" applyFill="1" applyBorder="1" applyAlignment="1">
      <x:alignment horizontal="center" vertical="center"/>
    </x:xf>
    <x:xf numFmtId="200" fontId="16" fillId="8" borderId="0" xfId="0" applyNumberFormat="1" applyFont="1" applyFill="1" applyBorder="1" applyAlignment="1">
      <x:alignment horizontal="right"/>
    </x:xf>
    <x:xf numFmtId="200" fontId="19" fillId="8" borderId="0" xfId="0" applyNumberFormat="1" applyFont="1" applyFill="1" applyBorder="1" applyAlignment="1">
      <x:alignment horizontal="right"/>
    </x:xf>
    <x:xf numFmtId="200" fontId="19" fillId="8" borderId="0" xfId="0" applyNumberFormat="1" applyFont="1" applyFill="1" applyBorder="1" applyAlignment="1">
      <x:alignment horizontal="center"/>
    </x:xf>
    <x:xf numFmtId="200" fontId="19" fillId="8" borderId="0" xfId="0" applyNumberFormat="1" applyFont="1" applyFill="1" applyBorder="1" applyAlignment="1">
      <x:alignment horizontal="center" vertical="center"/>
    </x:xf>
    <x:xf numFmtId="200" fontId="16" fillId="5" borderId="0" xfId="0" applyNumberFormat="1" applyFont="1" applyFill="1" applyBorder="1" applyAlignment="1">
      <x:alignment horizontal="right"/>
    </x:xf>
    <x:xf numFmtId="200" fontId="18" fillId="5" borderId="0" xfId="0" applyNumberFormat="1" applyFont="1" applyFill="1" applyBorder="1" applyAlignment="1">
      <x:alignment horizontal="right"/>
    </x:xf>
    <x:xf numFmtId="200" fontId="18" fillId="5" borderId="0" xfId="0" applyNumberFormat="1" applyFont="1" applyFill="1" applyBorder="1" applyAlignment="1">
      <x:alignment horizontal="center"/>
    </x:xf>
    <x:xf numFmtId="200" fontId="18" fillId="5" borderId="0" xfId="0" applyNumberFormat="1" applyFont="1" applyFill="1" applyBorder="1" applyAlignment="1">
      <x:alignment horizontal="center" vertical="center"/>
    </x:xf>
    <x:xf numFmtId="0" fontId="20" fillId="3" borderId="0" xfId="0" applyNumberFormat="1" applyFont="1" applyFill="1" applyBorder="1"/>
    <x:xf numFmtId="0" fontId="20" fillId="3" borderId="0" xfId="0" applyNumberFormat="1" applyFont="1" applyFill="1" applyBorder="1" applyAlignment="1">
      <x:alignment horizontal="center"/>
    </x:xf>
    <x:xf numFmtId="0" fontId="0" fillId="8" borderId="0" xfId="0" applyNumberFormat="1" applyFont="1" applyFill="1" applyBorder="1"/>
    <x:xf numFmtId="0" fontId="21" fillId="8" borderId="0" xfId="0" applyNumberFormat="1" applyFont="1" applyFill="1" applyBorder="1"/>
    <x:xf numFmtId="0" fontId="21" fillId="8" borderId="0" xfId="0" applyNumberFormat="1" applyFont="1" applyFill="1" applyBorder="1" applyAlignment="1">
      <x:alignment horizontal="center"/>
    </x:xf>
    <x:xf numFmtId="0" fontId="21" fillId="8" borderId="0" xfId="0" applyNumberFormat="1" applyFont="1" applyFill="1" applyBorder="1" applyAlignment="1">
      <x:alignment horizontal="center" vertical="center"/>
    </x:xf>
    <x:xf numFmtId="0" fontId="22" fillId="7" borderId="0" xfId="0" applyNumberFormat="1" applyFont="1" applyFill="1" applyBorder="1"/>
    <x:xf numFmtId="0" fontId="22" fillId="7" borderId="0" xfId="0" applyNumberFormat="1" applyFont="1" applyFill="1" applyBorder="1" applyAlignment="1">
      <x:alignment horizontal="center"/>
    </x:xf>
    <x:xf numFmtId="0" fontId="22" fillId="7" borderId="0" xfId="0" applyNumberFormat="1" applyFont="1" applyFill="1" applyBorder="1" applyAlignment="1">
      <x:alignment horizontal="center" vertical="center"/>
    </x:xf>
    <x:xf numFmtId="202" fontId="0" fillId="0" borderId="0" xfId="0" applyNumberFormat="1" applyFont="1" applyFill="1" applyBorder="1"/>
    <x:xf numFmtId="202" fontId="23" fillId="0" borderId="0" xfId="0" applyNumberFormat="1" applyFont="1" applyFill="1" applyBorder="1"/>
    <x:xf numFmtId="0" fontId="24" fillId="6" borderId="0" xfId="0" applyNumberFormat="1" applyFont="1" applyFill="1" applyBorder="1"/>
    <x:xf numFmtId="0" fontId="24" fillId="6" borderId="0" xfId="0" applyNumberFormat="1" applyFont="1" applyFill="1" applyBorder="1" applyAlignment="1">
      <x:alignment wrapText="1"/>
    </x:xf>
    <x:xf numFmtId="0" fontId="25" fillId="8" borderId="0" xfId="0" applyNumberFormat="1" applyFont="1" applyFill="1" applyBorder="1"/>
    <x:xf numFmtId="0" fontId="25" fillId="8" borderId="0" xfId="0" applyNumberFormat="1" applyFont="1" applyFill="1" applyBorder="1" applyAlignment="1">
      <x:alignment horizontal="center"/>
    </x:xf>
    <x:xf numFmtId="0" fontId="7" fillId="5" borderId="0" xfId="0" applyNumberFormat="1" applyFont="1" applyFill="1" applyBorder="1"/>
    <x:xf numFmtId="0" fontId="7" fillId="5" borderId="0" xfId="0" applyNumberFormat="1" applyFont="1" applyFill="1" applyBorder="1" applyAlignment="1">
      <x:alignment wrapText="1"/>
    </x:xf>
    <x:xf numFmtId="0" fontId="23" fillId="0" borderId="0" xfId="0" applyNumberFormat="1" applyFont="1" applyFill="1" applyBorder="1"/>
    <x:xf numFmtId="0" fontId="23" fillId="8" borderId="0" xfId="0" applyNumberFormat="1" applyFont="1" applyFill="1" applyBorder="1"/>
    <x:xf numFmtId="0" fontId="26" fillId="8" borderId="0" xfId="0" applyNumberFormat="1" applyFont="1" applyFill="1" applyBorder="1"/>
    <x:xf numFmtId="0" fontId="26" fillId="8" borderId="0" xfId="0" applyNumberFormat="1" applyFont="1" applyFill="1" applyBorder="1" applyAlignment="1">
      <x:alignment horizontal="center"/>
    </x:xf>
    <x:xf numFmtId="203" fontId="0" fillId="0" borderId="0" xfId="0" applyNumberFormat="1" applyFont="1" applyFill="1" applyBorder="1"/>
    <x:xf numFmtId="203" fontId="23" fillId="0" borderId="0" xfId="0" applyNumberFormat="1" applyFont="1" applyFill="1" applyBorder="1"/>
    <x:xf numFmtId="0" fontId="0" fillId="0" borderId="22" xfId="0" applyNumberFormat="1" applyFont="1" applyFill="1" applyBorder="1"/>
    <x:xf numFmtId="202" fontId="23" fillId="0" borderId="22" xfId="0" applyNumberFormat="1" applyFont="1" applyFill="1" applyBorder="1"/>
    <x:xf numFmtId="0" fontId="26" fillId="8" borderId="22" xfId="0" applyNumberFormat="1" applyFont="1" applyFill="1" applyBorder="1" applyAlignment="1">
      <x:alignment horizontal="center"/>
    </x:xf>
    <x:xf numFmtId="0" fontId="7" fillId="0" borderId="22" xfId="0" applyNumberFormat="1" applyFont="1" applyFill="1" applyBorder="1" applyAlignment="1">
      <x:alignment wrapText="1"/>
    </x:xf>
    <x:xf numFmtId="0" fontId="0" fillId="0" borderId="23" xfId="0" applyNumberFormat="1" applyFont="1" applyFill="1" applyBorder="1"/>
    <x:xf numFmtId="202" fontId="23" fillId="0" borderId="23" xfId="0" applyNumberFormat="1" applyFont="1" applyFill="1" applyBorder="1"/>
    <x:xf numFmtId="0" fontId="26" fillId="8" borderId="23" xfId="0" applyNumberFormat="1" applyFont="1" applyFill="1" applyBorder="1" applyAlignment="1">
      <x:alignment horizontal="center"/>
    </x:xf>
    <x:xf numFmtId="0" fontId="7" fillId="0" borderId="23" xfId="0" applyNumberFormat="1" applyFont="1" applyFill="1" applyBorder="1" applyAlignment="1">
      <x:alignment wrapText="1"/>
    </x:xf>
    <x:xf numFmtId="203" fontId="23" fillId="0" borderId="23" xfId="0" applyNumberFormat="1" applyFont="1" applyFill="1" applyBorder="1"/>
    <x:xf numFmtId="0" fontId="0" fillId="0" borderId="24" xfId="0" applyNumberFormat="1" applyFont="1" applyFill="1" applyBorder="1"/>
    <x:xf numFmtId="202" fontId="23" fillId="0" borderId="24" xfId="0" applyNumberFormat="1" applyFont="1" applyFill="1" applyBorder="1"/>
    <x:xf numFmtId="0" fontId="26" fillId="8" borderId="24" xfId="0" applyNumberFormat="1" applyFont="1" applyFill="1" applyBorder="1" applyAlignment="1">
      <x:alignment horizontal="center"/>
    </x:xf>
    <x:xf numFmtId="0" fontId="7" fillId="0" borderId="24" xfId="0" applyNumberFormat="1" applyFont="1" applyFill="1" applyBorder="1" applyAlignment="1">
      <x:alignment wrapText="1"/>
    </x:xf>
    <x:xf numFmtId="0" fontId="27" fillId="0" borderId="12" xfId="0" applyNumberFormat="1" applyFont="1" applyFill="1" applyBorder="1" applyAlignment="1">
      <x:alignment wrapText="1"/>
    </x:xf>
    <x:xf numFmtId="0" fontId="27" fillId="0" borderId="18" xfId="0" applyNumberFormat="1" applyFont="1" applyFill="1" applyBorder="1" applyAlignment="1">
      <x:alignment wrapText="1"/>
    </x:xf>
    <x:xf numFmtId="0" fontId="27" fillId="0" borderId="13" xfId="0" applyNumberFormat="1" applyFont="1" applyFill="1" applyBorder="1" applyAlignment="1">
      <x:alignment wrapText="1"/>
    </x:xf>
    <x:xf numFmtId="0" fontId="27" fillId="0" borderId="19" xfId="0" applyNumberFormat="1" applyFont="1" applyFill="1" applyBorder="1" applyAlignment="1">
      <x:alignment wrapText="1"/>
    </x:xf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28" fillId="5" borderId="0" xfId="0" applyNumberFormat="1" applyFont="1" applyFill="1" applyBorder="1"/>
    <x:xf numFmtId="0" fontId="28" fillId="5" borderId="0" xfId="0" applyNumberFormat="1" applyFont="1" applyFill="1" applyBorder="1" applyAlignment="1">
      <x:alignment vertical="center"/>
    </x:xf>
    <x:xf numFmtId="0" fontId="29" fillId="8" borderId="0" xfId="0" applyNumberFormat="1" applyFont="1" applyFill="1" applyBorder="1"/>
    <x:xf numFmtId="0" fontId="29" fillId="8" borderId="0" xfId="0" applyNumberFormat="1" applyFont="1" applyFill="1" applyBorder="1" applyAlignment="1">
      <x:alignment horizontal="center"/>
    </x:xf>
    <x:xf numFmtId="0" fontId="29" fillId="8" borderId="0" xfId="0" applyNumberFormat="1" applyFont="1" applyFill="1" applyBorder="1" applyAlignment="1">
      <x:alignment horizontal="center" vertical="center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6" fillId="9" borderId="0" xfId="0" applyNumberFormat="1" applyFont="1" applyFill="1" applyBorder="1" applyAlignment="1">
      <x:alignment wrapText="1"/>
    </x:xf>
    <x:xf numFmtId="0" fontId="6" fillId="9" borderId="0" xfId="0" applyNumberFormat="1" applyFont="1" applyFill="1" applyBorder="1" applyAlignment="1">
      <x:alignment vertical="center" wrapText="1"/>
    </x:xf>
    <x:xf numFmtId="0" fontId="27" fillId="0" borderId="12" xfId="0" applyNumberFormat="1" applyFont="1" applyFill="1" applyBorder="1"/>
    <x:xf numFmtId="0" fontId="27" fillId="0" borderId="13" xfId="0" applyNumberFormat="1" applyFont="1" applyFill="1" applyBorder="1"/>
    <x:xf numFmtId="0" fontId="27" fillId="0" borderId="15" xfId="0" applyNumberFormat="1" applyFont="1" applyFill="1" applyBorder="1"/>
    <x:xf numFmtId="0" fontId="27" fillId="0" borderId="16" xfId="0" applyNumberFormat="1" applyFont="1" applyFill="1" applyBorder="1"/>
    <x:xf numFmtId="0" fontId="27" fillId="0" borderId="18" xfId="0" applyNumberFormat="1" applyFont="1" applyFill="1" applyBorder="1"/>
    <x:xf numFmtId="0" fontId="27" fillId="0" borderId="19" xfId="0" applyNumberFormat="1" applyFont="1" applyFill="1" applyBorder="1"/>
    <x:xf numFmtId="0" fontId="30" fillId="0" borderId="13" xfId="0" applyNumberFormat="1" applyFont="1" applyFill="1" applyBorder="1"/>
    <x:xf numFmtId="0" fontId="30" fillId="0" borderId="16" xfId="0" applyNumberFormat="1" applyFont="1" applyFill="1" applyBorder="1"/>
    <x:xf numFmtId="0" fontId="30" fillId="0" borderId="19" xfId="0" applyNumberFormat="1" applyFont="1" applyFill="1" applyBorder="1"/>
    <x:xf numFmtId="0" fontId="0" fillId="7" borderId="13" xfId="0" applyNumberFormat="1" applyFont="1" applyFill="1" applyBorder="1"/>
    <x:xf numFmtId="0" fontId="0" fillId="7" borderId="14" xfId="0" applyNumberFormat="1" applyFont="1" applyFill="1" applyBorder="1"/>
    <x:xf numFmtId="0" fontId="0" fillId="7" borderId="16" xfId="0" applyNumberFormat="1" applyFont="1" applyFill="1" applyBorder="1"/>
    <x:xf numFmtId="0" fontId="0" fillId="7" borderId="17" xfId="0" applyNumberFormat="1" applyFont="1" applyFill="1" applyBorder="1"/>
    <x:xf numFmtId="0" fontId="0" fillId="7" borderId="19" xfId="0" applyNumberFormat="1" applyFont="1" applyFill="1" applyBorder="1"/>
    <x:xf numFmtId="0" fontId="0" fillId="7" borderId="20" xfId="0" applyNumberFormat="1" applyFont="1" applyFill="1" applyBorder="1"/>
    <x:xf numFmtId="0" fontId="11" fillId="7" borderId="13" xfId="0" applyNumberFormat="1" applyFont="1" applyFill="1" applyBorder="1"/>
    <x:xf numFmtId="0" fontId="11" fillId="7" borderId="14" xfId="0" applyNumberFormat="1" applyFont="1" applyFill="1" applyBorder="1"/>
    <x:xf numFmtId="0" fontId="11" fillId="7" borderId="16" xfId="0" applyNumberFormat="1" applyFont="1" applyFill="1" applyBorder="1"/>
    <x:xf numFmtId="0" fontId="11" fillId="7" borderId="17" xfId="0" applyNumberFormat="1" applyFont="1" applyFill="1" applyBorder="1"/>
    <x:xf numFmtId="0" fontId="11" fillId="7" borderId="19" xfId="0" applyNumberFormat="1" applyFont="1" applyFill="1" applyBorder="1"/>
    <x:xf numFmtId="0" fontId="11" fillId="7" borderId="20" xfId="0" applyNumberFormat="1" applyFont="1" applyFill="1" applyBorder="1"/>
    <x:xf numFmtId="0" fontId="11" fillId="7" borderId="13" xfId="0" applyNumberFormat="1" applyFont="1" applyFill="1" applyBorder="1" applyAlignment="1">
      <x:alignment wrapText="1"/>
    </x:xf>
    <x:xf numFmtId="0" fontId="11" fillId="7" borderId="14" xfId="0" applyNumberFormat="1" applyFont="1" applyFill="1" applyBorder="1" applyAlignment="1">
      <x:alignment wrapText="1"/>
    </x:xf>
    <x:xf numFmtId="0" fontId="11" fillId="7" borderId="16" xfId="0" applyNumberFormat="1" applyFont="1" applyFill="1" applyBorder="1" applyAlignment="1">
      <x:alignment wrapText="1"/>
    </x:xf>
    <x:xf numFmtId="0" fontId="11" fillId="7" borderId="17" xfId="0" applyNumberFormat="1" applyFont="1" applyFill="1" applyBorder="1" applyAlignment="1">
      <x:alignment wrapText="1"/>
    </x:xf>
    <x:xf numFmtId="0" fontId="11" fillId="7" borderId="19" xfId="0" applyNumberFormat="1" applyFont="1" applyFill="1" applyBorder="1" applyAlignment="1">
      <x:alignment wrapText="1"/>
    </x:xf>
    <x:xf numFmtId="0" fontId="11" fillId="7" borderId="2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27" fillId="0" borderId="15" xfId="0" applyNumberFormat="1" applyFont="1" applyFill="1" applyBorder="1" applyAlignment="1">
      <x:alignment wrapText="1"/>
    </x:xf>
    <x:xf numFmtId="0" fontId="27" fillId="0" borderId="16" xfId="0" applyNumberFormat="1" applyFont="1" applyFill="1" applyBorder="1" applyAlignment="1">
      <x:alignment wrapText="1"/>
    </x:xf>
    <x:xf numFmtId="0" fontId="27" fillId="0" borderId="0" xfId="0" applyNumberFormat="1" applyFont="1" applyFill="1" applyBorder="1"/>
    <x:xf numFmtId="202" fontId="31" fillId="0" borderId="0" xfId="0" applyNumberFormat="1" applyFont="1" applyFill="1" applyBorder="1" applyAlignment="1">
      <x:alignment horizontal="right"/>
    </x:xf>
    <x:xf numFmtId="200" fontId="31" fillId="0" borderId="0" xfId="0" applyNumberFormat="1" applyFont="1" applyFill="1" applyBorder="1" applyAlignment="1">
      <x:alignment horizontal="right"/>
    </x:xf>
    <x:xf numFmtId="0" fontId="32" fillId="0" borderId="0" xfId="0" applyNumberFormat="1" applyFont="1" applyFill="1" applyBorder="1"/>
    <x:xf numFmtId="0" fontId="32" fillId="0" borderId="12" xfId="0" applyNumberFormat="1" applyFont="1" applyFill="1" applyBorder="1"/>
    <x:xf numFmtId="0" fontId="32" fillId="0" borderId="13" xfId="0" applyNumberFormat="1" applyFont="1" applyFill="1" applyBorder="1"/>
    <x:xf numFmtId="0" fontId="32" fillId="0" borderId="14" xfId="0" applyNumberFormat="1" applyFont="1" applyFill="1" applyBorder="1"/>
    <x:xf numFmtId="0" fontId="32" fillId="0" borderId="15" xfId="0" applyNumberFormat="1" applyFont="1" applyFill="1" applyBorder="1"/>
    <x:xf numFmtId="0" fontId="32" fillId="0" borderId="16" xfId="0" applyNumberFormat="1" applyFont="1" applyFill="1" applyBorder="1"/>
    <x:xf numFmtId="0" fontId="32" fillId="0" borderId="17" xfId="0" applyNumberFormat="1" applyFont="1" applyFill="1" applyBorder="1"/>
    <x:xf numFmtId="0" fontId="32" fillId="0" borderId="18" xfId="0" applyNumberFormat="1" applyFont="1" applyFill="1" applyBorder="1"/>
    <x:xf numFmtId="0" fontId="32" fillId="0" borderId="19" xfId="0" applyNumberFormat="1" applyFont="1" applyFill="1" applyBorder="1"/>
    <x:xf numFmtId="0" fontId="32" fillId="0" borderId="20" xfId="0" applyNumberFormat="1" applyFont="1" applyFill="1" applyBorder="1"/>
    <x:xf numFmtId="0" fontId="32" fillId="0" borderId="12" xfId="0" applyNumberFormat="1" applyFont="1" applyFill="1" applyBorder="1" applyAlignment="1">
      <x:alignment wrapText="1"/>
    </x:xf>
    <x:xf numFmtId="0" fontId="32" fillId="0" borderId="13" xfId="0" applyNumberFormat="1" applyFont="1" applyFill="1" applyBorder="1" applyAlignment="1">
      <x:alignment wrapText="1"/>
    </x:xf>
    <x:xf numFmtId="0" fontId="32" fillId="0" borderId="14" xfId="0" applyNumberFormat="1" applyFont="1" applyFill="1" applyBorder="1" applyAlignment="1">
      <x:alignment wrapText="1"/>
    </x:xf>
    <x:xf numFmtId="0" fontId="32" fillId="0" borderId="15" xfId="0" applyNumberFormat="1" applyFont="1" applyFill="1" applyBorder="1" applyAlignment="1">
      <x:alignment wrapText="1"/>
    </x:xf>
    <x:xf numFmtId="0" fontId="32" fillId="0" borderId="16" xfId="0" applyNumberFormat="1" applyFont="1" applyFill="1" applyBorder="1" applyAlignment="1">
      <x:alignment wrapText="1"/>
    </x:xf>
    <x:xf numFmtId="0" fontId="32" fillId="0" borderId="17" xfId="0" applyNumberFormat="1" applyFont="1" applyFill="1" applyBorder="1" applyAlignment="1">
      <x:alignment wrapText="1"/>
    </x:xf>
    <x:xf numFmtId="0" fontId="32" fillId="0" borderId="18" xfId="0" applyNumberFormat="1" applyFont="1" applyFill="1" applyBorder="1" applyAlignment="1">
      <x:alignment wrapText="1"/>
    </x:xf>
    <x:xf numFmtId="0" fontId="32" fillId="0" borderId="19" xfId="0" applyNumberFormat="1" applyFont="1" applyFill="1" applyBorder="1" applyAlignment="1">
      <x:alignment wrapText="1"/>
    </x:xf>
    <x:xf numFmtId="0" fontId="32" fillId="0" borderId="20" xfId="0" applyNumberFormat="1" applyFont="1" applyFill="1" applyBorder="1" applyAlignment="1">
      <x:alignment wrapText="1"/>
    </x:xf>
    <x:xf numFmtId="0" fontId="33" fillId="0" borderId="12" xfId="0" applyNumberFormat="1" applyFont="1" applyFill="1" applyBorder="1" applyAlignment="1">
      <x:alignment wrapText="1"/>
    </x:xf>
    <x:xf numFmtId="0" fontId="34" fillId="0" borderId="13" xfId="0" applyNumberFormat="1" applyFont="1" applyFill="1" applyBorder="1" applyAlignment="1">
      <x:alignment wrapText="1"/>
    </x:xf>
    <x:xf numFmtId="0" fontId="35" fillId="0" borderId="13" xfId="0" applyNumberFormat="1" applyFont="1" applyFill="1" applyBorder="1" applyAlignment="1">
      <x:alignment wrapText="1"/>
    </x:xf>
    <x:xf numFmtId="0" fontId="32" fillId="7" borderId="13" xfId="0" applyNumberFormat="1" applyFont="1" applyFill="1" applyBorder="1" applyAlignment="1">
      <x:alignment wrapText="1"/>
    </x:xf>
    <x:xf numFmtId="0" fontId="32" fillId="8" borderId="13" xfId="0" applyNumberFormat="1" applyFont="1" applyFill="1" applyBorder="1" applyAlignment="1">
      <x:alignment wrapText="1"/>
    </x:xf>
    <x:xf numFmtId="0" fontId="32" fillId="8" borderId="14" xfId="0" applyNumberFormat="1" applyFont="1" applyFill="1" applyBorder="1" applyAlignment="1">
      <x:alignment wrapText="1"/>
    </x:xf>
  </x:cellXfs>
  <x:cellStyles count="1">
    <x:cellStyle name="Normal" xfId="0"/>
  </x:cellStyles>
  <x:dxfs count="2">
    <x:dxf>
      <x:font>
        <x:b/>
        <x:color rgb="FF0F9F8F"/>
      </x:font>
      <x:fill>
        <x:patternFill patternType="solid">
          <x:bgColor rgb="FFE5F6F3"/>
        </x:patternFill>
      </x:fill>
    </x:dxf>
    <x:dxf>
      <x:font>
        <x:b/>
        <x:color rgb="FFB42318"/>
      </x:font>
      <x:fill>
        <x:patternFill patternType="solid">
          <x:bgColor rgb="FFFCE8E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6bd996f265249e3" /><Relationship Type="http://schemas.openxmlformats.org/officeDocument/2006/relationships/theme" Target="/xl/theme/theme1.xml" Id="R7874358e38434c99" /><Relationship Type="http://schemas.openxmlformats.org/officeDocument/2006/relationships/sharedStrings" Target="/xl/sharedStrings.xml" Id="R170d1fe90d724009" /><Relationship Type="http://schemas.openxmlformats.org/officeDocument/2006/relationships/worksheet" Target="/xl/worksheets/sheet1.xml" Id="Rb061b01a250145aa" /><Relationship Type="http://schemas.openxmlformats.org/officeDocument/2006/relationships/worksheet" Target="/xl/worksheets/sheet2.xml" Id="R28bf20f4a6474a02" /><Relationship Type="http://schemas.openxmlformats.org/officeDocument/2006/relationships/worksheet" Target="/xl/worksheets/sheet3.xml" Id="R6fadc5d7d368476c" /><Relationship Type="http://schemas.openxmlformats.org/officeDocument/2006/relationships/worksheet" Target="/xl/worksheets/sheet4.xml" Id="R0c9566220af34379" /><Relationship Type="http://schemas.openxmlformats.org/officeDocument/2006/relationships/worksheet" Target="/xl/worksheets/sheet5.xml" Id="R1456d734ee664d04" /><Relationship Type="http://schemas.openxmlformats.org/officeDocument/2006/relationships/worksheet" Target="/xl/worksheets/sheet6.xml" Id="R56f19bbe12e441a0" /><Relationship Type="http://schemas.openxmlformats.org/officeDocument/2006/relationships/worksheet" Target="/xl/worksheets/sheet7.xml" Id="R96cda57cab7849c9" /><Relationship Type="http://schemas.openxmlformats.org/officeDocument/2006/relationships/worksheet" Target="/xl/worksheets/sheet8.xml" Id="Re2c467d859d64494" /><Relationship Type="http://schemas.openxmlformats.org/officeDocument/2006/relationships/worksheet" Target="/xl/worksheets/sheet9.xml" Id="Rb2f767394c0543ab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75a047ee99a841ee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Target and sculpted debt service</a:t>
            </a:r>
          </a:p>
        </c:rich>
      </c:tx>
    </c:title>
    <c:plotArea>
      <c:lineChart>
        <c:grouping val="standard"/>
        <c:ser>
          <c:idx val="0"/>
          <c:order val="0"/>
          <c:tx>
            <c:v>Target debt service</c:v>
          </c:tx>
          <c:marker>
            <c:symbol val="none"/>
          </c:marker>
          <c:cat>
            <c:strRef>
              <c:f>'Summary'!$A$16:$A$25</c:f>
              <c:strCache>
                <c:ptCount val="0"/>
              </c:strCache>
            </c:strRef>
          </c:cat>
          <c:val>
            <c:numRef>
              <c:f>'Summary'!$B$16:$B$25</c:f>
              <c:numCache>
                <c:formatCode>#,##0.0;(#,##0.0);-</c:formatCode>
                <c:ptCount val="0"/>
              </c:numCache>
            </c:numRef>
          </c:val>
        </c:ser>
        <c:ser>
          <c:idx val="1"/>
          <c:order val="1"/>
          <c:tx>
            <c:v>Debt service</c:v>
          </c:tx>
          <c:marker>
            <c:symbol val="none"/>
          </c:marker>
          <c:cat>
            <c:strRef>
              <c:f>'Summary'!$A$16:$A$25</c:f>
              <c:strCache>
                <c:ptCount val="0"/>
              </c:strCache>
            </c:strRef>
          </c:cat>
          <c:val>
            <c:numRef>
              <c:f>'Summary'!$C$16:$C$25</c:f>
              <c:numCache>
                <c:formatCode>#,##0.0;(#,##0.0);-</c:formatCode>
                <c:ptCount val="0"/>
              </c:numCache>
            </c:numRef>
          </c:val>
        </c:ser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.0;(#,##0.0);-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5</xdr:col>
      <xdr:colOff>0</xdr:colOff>
      <xdr:row>13</xdr:row>
      <xdr:rowOff>0</xdr:rowOff>
    </xdr:from>
    <xdr:to>
      <xdr:col>10</xdr:col>
      <xdr:colOff>0</xdr:colOff>
      <xdr:row>29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5a047ee99a841ee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7.xml.rels>&#65279;<?xml version="1.0" encoding="utf-8"?><Relationships xmlns="http://schemas.openxmlformats.org/package/2006/relationships"><Relationship Type="http://schemas.openxmlformats.org/officeDocument/2006/relationships/drawing" Target="/xl/drawings/drawing1.xml" Id="Rfecf5351f0574459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4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</x:cols>
  <x:sheetData>
    <x:row r="1" ht="34" customHeight="1">
      <x:c r="A1" s="3" t="str">
        <x:v>TDAT FINANCIAL MODELS</x:v>
      </x:c>
      <x:c r="B1" s="3" t="str">
        <x:v>TDAT FINANCIAL MODELS</x:v>
      </x:c>
      <x:c r="C1" s="3" t="str">
        <x:v>TDAT FINANCIAL MODELS</x:v>
      </x:c>
      <x:c r="D1" s="3" t="str">
        <x:v>TDAT FINANCIAL MODELS</x:v>
      </x:c>
      <x:c r="E1" s="3" t="str">
        <x:v>TDAT FINANCIAL MODELS</x:v>
      </x:c>
      <x:c r="F1" s="3" t="str">
        <x:v>TDAT FINANCIAL MODELS</x:v>
      </x:c>
      <x:c r="G1" s="3" t="str">
        <x:v>TDAT FINANCIAL MODELS</x:v>
      </x:c>
      <x:c r="H1" s="3" t="str">
        <x:v>TDAT FINANCIAL MODELS</x:v>
      </x:c>
      <x:c r="I1" s="3" t="str">
        <x:v>TDAT FINANCIAL MODELS</x:v>
      </x:c>
      <x:c r="J1" s="3" t="str">
        <x:v>TDAT FINANCIAL MODELS</x:v>
      </x:c>
    </x:row>
    <x:row r="2" ht="24" customHeight="1">
      <x:c r="A2" s="6" t="str">
        <x:v>TDAT-FM-PF-002  |  Built to flex. Built to tie. Built to trust.</x:v>
      </x:c>
      <x:c r="B2" s="6" t="str">
        <x:v>TDAT-FM-PF-002  |  Built to flex. Built to tie. Built to trust.</x:v>
      </x:c>
      <x:c r="C2" s="6" t="str">
        <x:v>TDAT-FM-PF-002  |  Built to flex. Built to tie. Built to trust.</x:v>
      </x:c>
      <x:c r="D2" s="6" t="str">
        <x:v>TDAT-FM-PF-002  |  Built to flex. Built to tie. Built to trust.</x:v>
      </x:c>
      <x:c r="E2" s="6" t="str">
        <x:v>TDAT-FM-PF-002  |  Built to flex. Built to tie. Built to trust.</x:v>
      </x:c>
      <x:c r="F2" s="6" t="str">
        <x:v>TDAT-FM-PF-002  |  Built to flex. Built to tie. Built to trust.</x:v>
      </x:c>
      <x:c r="G2" s="6" t="str">
        <x:v>TDAT-FM-PF-002  |  Built to flex. Built to tie. Built to trust.</x:v>
      </x:c>
      <x:c r="H2" s="6" t="str">
        <x:v>TDAT-FM-PF-002  |  Built to flex. Built to tie. Built to trust.</x:v>
      </x:c>
      <x:c r="I2" s="6" t="str">
        <x:v>TDAT-FM-PF-002  |  Built to flex. Built to tie. Built to trust.</x:v>
      </x:c>
      <x:c r="J2" s="6" t="str">
        <x:v>TDAT-FM-PF-002  |  Built to flex. Built to tie. Built to trust.</x:v>
      </x:c>
    </x:row>
    <x:row r="3" ht="4" customHeight="1">
      <x:c r="A3" s="7"/>
      <x:c r="B3" s="7"/>
      <x:c r="C3" s="7"/>
      <x:c r="D3" s="7"/>
      <x:c r="E3" s="7"/>
      <x:c r="F3" s="7"/>
      <x:c r="G3" s="7"/>
      <x:c r="H3" s="7"/>
      <x:c r="I3" s="7"/>
      <x:c r="J3" s="7"/>
    </x:row>
    <x:row r="5">
      <x:c r="A5" s="222" t="str">
        <x:v>Debt Sculpting &amp; Waterfall</x:v>
      </x:c>
      <x:c r="B5" s="222" t="str">
        <x:v>Debt Sculpting &amp; Waterfall</x:v>
      </x:c>
      <x:c r="C5" s="222" t="str">
        <x:v>Debt Sculpting &amp; Waterfall</x:v>
      </x:c>
      <x:c r="D5" s="222" t="str">
        <x:v>Debt Sculpting &amp; Waterfall</x:v>
      </x:c>
      <x:c r="E5" s="222" t="str">
        <x:v>Debt Sculpting &amp; Waterfall</x:v>
      </x:c>
      <x:c r="F5" s="222" t="str">
        <x:v>Debt Sculpting &amp; Waterfall</x:v>
      </x:c>
      <x:c r="G5" s="140" t="str">
        <x:v>CALCULATION INTEGRITY</x:v>
      </x:c>
      <x:c r="H5" s="140" t="str">
        <x:v>CALCULATION INTEGRITY</x:v>
      </x:c>
      <x:c r="I5" s="140" t="str">
        <x:v>CALCULATION INTEGRITY</x:v>
      </x:c>
      <x:c r="J5" s="140" t="str">
        <x:v>CALCULATION INTEGRITY</x:v>
      </x:c>
    </x:row>
    <x:row r="6">
      <x:c r="A6" s="222" t="str">
        <x:v>Debt Sculpting &amp; Waterfall</x:v>
      </x:c>
      <x:c r="B6" s="222" t="str">
        <x:v>Debt Sculpting &amp; Waterfall</x:v>
      </x:c>
      <x:c r="C6" s="222" t="str">
        <x:v>Debt Sculpting &amp; Waterfall</x:v>
      </x:c>
      <x:c r="D6" s="222" t="str">
        <x:v>Debt Sculpting &amp; Waterfall</x:v>
      </x:c>
      <x:c r="E6" s="222" t="str">
        <x:v>Debt Sculpting &amp; Waterfall</x:v>
      </x:c>
      <x:c r="F6" s="222" t="str">
        <x:v>Debt Sculpting &amp; Waterfall</x:v>
      </x:c>
      <x:c r="G6" s="225" t="str">
        <x:f>'Checks'!$B$5</x:f>
        <x:v>PASS</x:v>
      </x:c>
      <x:c r="H6" s="225"/>
      <x:c r="I6" s="225"/>
      <x:c r="J6" s="225"/>
    </x:row>
    <x:row r="7">
      <x:c r="A7" s="222" t="str">
        <x:v>Debt Sculpting &amp; Waterfall</x:v>
      </x:c>
      <x:c r="B7" s="222" t="str">
        <x:v>Debt Sculpting &amp; Waterfall</x:v>
      </x:c>
      <x:c r="C7" s="222" t="str">
        <x:v>Debt Sculpting &amp; Waterfall</x:v>
      </x:c>
      <x:c r="D7" s="222" t="str">
        <x:v>Debt Sculpting &amp; Waterfall</x:v>
      </x:c>
      <x:c r="E7" s="222" t="str">
        <x:v>Debt Sculpting &amp; Waterfall</x:v>
      </x:c>
      <x:c r="F7" s="222" t="str">
        <x:v>Debt Sculpting &amp; Waterfall</x:v>
      </x:c>
      <x:c r="G7" s="225"/>
      <x:c r="H7" s="225"/>
      <x:c r="I7" s="225"/>
      <x:c r="J7" s="225"/>
    </x:row>
    <x:row r="9" ht="22" customHeight="1">
      <x:c r="A9" s="9" t="str">
        <x:v>DECISION QUESTION</x:v>
      </x:c>
      <x:c r="B9" s="9" t="str">
        <x:v>DECISION QUESTION</x:v>
      </x:c>
      <x:c r="C9" s="9" t="str">
        <x:v>DECISION QUESTION</x:v>
      </x:c>
      <x:c r="D9" s="9" t="str">
        <x:v>DECISION QUESTION</x:v>
      </x:c>
      <x:c r="E9" s="9" t="str">
        <x:v>DECISION QUESTION</x:v>
      </x:c>
      <x:c r="F9" s="9" t="str">
        <x:v>DECISION QUESTION</x:v>
      </x:c>
      <x:c r="G9" s="9" t="str">
        <x:v>DECISION QUESTION</x:v>
      </x:c>
      <x:c r="H9" s="9" t="str">
        <x:v>DECISION QUESTION</x:v>
      </x:c>
      <x:c r="I9" s="9" t="str">
        <x:v>DECISION QUESTION</x:v>
      </x:c>
      <x:c r="J9" s="9" t="str">
        <x:v>DECISION QUESTION</x:v>
      </x:c>
    </x:row>
    <x:row r="10">
      <x:c r="A10" s="229" t="str">
        <x:v>What repayment profile and cash waterfall meet coverage constraints while preserving equity value?</x:v>
      </x:c>
      <x:c r="B10" s="229" t="str">
        <x:v>What repayment profile and cash waterfall meet coverage constraints while preserving equity value?</x:v>
      </x:c>
      <x:c r="C10" s="229" t="str">
        <x:v>What repayment profile and cash waterfall meet coverage constraints while preserving equity value?</x:v>
      </x:c>
      <x:c r="D10" s="229" t="str">
        <x:v>What repayment profile and cash waterfall meet coverage constraints while preserving equity value?</x:v>
      </x:c>
      <x:c r="E10" s="229" t="str">
        <x:v>What repayment profile and cash waterfall meet coverage constraints while preserving equity value?</x:v>
      </x:c>
      <x:c r="F10" s="229" t="str">
        <x:v>What repayment profile and cash waterfall meet coverage constraints while preserving equity value?</x:v>
      </x:c>
      <x:c r="G10" s="229" t="str">
        <x:v>What repayment profile and cash waterfall meet coverage constraints while preserving equity value?</x:v>
      </x:c>
      <x:c r="H10" s="229" t="str">
        <x:v>What repayment profile and cash waterfall meet coverage constraints while preserving equity value?</x:v>
      </x:c>
      <x:c r="I10" s="229" t="str">
        <x:v>What repayment profile and cash waterfall meet coverage constraints while preserving equity value?</x:v>
      </x:c>
      <x:c r="J10" s="229" t="str">
        <x:v>What repayment profile and cash waterfall meet coverage constraints while preserving equity value?</x:v>
      </x:c>
    </x:row>
    <x:row r="11">
      <x:c r="A11" s="229" t="str">
        <x:v>What repayment profile and cash waterfall meet coverage constraints while preserving equity value?</x:v>
      </x:c>
      <x:c r="B11" s="229" t="str">
        <x:v>What repayment profile and cash waterfall meet coverage constraints while preserving equity value?</x:v>
      </x:c>
      <x:c r="C11" s="229" t="str">
        <x:v>What repayment profile and cash waterfall meet coverage constraints while preserving equity value?</x:v>
      </x:c>
      <x:c r="D11" s="229" t="str">
        <x:v>What repayment profile and cash waterfall meet coverage constraints while preserving equity value?</x:v>
      </x:c>
      <x:c r="E11" s="229" t="str">
        <x:v>What repayment profile and cash waterfall meet coverage constraints while preserving equity value?</x:v>
      </x:c>
      <x:c r="F11" s="229" t="str">
        <x:v>What repayment profile and cash waterfall meet coverage constraints while preserving equity value?</x:v>
      </x:c>
      <x:c r="G11" s="229" t="str">
        <x:v>What repayment profile and cash waterfall meet coverage constraints while preserving equity value?</x:v>
      </x:c>
      <x:c r="H11" s="229" t="str">
        <x:v>What repayment profile and cash waterfall meet coverage constraints while preserving equity value?</x:v>
      </x:c>
      <x:c r="I11" s="229" t="str">
        <x:v>What repayment profile and cash waterfall meet coverage constraints while preserving equity value?</x:v>
      </x:c>
      <x:c r="J11" s="229" t="str">
        <x:v>What repayment profile and cash waterfall meet coverage constraints while preserving equity value?</x:v>
      </x:c>
    </x:row>
    <x:row r="13" ht="22" customHeight="1">
      <x:c r="A13" s="9" t="str">
        <x:v>FIRST READ</x:v>
      </x:c>
      <x:c r="B13" s="9" t="str">
        <x:v>FIRST READ</x:v>
      </x:c>
      <x:c r="C13" s="9" t="str">
        <x:v>FIRST READ</x:v>
      </x:c>
      <x:c r="D13" s="9" t="str">
        <x:v>FIRST READ</x:v>
      </x:c>
      <x:c r="E13" s="9" t="str">
        <x:v>FIRST READ</x:v>
      </x:c>
      <x:c r="F13" s="9" t="str">
        <x:v>FIRST READ</x:v>
      </x:c>
      <x:c r="G13" s="9" t="str">
        <x:v>FIRST READ</x:v>
      </x:c>
      <x:c r="H13" s="9" t="str">
        <x:v>FIRST READ</x:v>
      </x:c>
      <x:c r="I13" s="9" t="str">
        <x:v>FIRST READ</x:v>
      </x:c>
      <x:c r="J13" s="9" t="str">
        <x:v>FIRST READ</x:v>
      </x:c>
    </x:row>
    <x:row r="14">
      <x:c r="A14" s="230" t="str">
        <x:v>Calculation integrity</x:v>
      </x:c>
      <x:c r="B14" s="231" t="str">
        <x:v>Decision readiness</x:v>
      </x:c>
      <x:c r="C14" s="236" t="str">
        <x:f>'Checks'!$B$5</x:f>
        <x:v>PASS</x:v>
      </x:c>
      <x:c r="D14" s="236"/>
      <x:c r="E14" s="236"/>
      <x:c r="F14" s="251" t="str">
        <x:v>TEMPLATE — VALIDATE INPUTS</x:v>
      </x:c>
      <x:c r="G14" s="251" t="str">
        <x:v>TEMPLATE — VALIDATE INPUTS</x:v>
      </x:c>
      <x:c r="H14" s="251" t="str">
        <x:v>TEMPLATE — VALIDATE INPUTS</x:v>
      </x:c>
      <x:c r="I14" s="251" t="str">
        <x:v>TEMPLATE — VALIDATE INPUTS</x:v>
      </x:c>
      <x:c r="J14" s="252" t="str">
        <x:v>TEMPLATE — VALIDATE INPUTS</x:v>
      </x:c>
    </x:row>
    <x:row r="15">
      <x:c r="A15" s="232" t="str">
        <x:v>Published checks</x:v>
      </x:c>
      <x:c r="B15" s="233" t="str">
        <x:v>Template posture</x:v>
      </x:c>
      <x:c r="C15" s="237" t="str">
        <x:f>"12 / 12 PASS"</x:f>
        <x:v>12 / 12 PASS</x:v>
      </x:c>
      <x:c r="D15" s="237"/>
      <x:c r="E15" s="237"/>
      <x:c r="F15" s="253" t="str">
        <x:v>Illustrative, screen-grade worked example</x:v>
      </x:c>
      <x:c r="G15" s="253" t="str">
        <x:v>Illustrative, screen-grade worked example</x:v>
      </x:c>
      <x:c r="H15" s="253" t="str">
        <x:v>Illustrative, screen-grade worked example</x:v>
      </x:c>
      <x:c r="I15" s="253" t="str">
        <x:v>Illustrative, screen-grade worked example</x:v>
      </x:c>
      <x:c r="J15" s="254" t="str">
        <x:v>Illustrative, screen-grade worked example</x:v>
      </x:c>
    </x:row>
    <x:row r="16">
      <x:c r="A16" s="232" t="str">
        <x:v>Scenario</x:v>
      </x:c>
      <x:c r="B16" s="233" t="str">
        <x:v>Evidence</x:v>
      </x:c>
      <x:c r="C16" s="237" t="str">
        <x:f>'Assumptions'!$B$3</x:f>
        <x:v>Base</x:v>
      </x:c>
      <x:c r="D16" s="237"/>
      <x:c r="E16" s="237"/>
      <x:c r="F16" s="253" t="str">
        <x:v>Synthetic / illustrative</x:v>
      </x:c>
      <x:c r="G16" s="253" t="str">
        <x:v>Synthetic / illustrative</x:v>
      </x:c>
      <x:c r="H16" s="253" t="str">
        <x:v>Synthetic / illustrative</x:v>
      </x:c>
      <x:c r="I16" s="253" t="str">
        <x:v>Synthetic / illustrative</x:v>
      </x:c>
      <x:c r="J16" s="254" t="str">
        <x:v>Synthetic / illustrative</x:v>
      </x:c>
    </x:row>
    <x:row r="17">
      <x:c r="A17" s="234" t="str">
        <x:v>Owner</x:v>
      </x:c>
      <x:c r="B17" s="235" t="str">
        <x:v>Use</x:v>
      </x:c>
      <x:c r="C17" s="238" t="str">
        <x:f>'Sources &amp; Version'!$B$12</x:f>
        <x:v>Truong Dinh Anh Tu</x:v>
      </x:c>
      <x:c r="D17" s="238"/>
      <x:c r="E17" s="238"/>
      <x:c r="F17" s="255" t="str">
        <x:v>Project Finance · Infrastructure Finance · Structured Finance</x:v>
      </x:c>
      <x:c r="G17" s="255" t="str">
        <x:v>Project Finance · Infrastructure Finance · Structured Finance</x:v>
      </x:c>
      <x:c r="H17" s="255" t="str">
        <x:v>Project Finance · Infrastructure Finance · Structured Finance</x:v>
      </x:c>
      <x:c r="I17" s="255" t="str">
        <x:v>Project Finance · Infrastructure Finance · Structured Finance</x:v>
      </x:c>
      <x:c r="J17" s="256" t="str">
        <x:v>Project Finance · Infrastructure Finance · Structured Finance</x:v>
      </x:c>
    </x:row>
    <x:row r="19" ht="22" customHeight="1">
      <x:c r="A19" s="9" t="str">
        <x:v>MODEL IDENTITY</x:v>
      </x:c>
      <x:c r="B19" s="9" t="str">
        <x:v>MODEL IDENTITY</x:v>
      </x:c>
      <x:c r="C19" s="9" t="str">
        <x:v>MODEL IDENTITY</x:v>
      </x:c>
      <x:c r="D19" s="9" t="str">
        <x:v>MODEL IDENTITY</x:v>
      </x:c>
      <x:c r="E19" s="9" t="str">
        <x:v>MODEL IDENTITY</x:v>
      </x:c>
      <x:c r="F19" s="9" t="str">
        <x:v>MODEL IDENTITY</x:v>
      </x:c>
      <x:c r="G19" s="9" t="str">
        <x:v>KEY OUTPUTS</x:v>
      </x:c>
      <x:c r="H19" s="9" t="str">
        <x:v>KEY OUTPUTS</x:v>
      </x:c>
      <x:c r="I19" s="9" t="str">
        <x:v>KEY OUTPUTS</x:v>
      </x:c>
      <x:c r="J19" s="9" t="str">
        <x:v>KEY OUTPUTS</x:v>
      </x:c>
    </x:row>
    <x:row r="20">
      <x:c r="A20" s="211" t="str">
        <x:v>Model ID</x:v>
      </x:c>
      <x:c r="B20" s="153" t="str">
        <x:v>TDAT-FM-PF-002</x:v>
      </x:c>
      <x:c r="C20" s="213" t="str">
        <x:v>Version</x:v>
      </x:c>
      <x:c r="D20" s="153" t="str">
        <x:v>1.0.0</x:v>
      </x:c>
      <x:c r="E20" s="213" t="str">
        <x:v>Last QA</x:v>
      </x:c>
      <x:c r="F20" s="154" t="str">
        <x:v>2026-07-13</x:v>
      </x:c>
      <x:c r="G20" s="260" t="str">
        <x:v>Debt capacity</x:v>
      </x:c>
      <x:c r="H20" s="260" t="str">
        <x:v>Debt capacity</x:v>
      </x:c>
      <x:c r="I20" s="261" t="n">
        <x:f>'Sculpting Waterfall'!K$21</x:f>
        <x:v>364.7092396581639</x:v>
      </x:c>
      <x:c r="J20" s="261"/>
    </x:row>
    <x:row r="21">
      <x:c r="A21" s="258" t="str">
        <x:v>Domain</x:v>
      </x:c>
      <x:c r="B21" s="156" t="str">
        <x:v>Project &amp; Real Assets</x:v>
      </x:c>
      <x:c r="C21" s="259" t="str">
        <x:v>Compatibility</x:v>
      </x:c>
      <x:c r="D21" s="156" t="str">
        <x:v>Excel 365</x:v>
      </x:c>
      <x:c r="E21" s="259" t="str">
        <x:v>Macros</x:v>
      </x:c>
      <x:c r="F21" s="157" t="str">
        <x:v>None</x:v>
      </x:c>
      <x:c r="G21" s="260" t="str">
        <x:v>Minimum DSCR</x:v>
      </x:c>
      <x:c r="H21" s="260" t="str">
        <x:v>Minimum DSCR</x:v>
      </x:c>
      <x:c r="I21" s="262" t="n">
        <x:f>MIN('Sculpting Waterfall'!B12:K12)</x:f>
        <x:v>0</x:v>
      </x:c>
      <x:c r="J21" s="262"/>
    </x:row>
    <x:row r="22">
      <x:c r="A22" s="258" t="str">
        <x:v>Horizon</x:v>
      </x:c>
      <x:c r="B22" s="156" t="str">
        <x:v>10–30 years</x:v>
      </x:c>
      <x:c r="C22" s="259" t="str">
        <x:v>Frequency</x:v>
      </x:c>
      <x:c r="D22" s="156" t="str">
        <x:v>Annual</x:v>
      </x:c>
      <x:c r="E22" s="259" t="str">
        <x:v>External links</x:v>
      </x:c>
      <x:c r="F22" s="157" t="str">
        <x:v>None</x:v>
      </x:c>
      <x:c r="G22" s="260" t="str">
        <x:v>Closing debt / balloon</x:v>
      </x:c>
      <x:c r="H22" s="260" t="str">
        <x:v>Closing debt / balloon</x:v>
      </x:c>
      <x:c r="I22" s="261" t="n">
        <x:f>'Sculpting Waterfall'!K$10</x:f>
        <x:v>0</x:v>
      </x:c>
      <x:c r="J22" s="261"/>
    </x:row>
    <x:row r="23">
      <x:c r="A23" s="258" t="str">
        <x:v>Currency</x:v>
      </x:c>
      <x:c r="B23" s="156" t="str">
        <x:v>LCY</x:v>
      </x:c>
      <x:c r="C23" s="259" t="str">
        <x:v>Units</x:v>
      </x:c>
      <x:c r="D23" s="156" t="str">
        <x:v>LCY millions</x:v>
      </x:c>
      <x:c r="E23" s="259" t="str">
        <x:v>Scenario</x:v>
      </x:c>
      <x:c r="F23" s="157" t="str">
        <x:v>Base / Upside / Downside</x:v>
      </x:c>
      <x:c r="G23" s="260" t="str">
        <x:v>Peak DSRA</x:v>
      </x:c>
      <x:c r="H23" s="260" t="str">
        <x:v>Peak DSRA</x:v>
      </x:c>
      <x:c r="I23" s="261" t="n">
        <x:f>MAX('Sculpting Waterfall'!B17:K17)</x:f>
        <x:v>31.538461538461537</x:v>
      </x:c>
      <x:c r="J23" s="261"/>
    </x:row>
    <x:row r="24">
      <x:c r="A24" s="212" t="str">
        <x:v>Owner</x:v>
      </x:c>
      <x:c r="B24" s="159" t="str">
        <x:v>Truong Dinh Anh Tu</x:v>
      </x:c>
      <x:c r="C24" s="214" t="str">
        <x:v>Standard</x:v>
      </x:c>
      <x:c r="D24" s="159" t="str">
        <x:v>TDAT Model Standard 1.0</x:v>
      </x:c>
      <x:c r="E24" s="214" t="str">
        <x:v>Evidence</x:v>
      </x:c>
      <x:c r="F24" s="160" t="str">
        <x:v>Synthetic worked template</x:v>
      </x:c>
      <x:c r="G24" s="260" t="str">
        <x:v>Total distributions</x:v>
      </x:c>
      <x:c r="H24" s="260" t="str">
        <x:v>Total distributions</x:v>
      </x:c>
      <x:c r="I24" s="261" t="n">
        <x:f>SUM('Sculpting Waterfall'!B19:K19)</x:f>
        <x:v>148.5826641118394</x:v>
      </x:c>
      <x:c r="J24" s="261"/>
    </x:row>
    <x:row r="26" ht="22" customHeight="1">
      <x:c r="A26" s="9" t="str">
        <x:v>CELL COLOR LEGEND</x:v>
      </x:c>
      <x:c r="B26" s="9" t="str">
        <x:v>CELL COLOR LEGEND</x:v>
      </x:c>
      <x:c r="C26" s="9" t="str">
        <x:v>CELL COLOR LEGEND</x:v>
      </x:c>
      <x:c r="D26" s="9" t="str">
        <x:v>CELL COLOR LEGEND</x:v>
      </x:c>
      <x:c r="E26" s="9" t="str">
        <x:v>CELL COLOR LEGEND</x:v>
      </x:c>
      <x:c r="F26" s="9" t="str">
        <x:v>CELL COLOR LEGEND</x:v>
      </x:c>
      <x:c r="G26" s="9" t="str">
        <x:v>CELL COLOR LEGEND</x:v>
      </x:c>
      <x:c r="H26" s="9" t="str">
        <x:v>CELL COLOR LEGEND</x:v>
      </x:c>
      <x:c r="I26" s="9" t="str">
        <x:v>CELL COLOR LEGEND</x:v>
      </x:c>
      <x:c r="J26" s="9" t="str">
        <x:v>CELL COLOR LEGEND</x:v>
      </x:c>
    </x:row>
    <x:row r="27">
      <x:c r="A27" s="282" t="str">
        <x:v>Blue font</x:v>
      </x:c>
      <x:c r="B27" s="274" t="str">
        <x:v>Editable hardcode</x:v>
      </x:c>
      <x:c r="C27" s="283" t="str">
        <x:v>Black font</x:v>
      </x:c>
      <x:c r="D27" s="274" t="str">
        <x:v>In-sheet formula</x:v>
      </x:c>
      <x:c r="E27" s="284" t="str">
        <x:v>Green font</x:v>
      </x:c>
      <x:c r="F27" s="274" t="str">
        <x:v>Cross-sheet formula</x:v>
      </x:c>
      <x:c r="G27" s="285" t="str">
        <x:v>Pale amber</x:v>
      </x:c>
      <x:c r="H27" s="285" t="str">
        <x:v>Scenario / review cue</x:v>
      </x:c>
      <x:c r="I27" s="286" t="str">
        <x:v>Teal</x:v>
      </x:c>
      <x:c r="J27" s="287" t="str">
        <x:v>PASS / trusted output</x:v>
      </x:c>
    </x:row>
    <x:row r="28">
      <x:c r="A28" s="276" t="str">
        <x:v>Actual</x:v>
      </x:c>
      <x:c r="B28" s="277" t="str">
        <x:v>Neutral period band</x:v>
      </x:c>
      <x:c r="C28" s="277" t="str">
        <x:v>Forecast</x:v>
      </x:c>
      <x:c r="D28" s="277" t="str">
        <x:v>Pale-blue period band</x:v>
      </x:c>
      <x:c r="E28" s="277" t="str">
        <x:v>Zero</x:v>
      </x:c>
      <x:c r="F28" s="277" t="str">
        <x:v>Displayed as an en dash</x:v>
      </x:c>
      <x:c r="G28" s="277" t="str">
        <x:v>Rule</x:v>
      </x:c>
      <x:c r="H28" s="277" t="str">
        <x:v>Keep formulas copy-across</x:v>
      </x:c>
      <x:c r="I28" s="277" t="str">
        <x:v>Rule</x:v>
      </x:c>
      <x:c r="J28" s="278" t="str">
        <x:v>Recheck after every change</x:v>
      </x:c>
    </x:row>
    <x:row r="29">
      <x:c r="A29" s="279" t="str">
        <x:v>Status</x:v>
      </x:c>
      <x:c r="B29" s="280" t="str">
        <x:v>PASS means controls tie</x:v>
      </x:c>
      <x:c r="C29" s="280" t="str">
        <x:v>Readiness</x:v>
      </x:c>
      <x:c r="D29" s="280" t="str">
        <x:v>Inputs still require review</x:v>
      </x:c>
      <x:c r="E29" s="280" t="str">
        <x:v>Privacy</x:v>
      </x:c>
      <x:c r="F29" s="280" t="str">
        <x:v>Public-safe example</x:v>
      </x:c>
      <x:c r="G29" s="280" t="str">
        <x:v>Use</x:v>
      </x:c>
      <x:c r="H29" s="280" t="str">
        <x:v>Adapt and validate</x:v>
      </x:c>
      <x:c r="I29" s="280" t="str">
        <x:v>Support</x:v>
      </x:c>
      <x:c r="J29" s="281" t="str">
        <x:v>Model notes + web guide</x:v>
      </x:c>
    </x:row>
    <x:row r="31">
      <x:c r="A31" s="42" t="str">
        <x:v>Illustrative template — replace synthetic inputs and validate the model method, accounting, assumptions, sources, and outputs before decision use. Calculation integrity PASS covers 12 published controls; it is not independent certification or professional advice.</x:v>
      </x:c>
      <x:c r="B31" s="43" t="str">
        <x:v>Illustrative template — replace synthetic inputs and validate the model method, accounting, assumptions, sources, and outputs before decision use. Calculation integrity PASS covers 12 published controls; it is not independent certification or professional advice.</x:v>
      </x:c>
      <x:c r="C31" s="43" t="str">
        <x:v>Illustrative template — replace synthetic inputs and validate the model method, accounting, assumptions, sources, and outputs before decision use. Calculation integrity PASS covers 12 published controls; it is not independent certification or professional advice.</x:v>
      </x:c>
      <x:c r="D31" s="43" t="str">
        <x:v>Illustrative template — replace synthetic inputs and validate the model method, accounting, assumptions, sources, and outputs before decision use. Calculation integrity PASS covers 12 published controls; it is not independent certification or professional advice.</x:v>
      </x:c>
      <x:c r="E31" s="43" t="str">
        <x:v>Illustrative template — replace synthetic inputs and validate the model method, accounting, assumptions, sources, and outputs before decision use. Calculation integrity PASS covers 12 published controls; it is not independent certification or professional advice.</x:v>
      </x:c>
      <x:c r="F31" s="43" t="str">
        <x:v>Illustrative template — replace synthetic inputs and validate the model method, accounting, assumptions, sources, and outputs before decision use. Calculation integrity PASS covers 12 published controls; it is not independent certification or professional advice.</x:v>
      </x:c>
      <x:c r="G31" s="43" t="str">
        <x:v>Illustrative template — replace synthetic inputs and validate the model method, accounting, assumptions, sources, and outputs before decision use. Calculation integrity PASS covers 12 published controls; it is not independent certification or professional advice.</x:v>
      </x:c>
      <x:c r="H31" s="43" t="str">
        <x:v>Illustrative template — replace synthetic inputs and validate the model method, accounting, assumptions, sources, and outputs before decision use. Calculation integrity PASS covers 12 published controls; it is not independent certification or professional advice.</x:v>
      </x:c>
      <x:c r="I31" s="43" t="str">
        <x:v>Illustrative template — replace synthetic inputs and validate the model method, accounting, assumptions, sources, and outputs before decision use. Calculation integrity PASS covers 12 published controls; it is not independent certification or professional advice.</x:v>
      </x:c>
      <x:c r="J31" s="44" t="str">
        <x:v>Illustrative template — replace synthetic inputs and validate the model method, accounting, assumptions, sources, and outputs before decision use. Calculation integrity PASS covers 12 published controls; it is not independent certification or professional advice.</x:v>
      </x:c>
    </x:row>
    <x:row r="32">
      <x:c r="A32" s="45" t="str">
        <x:v>Illustrative template — replace synthetic inputs and validate the model method, accounting, assumptions, sources, and outputs before decision use. Calculation integrity PASS covers 12 published controls; it is not independent certification or professional advice.</x:v>
      </x:c>
      <x:c r="B32" s="46" t="str">
        <x:v>Illustrative template — replace synthetic inputs and validate the model method, accounting, assumptions, sources, and outputs before decision use. Calculation integrity PASS covers 12 published controls; it is not independent certification or professional advice.</x:v>
      </x:c>
      <x:c r="C32" s="46" t="str">
        <x:v>Illustrative template — replace synthetic inputs and validate the model method, accounting, assumptions, sources, and outputs before decision use. Calculation integrity PASS covers 12 published controls; it is not independent certification or professional advice.</x:v>
      </x:c>
      <x:c r="D32" s="46" t="str">
        <x:v>Illustrative template — replace synthetic inputs and validate the model method, accounting, assumptions, sources, and outputs before decision use. Calculation integrity PASS covers 12 published controls; it is not independent certification or professional advice.</x:v>
      </x:c>
      <x:c r="E32" s="46" t="str">
        <x:v>Illustrative template — replace synthetic inputs and validate the model method, accounting, assumptions, sources, and outputs before decision use. Calculation integrity PASS covers 12 published controls; it is not independent certification or professional advice.</x:v>
      </x:c>
      <x:c r="F32" s="46" t="str">
        <x:v>Illustrative template — replace synthetic inputs and validate the model method, accounting, assumptions, sources, and outputs before decision use. Calculation integrity PASS covers 12 published controls; it is not independent certification or professional advice.</x:v>
      </x:c>
      <x:c r="G32" s="46" t="str">
        <x:v>Illustrative template — replace synthetic inputs and validate the model method, accounting, assumptions, sources, and outputs before decision use. Calculation integrity PASS covers 12 published controls; it is not independent certification or professional advice.</x:v>
      </x:c>
      <x:c r="H32" s="46" t="str">
        <x:v>Illustrative template — replace synthetic inputs and validate the model method, accounting, assumptions, sources, and outputs before decision use. Calculation integrity PASS covers 12 published controls; it is not independent certification or professional advice.</x:v>
      </x:c>
      <x:c r="I32" s="46" t="str">
        <x:v>Illustrative template — replace synthetic inputs and validate the model method, accounting, assumptions, sources, and outputs before decision use. Calculation integrity PASS covers 12 published controls; it is not independent certification or professional advice.</x:v>
      </x:c>
      <x:c r="J32" s="47" t="str">
        <x:v>Illustrative template — replace synthetic inputs and validate the model method, accounting, assumptions, sources, and outputs before decision use. Calculation integrity PASS covers 12 published controls; it is not independent certification or professional advice.</x:v>
      </x:c>
    </x:row>
    <x:row r="33">
      <x:c r="A33" s="48" t="str">
        <x:v>Illustrative template — replace synthetic inputs and validate the model method, accounting, assumptions, sources, and outputs before decision use. Calculation integrity PASS covers 12 published controls; it is not independent certification or professional advice.</x:v>
      </x:c>
      <x:c r="B33" s="49" t="str">
        <x:v>Illustrative template — replace synthetic inputs and validate the model method, accounting, assumptions, sources, and outputs before decision use. Calculation integrity PASS covers 12 published controls; it is not independent certification or professional advice.</x:v>
      </x:c>
      <x:c r="C33" s="49" t="str">
        <x:v>Illustrative template — replace synthetic inputs and validate the model method, accounting, assumptions, sources, and outputs before decision use. Calculation integrity PASS covers 12 published controls; it is not independent certification or professional advice.</x:v>
      </x:c>
      <x:c r="D33" s="49" t="str">
        <x:v>Illustrative template — replace synthetic inputs and validate the model method, accounting, assumptions, sources, and outputs before decision use. Calculation integrity PASS covers 12 published controls; it is not independent certification or professional advice.</x:v>
      </x:c>
      <x:c r="E33" s="49" t="str">
        <x:v>Illustrative template — replace synthetic inputs and validate the model method, accounting, assumptions, sources, and outputs before decision use. Calculation integrity PASS covers 12 published controls; it is not independent certification or professional advice.</x:v>
      </x:c>
      <x:c r="F33" s="49" t="str">
        <x:v>Illustrative template — replace synthetic inputs and validate the model method, accounting, assumptions, sources, and outputs before decision use. Calculation integrity PASS covers 12 published controls; it is not independent certification or professional advice.</x:v>
      </x:c>
      <x:c r="G33" s="49" t="str">
        <x:v>Illustrative template — replace synthetic inputs and validate the model method, accounting, assumptions, sources, and outputs before decision use. Calculation integrity PASS covers 12 published controls; it is not independent certification or professional advice.</x:v>
      </x:c>
      <x:c r="H33" s="49" t="str">
        <x:v>Illustrative template — replace synthetic inputs and validate the model method, accounting, assumptions, sources, and outputs before decision use. Calculation integrity PASS covers 12 published controls; it is not independent certification or professional advice.</x:v>
      </x:c>
      <x:c r="I33" s="49" t="str">
        <x:v>Illustrative template — replace synthetic inputs and validate the model method, accounting, assumptions, sources, and outputs before decision use. Calculation integrity PASS covers 12 published controls; it is not independent certification or professional advice.</x:v>
      </x:c>
      <x:c r="J33" s="50" t="str">
        <x:v>Illustrative template — replace synthetic inputs and validate the model method, accounting, assumptions, sources, and outputs before decision use. Calculation integrity PASS covers 12 published controls; it is not independent certification or professional advice.</x:v>
      </x:c>
    </x:row>
    <x:row r="35">
      <x:c r="A35" s="53" t="str">
        <x:v>TDAT Model Library  |  Trust builds the brand. Insight builds the decision.</x:v>
      </x:c>
      <x:c r="B35" s="53" t="str">
        <x:v>TDAT Model Library  |  Trust builds the brand. Insight builds the decision.</x:v>
      </x:c>
      <x:c r="C35" s="53" t="str">
        <x:v>TDAT Model Library  |  Trust builds the brand. Insight builds the decision.</x:v>
      </x:c>
      <x:c r="D35" s="53" t="str">
        <x:v>TDAT Model Library  |  Trust builds the brand. Insight builds the decision.</x:v>
      </x:c>
      <x:c r="E35" s="53" t="str">
        <x:v>TDAT Model Library  |  Trust builds the brand. Insight builds the decision.</x:v>
      </x:c>
      <x:c r="F35" s="53" t="str">
        <x:v>TDAT Model Library  |  Trust builds the brand. Insight builds the decision.</x:v>
      </x:c>
      <x:c r="G35" s="53" t="str">
        <x:v>TDAT Model Library  |  Trust builds the brand. Insight builds the decision.</x:v>
      </x:c>
      <x:c r="H35" s="53" t="str">
        <x:v>TDAT Model Library  |  Trust builds the brand. Insight builds the decision.</x:v>
      </x:c>
      <x:c r="I35" s="53" t="str">
        <x:v>TDAT Model Library  |  Trust builds the brand. Insight builds the decision.</x:v>
      </x:c>
      <x:c r="J35" s="53" t="str">
        <x:v>TDAT Model Library  |  Trust builds the brand. Insight builds the decision.</x:v>
      </x:c>
    </x:row>
  </x:sheetData>
  <x:mergeCells>
    <x:mergeCell ref="A1:J1"/>
    <x:mergeCell ref="A2:J2"/>
    <x:mergeCell ref="A5:F7"/>
    <x:mergeCell ref="G5:J5"/>
    <x:mergeCell ref="G6:J7"/>
    <x:mergeCell ref="A9:J9"/>
    <x:mergeCell ref="A10:J11"/>
    <x:mergeCell ref="A13:J13"/>
    <x:mergeCell ref="C14:E14"/>
    <x:mergeCell ref="F14:J14"/>
    <x:mergeCell ref="C15:E15"/>
    <x:mergeCell ref="F15:J15"/>
    <x:mergeCell ref="C16:E16"/>
    <x:mergeCell ref="F16:J16"/>
    <x:mergeCell ref="C17:E17"/>
    <x:mergeCell ref="F17:J17"/>
    <x:mergeCell ref="A19:J19"/>
    <x:mergeCell ref="G19:J19"/>
    <x:mergeCell ref="G20:H20"/>
    <x:mergeCell ref="I20:J20"/>
    <x:mergeCell ref="G21:H21"/>
    <x:mergeCell ref="I21:J21"/>
    <x:mergeCell ref="G22:H22"/>
    <x:mergeCell ref="I22:J22"/>
    <x:mergeCell ref="G23:H23"/>
    <x:mergeCell ref="I23:J23"/>
    <x:mergeCell ref="G24:H24"/>
    <x:mergeCell ref="I24:J24"/>
    <x:mergeCell ref="A26:J26"/>
    <x:mergeCell ref="A31:J33"/>
    <x:mergeCell ref="A35:J35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  <x:col min="7" max="7" width="22" hidden="0" customWidth="1"/>
    <x:col min="8" max="8" width="22" hidden="0" customWidth="1"/>
    <x:col min="9" max="9" width="22" hidden="0" customWidth="1"/>
    <x:col min="10" max="10" width="22" hidden="0" customWidth="1"/>
  </x:cols>
  <x:sheetData>
    <x:row r="1" ht="34" customHeight="1">
      <x:c r="A1" s="3" t="str">
        <x:v>MODEL GUIDE</x:v>
      </x:c>
      <x:c r="B1" s="3" t="str">
        <x:v>MODEL GUIDE</x:v>
      </x:c>
      <x:c r="C1" s="3" t="str">
        <x:v>MODEL GUIDE</x:v>
      </x:c>
      <x:c r="D1" s="3" t="str">
        <x:v>MODEL GUIDE</x:v>
      </x:c>
      <x:c r="E1" s="3" t="str">
        <x:v>MODEL GUIDE</x:v>
      </x:c>
      <x:c r="F1" s="3" t="str">
        <x:v>MODEL GUIDE</x:v>
      </x:c>
      <x:c r="G1" s="3" t="str">
        <x:v>MODEL GUIDE</x:v>
      </x:c>
      <x:c r="H1" s="3" t="str">
        <x:v>MODEL GUIDE</x:v>
      </x:c>
      <x:c r="I1" s="3" t="str">
        <x:v>MODEL GUIDE</x:v>
      </x:c>
      <x:c r="J1" s="3" t="str">
        <x:v>MODEL GUIDE</x:v>
      </x:c>
    </x:row>
    <x:row r="2" ht="24" customHeight="1">
      <x:c r="A2" s="6" t="str">
        <x:v>Debt Sculpting &amp; Waterfall  |  Scope, setup, flexibility, and limitations</x:v>
      </x:c>
      <x:c r="B2" s="6" t="str">
        <x:v>Debt Sculpting &amp; Waterfall  |  Scope, setup, flexibility, and limitations</x:v>
      </x:c>
      <x:c r="C2" s="6" t="str">
        <x:v>Debt Sculpting &amp; Waterfall  |  Scope, setup, flexibility, and limitations</x:v>
      </x:c>
      <x:c r="D2" s="6" t="str">
        <x:v>Debt Sculpting &amp; Waterfall  |  Scope, setup, flexibility, and limitations</x:v>
      </x:c>
      <x:c r="E2" s="6" t="str">
        <x:v>Debt Sculpting &amp; Waterfall  |  Scope, setup, flexibility, and limitations</x:v>
      </x:c>
      <x:c r="F2" s="6" t="str">
        <x:v>Debt Sculpting &amp; Waterfall  |  Scope, setup, flexibility, and limitations</x:v>
      </x:c>
      <x:c r="G2" s="6" t="str">
        <x:v>Debt Sculpting &amp; Waterfall  |  Scope, setup, flexibility, and limitations</x:v>
      </x:c>
      <x:c r="H2" s="6" t="str">
        <x:v>Debt Sculpting &amp; Waterfall  |  Scope, setup, flexibility, and limitations</x:v>
      </x:c>
      <x:c r="I2" s="6" t="str">
        <x:v>Debt Sculpting &amp; Waterfall  |  Scope, setup, flexibility, and limitations</x:v>
      </x:c>
      <x:c r="J2" s="6" t="str">
        <x:v>Debt Sculpting &amp; Waterfall  |  Scope, setup, flexibility, and limitations</x:v>
      </x:c>
    </x:row>
    <x:row r="3" ht="4" customHeight="1">
      <x:c r="A3" s="7"/>
      <x:c r="B3" s="7"/>
      <x:c r="C3" s="7"/>
      <x:c r="D3" s="7"/>
      <x:c r="E3" s="7"/>
      <x:c r="F3" s="7"/>
      <x:c r="G3" s="7"/>
      <x:c r="H3" s="7"/>
      <x:c r="I3" s="7"/>
      <x:c r="J3" s="7"/>
    </x:row>
    <x:row r="5" ht="22" customHeight="1">
      <x:c r="A5" s="9" t="str">
        <x:v>PURPOSE AND USERS</x:v>
      </x:c>
      <x:c r="B5" s="9" t="str">
        <x:v>PURPOSE AND USERS</x:v>
      </x:c>
      <x:c r="C5" s="9" t="str">
        <x:v>PURPOSE AND USERS</x:v>
      </x:c>
      <x:c r="D5" s="9" t="str">
        <x:v>PURPOSE AND USERS</x:v>
      </x:c>
      <x:c r="E5" s="9" t="str">
        <x:v>PURPOSE AND USERS</x:v>
      </x:c>
      <x:c r="F5" s="9" t="str">
        <x:v>PURPOSE AND USERS</x:v>
      </x:c>
      <x:c r="G5" s="9" t="str">
        <x:v>PURPOSE AND USERS</x:v>
      </x:c>
      <x:c r="H5" s="9" t="str">
        <x:v>PURPOSE AND USERS</x:v>
      </x:c>
      <x:c r="I5" s="9" t="str">
        <x:v>PURPOSE AND USERS</x:v>
      </x:c>
      <x:c r="J5" s="9" t="str">
        <x:v>PURPOSE AND USERS</x:v>
      </x:c>
    </x:row>
    <x:row r="6">
      <x:c r="A6" s="12" t="str">
        <x:v>DSCR-driven sculpting, reserve accounts, waterfall priorities, distributions, and lender/equity returns.
Primary users: Project Finance, Infrastructure Finance, Structured Finance. Typical use: Debt sculpting, Cash waterfall, Coverage.</x:v>
      </x:c>
      <x:c r="B6" s="12" t="str">
        <x:v>DSCR-driven sculpting, reserve accounts, waterfall priorities, distributions, and lender/equity returns.
Primary users: Project Finance, Infrastructure Finance, Structured Finance. Typical use: Debt sculpting, Cash waterfall, Coverage.</x:v>
      </x:c>
      <x:c r="C6" s="12" t="str">
        <x:v>DSCR-driven sculpting, reserve accounts, waterfall priorities, distributions, and lender/equity returns.
Primary users: Project Finance, Infrastructure Finance, Structured Finance. Typical use: Debt sculpting, Cash waterfall, Coverage.</x:v>
      </x:c>
      <x:c r="D6" s="12" t="str">
        <x:v>DSCR-driven sculpting, reserve accounts, waterfall priorities, distributions, and lender/equity returns.
Primary users: Project Finance, Infrastructure Finance, Structured Finance. Typical use: Debt sculpting, Cash waterfall, Coverage.</x:v>
      </x:c>
      <x:c r="E6" s="12" t="str">
        <x:v>DSCR-driven sculpting, reserve accounts, waterfall priorities, distributions, and lender/equity returns.
Primary users: Project Finance, Infrastructure Finance, Structured Finance. Typical use: Debt sculpting, Cash waterfall, Coverage.</x:v>
      </x:c>
      <x:c r="F6" s="12" t="str">
        <x:v>DSCR-driven sculpting, reserve accounts, waterfall priorities, distributions, and lender/equity returns.
Primary users: Project Finance, Infrastructure Finance, Structured Finance. Typical use: Debt sculpting, Cash waterfall, Coverage.</x:v>
      </x:c>
      <x:c r="G6" s="12" t="str">
        <x:v>DSCR-driven sculpting, reserve accounts, waterfall priorities, distributions, and lender/equity returns.
Primary users: Project Finance, Infrastructure Finance, Structured Finance. Typical use: Debt sculpting, Cash waterfall, Coverage.</x:v>
      </x:c>
      <x:c r="H6" s="12" t="str">
        <x:v>DSCR-driven sculpting, reserve accounts, waterfall priorities, distributions, and lender/equity returns.
Primary users: Project Finance, Infrastructure Finance, Structured Finance. Typical use: Debt sculpting, Cash waterfall, Coverage.</x:v>
      </x:c>
      <x:c r="I6" s="12" t="str">
        <x:v>DSCR-driven sculpting, reserve accounts, waterfall priorities, distributions, and lender/equity returns.
Primary users: Project Finance, Infrastructure Finance, Structured Finance. Typical use: Debt sculpting, Cash waterfall, Coverage.</x:v>
      </x:c>
      <x:c r="J6" s="12" t="str">
        <x:v>DSCR-driven sculpting, reserve accounts, waterfall priorities, distributions, and lender/equity returns.
Primary users: Project Finance, Infrastructure Finance, Structured Finance. Typical use: Debt sculpting, Cash waterfall, Coverage.</x:v>
      </x:c>
    </x:row>
    <x:row r="7">
      <x:c r="A7" s="12" t="str">
        <x:v>DSCR-driven sculpting, reserve accounts, waterfall priorities, distributions, and lender/equity returns.
Primary users: Project Finance, Infrastructure Finance, Structured Finance. Typical use: Debt sculpting, Cash waterfall, Coverage.</x:v>
      </x:c>
      <x:c r="B7" s="12" t="str">
        <x:v>DSCR-driven sculpting, reserve accounts, waterfall priorities, distributions, and lender/equity returns.
Primary users: Project Finance, Infrastructure Finance, Structured Finance. Typical use: Debt sculpting, Cash waterfall, Coverage.</x:v>
      </x:c>
      <x:c r="C7" s="12" t="str">
        <x:v>DSCR-driven sculpting, reserve accounts, waterfall priorities, distributions, and lender/equity returns.
Primary users: Project Finance, Infrastructure Finance, Structured Finance. Typical use: Debt sculpting, Cash waterfall, Coverage.</x:v>
      </x:c>
      <x:c r="D7" s="12" t="str">
        <x:v>DSCR-driven sculpting, reserve accounts, waterfall priorities, distributions, and lender/equity returns.
Primary users: Project Finance, Infrastructure Finance, Structured Finance. Typical use: Debt sculpting, Cash waterfall, Coverage.</x:v>
      </x:c>
      <x:c r="E7" s="12" t="str">
        <x:v>DSCR-driven sculpting, reserve accounts, waterfall priorities, distributions, and lender/equity returns.
Primary users: Project Finance, Infrastructure Finance, Structured Finance. Typical use: Debt sculpting, Cash waterfall, Coverage.</x:v>
      </x:c>
      <x:c r="F7" s="12" t="str">
        <x:v>DSCR-driven sculpting, reserve accounts, waterfall priorities, distributions, and lender/equity returns.
Primary users: Project Finance, Infrastructure Finance, Structured Finance. Typical use: Debt sculpting, Cash waterfall, Coverage.</x:v>
      </x:c>
      <x:c r="G7" s="12" t="str">
        <x:v>DSCR-driven sculpting, reserve accounts, waterfall priorities, distributions, and lender/equity returns.
Primary users: Project Finance, Infrastructure Finance, Structured Finance. Typical use: Debt sculpting, Cash waterfall, Coverage.</x:v>
      </x:c>
      <x:c r="H7" s="12" t="str">
        <x:v>DSCR-driven sculpting, reserve accounts, waterfall priorities, distributions, and lender/equity returns.
Primary users: Project Finance, Infrastructure Finance, Structured Finance. Typical use: Debt sculpting, Cash waterfall, Coverage.</x:v>
      </x:c>
      <x:c r="I7" s="12" t="str">
        <x:v>DSCR-driven sculpting, reserve accounts, waterfall priorities, distributions, and lender/equity returns.
Primary users: Project Finance, Infrastructure Finance, Structured Finance. Typical use: Debt sculpting, Cash waterfall, Coverage.</x:v>
      </x:c>
      <x:c r="J7" s="12" t="str">
        <x:v>DSCR-driven sculpting, reserve accounts, waterfall priorities, distributions, and lender/equity returns.
Primary users: Project Finance, Infrastructure Finance, Structured Finance. Typical use: Debt sculpting, Cash waterfall, Coverage.</x:v>
      </x:c>
    </x:row>
    <x:row r="8">
      <x:c r="A8" s="12" t="str">
        <x:v>DSCR-driven sculpting, reserve accounts, waterfall priorities, distributions, and lender/equity returns.
Primary users: Project Finance, Infrastructure Finance, Structured Finance. Typical use: Debt sculpting, Cash waterfall, Coverage.</x:v>
      </x:c>
      <x:c r="B8" s="12" t="str">
        <x:v>DSCR-driven sculpting, reserve accounts, waterfall priorities, distributions, and lender/equity returns.
Primary users: Project Finance, Infrastructure Finance, Structured Finance. Typical use: Debt sculpting, Cash waterfall, Coverage.</x:v>
      </x:c>
      <x:c r="C8" s="12" t="str">
        <x:v>DSCR-driven sculpting, reserve accounts, waterfall priorities, distributions, and lender/equity returns.
Primary users: Project Finance, Infrastructure Finance, Structured Finance. Typical use: Debt sculpting, Cash waterfall, Coverage.</x:v>
      </x:c>
      <x:c r="D8" s="12" t="str">
        <x:v>DSCR-driven sculpting, reserve accounts, waterfall priorities, distributions, and lender/equity returns.
Primary users: Project Finance, Infrastructure Finance, Structured Finance. Typical use: Debt sculpting, Cash waterfall, Coverage.</x:v>
      </x:c>
      <x:c r="E8" s="12" t="str">
        <x:v>DSCR-driven sculpting, reserve accounts, waterfall priorities, distributions, and lender/equity returns.
Primary users: Project Finance, Infrastructure Finance, Structured Finance. Typical use: Debt sculpting, Cash waterfall, Coverage.</x:v>
      </x:c>
      <x:c r="F8" s="12" t="str">
        <x:v>DSCR-driven sculpting, reserve accounts, waterfall priorities, distributions, and lender/equity returns.
Primary users: Project Finance, Infrastructure Finance, Structured Finance. Typical use: Debt sculpting, Cash waterfall, Coverage.</x:v>
      </x:c>
      <x:c r="G8" s="12" t="str">
        <x:v>DSCR-driven sculpting, reserve accounts, waterfall priorities, distributions, and lender/equity returns.
Primary users: Project Finance, Infrastructure Finance, Structured Finance. Typical use: Debt sculpting, Cash waterfall, Coverage.</x:v>
      </x:c>
      <x:c r="H8" s="12" t="str">
        <x:v>DSCR-driven sculpting, reserve accounts, waterfall priorities, distributions, and lender/equity returns.
Primary users: Project Finance, Infrastructure Finance, Structured Finance. Typical use: Debt sculpting, Cash waterfall, Coverage.</x:v>
      </x:c>
      <x:c r="I8" s="12" t="str">
        <x:v>DSCR-driven sculpting, reserve accounts, waterfall priorities, distributions, and lender/equity returns.
Primary users: Project Finance, Infrastructure Finance, Structured Finance. Typical use: Debt sculpting, Cash waterfall, Coverage.</x:v>
      </x:c>
      <x:c r="J8" s="12" t="str">
        <x:v>DSCR-driven sculpting, reserve accounts, waterfall priorities, distributions, and lender/equity returns.
Primary users: Project Finance, Infrastructure Finance, Structured Finance. Typical use: Debt sculpting, Cash waterfall, Coverage.</x:v>
      </x:c>
    </x:row>
    <x:row r="10" ht="22" customHeight="1">
      <x:c r="A10" s="9" t="str">
        <x:v>QUICK START</x:v>
      </x:c>
      <x:c r="B10" s="9" t="str">
        <x:v>QUICK START</x:v>
      </x:c>
      <x:c r="C10" s="9" t="str">
        <x:v>QUICK START</x:v>
      </x:c>
      <x:c r="D10" s="9" t="str">
        <x:v>QUICK START</x:v>
      </x:c>
      <x:c r="E10" s="9" t="str">
        <x:v>QUICK START</x:v>
      </x:c>
      <x:c r="F10" s="9" t="str">
        <x:v>QUICK START</x:v>
      </x:c>
      <x:c r="G10" s="9" t="str">
        <x:v>QUICK START</x:v>
      </x:c>
      <x:c r="H10" s="9" t="str">
        <x:v>QUICK START</x:v>
      </x:c>
      <x:c r="I10" s="9" t="str">
        <x:v>QUICK START</x:v>
      </x:c>
      <x:c r="J10" s="9" t="str">
        <x:v>QUICK START</x:v>
      </x:c>
    </x:row>
    <x:row r="11" ht="30" customHeight="1">
      <x:c r="A11" s="14" t="str">
        <x:v>01</x:v>
      </x:c>
      <x:c r="B11" s="15" t="str">
        <x:v>Confirm the decision</x:v>
      </x:c>
      <x:c r="C11" s="17" t="str">
        <x:v>What repayment profile and cash waterfall meet coverage constraints while preserving equity value?</x:v>
      </x:c>
      <x:c r="D11" s="17" t="str"/>
      <x:c r="E11" s="17" t="str"/>
      <x:c r="F11" s="17" t="str"/>
      <x:c r="G11" s="17" t="str"/>
      <x:c r="H11" s="17" t="str"/>
      <x:c r="I11" s="17" t="str"/>
      <x:c r="J11" s="17" t="str"/>
    </x:row>
    <x:row r="12" ht="30" customHeight="1">
      <x:c r="A12" s="14" t="str">
        <x:v>02</x:v>
      </x:c>
      <x:c r="B12" s="15" t="str">
        <x:v>Set model controls</x:v>
      </x:c>
      <x:c r="C12" s="17" t="str">
        <x:v>Select Base, Upside, or Downside; confirm currency, units, horizon, and calculation method.</x:v>
      </x:c>
      <x:c r="D12" s="17" t="str"/>
      <x:c r="E12" s="17" t="str"/>
      <x:c r="F12" s="17" t="str"/>
      <x:c r="G12" s="17" t="str"/>
      <x:c r="H12" s="17" t="str"/>
      <x:c r="I12" s="17" t="str"/>
      <x:c r="J12" s="17" t="str"/>
    </x:row>
    <x:row r="13" ht="30" customHeight="1">
      <x:c r="A13" s="14" t="str">
        <x:v>03</x:v>
      </x:c>
      <x:c r="B13" s="15" t="str">
        <x:v>Replace blue inputs</x:v>
      </x:c>
      <x:c r="C13" s="17" t="str">
        <x:v>Update the synthetic values on CFADS Inputs and the scenario drivers on Assumptions.</x:v>
      </x:c>
      <x:c r="D13" s="17" t="str"/>
      <x:c r="E13" s="17" t="str"/>
      <x:c r="F13" s="17" t="str"/>
      <x:c r="G13" s="17" t="str"/>
      <x:c r="H13" s="17" t="str"/>
      <x:c r="I13" s="17" t="str"/>
      <x:c r="J13" s="17" t="str"/>
    </x:row>
    <x:row r="14" ht="30" customHeight="1">
      <x:c r="A14" s="14" t="str">
        <x:v>04</x:v>
      </x:c>
      <x:c r="B14" s="15" t="str">
        <x:v>Review the engine</x:v>
      </x:c>
      <x:c r="C14" s="17" t="str">
        <x:v>Trace the calculations on Sculpting Waterfall; challenge definitions, signs, timing, and edge cases.</x:v>
      </x:c>
      <x:c r="D14" s="17" t="str"/>
      <x:c r="E14" s="17" t="str"/>
      <x:c r="F14" s="17" t="str"/>
      <x:c r="G14" s="17" t="str"/>
      <x:c r="H14" s="17" t="str"/>
      <x:c r="I14" s="17" t="str"/>
      <x:c r="J14" s="17" t="str"/>
    </x:row>
    <x:row r="15" ht="30" customHeight="1">
      <x:c r="A15" s="14" t="str">
        <x:v>05</x:v>
      </x:c>
      <x:c r="B15" s="15" t="str">
        <x:v>Use the summary</x:v>
      </x:c>
      <x:c r="C15" s="17" t="str">
        <x:v>Read headline outputs, sensitivities, breakpoints, and the owner/action prompts.</x:v>
      </x:c>
      <x:c r="D15" s="17" t="str"/>
      <x:c r="E15" s="17" t="str"/>
      <x:c r="F15" s="17" t="str"/>
      <x:c r="G15" s="17" t="str"/>
      <x:c r="H15" s="17" t="str"/>
      <x:c r="I15" s="17" t="str"/>
      <x:c r="J15" s="17" t="str"/>
    </x:row>
    <x:row r="16" ht="30" customHeight="1">
      <x:c r="A16" s="14" t="str">
        <x:v>06</x:v>
      </x:c>
      <x:c r="B16" s="15" t="str">
        <x:v>Resolve Checks</x:v>
      </x:c>
      <x:c r="C16" s="17" t="str">
        <x:v>Do not rely on the output until every published control passes and source readiness is reviewed.</x:v>
      </x:c>
      <x:c r="D16" s="17" t="str"/>
      <x:c r="E16" s="17" t="str"/>
      <x:c r="F16" s="17" t="str"/>
      <x:c r="G16" s="17" t="str"/>
      <x:c r="H16" s="17" t="str"/>
      <x:c r="I16" s="17" t="str"/>
      <x:c r="J16" s="17" t="str"/>
    </x:row>
    <x:row r="18" ht="22" customHeight="1">
      <x:c r="A18" s="9" t="str">
        <x:v>WORKBOOK MAP</x:v>
      </x:c>
      <x:c r="B18" s="9" t="str">
        <x:v>WORKBOOK MAP</x:v>
      </x:c>
      <x:c r="C18" s="9" t="str">
        <x:v>WORKBOOK MAP</x:v>
      </x:c>
      <x:c r="D18" s="9" t="str">
        <x:v>WORKBOOK MAP</x:v>
      </x:c>
      <x:c r="E18" s="9" t="str">
        <x:v>WORKBOOK MAP</x:v>
      </x:c>
      <x:c r="F18" s="9" t="str">
        <x:v>WORKBOOK MAP</x:v>
      </x:c>
      <x:c r="G18" s="9" t="str">
        <x:v>WORKBOOK MAP</x:v>
      </x:c>
      <x:c r="H18" s="9" t="str">
        <x:v>WORKBOOK MAP</x:v>
      </x:c>
      <x:c r="I18" s="9" t="str">
        <x:v>WORKBOOK MAP</x:v>
      </x:c>
      <x:c r="J18" s="9" t="str">
        <x:v>WORKBOOK MAP</x:v>
      </x:c>
    </x:row>
    <x:row r="19">
      <x:c r="A19" s="19" t="str">
        <x:v>Cover</x:v>
      </x:c>
      <x:c r="B19" s="17" t="str">
        <x:v>First-read status, model identity, key outputs, readiness, and cell-color legend.</x:v>
      </x:c>
      <x:c r="C19" s="17" t="str"/>
      <x:c r="D19" s="17" t="str"/>
      <x:c r="E19" s="17" t="str"/>
      <x:c r="F19" s="17" t="str"/>
      <x:c r="G19" s="17" t="str"/>
      <x:c r="H19" s="17" t="str"/>
      <x:c r="I19" s="17" t="str"/>
      <x:c r="J19" s="17" t="str"/>
    </x:row>
    <x:row r="20">
      <x:c r="A20" s="19" t="str">
        <x:v>Guide</x:v>
      </x:c>
      <x:c r="B20" s="17" t="str">
        <x:v>Purpose, quick start, workbook map, flexibility rules, Q&amp;A, and limitations.</x:v>
      </x:c>
      <x:c r="C20" s="17" t="str"/>
      <x:c r="D20" s="17" t="str"/>
      <x:c r="E20" s="17" t="str"/>
      <x:c r="F20" s="17" t="str"/>
      <x:c r="G20" s="17" t="str"/>
      <x:c r="H20" s="17" t="str"/>
      <x:c r="I20" s="17" t="str"/>
      <x:c r="J20" s="17" t="str"/>
    </x:row>
    <x:row r="21">
      <x:c r="A21" s="19" t="str">
        <x:v>Assumptions</x:v>
      </x:c>
      <x:c r="B21" s="17" t="str">
        <x:v>Base, Upside, Downside, selector, units, and selected driver values.</x:v>
      </x:c>
      <x:c r="C21" s="17" t="str"/>
      <x:c r="D21" s="17" t="str"/>
      <x:c r="E21" s="17" t="str"/>
      <x:c r="F21" s="17" t="str"/>
      <x:c r="G21" s="17" t="str"/>
      <x:c r="H21" s="17" t="str"/>
      <x:c r="I21" s="17" t="str"/>
      <x:c r="J21" s="17" t="str"/>
    </x:row>
    <x:row r="22">
      <x:c r="A22" s="19" t="str">
        <x:v>CFADS Inputs</x:v>
      </x:c>
      <x:c r="B22" s="17" t="str">
        <x:v>Synthetic worked source inputs. Replace blue cells and keep the layout or extend it carefully.</x:v>
      </x:c>
      <x:c r="C22" s="17" t="str"/>
      <x:c r="D22" s="17" t="str"/>
      <x:c r="E22" s="17" t="str"/>
      <x:c r="F22" s="17" t="str"/>
      <x:c r="G22" s="17" t="str"/>
      <x:c r="H22" s="17" t="str"/>
      <x:c r="I22" s="17" t="str"/>
      <x:c r="J22" s="17" t="str"/>
    </x:row>
    <x:row r="23">
      <x:c r="A23" s="19" t="str">
        <x:v>Sculpting Waterfall</x:v>
      </x:c>
      <x:c r="B23" s="17" t="str">
        <x:v>Formula-driven calculations and core finance mechanics.</x:v>
      </x:c>
      <x:c r="C23" s="17" t="str"/>
      <x:c r="D23" s="17" t="str"/>
      <x:c r="E23" s="17" t="str"/>
      <x:c r="F23" s="17" t="str"/>
      <x:c r="G23" s="17" t="str"/>
      <x:c r="H23" s="17" t="str"/>
      <x:c r="I23" s="17" t="str"/>
      <x:c r="J23" s="17" t="str"/>
    </x:row>
    <x:row r="24">
      <x:c r="A24" s="19" t="str">
        <x:v>Sensitivity</x:v>
      </x:c>
      <x:c r="B24" s="17" t="str">
        <x:v>Target DSCR × Interest rate recalculation of PV debt capacity.</x:v>
      </x:c>
      <x:c r="C24" s="17" t="str"/>
      <x:c r="D24" s="17" t="str"/>
      <x:c r="E24" s="17" t="str"/>
      <x:c r="F24" s="17" t="str"/>
      <x:c r="G24" s="17" t="str"/>
      <x:c r="H24" s="17" t="str"/>
      <x:c r="I24" s="17" t="str"/>
      <x:c r="J24" s="17" t="str"/>
    </x:row>
    <x:row r="25">
      <x:c r="A25" s="19" t="str">
        <x:v>Summary</x:v>
      </x:c>
      <x:c r="B25" s="17" t="str">
        <x:v>Decision KPIs, trend, scenario, status, management questions, and next actions.</x:v>
      </x:c>
      <x:c r="C25" s="17" t="str"/>
      <x:c r="D25" s="17" t="str"/>
      <x:c r="E25" s="17" t="str"/>
      <x:c r="F25" s="17" t="str"/>
      <x:c r="G25" s="17" t="str"/>
      <x:c r="H25" s="17" t="str"/>
      <x:c r="I25" s="17" t="str"/>
      <x:c r="J25" s="17" t="str"/>
    </x:row>
    <x:row r="26">
      <x:c r="A26" s="19" t="str">
        <x:v>Checks</x:v>
      </x:c>
      <x:c r="B26" s="17" t="str">
        <x:v>One assertion per row with actual, expected, difference, tolerance, status, and fix location.</x:v>
      </x:c>
      <x:c r="C26" s="17" t="str"/>
      <x:c r="D26" s="17" t="str"/>
      <x:c r="E26" s="17" t="str"/>
      <x:c r="F26" s="17" t="str"/>
      <x:c r="G26" s="17" t="str"/>
      <x:c r="H26" s="17" t="str"/>
      <x:c r="I26" s="17" t="str"/>
      <x:c r="J26" s="17" t="str"/>
    </x:row>
    <x:row r="27">
      <x:c r="A27" s="19" t="str">
        <x:v>Sources &amp; Version</x:v>
      </x:c>
      <x:c r="B27" s="17" t="str">
        <x:v>Source/assumption register, release facts, version history, distribution and privacy notes.</x:v>
      </x:c>
      <x:c r="C27" s="17" t="str"/>
      <x:c r="D27" s="17" t="str"/>
      <x:c r="E27" s="17" t="str"/>
      <x:c r="F27" s="17" t="str"/>
      <x:c r="G27" s="17" t="str"/>
      <x:c r="H27" s="17" t="str"/>
      <x:c r="I27" s="17" t="str"/>
      <x:c r="J27" s="17" t="str"/>
    </x:row>
    <x:row r="29" ht="22" customHeight="1">
      <x:c r="A29" s="9" t="str">
        <x:v>PRACTICAL Q&amp;A</x:v>
      </x:c>
      <x:c r="B29" s="9" t="str">
        <x:v>PRACTICAL Q&amp;A</x:v>
      </x:c>
      <x:c r="C29" s="9" t="str">
        <x:v>PRACTICAL Q&amp;A</x:v>
      </x:c>
      <x:c r="D29" s="9" t="str">
        <x:v>PRACTICAL Q&amp;A</x:v>
      </x:c>
      <x:c r="E29" s="9" t="str">
        <x:v>PRACTICAL Q&amp;A</x:v>
      </x:c>
      <x:c r="F29" s="9" t="str">
        <x:v>PRACTICAL Q&amp;A</x:v>
      </x:c>
      <x:c r="G29" s="9" t="str">
        <x:v>PRACTICAL Q&amp;A</x:v>
      </x:c>
      <x:c r="H29" s="9" t="str">
        <x:v>PRACTICAL Q&amp;A</x:v>
      </x:c>
      <x:c r="I29" s="9" t="str">
        <x:v>PRACTICAL Q&amp;A</x:v>
      </x:c>
      <x:c r="J29" s="9" t="str">
        <x:v>PRACTICAL Q&amp;A</x:v>
      </x:c>
    </x:row>
    <x:row r="30" ht="34" customHeight="1">
      <x:c r="A30" s="22" t="str">
        <x:v>What should I replace first?</x:v>
      </x:c>
      <x:c r="B30" s="17" t="str">
        <x:v>Replace blue cells on CFADS Inputs, then review scenario drivers and selected values on Assumptions.</x:v>
      </x:c>
      <x:c r="C30" s="17" t="str"/>
      <x:c r="D30" s="17" t="str"/>
      <x:c r="E30" s="17" t="str"/>
      <x:c r="F30" s="17" t="str"/>
      <x:c r="G30" s="17" t="str"/>
      <x:c r="H30" s="17" t="str"/>
      <x:c r="I30" s="17" t="str"/>
      <x:c r="J30" s="17" t="str"/>
    </x:row>
    <x:row r="31" ht="34" customHeight="1">
      <x:c r="A31" s="22" t="str">
        <x:v>How do I flex the template?</x:v>
      </x:c>
      <x:c r="B31" s="17" t="str">
        <x:v>Add periods or input rows in the source layer, extend formulas and formats together, and reconcile the new dimension back to Sculpting Waterfall and Checks.</x:v>
      </x:c>
      <x:c r="C31" s="17" t="str"/>
      <x:c r="D31" s="17" t="str"/>
      <x:c r="E31" s="17" t="str"/>
      <x:c r="F31" s="17" t="str"/>
      <x:c r="G31" s="17" t="str"/>
      <x:c r="H31" s="17" t="str"/>
      <x:c r="I31" s="17" t="str"/>
      <x:c r="J31" s="17" t="str"/>
    </x:row>
    <x:row r="32" ht="34" customHeight="1">
      <x:c r="A32" s="22" t="str">
        <x:v>What does PASS mean?</x:v>
      </x:c>
      <x:c r="B32" s="17" t="str">
        <x:v>The published calculations and tie-outs are within tolerance. PASS does not confirm source quality, policy, accounting, regulation, tax, legal treatment, or suitability.</x:v>
      </x:c>
      <x:c r="C32" s="17" t="str"/>
      <x:c r="D32" s="17" t="str"/>
      <x:c r="E32" s="17" t="str"/>
      <x:c r="F32" s="17" t="str"/>
      <x:c r="G32" s="17" t="str"/>
      <x:c r="H32" s="17" t="str"/>
      <x:c r="I32" s="17" t="str"/>
      <x:c r="J32" s="17" t="str"/>
    </x:row>
    <x:row r="33" ht="34" customHeight="1">
      <x:c r="A33" s="22" t="str">
        <x:v>Can I use real company data?</x:v>
      </x:c>
      <x:c r="B33" s="17" t="str">
        <x:v>Yes, in your private copy. Confirm permissions, source ownership, privacy requirements, and distribution restrictions before sharing.</x:v>
      </x:c>
      <x:c r="C33" s="17" t="str"/>
      <x:c r="D33" s="17" t="str"/>
      <x:c r="E33" s="17" t="str"/>
      <x:c r="F33" s="17" t="str"/>
      <x:c r="G33" s="17" t="str"/>
      <x:c r="H33" s="17" t="str"/>
      <x:c r="I33" s="17" t="str"/>
      <x:c r="J33" s="17" t="str"/>
    </x:row>
    <x:row r="34" ht="34" customHeight="1">
      <x:c r="A34" s="22" t="str">
        <x:v>Does it work in Google Sheets or LibreOffice?</x:v>
      </x:c>
      <x:c r="B34" s="17" t="str">
        <x:v>Not verified. Excel 365 is the supported target; test formulas, charts, validations, formats, and checks after conversion.</x:v>
      </x:c>
      <x:c r="C34" s="17" t="str"/>
      <x:c r="D34" s="17" t="str"/>
      <x:c r="E34" s="17" t="str"/>
      <x:c r="F34" s="17" t="str"/>
      <x:c r="G34" s="17" t="str"/>
      <x:c r="H34" s="17" t="str"/>
      <x:c r="I34" s="17" t="str"/>
      <x:c r="J34" s="17" t="str"/>
    </x:row>
    <x:row r="35" ht="34" customHeight="1">
      <x:c r="A35" s="22" t="str">
        <x:v>Can this replace professional review?</x:v>
      </x:c>
      <x:c r="B35" s="17" t="str">
        <x:v>Illustrative sculpting and waterfall mechanics only. Validate CFADS definition, debt terms, reserve documents, distribution lock-ups, subordination, tax, and legal waterfall with qualified project-finance and legal reviewers.</x:v>
      </x:c>
      <x:c r="C35" s="17" t="str"/>
      <x:c r="D35" s="17" t="str"/>
      <x:c r="E35" s="17" t="str"/>
      <x:c r="F35" s="17" t="str"/>
      <x:c r="G35" s="17" t="str"/>
      <x:c r="H35" s="17" t="str"/>
      <x:c r="I35" s="17" t="str"/>
      <x:c r="J35" s="17" t="str"/>
    </x:row>
    <x:row r="37">
      <x:c r="A37" s="42" t="str">
        <x:v>Deliberately excluded in version 1.0.0: iterative sculpting solver; multiple debt tranches; tax waterfall; full reserve-account agreements; legal subordination; lender approval. Extend only after the underlying method, source availability, checks, and review responsibility are defined.</x:v>
      </x:c>
      <x:c r="B37" s="43" t="str">
        <x:v>Deliberately excluded in version 1.0.0: iterative sculpting solver; multiple debt tranches; tax waterfall; full reserve-account agreements; legal subordination; lender approval. Extend only after the underlying method, source availability, checks, and review responsibility are defined.</x:v>
      </x:c>
      <x:c r="C37" s="43" t="str">
        <x:v>Deliberately excluded in version 1.0.0: iterative sculpting solver; multiple debt tranches; tax waterfall; full reserve-account agreements; legal subordination; lender approval. Extend only after the underlying method, source availability, checks, and review responsibility are defined.</x:v>
      </x:c>
      <x:c r="D37" s="43" t="str">
        <x:v>Deliberately excluded in version 1.0.0: iterative sculpting solver; multiple debt tranches; tax waterfall; full reserve-account agreements; legal subordination; lender approval. Extend only after the underlying method, source availability, checks, and review responsibility are defined.</x:v>
      </x:c>
      <x:c r="E37" s="43" t="str">
        <x:v>Deliberately excluded in version 1.0.0: iterative sculpting solver; multiple debt tranches; tax waterfall; full reserve-account agreements; legal subordination; lender approval. Extend only after the underlying method, source availability, checks, and review responsibility are defined.</x:v>
      </x:c>
      <x:c r="F37" s="43" t="str">
        <x:v>Deliberately excluded in version 1.0.0: iterative sculpting solver; multiple debt tranches; tax waterfall; full reserve-account agreements; legal subordination; lender approval. Extend only after the underlying method, source availability, checks, and review responsibility are defined.</x:v>
      </x:c>
      <x:c r="G37" s="43" t="str">
        <x:v>Deliberately excluded in version 1.0.0: iterative sculpting solver; multiple debt tranches; tax waterfall; full reserve-account agreements; legal subordination; lender approval. Extend only after the underlying method, source availability, checks, and review responsibility are defined.</x:v>
      </x:c>
      <x:c r="H37" s="43" t="str">
        <x:v>Deliberately excluded in version 1.0.0: iterative sculpting solver; multiple debt tranches; tax waterfall; full reserve-account agreements; legal subordination; lender approval. Extend only after the underlying method, source availability, checks, and review responsibility are defined.</x:v>
      </x:c>
      <x:c r="I37" s="43" t="str">
        <x:v>Deliberately excluded in version 1.0.0: iterative sculpting solver; multiple debt tranches; tax waterfall; full reserve-account agreements; legal subordination; lender approval. Extend only after the underlying method, source availability, checks, and review responsibility are defined.</x:v>
      </x:c>
      <x:c r="J37" s="44" t="str">
        <x:v>Deliberately excluded in version 1.0.0: iterative sculpting solver; multiple debt tranches; tax waterfall; full reserve-account agreements; legal subordination; lender approval. Extend only after the underlying method, source availability, checks, and review responsibility are defined.</x:v>
      </x:c>
    </x:row>
    <x:row r="38">
      <x:c r="A38" s="45" t="str">
        <x:v>Deliberately excluded in version 1.0.0: iterative sculpting solver; multiple debt tranches; tax waterfall; full reserve-account agreements; legal subordination; lender approval. Extend only after the underlying method, source availability, checks, and review responsibility are defined.</x:v>
      </x:c>
      <x:c r="B38" s="46" t="str">
        <x:v>Deliberately excluded in version 1.0.0: iterative sculpting solver; multiple debt tranches; tax waterfall; full reserve-account agreements; legal subordination; lender approval. Extend only after the underlying method, source availability, checks, and review responsibility are defined.</x:v>
      </x:c>
      <x:c r="C38" s="46" t="str">
        <x:v>Deliberately excluded in version 1.0.0: iterative sculpting solver; multiple debt tranches; tax waterfall; full reserve-account agreements; legal subordination; lender approval. Extend only after the underlying method, source availability, checks, and review responsibility are defined.</x:v>
      </x:c>
      <x:c r="D38" s="46" t="str">
        <x:v>Deliberately excluded in version 1.0.0: iterative sculpting solver; multiple debt tranches; tax waterfall; full reserve-account agreements; legal subordination; lender approval. Extend only after the underlying method, source availability, checks, and review responsibility are defined.</x:v>
      </x:c>
      <x:c r="E38" s="46" t="str">
        <x:v>Deliberately excluded in version 1.0.0: iterative sculpting solver; multiple debt tranches; tax waterfall; full reserve-account agreements; legal subordination; lender approval. Extend only after the underlying method, source availability, checks, and review responsibility are defined.</x:v>
      </x:c>
      <x:c r="F38" s="46" t="str">
        <x:v>Deliberately excluded in version 1.0.0: iterative sculpting solver; multiple debt tranches; tax waterfall; full reserve-account agreements; legal subordination; lender approval. Extend only after the underlying method, source availability, checks, and review responsibility are defined.</x:v>
      </x:c>
      <x:c r="G38" s="46" t="str">
        <x:v>Deliberately excluded in version 1.0.0: iterative sculpting solver; multiple debt tranches; tax waterfall; full reserve-account agreements; legal subordination; lender approval. Extend only after the underlying method, source availability, checks, and review responsibility are defined.</x:v>
      </x:c>
      <x:c r="H38" s="46" t="str">
        <x:v>Deliberately excluded in version 1.0.0: iterative sculpting solver; multiple debt tranches; tax waterfall; full reserve-account agreements; legal subordination; lender approval. Extend only after the underlying method, source availability, checks, and review responsibility are defined.</x:v>
      </x:c>
      <x:c r="I38" s="46" t="str">
        <x:v>Deliberately excluded in version 1.0.0: iterative sculpting solver; multiple debt tranches; tax waterfall; full reserve-account agreements; legal subordination; lender approval. Extend only after the underlying method, source availability, checks, and review responsibility are defined.</x:v>
      </x:c>
      <x:c r="J38" s="47" t="str">
        <x:v>Deliberately excluded in version 1.0.0: iterative sculpting solver; multiple debt tranches; tax waterfall; full reserve-account agreements; legal subordination; lender approval. Extend only after the underlying method, source availability, checks, and review responsibility are defined.</x:v>
      </x:c>
    </x:row>
    <x:row r="39">
      <x:c r="A39" s="48" t="str">
        <x:v>Deliberately excluded in version 1.0.0: iterative sculpting solver; multiple debt tranches; tax waterfall; full reserve-account agreements; legal subordination; lender approval. Extend only after the underlying method, source availability, checks, and review responsibility are defined.</x:v>
      </x:c>
      <x:c r="B39" s="49" t="str">
        <x:v>Deliberately excluded in version 1.0.0: iterative sculpting solver; multiple debt tranches; tax waterfall; full reserve-account agreements; legal subordination; lender approval. Extend only after the underlying method, source availability, checks, and review responsibility are defined.</x:v>
      </x:c>
      <x:c r="C39" s="49" t="str">
        <x:v>Deliberately excluded in version 1.0.0: iterative sculpting solver; multiple debt tranches; tax waterfall; full reserve-account agreements; legal subordination; lender approval. Extend only after the underlying method, source availability, checks, and review responsibility are defined.</x:v>
      </x:c>
      <x:c r="D39" s="49" t="str">
        <x:v>Deliberately excluded in version 1.0.0: iterative sculpting solver; multiple debt tranches; tax waterfall; full reserve-account agreements; legal subordination; lender approval. Extend only after the underlying method, source availability, checks, and review responsibility are defined.</x:v>
      </x:c>
      <x:c r="E39" s="49" t="str">
        <x:v>Deliberately excluded in version 1.0.0: iterative sculpting solver; multiple debt tranches; tax waterfall; full reserve-account agreements; legal subordination; lender approval. Extend only after the underlying method, source availability, checks, and review responsibility are defined.</x:v>
      </x:c>
      <x:c r="F39" s="49" t="str">
        <x:v>Deliberately excluded in version 1.0.0: iterative sculpting solver; multiple debt tranches; tax waterfall; full reserve-account agreements; legal subordination; lender approval. Extend only after the underlying method, source availability, checks, and review responsibility are defined.</x:v>
      </x:c>
      <x:c r="G39" s="49" t="str">
        <x:v>Deliberately excluded in version 1.0.0: iterative sculpting solver; multiple debt tranches; tax waterfall; full reserve-account agreements; legal subordination; lender approval. Extend only after the underlying method, source availability, checks, and review responsibility are defined.</x:v>
      </x:c>
      <x:c r="H39" s="49" t="str">
        <x:v>Deliberately excluded in version 1.0.0: iterative sculpting solver; multiple debt tranches; tax waterfall; full reserve-account agreements; legal subordination; lender approval. Extend only after the underlying method, source availability, checks, and review responsibility are defined.</x:v>
      </x:c>
      <x:c r="I39" s="49" t="str">
        <x:v>Deliberately excluded in version 1.0.0: iterative sculpting solver; multiple debt tranches; tax waterfall; full reserve-account agreements; legal subordination; lender approval. Extend only after the underlying method, source availability, checks, and review responsibility are defined.</x:v>
      </x:c>
      <x:c r="J39" s="50" t="str">
        <x:v>Deliberately excluded in version 1.0.0: iterative sculpting solver; multiple debt tranches; tax waterfall; full reserve-account agreements; legal subordination; lender approval. Extend only after the underlying method, source availability, checks, and review responsibility are defined.</x:v>
      </x:c>
    </x:row>
    <x:row r="41">
      <x:c r="A41" s="53" t="str">
        <x:v>TDAT Model Library  |  Trust builds the brand. Insight builds the decision.</x:v>
      </x:c>
      <x:c r="B41" s="53" t="str">
        <x:v>TDAT Model Library  |  Trust builds the brand. Insight builds the decision.</x:v>
      </x:c>
      <x:c r="C41" s="53" t="str">
        <x:v>TDAT Model Library  |  Trust builds the brand. Insight builds the decision.</x:v>
      </x:c>
      <x:c r="D41" s="53" t="str">
        <x:v>TDAT Model Library  |  Trust builds the brand. Insight builds the decision.</x:v>
      </x:c>
      <x:c r="E41" s="53" t="str">
        <x:v>TDAT Model Library  |  Trust builds the brand. Insight builds the decision.</x:v>
      </x:c>
      <x:c r="F41" s="53" t="str">
        <x:v>TDAT Model Library  |  Trust builds the brand. Insight builds the decision.</x:v>
      </x:c>
      <x:c r="G41" s="53" t="str">
        <x:v>TDAT Model Library  |  Trust builds the brand. Insight builds the decision.</x:v>
      </x:c>
      <x:c r="H41" s="53" t="str">
        <x:v>TDAT Model Library  |  Trust builds the brand. Insight builds the decision.</x:v>
      </x:c>
      <x:c r="I41" s="53" t="str">
        <x:v>TDAT Model Library  |  Trust builds the brand. Insight builds the decision.</x:v>
      </x:c>
      <x:c r="J41" s="53" t="str">
        <x:v>TDAT Model Library  |  Trust builds the brand. Insight builds the decision.</x:v>
      </x:c>
    </x:row>
  </x:sheetData>
  <x:mergeCells>
    <x:mergeCell ref="A1:J1"/>
    <x:mergeCell ref="A2:J2"/>
    <x:mergeCell ref="A5:J5"/>
    <x:mergeCell ref="A6:J8"/>
    <x:mergeCell ref="A10:J10"/>
    <x:mergeCell ref="C11:J11"/>
    <x:mergeCell ref="C12:J12"/>
    <x:mergeCell ref="C13:J13"/>
    <x:mergeCell ref="C14:J14"/>
    <x:mergeCell ref="C15:J15"/>
    <x:mergeCell ref="C16:J16"/>
    <x:mergeCell ref="A18:J18"/>
    <x:mergeCell ref="B19:J19"/>
    <x:mergeCell ref="B20:J20"/>
    <x:mergeCell ref="B21:J21"/>
    <x:mergeCell ref="B22:J22"/>
    <x:mergeCell ref="B23:J23"/>
    <x:mergeCell ref="B24:J24"/>
    <x:mergeCell ref="B25:J25"/>
    <x:mergeCell ref="B26:J26"/>
    <x:mergeCell ref="B27:J27"/>
    <x:mergeCell ref="A29:J29"/>
    <x:mergeCell ref="B30:J30"/>
    <x:mergeCell ref="B31:J31"/>
    <x:mergeCell ref="B32:J32"/>
    <x:mergeCell ref="B33:J33"/>
    <x:mergeCell ref="B34:J34"/>
    <x:mergeCell ref="B35:J35"/>
    <x:mergeCell ref="A37:J39"/>
    <x:mergeCell ref="A41:J4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8" hidden="0" customWidth="1"/>
    <x:col min="7" max="7" width="44" hidden="0" customWidth="1"/>
  </x:cols>
  <x:sheetData>
    <x:row r="1" ht="34" customHeight="1">
      <x:c r="A1" s="3" t="str">
        <x:v>ASSUMPTIONS &amp; SCENARIOS</x:v>
      </x:c>
      <x:c r="B1" s="3" t="str">
        <x:v>ASSUMPTIONS &amp; SCENARIOS</x:v>
      </x:c>
      <x:c r="C1" s="3" t="str">
        <x:v>ASSUMPTIONS &amp; SCENARIOS</x:v>
      </x:c>
      <x:c r="D1" s="3" t="str">
        <x:v>ASSUMPTIONS &amp; SCENARIOS</x:v>
      </x:c>
      <x:c r="E1" s="3" t="str">
        <x:v>ASSUMPTIONS &amp; SCENARIOS</x:v>
      </x:c>
      <x:c r="F1" s="3" t="str">
        <x:v>ASSUMPTIONS &amp; SCENARIOS</x:v>
      </x:c>
      <x:c r="G1" s="3" t="str">
        <x:v>ASSUMPTIONS &amp; SCENARIOS</x:v>
      </x:c>
    </x:row>
    <x:row r="2" ht="24" customHeight="1">
      <x:c r="A2" s="6" t="str">
        <x:v>Debt Sculpting &amp; Waterfall  |  One controlled selector and visible driver cases</x:v>
      </x:c>
      <x:c r="B2" s="6" t="str">
        <x:v>Debt Sculpting &amp; Waterfall  |  One controlled selector and visible driver cases</x:v>
      </x:c>
      <x:c r="C2" s="6" t="str">
        <x:v>Debt Sculpting &amp; Waterfall  |  One controlled selector and visible driver cases</x:v>
      </x:c>
      <x:c r="D2" s="6" t="str">
        <x:v>Debt Sculpting &amp; Waterfall  |  One controlled selector and visible driver cases</x:v>
      </x:c>
      <x:c r="E2" s="6" t="str">
        <x:v>Debt Sculpting &amp; Waterfall  |  One controlled selector and visible driver cases</x:v>
      </x:c>
      <x:c r="F2" s="6" t="str">
        <x:v>Debt Sculpting &amp; Waterfall  |  One controlled selector and visible driver cases</x:v>
      </x:c>
      <x:c r="G2" s="6" t="str">
        <x:v>Debt Sculpting &amp; Waterfall  |  One controlled selector and visible driver cases</x:v>
      </x:c>
    </x:row>
    <x:row r="3" ht="4" customHeight="1">
      <x:c r="A3" s="54" t="str">
        <x:v>Selected Scenario</x:v>
      </x:c>
      <x:c r="B3" s="56" t="str">
        <x:v>Base</x:v>
      </x:c>
      <x:c r="C3" s="7"/>
      <x:c r="D3" s="7"/>
      <x:c r="E3" s="7"/>
      <x:c r="F3" s="7"/>
      <x:c r="G3" s="7"/>
    </x:row>
    <x:row r="5" ht="24" customHeight="1">
      <x:c r="A5" s="66" t="str">
        <x:v>Driver</x:v>
      </x:c>
      <x:c r="B5" s="67" t="str">
        <x:v>Unit</x:v>
      </x:c>
      <x:c r="C5" s="67" t="str">
        <x:v>Base</x:v>
      </x:c>
      <x:c r="D5" s="67" t="str">
        <x:v>Upside</x:v>
      </x:c>
      <x:c r="E5" s="67" t="str">
        <x:v>Downside</x:v>
      </x:c>
      <x:c r="F5" s="67" t="str">
        <x:v>Selected</x:v>
      </x:c>
      <x:c r="G5" s="68" t="str">
        <x:v>Rationale / edit cue</x:v>
      </x:c>
    </x:row>
    <x:row r="6">
      <x:c r="A6" s="88" t="str">
        <x:v>Target DSCR</x:v>
      </x:c>
      <x:c r="B6" s="89" t="str">
        <x:v>x</x:v>
      </x:c>
      <x:c r="C6" s="90" t="n">
        <x:v>1.3</x:v>
      </x:c>
      <x:c r="D6" s="90" t="n">
        <x:v>1.25</x:v>
      </x:c>
      <x:c r="E6" s="90" t="n">
        <x:v>1.45</x:v>
      </x:c>
      <x:c r="F6" s="91" t="n">
        <x:f>IF($B$3="Base",C6,IF($B$3="Upside",D6,E6))</x:f>
        <x:v>1.3</x:v>
      </x:c>
      <x:c r="G6" s="92" t="str">
        <x:v>Replace with an approved, sourced assumption.</x:v>
      </x:c>
    </x:row>
    <x:row r="7">
      <x:c r="A7" s="93" t="str">
        <x:v>Debt interest rate</x:v>
      </x:c>
      <x:c r="B7" s="94" t="str">
        <x:v>%</x:v>
      </x:c>
      <x:c r="C7" s="95" t="n">
        <x:v>0.08</x:v>
      </x:c>
      <x:c r="D7" s="95" t="n">
        <x:v>0.07</x:v>
      </x:c>
      <x:c r="E7" s="95" t="n">
        <x:v>0.1</x:v>
      </x:c>
      <x:c r="F7" s="96" t="n">
        <x:f>IF($B$3="Base",C7,IF($B$3="Upside",D7,E7))</x:f>
        <x:v>0.08</x:v>
      </x:c>
      <x:c r="G7" s="97" t="str">
        <x:v>Replace with an approved, sourced assumption.</x:v>
      </x:c>
    </x:row>
    <x:row r="8">
      <x:c r="A8" s="93" t="str">
        <x:v>Opening debt</x:v>
      </x:c>
      <x:c r="B8" s="94" t="str">
        <x:v>LCYm</x:v>
      </x:c>
      <x:c r="C8" s="98" t="n">
        <x:v>280</x:v>
      </x:c>
      <x:c r="D8" s="98" t="n">
        <x:v>310</x:v>
      </x:c>
      <x:c r="E8" s="98" t="n">
        <x:v>240</x:v>
      </x:c>
      <x:c r="F8" s="99" t="n">
        <x:f>IF($B$3="Base",C8,IF($B$3="Upside",D8,E8))</x:f>
        <x:v>280</x:v>
      </x:c>
      <x:c r="G8" s="97" t="str">
        <x:v>Replace with an approved, sourced assumption.</x:v>
      </x:c>
    </x:row>
    <x:row r="9">
      <x:c r="A9" s="93" t="str">
        <x:v>DSRA months of debt service</x:v>
      </x:c>
      <x:c r="B9" s="94" t="str">
        <x:v>months</x:v>
      </x:c>
      <x:c r="C9" s="100" t="n">
        <x:v>6</x:v>
      </x:c>
      <x:c r="D9" s="100" t="n">
        <x:v>6</x:v>
      </x:c>
      <x:c r="E9" s="100" t="n">
        <x:v>9</x:v>
      </x:c>
      <x:c r="F9" s="101" t="n">
        <x:f>IF($B$3="Base",C9,IF($B$3="Upside",D9,E9))</x:f>
        <x:v>6</x:v>
      </x:c>
      <x:c r="G9" s="97" t="str">
        <x:v>Replace with an approved, sourced assumption.</x:v>
      </x:c>
    </x:row>
    <x:row r="10">
      <x:c r="A10" s="102" t="str">
        <x:v>Distribution lock-up DSCR</x:v>
      </x:c>
      <x:c r="B10" s="103" t="str">
        <x:v>x</x:v>
      </x:c>
      <x:c r="C10" s="104" t="n">
        <x:v>1.2</x:v>
      </x:c>
      <x:c r="D10" s="104" t="n">
        <x:v>1.15</x:v>
      </x:c>
      <x:c r="E10" s="104" t="n">
        <x:v>1.35</x:v>
      </x:c>
      <x:c r="F10" s="105" t="n">
        <x:f>IF($B$3="Base",C10,IF($B$3="Upside",D10,E10))</x:f>
        <x:v>1.2</x:v>
      </x:c>
      <x:c r="G10" s="106" t="str">
        <x:v>Replace with an approved, sourced assumption.</x:v>
      </x:c>
    </x:row>
    <x:row r="12">
      <x:c r="A12" s="42" t="str">
        <x:v>Scenario discipline: change a small number of decision-relevant drivers, preserve the core formula architecture, and document what changed, why, who owns it, and what action follows.</x:v>
      </x:c>
      <x:c r="B12" s="43" t="str">
        <x:v>Scenario discipline: change a small number of decision-relevant drivers, preserve the core formula architecture, and document what changed, why, who owns it, and what action follows.</x:v>
      </x:c>
      <x:c r="C12" s="43" t="str">
        <x:v>Scenario discipline: change a small number of decision-relevant drivers, preserve the core formula architecture, and document what changed, why, who owns it, and what action follows.</x:v>
      </x:c>
      <x:c r="D12" s="43" t="str">
        <x:v>Scenario discipline: change a small number of decision-relevant drivers, preserve the core formula architecture, and document what changed, why, who owns it, and what action follows.</x:v>
      </x:c>
      <x:c r="E12" s="43" t="str">
        <x:v>Scenario discipline: change a small number of decision-relevant drivers, preserve the core formula architecture, and document what changed, why, who owns it, and what action follows.</x:v>
      </x:c>
      <x:c r="F12" s="43" t="str">
        <x:v>Scenario discipline: change a small number of decision-relevant drivers, preserve the core formula architecture, and document what changed, why, who owns it, and what action follows.</x:v>
      </x:c>
      <x:c r="G12" s="44" t="str">
        <x:v>Scenario discipline: change a small number of decision-relevant drivers, preserve the core formula architecture, and document what changed, why, who owns it, and what action follows.</x:v>
      </x:c>
    </x:row>
    <x:row r="13">
      <x:c r="A13" s="45" t="str">
        <x:v>Scenario discipline: change a small number of decision-relevant drivers, preserve the core formula architecture, and document what changed, why, who owns it, and what action follows.</x:v>
      </x:c>
      <x:c r="B13" s="46" t="str">
        <x:v>Scenario discipline: change a small number of decision-relevant drivers, preserve the core formula architecture, and document what changed, why, who owns it, and what action follows.</x:v>
      </x:c>
      <x:c r="C13" s="46" t="str">
        <x:v>Scenario discipline: change a small number of decision-relevant drivers, preserve the core formula architecture, and document what changed, why, who owns it, and what action follows.</x:v>
      </x:c>
      <x:c r="D13" s="46" t="str">
        <x:v>Scenario discipline: change a small number of decision-relevant drivers, preserve the core formula architecture, and document what changed, why, who owns it, and what action follows.</x:v>
      </x:c>
      <x:c r="E13" s="46" t="str">
        <x:v>Scenario discipline: change a small number of decision-relevant drivers, preserve the core formula architecture, and document what changed, why, who owns it, and what action follows.</x:v>
      </x:c>
      <x:c r="F13" s="46" t="str">
        <x:v>Scenario discipline: change a small number of decision-relevant drivers, preserve the core formula architecture, and document what changed, why, who owns it, and what action follows.</x:v>
      </x:c>
      <x:c r="G13" s="47" t="str">
        <x:v>Scenario discipline: change a small number of decision-relevant drivers, preserve the core formula architecture, and document what changed, why, who owns it, and what action follows.</x:v>
      </x:c>
    </x:row>
    <x:row r="14">
      <x:c r="A14" s="48" t="str">
        <x:v>Scenario discipline: change a small number of decision-relevant drivers, preserve the core formula architecture, and document what changed, why, who owns it, and what action follows.</x:v>
      </x:c>
      <x:c r="B14" s="49" t="str">
        <x:v>Scenario discipline: change a small number of decision-relevant drivers, preserve the core formula architecture, and document what changed, why, who owns it, and what action follows.</x:v>
      </x:c>
      <x:c r="C14" s="49" t="str">
        <x:v>Scenario discipline: change a small number of decision-relevant drivers, preserve the core formula architecture, and document what changed, why, who owns it, and what action follows.</x:v>
      </x:c>
      <x:c r="D14" s="49" t="str">
        <x:v>Scenario discipline: change a small number of decision-relevant drivers, preserve the core formula architecture, and document what changed, why, who owns it, and what action follows.</x:v>
      </x:c>
      <x:c r="E14" s="49" t="str">
        <x:v>Scenario discipline: change a small number of decision-relevant drivers, preserve the core formula architecture, and document what changed, why, who owns it, and what action follows.</x:v>
      </x:c>
      <x:c r="F14" s="49" t="str">
        <x:v>Scenario discipline: change a small number of decision-relevant drivers, preserve the core formula architecture, and document what changed, why, who owns it, and what action follows.</x:v>
      </x:c>
      <x:c r="G14" s="50" t="str">
        <x:v>Scenario discipline: change a small number of decision-relevant drivers, preserve the core formula architecture, and document what changed, why, who owns it, and what action follows.</x:v>
      </x:c>
    </x:row>
    <x:row r="16">
      <x:c r="A16" s="53" t="str">
        <x:v>TDAT Model Library  |  Trust builds the brand. Insight builds the decision.</x:v>
      </x:c>
      <x:c r="B16" s="53" t="str">
        <x:v>TDAT Model Library  |  Trust builds the brand. Insight builds the decision.</x:v>
      </x:c>
      <x:c r="C16" s="53" t="str">
        <x:v>TDAT Model Library  |  Trust builds the brand. Insight builds the decision.</x:v>
      </x:c>
      <x:c r="D16" s="53" t="str">
        <x:v>TDAT Model Library  |  Trust builds the brand. Insight builds the decision.</x:v>
      </x:c>
      <x:c r="E16" s="53" t="str">
        <x:v>TDAT Model Library  |  Trust builds the brand. Insight builds the decision.</x:v>
      </x:c>
      <x:c r="F16" s="53" t="str">
        <x:v>TDAT Model Library  |  Trust builds the brand. Insight builds the decision.</x:v>
      </x:c>
      <x:c r="G16" s="53" t="str">
        <x:v>TDAT Model Library  |  Trust builds the brand. Insight builds the decision.</x:v>
      </x:c>
    </x:row>
  </x:sheetData>
  <x:mergeCells>
    <x:mergeCell ref="A1:G1"/>
    <x:mergeCell ref="A2:G2"/>
    <x:mergeCell ref="A12:G14"/>
    <x:mergeCell ref="A16:G16"/>
  </x:mergeCells>
  <x:dataValidations count="1">
    <x:dataValidation type="list" sqref="B3">
      <x:formula1>"Base,Upside,Downside"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2" hidden="0" customWidth="1"/>
    <x:col min="2" max="2" width="13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</x:cols>
  <x:sheetData>
    <x:row r="1" ht="34" customHeight="1">
      <x:c r="A1" s="3" t="str">
        <x:v>CFADS INPUTS</x:v>
      </x:c>
      <x:c r="B1" s="3" t="str">
        <x:v>CFADS INPUTS</x:v>
      </x:c>
      <x:c r="C1" s="3" t="str">
        <x:v>CFADS INPUTS</x:v>
      </x:c>
      <x:c r="D1" s="3" t="str">
        <x:v>CFADS INPUTS</x:v>
      </x:c>
      <x:c r="E1" s="3" t="str">
        <x:v>CFADS INPUTS</x:v>
      </x:c>
      <x:c r="F1" s="3" t="str">
        <x:v>CFADS INPUTS</x:v>
      </x:c>
      <x:c r="G1" s="3" t="str">
        <x:v>CFADS INPUTS</x:v>
      </x:c>
      <x:c r="H1" s="3" t="str">
        <x:v>CFADS INPUTS</x:v>
      </x:c>
      <x:c r="I1" s="3" t="str">
        <x:v>CFADS INPUTS</x:v>
      </x:c>
      <x:c r="J1" s="3" t="str">
        <x:v>CFADS INPUTS</x:v>
      </x:c>
      <x:c r="K1" s="3" t="str">
        <x:v>CFADS INPUTS</x:v>
      </x:c>
    </x:row>
    <x:row r="2" ht="24" customHeight="1">
      <x:c r="A2" s="6" t="str">
        <x:v>Debt Sculpting &amp; Waterfall  |  Synthetic worked inputs — replace blue cells</x:v>
      </x:c>
      <x:c r="B2" s="6" t="str">
        <x:v>Debt Sculpting &amp; Waterfall  |  Synthetic worked inputs — replace blue cells</x:v>
      </x:c>
      <x:c r="C2" s="6" t="str">
        <x:v>Debt Sculpting &amp; Waterfall  |  Synthetic worked inputs — replace blue cells</x:v>
      </x:c>
      <x:c r="D2" s="6" t="str">
        <x:v>Debt Sculpting &amp; Waterfall  |  Synthetic worked inputs — replace blue cells</x:v>
      </x:c>
      <x:c r="E2" s="6" t="str">
        <x:v>Debt Sculpting &amp; Waterfall  |  Synthetic worked inputs — replace blue cells</x:v>
      </x:c>
      <x:c r="F2" s="6" t="str">
        <x:v>Debt Sculpting &amp; Waterfall  |  Synthetic worked inputs — replace blue cells</x:v>
      </x:c>
      <x:c r="G2" s="6" t="str">
        <x:v>Debt Sculpting &amp; Waterfall  |  Synthetic worked inputs — replace blue cells</x:v>
      </x:c>
      <x:c r="H2" s="6" t="str">
        <x:v>Debt Sculpting &amp; Waterfall  |  Synthetic worked inputs — replace blue cells</x:v>
      </x:c>
      <x:c r="I2" s="6" t="str">
        <x:v>Debt Sculpting &amp; Waterfall  |  Synthetic worked inputs — replace blue cells</x:v>
      </x:c>
      <x:c r="J2" s="6" t="str">
        <x:v>Debt Sculpting &amp; Waterfall  |  Synthetic worked inputs — replace blue cells</x:v>
      </x:c>
      <x:c r="K2" s="6" t="str">
        <x:v>Debt Sculpting &amp; Waterfall  |  Synthetic worked inputs — replace blue cells</x:v>
      </x:c>
    </x:row>
    <x:row r="3" ht="4" customHeight="1">
      <x:c r="A3" s="7"/>
      <x:c r="B3" s="7"/>
      <x:c r="C3" s="7"/>
      <x:c r="D3" s="7"/>
      <x:c r="E3" s="7"/>
      <x:c r="F3" s="7"/>
      <x:c r="G3" s="7"/>
      <x:c r="H3" s="7"/>
      <x:c r="I3" s="7"/>
      <x:c r="J3" s="7"/>
      <x:c r="K3" s="7"/>
    </x:row>
    <x:row r="5" ht="24" customHeight="1">
      <x:c r="A5" s="66" t="str">
        <x:v>Input / Period</x:v>
      </x:c>
      <x:c r="B5" s="67" t="str">
        <x:v>Y1</x:v>
      </x:c>
      <x:c r="C5" s="67" t="str">
        <x:v>Y2</x:v>
      </x:c>
      <x:c r="D5" s="67" t="str">
        <x:v>Y3</x:v>
      </x:c>
      <x:c r="E5" s="67" t="str">
        <x:v>Y4</x:v>
      </x:c>
      <x:c r="F5" s="67" t="str">
        <x:v>Y5</x:v>
      </x:c>
      <x:c r="G5" s="67" t="str">
        <x:v>Y6</x:v>
      </x:c>
      <x:c r="H5" s="67" t="str">
        <x:v>Y7</x:v>
      </x:c>
      <x:c r="I5" s="67" t="str">
        <x:v>Y8</x:v>
      </x:c>
      <x:c r="J5" s="67" t="str">
        <x:v>Y9</x:v>
      </x:c>
      <x:c r="K5" s="68" t="str">
        <x:v>Y10</x:v>
      </x:c>
    </x:row>
    <x:row r="6">
      <x:c r="A6" s="107" t="str">
        <x:v>Cash flow available for debt service</x:v>
      </x:c>
      <x:c r="B6" s="80" t="n">
        <x:v>52</x:v>
      </x:c>
      <x:c r="C6" s="80" t="n">
        <x:v>56</x:v>
      </x:c>
      <x:c r="D6" s="80" t="n">
        <x:v>61</x:v>
      </x:c>
      <x:c r="E6" s="80" t="n">
        <x:v>66</x:v>
      </x:c>
      <x:c r="F6" s="80" t="n">
        <x:v>72</x:v>
      </x:c>
      <x:c r="G6" s="80" t="n">
        <x:v>78</x:v>
      </x:c>
      <x:c r="H6" s="80" t="n">
        <x:v>82</x:v>
      </x:c>
      <x:c r="I6" s="80" t="n">
        <x:v>86</x:v>
      </x:c>
      <x:c r="J6" s="80" t="n">
        <x:v>90</x:v>
      </x:c>
      <x:c r="K6" s="80" t="n">
        <x:v>94</x:v>
      </x:c>
    </x:row>
    <x:row r="8">
      <x:c r="A8" s="42" t="str">
        <x:v>Synthetic input pack. Preserve source definitions, units, period basis, and sign convention when replacing values.</x:v>
      </x:c>
      <x:c r="B8" s="43" t="str">
        <x:v>Synthetic input pack. Preserve source definitions, units, period basis, and sign convention when replacing values.</x:v>
      </x:c>
      <x:c r="C8" s="43" t="str">
        <x:v>Synthetic input pack. Preserve source definitions, units, period basis, and sign convention when replacing values.</x:v>
      </x:c>
      <x:c r="D8" s="43" t="str">
        <x:v>Synthetic input pack. Preserve source definitions, units, period basis, and sign convention when replacing values.</x:v>
      </x:c>
      <x:c r="E8" s="43" t="str">
        <x:v>Synthetic input pack. Preserve source definitions, units, period basis, and sign convention when replacing values.</x:v>
      </x:c>
      <x:c r="F8" s="43" t="str">
        <x:v>Synthetic input pack. Preserve source definitions, units, period basis, and sign convention when replacing values.</x:v>
      </x:c>
      <x:c r="G8" s="43" t="str">
        <x:v>Synthetic input pack. Preserve source definitions, units, period basis, and sign convention when replacing values.</x:v>
      </x:c>
      <x:c r="H8" s="43" t="str">
        <x:v>Synthetic input pack. Preserve source definitions, units, period basis, and sign convention when replacing values.</x:v>
      </x:c>
      <x:c r="I8" s="43" t="str">
        <x:v>Synthetic input pack. Preserve source definitions, units, period basis, and sign convention when replacing values.</x:v>
      </x:c>
      <x:c r="J8" s="43" t="str">
        <x:v>Synthetic input pack. Preserve source definitions, units, period basis, and sign convention when replacing values.</x:v>
      </x:c>
      <x:c r="K8" s="44" t="str">
        <x:v>Synthetic input pack. Preserve source definitions, units, period basis, and sign convention when replacing values.</x:v>
      </x:c>
    </x:row>
    <x:row r="9">
      <x:c r="A9" s="45" t="str">
        <x:v>Synthetic input pack. Preserve source definitions, units, period basis, and sign convention when replacing values.</x:v>
      </x:c>
      <x:c r="B9" s="46" t="str">
        <x:v>Synthetic input pack. Preserve source definitions, units, period basis, and sign convention when replacing values.</x:v>
      </x:c>
      <x:c r="C9" s="46" t="str">
        <x:v>Synthetic input pack. Preserve source definitions, units, period basis, and sign convention when replacing values.</x:v>
      </x:c>
      <x:c r="D9" s="46" t="str">
        <x:v>Synthetic input pack. Preserve source definitions, units, period basis, and sign convention when replacing values.</x:v>
      </x:c>
      <x:c r="E9" s="46" t="str">
        <x:v>Synthetic input pack. Preserve source definitions, units, period basis, and sign convention when replacing values.</x:v>
      </x:c>
      <x:c r="F9" s="46" t="str">
        <x:v>Synthetic input pack. Preserve source definitions, units, period basis, and sign convention when replacing values.</x:v>
      </x:c>
      <x:c r="G9" s="46" t="str">
        <x:v>Synthetic input pack. Preserve source definitions, units, period basis, and sign convention when replacing values.</x:v>
      </x:c>
      <x:c r="H9" s="46" t="str">
        <x:v>Synthetic input pack. Preserve source definitions, units, period basis, and sign convention when replacing values.</x:v>
      </x:c>
      <x:c r="I9" s="46" t="str">
        <x:v>Synthetic input pack. Preserve source definitions, units, period basis, and sign convention when replacing values.</x:v>
      </x:c>
      <x:c r="J9" s="46" t="str">
        <x:v>Synthetic input pack. Preserve source definitions, units, period basis, and sign convention when replacing values.</x:v>
      </x:c>
      <x:c r="K9" s="47" t="str">
        <x:v>Synthetic input pack. Preserve source definitions, units, period basis, and sign convention when replacing values.</x:v>
      </x:c>
    </x:row>
    <x:row r="10">
      <x:c r="A10" s="48" t="str">
        <x:v>Synthetic input pack. Preserve source definitions, units, period basis, and sign convention when replacing values.</x:v>
      </x:c>
      <x:c r="B10" s="49" t="str">
        <x:v>Synthetic input pack. Preserve source definitions, units, period basis, and sign convention when replacing values.</x:v>
      </x:c>
      <x:c r="C10" s="49" t="str">
        <x:v>Synthetic input pack. Preserve source definitions, units, period basis, and sign convention when replacing values.</x:v>
      </x:c>
      <x:c r="D10" s="49" t="str">
        <x:v>Synthetic input pack. Preserve source definitions, units, period basis, and sign convention when replacing values.</x:v>
      </x:c>
      <x:c r="E10" s="49" t="str">
        <x:v>Synthetic input pack. Preserve source definitions, units, period basis, and sign convention when replacing values.</x:v>
      </x:c>
      <x:c r="F10" s="49" t="str">
        <x:v>Synthetic input pack. Preserve source definitions, units, period basis, and sign convention when replacing values.</x:v>
      </x:c>
      <x:c r="G10" s="49" t="str">
        <x:v>Synthetic input pack. Preserve source definitions, units, period basis, and sign convention when replacing values.</x:v>
      </x:c>
      <x:c r="H10" s="49" t="str">
        <x:v>Synthetic input pack. Preserve source definitions, units, period basis, and sign convention when replacing values.</x:v>
      </x:c>
      <x:c r="I10" s="49" t="str">
        <x:v>Synthetic input pack. Preserve source definitions, units, period basis, and sign convention when replacing values.</x:v>
      </x:c>
      <x:c r="J10" s="49" t="str">
        <x:v>Synthetic input pack. Preserve source definitions, units, period basis, and sign convention when replacing values.</x:v>
      </x:c>
      <x:c r="K10" s="50" t="str">
        <x:v>Synthetic input pack. Preserve source definitions, units, period basis, and sign convention when replacing values.</x:v>
      </x:c>
    </x:row>
    <x:row r="12">
      <x:c r="A12" s="53" t="str">
        <x:v>TDAT Model Library  |  Trust builds the brand. Insight builds the decision.</x:v>
      </x:c>
      <x:c r="B12" s="53" t="str">
        <x:v>TDAT Model Library  |  Trust builds the brand. Insight builds the decision.</x:v>
      </x:c>
      <x:c r="C12" s="53" t="str">
        <x:v>TDAT Model Library  |  Trust builds the brand. Insight builds the decision.</x:v>
      </x:c>
      <x:c r="D12" s="53" t="str">
        <x:v>TDAT Model Library  |  Trust builds the brand. Insight builds the decision.</x:v>
      </x:c>
      <x:c r="E12" s="53" t="str">
        <x:v>TDAT Model Library  |  Trust builds the brand. Insight builds the decision.</x:v>
      </x:c>
      <x:c r="F12" s="53" t="str">
        <x:v>TDAT Model Library  |  Trust builds the brand. Insight builds the decision.</x:v>
      </x:c>
      <x:c r="G12" s="53" t="str">
        <x:v>TDAT Model Library  |  Trust builds the brand. Insight builds the decision.</x:v>
      </x:c>
      <x:c r="H12" s="53" t="str">
        <x:v>TDAT Model Library  |  Trust builds the brand. Insight builds the decision.</x:v>
      </x:c>
      <x:c r="I12" s="53" t="str">
        <x:v>TDAT Model Library  |  Trust builds the brand. Insight builds the decision.</x:v>
      </x:c>
      <x:c r="J12" s="53" t="str">
        <x:v>TDAT Model Library  |  Trust builds the brand. Insight builds the decision.</x:v>
      </x:c>
      <x:c r="K12" s="53" t="str">
        <x:v>TDAT Model Library  |  Trust builds the brand. Insight builds the decision.</x:v>
      </x:c>
    </x:row>
  </x:sheetData>
  <x:mergeCells>
    <x:mergeCell ref="A1:K1"/>
    <x:mergeCell ref="A2:K2"/>
    <x:mergeCell ref="A8:K10"/>
    <x:mergeCell ref="A12:K1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3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</x:cols>
  <x:sheetData>
    <x:row r="1" ht="34" customHeight="1">
      <x:c r="A1" s="3" t="str">
        <x:v>SCULPTING WATERFALL</x:v>
      </x:c>
      <x:c r="B1" s="3" t="str">
        <x:v>SCULPTING WATERFALL</x:v>
      </x:c>
      <x:c r="C1" s="3" t="str">
        <x:v>SCULPTING WATERFALL</x:v>
      </x:c>
      <x:c r="D1" s="3" t="str">
        <x:v>SCULPTING WATERFALL</x:v>
      </x:c>
      <x:c r="E1" s="3" t="str">
        <x:v>SCULPTING WATERFALL</x:v>
      </x:c>
      <x:c r="F1" s="3" t="str">
        <x:v>SCULPTING WATERFALL</x:v>
      </x:c>
      <x:c r="G1" s="3" t="str">
        <x:v>SCULPTING WATERFALL</x:v>
      </x:c>
      <x:c r="H1" s="3" t="str">
        <x:v>SCULPTING WATERFALL</x:v>
      </x:c>
      <x:c r="I1" s="3" t="str">
        <x:v>SCULPTING WATERFALL</x:v>
      </x:c>
      <x:c r="J1" s="3" t="str">
        <x:v>SCULPTING WATERFALL</x:v>
      </x:c>
      <x:c r="K1" s="3" t="str">
        <x:v>SCULPTING WATERFALL</x:v>
      </x:c>
    </x:row>
    <x:row r="2" ht="24" customHeight="1">
      <x:c r="A2" s="6" t="str">
        <x:v>Debt Sculpting &amp; Waterfall  |  Formula-driven core mechanics</x:v>
      </x:c>
      <x:c r="B2" s="6" t="str">
        <x:v>Debt Sculpting &amp; Waterfall  |  Formula-driven core mechanics</x:v>
      </x:c>
      <x:c r="C2" s="6" t="str">
        <x:v>Debt Sculpting &amp; Waterfall  |  Formula-driven core mechanics</x:v>
      </x:c>
      <x:c r="D2" s="6" t="str">
        <x:v>Debt Sculpting &amp; Waterfall  |  Formula-driven core mechanics</x:v>
      </x:c>
      <x:c r="E2" s="6" t="str">
        <x:v>Debt Sculpting &amp; Waterfall  |  Formula-driven core mechanics</x:v>
      </x:c>
      <x:c r="F2" s="6" t="str">
        <x:v>Debt Sculpting &amp; Waterfall  |  Formula-driven core mechanics</x:v>
      </x:c>
      <x:c r="G2" s="6" t="str">
        <x:v>Debt Sculpting &amp; Waterfall  |  Formula-driven core mechanics</x:v>
      </x:c>
      <x:c r="H2" s="6" t="str">
        <x:v>Debt Sculpting &amp; Waterfall  |  Formula-driven core mechanics</x:v>
      </x:c>
      <x:c r="I2" s="6" t="str">
        <x:v>Debt Sculpting &amp; Waterfall  |  Formula-driven core mechanics</x:v>
      </x:c>
      <x:c r="J2" s="6" t="str">
        <x:v>Debt Sculpting &amp; Waterfall  |  Formula-driven core mechanics</x:v>
      </x:c>
      <x:c r="K2" s="6" t="str">
        <x:v>Debt Sculpting &amp; Waterfall  |  Formula-driven core mechanics</x:v>
      </x:c>
    </x:row>
    <x:row r="3" ht="4" customHeight="1">
      <x:c r="A3" s="7"/>
      <x:c r="B3" s="7"/>
      <x:c r="C3" s="7"/>
      <x:c r="D3" s="7"/>
      <x:c r="E3" s="7"/>
      <x:c r="F3" s="7"/>
      <x:c r="G3" s="7"/>
      <x:c r="H3" s="7"/>
      <x:c r="I3" s="7"/>
      <x:c r="J3" s="7"/>
      <x:c r="K3" s="7"/>
    </x:row>
    <x:row r="5" ht="24" customHeight="1">
      <x:c r="A5" s="66" t="str">
        <x:v>Calculation / Period</x:v>
      </x:c>
      <x:c r="B5" s="67" t="str">
        <x:v>Y1</x:v>
      </x:c>
      <x:c r="C5" s="67" t="str">
        <x:v>Y2</x:v>
      </x:c>
      <x:c r="D5" s="67" t="str">
        <x:v>Y3</x:v>
      </x:c>
      <x:c r="E5" s="67" t="str">
        <x:v>Y4</x:v>
      </x:c>
      <x:c r="F5" s="67" t="str">
        <x:v>Y5</x:v>
      </x:c>
      <x:c r="G5" s="67" t="str">
        <x:v>Y6</x:v>
      </x:c>
      <x:c r="H5" s="67" t="str">
        <x:v>Y7</x:v>
      </x:c>
      <x:c r="I5" s="67" t="str">
        <x:v>Y8</x:v>
      </x:c>
      <x:c r="J5" s="67" t="str">
        <x:v>Y9</x:v>
      </x:c>
      <x:c r="K5" s="68" t="str">
        <x:v>Y10</x:v>
      </x:c>
    </x:row>
    <x:row r="6">
      <x:c r="A6" s="126" t="str">
        <x:v>Opening debt</x:v>
      </x:c>
      <x:c r="B6" s="127" t="n">
        <x:f>'Assumptions'!$F$8</x:f>
        <x:v>280</x:v>
      </x:c>
      <x:c r="C6" s="127" t="n">
        <x:f>B$10</x:f>
        <x:v>262.4</x:v>
      </x:c>
      <x:c r="D6" s="127" t="n">
        <x:f>C$10</x:f>
        <x:v>240.3150769230769</x:v>
      </x:c>
      <x:c r="E6" s="127" t="n">
        <x:f>D$10</x:f>
        <x:v>212.61720615384613</x:v>
      </x:c>
      <x:c r="F6" s="127" t="n">
        <x:f>E$10</x:f>
        <x:v>178.85735187692305</x:v>
      </x:c>
      <x:c r="G6" s="127" t="n">
        <x:f>F$10</x:f>
        <x:v>137.78132464246153</x:v>
      </x:c>
      <x:c r="H6" s="127" t="n">
        <x:f>G$10</x:f>
        <x:v>88.80383061385845</x:v>
      </x:c>
      <x:c r="I6" s="127" t="n">
        <x:f>H$10</x:f>
        <x:v>32.831213986044055</x:v>
      </x:c>
      <x:c r="J6" s="127" t="n">
        <x:f>I$10</x:f>
        <x:v>0</x:v>
      </x:c>
      <x:c r="K6" s="127" t="n">
        <x:f>J$10</x:f>
        <x:v>0</x:v>
      </x:c>
    </x:row>
    <x:row r="7">
      <x:c r="A7" s="128" t="str">
        <x:v>Target debt service</x:v>
      </x:c>
      <x:c r="B7" s="129" t="n">
        <x:f>'CFADS Inputs'!B$6/'Assumptions'!$F$6</x:f>
        <x:v>40</x:v>
      </x:c>
      <x:c r="C7" s="129" t="n">
        <x:f>'CFADS Inputs'!C$6/'Assumptions'!$F$6</x:f>
        <x:v>43.07692307692307</x:v>
      </x:c>
      <x:c r="D7" s="129" t="n">
        <x:f>'CFADS Inputs'!D$6/'Assumptions'!$F$6</x:f>
        <x:v>46.92307692307692</x:v>
      </x:c>
      <x:c r="E7" s="129" t="n">
        <x:f>'CFADS Inputs'!E$6/'Assumptions'!$F$6</x:f>
        <x:v>50.76923076923077</x:v>
      </x:c>
      <x:c r="F7" s="129" t="n">
        <x:f>'CFADS Inputs'!F$6/'Assumptions'!$F$6</x:f>
        <x:v>55.38461538461538</x:v>
      </x:c>
      <x:c r="G7" s="129" t="n">
        <x:f>'CFADS Inputs'!G$6/'Assumptions'!$F$6</x:f>
        <x:v>60</x:v>
      </x:c>
      <x:c r="H7" s="129" t="n">
        <x:f>'CFADS Inputs'!H$6/'Assumptions'!$F$6</x:f>
        <x:v>63.07692307692307</x:v>
      </x:c>
      <x:c r="I7" s="129" t="n">
        <x:f>'CFADS Inputs'!I$6/'Assumptions'!$F$6</x:f>
        <x:v>66.15384615384615</x:v>
      </x:c>
      <x:c r="J7" s="129" t="n">
        <x:f>'CFADS Inputs'!J$6/'Assumptions'!$F$6</x:f>
        <x:v>69.23076923076923</x:v>
      </x:c>
      <x:c r="K7" s="129" t="n">
        <x:f>'CFADS Inputs'!K$6/'Assumptions'!$F$6</x:f>
        <x:v>72.3076923076923</x:v>
      </x:c>
    </x:row>
    <x:row r="8">
      <x:c r="A8" s="130" t="str">
        <x:v>Interest</x:v>
      </x:c>
      <x:c r="B8" s="131" t="n">
        <x:f>B$6*'Assumptions'!$F$7</x:f>
        <x:v>22.400000000000002</x:v>
      </x:c>
      <x:c r="C8" s="131" t="n">
        <x:f>C$6*'Assumptions'!$F$7</x:f>
        <x:v>20.991999999999997</x:v>
      </x:c>
      <x:c r="D8" s="131" t="n">
        <x:f>D$6*'Assumptions'!$F$7</x:f>
        <x:v>19.225206153846152</x:v>
      </x:c>
      <x:c r="E8" s="131" t="n">
        <x:f>E$6*'Assumptions'!$F$7</x:f>
        <x:v>17.00937649230769</x:v>
      </x:c>
      <x:c r="F8" s="131" t="n">
        <x:f>F$6*'Assumptions'!$F$7</x:f>
        <x:v>14.308588150153843</x:v>
      </x:c>
      <x:c r="G8" s="131" t="n">
        <x:f>G$6*'Assumptions'!$F$7</x:f>
        <x:v>11.022505971396923</x:v>
      </x:c>
      <x:c r="H8" s="131" t="n">
        <x:f>H$6*'Assumptions'!$F$7</x:f>
        <x:v>7.104306449108677</x:v>
      </x:c>
      <x:c r="I8" s="131" t="n">
        <x:f>I$6*'Assumptions'!$F$7</x:f>
        <x:v>2.6264971188835244</x:v>
      </x:c>
      <x:c r="J8" s="131" t="n">
        <x:f>J$6*'Assumptions'!$F$7</x:f>
        <x:v>0</x:v>
      </x:c>
      <x:c r="K8" s="131" t="n">
        <x:f>K$6*'Assumptions'!$F$7</x:f>
        <x:v>0</x:v>
      </x:c>
    </x:row>
    <x:row r="9">
      <x:c r="A9" s="130" t="str">
        <x:v>Sculpted principal</x:v>
      </x:c>
      <x:c r="B9" s="132" t="n">
        <x:f>MIN(B$6,MAX(0,B$7-B$8))</x:f>
        <x:v>17.599999999999998</x:v>
      </x:c>
      <x:c r="C9" s="132" t="n">
        <x:f>MIN(C$6,MAX(0,C$7-C$8))</x:f>
        <x:v>22.084923076923076</x:v>
      </x:c>
      <x:c r="D9" s="132" t="n">
        <x:f>MIN(D$6,MAX(0,D$7-D$8))</x:f>
        <x:v>27.697870769230768</x:v>
      </x:c>
      <x:c r="E9" s="132" t="n">
        <x:f>MIN(E$6,MAX(0,E$7-E$8))</x:f>
        <x:v>33.75985427692308</x:v>
      </x:c>
      <x:c r="F9" s="132" t="n">
        <x:f>MIN(F$6,MAX(0,F$7-F$8))</x:f>
        <x:v>41.076027234461534</x:v>
      </x:c>
      <x:c r="G9" s="132" t="n">
        <x:f>MIN(G$6,MAX(0,G$7-G$8))</x:f>
        <x:v>48.977494028603076</x:v>
      </x:c>
      <x:c r="H9" s="132" t="n">
        <x:f>MIN(H$6,MAX(0,H$7-H$8))</x:f>
        <x:v>55.972616627814396</x:v>
      </x:c>
      <x:c r="I9" s="132" t="n">
        <x:f>MIN(I$6,MAX(0,I$7-I$8))</x:f>
        <x:v>32.831213986044055</x:v>
      </x:c>
      <x:c r="J9" s="132" t="n">
        <x:f>MIN(J$6,MAX(0,J$7-J$8))</x:f>
        <x:v>0</x:v>
      </x:c>
      <x:c r="K9" s="132" t="n">
        <x:f>MIN(K$6,MAX(0,K$7-K$8))</x:f>
        <x:v>0</x:v>
      </x:c>
    </x:row>
    <x:row r="10">
      <x:c r="A10" s="133" t="str">
        <x:v>Closing debt</x:v>
      </x:c>
      <x:c r="B10" s="134" t="n">
        <x:f>B$6-B$9</x:f>
        <x:v>262.4</x:v>
      </x:c>
      <x:c r="C10" s="134" t="n">
        <x:f>C$6-C$9</x:f>
        <x:v>240.3150769230769</x:v>
      </x:c>
      <x:c r="D10" s="134" t="n">
        <x:f>D$6-D$9</x:f>
        <x:v>212.61720615384613</x:v>
      </x:c>
      <x:c r="E10" s="134" t="n">
        <x:f>E$6-E$9</x:f>
        <x:v>178.85735187692305</x:v>
      </x:c>
      <x:c r="F10" s="134" t="n">
        <x:f>F$6-F$9</x:f>
        <x:v>137.78132464246153</x:v>
      </x:c>
      <x:c r="G10" s="134" t="n">
        <x:f>G$6-G$9</x:f>
        <x:v>88.80383061385845</x:v>
      </x:c>
      <x:c r="H10" s="134" t="n">
        <x:f>H$6-H$9</x:f>
        <x:v>32.831213986044055</x:v>
      </x:c>
      <x:c r="I10" s="134" t="n">
        <x:f>I$6-I$9</x:f>
        <x:v>0</x:v>
      </x:c>
      <x:c r="J10" s="134" t="n">
        <x:f>J$6-J$9</x:f>
        <x:v>0</x:v>
      </x:c>
      <x:c r="K10" s="134" t="n">
        <x:f>K$6-K$9</x:f>
        <x:v>0</x:v>
      </x:c>
    </x:row>
    <x:row r="11">
      <x:c r="A11" s="130" t="str">
        <x:v>Debt service</x:v>
      </x:c>
      <x:c r="B11" s="132" t="n">
        <x:f>B$8+B$9</x:f>
        <x:v>40</x:v>
      </x:c>
      <x:c r="C11" s="132" t="n">
        <x:f>C$8+C$9</x:f>
        <x:v>43.07692307692307</x:v>
      </x:c>
      <x:c r="D11" s="132" t="n">
        <x:f>D$8+D$9</x:f>
        <x:v>46.92307692307692</x:v>
      </x:c>
      <x:c r="E11" s="132" t="n">
        <x:f>E$8+E$9</x:f>
        <x:v>50.769230769230774</x:v>
      </x:c>
      <x:c r="F11" s="132" t="n">
        <x:f>F$8+F$9</x:f>
        <x:v>55.38461538461538</x:v>
      </x:c>
      <x:c r="G11" s="132" t="n">
        <x:f>G$8+G$9</x:f>
        <x:v>60</x:v>
      </x:c>
      <x:c r="H11" s="132" t="n">
        <x:f>H$8+H$9</x:f>
        <x:v>63.07692307692307</x:v>
      </x:c>
      <x:c r="I11" s="132" t="n">
        <x:f>I$8+I$9</x:f>
        <x:v>35.45771110492758</x:v>
      </x:c>
      <x:c r="J11" s="132" t="n">
        <x:f>J$8+J$9</x:f>
        <x:v>0</x:v>
      </x:c>
      <x:c r="K11" s="132" t="n">
        <x:f>K$8+K$9</x:f>
        <x:v>0</x:v>
      </x:c>
    </x:row>
    <x:row r="12">
      <x:c r="A12" s="128" t="str">
        <x:v>DSCR</x:v>
      </x:c>
      <x:c r="B12" s="135" t="n">
        <x:f>IF(B$11=0,0,'CFADS Inputs'!B$6/B$11)</x:f>
        <x:v>1.3</x:v>
      </x:c>
      <x:c r="C12" s="135" t="n">
        <x:f>IF(C$11=0,0,'CFADS Inputs'!C$6/C$11)</x:f>
        <x:v>1.3</x:v>
      </x:c>
      <x:c r="D12" s="135" t="n">
        <x:f>IF(D$11=0,0,'CFADS Inputs'!D$6/D$11)</x:f>
        <x:v>1.3</x:v>
      </x:c>
      <x:c r="E12" s="135" t="n">
        <x:f>IF(E$11=0,0,'CFADS Inputs'!E$6/E$11)</x:f>
        <x:v>1.2999999999999998</x:v>
      </x:c>
      <x:c r="F12" s="135" t="n">
        <x:f>IF(F$11=0,0,'CFADS Inputs'!F$6/F$11)</x:f>
        <x:v>1.3</x:v>
      </x:c>
      <x:c r="G12" s="135" t="n">
        <x:f>IF(G$11=0,0,'CFADS Inputs'!G$6/G$11)</x:f>
        <x:v>1.3</x:v>
      </x:c>
      <x:c r="H12" s="135" t="n">
        <x:f>IF(H$11=0,0,'CFADS Inputs'!H$6/H$11)</x:f>
        <x:v>1.3</x:v>
      </x:c>
      <x:c r="I12" s="135" t="n">
        <x:f>IF(I$11=0,0,'CFADS Inputs'!I$6/I$11)</x:f>
        <x:v>2.4254244653724566</x:v>
      </x:c>
      <x:c r="J12" s="135" t="n">
        <x:f>IF(J$11=0,0,'CFADS Inputs'!J$6/J$11)</x:f>
        <x:v>0</x:v>
      </x:c>
      <x:c r="K12" s="135" t="n">
        <x:f>IF(K$11=0,0,'CFADS Inputs'!K$6/K$11)</x:f>
        <x:v>0</x:v>
      </x:c>
    </x:row>
    <x:row r="13">
      <x:c r="A13" s="130" t="str">
        <x:v>Required DSRA</x:v>
      </x:c>
      <x:c r="B13" s="131" t="n">
        <x:f>B$11*'Assumptions'!$F$9/12</x:f>
        <x:v>20</x:v>
      </x:c>
      <x:c r="C13" s="131" t="n">
        <x:f>C$11*'Assumptions'!$F$9/12</x:f>
        <x:v>21.538461538461537</x:v>
      </x:c>
      <x:c r="D13" s="131" t="n">
        <x:f>D$11*'Assumptions'!$F$9/12</x:f>
        <x:v>23.461538461538463</x:v>
      </x:c>
      <x:c r="E13" s="131" t="n">
        <x:f>E$11*'Assumptions'!$F$9/12</x:f>
        <x:v>25.384615384615387</x:v>
      </x:c>
      <x:c r="F13" s="131" t="n">
        <x:f>F$11*'Assumptions'!$F$9/12</x:f>
        <x:v>27.69230769230769</x:v>
      </x:c>
      <x:c r="G13" s="131" t="n">
        <x:f>G$11*'Assumptions'!$F$9/12</x:f>
        <x:v>30</x:v>
      </x:c>
      <x:c r="H13" s="131" t="n">
        <x:f>H$11*'Assumptions'!$F$9/12</x:f>
        <x:v>31.538461538461537</x:v>
      </x:c>
      <x:c r="I13" s="131" t="n">
        <x:f>I$11*'Assumptions'!$F$9/12</x:f>
        <x:v>17.72885555246379</x:v>
      </x:c>
      <x:c r="J13" s="131" t="n">
        <x:f>J$11*'Assumptions'!$F$9/12</x:f>
        <x:v>0</x:v>
      </x:c>
      <x:c r="K13" s="131" t="n">
        <x:f>K$11*'Assumptions'!$F$9/12</x:f>
        <x:v>0</x:v>
      </x:c>
    </x:row>
    <x:row r="14">
      <x:c r="A14" s="130" t="str">
        <x:v>Opening DSRA</x:v>
      </x:c>
      <x:c r="B14" s="132" t="n">
        <x:f>0</x:f>
        <x:v>0</x:v>
      </x:c>
      <x:c r="C14" s="132" t="n">
        <x:f>B$17</x:f>
        <x:v>20</x:v>
      </x:c>
      <x:c r="D14" s="132" t="n">
        <x:f>C$17</x:f>
        <x:v>21.538461538461537</x:v>
      </x:c>
      <x:c r="E14" s="132" t="n">
        <x:f>D$17</x:f>
        <x:v>23.461538461538463</x:v>
      </x:c>
      <x:c r="F14" s="132" t="n">
        <x:f>E$17</x:f>
        <x:v>25.384615384615387</x:v>
      </x:c>
      <x:c r="G14" s="132" t="n">
        <x:f>F$17</x:f>
        <x:v>27.69230769230769</x:v>
      </x:c>
      <x:c r="H14" s="132" t="n">
        <x:f>G$17</x:f>
        <x:v>30</x:v>
      </x:c>
      <x:c r="I14" s="132" t="n">
        <x:f>H$17</x:f>
        <x:v>31.538461538461537</x:v>
      </x:c>
      <x:c r="J14" s="132" t="n">
        <x:f>I$17</x:f>
        <x:v>17.72885555246379</x:v>
      </x:c>
      <x:c r="K14" s="132" t="n">
        <x:f>J$17</x:f>
        <x:v>0</x:v>
      </x:c>
    </x:row>
    <x:row r="15">
      <x:c r="A15" s="130" t="str">
        <x:v>DSRA funding</x:v>
      </x:c>
      <x:c r="B15" s="132" t="n">
        <x:f>MAX(0,B$13-B$14)</x:f>
        <x:v>20</x:v>
      </x:c>
      <x:c r="C15" s="132" t="n">
        <x:f>MAX(0,C$13-C$14)</x:f>
        <x:v>1.5384615384615365</x:v>
      </x:c>
      <x:c r="D15" s="132" t="n">
        <x:f>MAX(0,D$13-D$14)</x:f>
        <x:v>1.923076923076927</x:v>
      </x:c>
      <x:c r="E15" s="132" t="n">
        <x:f>MAX(0,E$13-E$14)</x:f>
        <x:v>1.9230769230769234</x:v>
      </x:c>
      <x:c r="F15" s="132" t="n">
        <x:f>MAX(0,F$13-F$14)</x:f>
        <x:v>2.307692307692303</x:v>
      </x:c>
      <x:c r="G15" s="132" t="n">
        <x:f>MAX(0,G$13-G$14)</x:f>
        <x:v>2.30769230769231</x:v>
      </x:c>
      <x:c r="H15" s="132" t="n">
        <x:f>MAX(0,H$13-H$14)</x:f>
        <x:v>1.5384615384615365</x:v>
      </x:c>
      <x:c r="I15" s="132" t="n">
        <x:f>MAX(0,I$13-I$14)</x:f>
        <x:v>0</x:v>
      </x:c>
      <x:c r="J15" s="132" t="n">
        <x:f>MAX(0,J$13-J$14)</x:f>
        <x:v>0</x:v>
      </x:c>
      <x:c r="K15" s="132" t="n">
        <x:f>MAX(0,K$13-K$14)</x:f>
        <x:v>0</x:v>
      </x:c>
    </x:row>
    <x:row r="16">
      <x:c r="A16" s="130" t="str">
        <x:v>DSRA release</x:v>
      </x:c>
      <x:c r="B16" s="132" t="n">
        <x:f>MAX(0,B$14-B$13)</x:f>
        <x:v>0</x:v>
      </x:c>
      <x:c r="C16" s="132" t="n">
        <x:f>MAX(0,C$14-C$13)</x:f>
        <x:v>0</x:v>
      </x:c>
      <x:c r="D16" s="132" t="n">
        <x:f>MAX(0,D$14-D$13)</x:f>
        <x:v>0</x:v>
      </x:c>
      <x:c r="E16" s="132" t="n">
        <x:f>MAX(0,E$14-E$13)</x:f>
        <x:v>0</x:v>
      </x:c>
      <x:c r="F16" s="132" t="n">
        <x:f>MAX(0,F$14-F$13)</x:f>
        <x:v>0</x:v>
      </x:c>
      <x:c r="G16" s="132" t="n">
        <x:f>MAX(0,G$14-G$13)</x:f>
        <x:v>0</x:v>
      </x:c>
      <x:c r="H16" s="132" t="n">
        <x:f>MAX(0,H$14-H$13)</x:f>
        <x:v>0</x:v>
      </x:c>
      <x:c r="I16" s="132" t="n">
        <x:f>MAX(0,I$14-I$13)</x:f>
        <x:v>13.809605985997745</x:v>
      </x:c>
      <x:c r="J16" s="132" t="n">
        <x:f>MAX(0,J$14-J$13)</x:f>
        <x:v>17.72885555246379</x:v>
      </x:c>
      <x:c r="K16" s="132" t="n">
        <x:f>MAX(0,K$14-K$13)</x:f>
        <x:v>0</x:v>
      </x:c>
    </x:row>
    <x:row r="17">
      <x:c r="A17" s="128" t="str">
        <x:v>Closing DSRA</x:v>
      </x:c>
      <x:c r="B17" s="136" t="n">
        <x:f>B$14+B$15-B$16</x:f>
        <x:v>20</x:v>
      </x:c>
      <x:c r="C17" s="136" t="n">
        <x:f>C$14+C$15-C$16</x:f>
        <x:v>21.538461538461537</x:v>
      </x:c>
      <x:c r="D17" s="136" t="n">
        <x:f>D$14+D$15-D$16</x:f>
        <x:v>23.461538461538463</x:v>
      </x:c>
      <x:c r="E17" s="136" t="n">
        <x:f>E$14+E$15-E$16</x:f>
        <x:v>25.384615384615387</x:v>
      </x:c>
      <x:c r="F17" s="136" t="n">
        <x:f>F$14+F$15-F$16</x:f>
        <x:v>27.69230769230769</x:v>
      </x:c>
      <x:c r="G17" s="136" t="n">
        <x:f>G$14+G$15-G$16</x:f>
        <x:v>30</x:v>
      </x:c>
      <x:c r="H17" s="136" t="n">
        <x:f>H$14+H$15-H$16</x:f>
        <x:v>31.538461538461537</x:v>
      </x:c>
      <x:c r="I17" s="136" t="n">
        <x:f>I$14+I$15-I$16</x:f>
        <x:v>17.72885555246379</x:v>
      </x:c>
      <x:c r="J17" s="136" t="n">
        <x:f>J$14+J$15-J$16</x:f>
        <x:v>0</x:v>
      </x:c>
      <x:c r="K17" s="136" t="n">
        <x:f>K$14+K$15-K$16</x:f>
        <x:v>0</x:v>
      </x:c>
    </x:row>
    <x:row r="18">
      <x:c r="A18" s="130" t="str">
        <x:v>Cash after debt and reserve</x:v>
      </x:c>
      <x:c r="B18" s="131" t="n">
        <x:f>'CFADS Inputs'!B$6-B$11-B$15+B$16</x:f>
        <x:v>-8</x:v>
      </x:c>
      <x:c r="C18" s="131" t="n">
        <x:f>'CFADS Inputs'!C$6-C$11-C$15+C$16</x:f>
        <x:v>11.38461538461539</x:v>
      </x:c>
      <x:c r="D18" s="131" t="n">
        <x:f>'CFADS Inputs'!D$6-D$11-D$15+D$16</x:f>
        <x:v>12.153846153846153</x:v>
      </x:c>
      <x:c r="E18" s="131" t="n">
        <x:f>'CFADS Inputs'!E$6-E$11-E$15+E$16</x:f>
        <x:v>13.307692307692303</x:v>
      </x:c>
      <x:c r="F18" s="131" t="n">
        <x:f>'CFADS Inputs'!F$6-F$11-F$15+F$16</x:f>
        <x:v>14.307692307692317</x:v>
      </x:c>
      <x:c r="G18" s="131" t="n">
        <x:f>'CFADS Inputs'!G$6-G$11-G$15+G$16</x:f>
        <x:v>15.69230769230769</x:v>
      </x:c>
      <x:c r="H18" s="131" t="n">
        <x:f>'CFADS Inputs'!H$6-H$11-H$15+H$16</x:f>
        <x:v>17.38461538461539</x:v>
      </x:c>
      <x:c r="I18" s="131" t="n">
        <x:f>'CFADS Inputs'!I$6-I$11-I$15+I$16</x:f>
        <x:v>64.35189488107017</x:v>
      </x:c>
      <x:c r="J18" s="131" t="n">
        <x:f>'CFADS Inputs'!J$6-J$11-J$15+J$16</x:f>
        <x:v>107.72885555246378</x:v>
      </x:c>
      <x:c r="K18" s="131" t="n">
        <x:f>'CFADS Inputs'!K$6-K$11-K$15+K$16</x:f>
        <x:v>94</x:v>
      </x:c>
    </x:row>
    <x:row r="19">
      <x:c r="A19" s="128" t="str">
        <x:v>Equity distribution</x:v>
      </x:c>
      <x:c r="B19" s="129" t="n">
        <x:f>IF(B$12&gt;='Assumptions'!$F$10,MAX(0,B$18),0)</x:f>
        <x:v>0</x:v>
      </x:c>
      <x:c r="C19" s="129" t="n">
        <x:f>IF(C$12&gt;='Assumptions'!$F$10,MAX(0,C$18),0)</x:f>
        <x:v>11.38461538461539</x:v>
      </x:c>
      <x:c r="D19" s="129" t="n">
        <x:f>IF(D$12&gt;='Assumptions'!$F$10,MAX(0,D$18),0)</x:f>
        <x:v>12.153846153846153</x:v>
      </x:c>
      <x:c r="E19" s="129" t="n">
        <x:f>IF(E$12&gt;='Assumptions'!$F$10,MAX(0,E$18),0)</x:f>
        <x:v>13.307692307692303</x:v>
      </x:c>
      <x:c r="F19" s="129" t="n">
        <x:f>IF(F$12&gt;='Assumptions'!$F$10,MAX(0,F$18),0)</x:f>
        <x:v>14.307692307692317</x:v>
      </x:c>
      <x:c r="G19" s="129" t="n">
        <x:f>IF(G$12&gt;='Assumptions'!$F$10,MAX(0,G$18),0)</x:f>
        <x:v>15.69230769230769</x:v>
      </x:c>
      <x:c r="H19" s="129" t="n">
        <x:f>IF(H$12&gt;='Assumptions'!$F$10,MAX(0,H$18),0)</x:f>
        <x:v>17.38461538461539</x:v>
      </x:c>
      <x:c r="I19" s="129" t="n">
        <x:f>IF(I$12&gt;='Assumptions'!$F$10,MAX(0,I$18),0)</x:f>
        <x:v>64.35189488107017</x:v>
      </x:c>
      <x:c r="J19" s="129" t="n">
        <x:f>IF(J$12&gt;='Assumptions'!$F$10,MAX(0,J$18),0)</x:f>
        <x:v>0</x:v>
      </x:c>
      <x:c r="K19" s="129" t="n">
        <x:f>IF(K$12&gt;='Assumptions'!$F$10,MAX(0,K$18),0)</x:f>
        <x:v>0</x:v>
      </x:c>
    </x:row>
    <x:row r="20">
      <x:c r="A20" s="130" t="str">
        <x:v>Waterfall check</x:v>
      </x:c>
      <x:c r="B20" s="131" t="n">
        <x:f>'CFADS Inputs'!B$6-B$11-B$15+B$16-B$18</x:f>
        <x:v>0</x:v>
      </x:c>
      <x:c r="C20" s="131" t="n">
        <x:f>'CFADS Inputs'!C$6-C$11-C$15+C$16-C$18</x:f>
        <x:v>0</x:v>
      </x:c>
      <x:c r="D20" s="131" t="n">
        <x:f>'CFADS Inputs'!D$6-D$11-D$15+D$16-D$18</x:f>
        <x:v>0</x:v>
      </x:c>
      <x:c r="E20" s="131" t="n">
        <x:f>'CFADS Inputs'!E$6-E$11-E$15+E$16-E$18</x:f>
        <x:v>0</x:v>
      </x:c>
      <x:c r="F20" s="131" t="n">
        <x:f>'CFADS Inputs'!F$6-F$11-F$15+F$16-F$18</x:f>
        <x:v>0</x:v>
      </x:c>
      <x:c r="G20" s="131" t="n">
        <x:f>'CFADS Inputs'!G$6-G$11-G$15+G$16-G$18</x:f>
        <x:v>0</x:v>
      </x:c>
      <x:c r="H20" s="131" t="n">
        <x:f>'CFADS Inputs'!H$6-H$11-H$15+H$16-H$18</x:f>
        <x:v>0</x:v>
      </x:c>
      <x:c r="I20" s="131" t="n">
        <x:f>'CFADS Inputs'!I$6-I$11-I$15+I$16-I$18</x:f>
        <x:v>0</x:v>
      </x:c>
      <x:c r="J20" s="131" t="n">
        <x:f>'CFADS Inputs'!J$6-J$11-J$15+J$16-J$18</x:f>
        <x:v>0</x:v>
      </x:c>
      <x:c r="K20" s="131" t="n">
        <x:f>'CFADS Inputs'!K$6-K$11-K$15+K$16-K$18</x:f>
        <x:v>0</x:v>
      </x:c>
    </x:row>
    <x:row r="21">
      <x:c r="A21" s="133" t="str">
        <x:v>PV debt capacity</x:v>
      </x:c>
      <x:c r="B21" s="137" t="n">
        <x:f>'CFADS Inputs'!B$6/'Assumptions'!$F$6/(1+'Assumptions'!$F$7)^1+'CFADS Inputs'!C$6/'Assumptions'!$F$6/(1+'Assumptions'!$F$7)^2+'CFADS Inputs'!D$6/'Assumptions'!$F$6/(1+'Assumptions'!$F$7)^3+'CFADS Inputs'!E$6/'Assumptions'!$F$6/(1+'Assumptions'!$F$7)^4+'CFADS Inputs'!F$6/'Assumptions'!$F$6/(1+'Assumptions'!$F$7)^5+'CFADS Inputs'!G$6/'Assumptions'!$F$6/(1+'Assumptions'!$F$7)^6+'CFADS Inputs'!H$6/'Assumptions'!$F$6/(1+'Assumptions'!$F$7)^7+'CFADS Inputs'!I$6/'Assumptions'!$F$6/(1+'Assumptions'!$F$7)^8+'CFADS Inputs'!J$6/'Assumptions'!$F$6/(1+'Assumptions'!$F$7)^9+'CFADS Inputs'!K$6/'Assumptions'!$F$6/(1+'Assumptions'!$F$7)^10</x:f>
        <x:v>364.7092396581639</x:v>
      </x:c>
      <x:c r="C21" s="137" t="n">
        <x:f>'CFADS Inputs'!B$6/'Assumptions'!$F$6/(1+'Assumptions'!$F$7)^1+'CFADS Inputs'!C$6/'Assumptions'!$F$6/(1+'Assumptions'!$F$7)^2+'CFADS Inputs'!D$6/'Assumptions'!$F$6/(1+'Assumptions'!$F$7)^3+'CFADS Inputs'!E$6/'Assumptions'!$F$6/(1+'Assumptions'!$F$7)^4+'CFADS Inputs'!F$6/'Assumptions'!$F$6/(1+'Assumptions'!$F$7)^5+'CFADS Inputs'!G$6/'Assumptions'!$F$6/(1+'Assumptions'!$F$7)^6+'CFADS Inputs'!H$6/'Assumptions'!$F$6/(1+'Assumptions'!$F$7)^7+'CFADS Inputs'!I$6/'Assumptions'!$F$6/(1+'Assumptions'!$F$7)^8+'CFADS Inputs'!J$6/'Assumptions'!$F$6/(1+'Assumptions'!$F$7)^9+'CFADS Inputs'!K$6/'Assumptions'!$F$6/(1+'Assumptions'!$F$7)^10</x:f>
        <x:v>364.7092396581639</x:v>
      </x:c>
      <x:c r="D21" s="137" t="n">
        <x:f>'CFADS Inputs'!B$6/'Assumptions'!$F$6/(1+'Assumptions'!$F$7)^1+'CFADS Inputs'!C$6/'Assumptions'!$F$6/(1+'Assumptions'!$F$7)^2+'CFADS Inputs'!D$6/'Assumptions'!$F$6/(1+'Assumptions'!$F$7)^3+'CFADS Inputs'!E$6/'Assumptions'!$F$6/(1+'Assumptions'!$F$7)^4+'CFADS Inputs'!F$6/'Assumptions'!$F$6/(1+'Assumptions'!$F$7)^5+'CFADS Inputs'!G$6/'Assumptions'!$F$6/(1+'Assumptions'!$F$7)^6+'CFADS Inputs'!H$6/'Assumptions'!$F$6/(1+'Assumptions'!$F$7)^7+'CFADS Inputs'!I$6/'Assumptions'!$F$6/(1+'Assumptions'!$F$7)^8+'CFADS Inputs'!J$6/'Assumptions'!$F$6/(1+'Assumptions'!$F$7)^9+'CFADS Inputs'!K$6/'Assumptions'!$F$6/(1+'Assumptions'!$F$7)^10</x:f>
        <x:v>364.7092396581639</x:v>
      </x:c>
      <x:c r="E21" s="137" t="n">
        <x:f>'CFADS Inputs'!B$6/'Assumptions'!$F$6/(1+'Assumptions'!$F$7)^1+'CFADS Inputs'!C$6/'Assumptions'!$F$6/(1+'Assumptions'!$F$7)^2+'CFADS Inputs'!D$6/'Assumptions'!$F$6/(1+'Assumptions'!$F$7)^3+'CFADS Inputs'!E$6/'Assumptions'!$F$6/(1+'Assumptions'!$F$7)^4+'CFADS Inputs'!F$6/'Assumptions'!$F$6/(1+'Assumptions'!$F$7)^5+'CFADS Inputs'!G$6/'Assumptions'!$F$6/(1+'Assumptions'!$F$7)^6+'CFADS Inputs'!H$6/'Assumptions'!$F$6/(1+'Assumptions'!$F$7)^7+'CFADS Inputs'!I$6/'Assumptions'!$F$6/(1+'Assumptions'!$F$7)^8+'CFADS Inputs'!J$6/'Assumptions'!$F$6/(1+'Assumptions'!$F$7)^9+'CFADS Inputs'!K$6/'Assumptions'!$F$6/(1+'Assumptions'!$F$7)^10</x:f>
        <x:v>364.7092396581639</x:v>
      </x:c>
      <x:c r="F21" s="137" t="n">
        <x:f>'CFADS Inputs'!B$6/'Assumptions'!$F$6/(1+'Assumptions'!$F$7)^1+'CFADS Inputs'!C$6/'Assumptions'!$F$6/(1+'Assumptions'!$F$7)^2+'CFADS Inputs'!D$6/'Assumptions'!$F$6/(1+'Assumptions'!$F$7)^3+'CFADS Inputs'!E$6/'Assumptions'!$F$6/(1+'Assumptions'!$F$7)^4+'CFADS Inputs'!F$6/'Assumptions'!$F$6/(1+'Assumptions'!$F$7)^5+'CFADS Inputs'!G$6/'Assumptions'!$F$6/(1+'Assumptions'!$F$7)^6+'CFADS Inputs'!H$6/'Assumptions'!$F$6/(1+'Assumptions'!$F$7)^7+'CFADS Inputs'!I$6/'Assumptions'!$F$6/(1+'Assumptions'!$F$7)^8+'CFADS Inputs'!J$6/'Assumptions'!$F$6/(1+'Assumptions'!$F$7)^9+'CFADS Inputs'!K$6/'Assumptions'!$F$6/(1+'Assumptions'!$F$7)^10</x:f>
        <x:v>364.7092396581639</x:v>
      </x:c>
      <x:c r="G21" s="137" t="n">
        <x:f>'CFADS Inputs'!B$6/'Assumptions'!$F$6/(1+'Assumptions'!$F$7)^1+'CFADS Inputs'!C$6/'Assumptions'!$F$6/(1+'Assumptions'!$F$7)^2+'CFADS Inputs'!D$6/'Assumptions'!$F$6/(1+'Assumptions'!$F$7)^3+'CFADS Inputs'!E$6/'Assumptions'!$F$6/(1+'Assumptions'!$F$7)^4+'CFADS Inputs'!F$6/'Assumptions'!$F$6/(1+'Assumptions'!$F$7)^5+'CFADS Inputs'!G$6/'Assumptions'!$F$6/(1+'Assumptions'!$F$7)^6+'CFADS Inputs'!H$6/'Assumptions'!$F$6/(1+'Assumptions'!$F$7)^7+'CFADS Inputs'!I$6/'Assumptions'!$F$6/(1+'Assumptions'!$F$7)^8+'CFADS Inputs'!J$6/'Assumptions'!$F$6/(1+'Assumptions'!$F$7)^9+'CFADS Inputs'!K$6/'Assumptions'!$F$6/(1+'Assumptions'!$F$7)^10</x:f>
        <x:v>364.7092396581639</x:v>
      </x:c>
      <x:c r="H21" s="137" t="n">
        <x:f>'CFADS Inputs'!B$6/'Assumptions'!$F$6/(1+'Assumptions'!$F$7)^1+'CFADS Inputs'!C$6/'Assumptions'!$F$6/(1+'Assumptions'!$F$7)^2+'CFADS Inputs'!D$6/'Assumptions'!$F$6/(1+'Assumptions'!$F$7)^3+'CFADS Inputs'!E$6/'Assumptions'!$F$6/(1+'Assumptions'!$F$7)^4+'CFADS Inputs'!F$6/'Assumptions'!$F$6/(1+'Assumptions'!$F$7)^5+'CFADS Inputs'!G$6/'Assumptions'!$F$6/(1+'Assumptions'!$F$7)^6+'CFADS Inputs'!H$6/'Assumptions'!$F$6/(1+'Assumptions'!$F$7)^7+'CFADS Inputs'!I$6/'Assumptions'!$F$6/(1+'Assumptions'!$F$7)^8+'CFADS Inputs'!J$6/'Assumptions'!$F$6/(1+'Assumptions'!$F$7)^9+'CFADS Inputs'!K$6/'Assumptions'!$F$6/(1+'Assumptions'!$F$7)^10</x:f>
        <x:v>364.7092396581639</x:v>
      </x:c>
      <x:c r="I21" s="137" t="n">
        <x:f>'CFADS Inputs'!B$6/'Assumptions'!$F$6/(1+'Assumptions'!$F$7)^1+'CFADS Inputs'!C$6/'Assumptions'!$F$6/(1+'Assumptions'!$F$7)^2+'CFADS Inputs'!D$6/'Assumptions'!$F$6/(1+'Assumptions'!$F$7)^3+'CFADS Inputs'!E$6/'Assumptions'!$F$6/(1+'Assumptions'!$F$7)^4+'CFADS Inputs'!F$6/'Assumptions'!$F$6/(1+'Assumptions'!$F$7)^5+'CFADS Inputs'!G$6/'Assumptions'!$F$6/(1+'Assumptions'!$F$7)^6+'CFADS Inputs'!H$6/'Assumptions'!$F$6/(1+'Assumptions'!$F$7)^7+'CFADS Inputs'!I$6/'Assumptions'!$F$6/(1+'Assumptions'!$F$7)^8+'CFADS Inputs'!J$6/'Assumptions'!$F$6/(1+'Assumptions'!$F$7)^9+'CFADS Inputs'!K$6/'Assumptions'!$F$6/(1+'Assumptions'!$F$7)^10</x:f>
        <x:v>364.7092396581639</x:v>
      </x:c>
      <x:c r="J21" s="137" t="n">
        <x:f>'CFADS Inputs'!B$6/'Assumptions'!$F$6/(1+'Assumptions'!$F$7)^1+'CFADS Inputs'!C$6/'Assumptions'!$F$6/(1+'Assumptions'!$F$7)^2+'CFADS Inputs'!D$6/'Assumptions'!$F$6/(1+'Assumptions'!$F$7)^3+'CFADS Inputs'!E$6/'Assumptions'!$F$6/(1+'Assumptions'!$F$7)^4+'CFADS Inputs'!F$6/'Assumptions'!$F$6/(1+'Assumptions'!$F$7)^5+'CFADS Inputs'!G$6/'Assumptions'!$F$6/(1+'Assumptions'!$F$7)^6+'CFADS Inputs'!H$6/'Assumptions'!$F$6/(1+'Assumptions'!$F$7)^7+'CFADS Inputs'!I$6/'Assumptions'!$F$6/(1+'Assumptions'!$F$7)^8+'CFADS Inputs'!J$6/'Assumptions'!$F$6/(1+'Assumptions'!$F$7)^9+'CFADS Inputs'!K$6/'Assumptions'!$F$6/(1+'Assumptions'!$F$7)^10</x:f>
        <x:v>364.7092396581639</x:v>
      </x:c>
      <x:c r="K21" s="137" t="n">
        <x:f>'CFADS Inputs'!B$6/'Assumptions'!$F$6/(1+'Assumptions'!$F$7)^1+'CFADS Inputs'!C$6/'Assumptions'!$F$6/(1+'Assumptions'!$F$7)^2+'CFADS Inputs'!D$6/'Assumptions'!$F$6/(1+'Assumptions'!$F$7)^3+'CFADS Inputs'!E$6/'Assumptions'!$F$6/(1+'Assumptions'!$F$7)^4+'CFADS Inputs'!F$6/'Assumptions'!$F$6/(1+'Assumptions'!$F$7)^5+'CFADS Inputs'!G$6/'Assumptions'!$F$6/(1+'Assumptions'!$F$7)^6+'CFADS Inputs'!H$6/'Assumptions'!$F$6/(1+'Assumptions'!$F$7)^7+'CFADS Inputs'!I$6/'Assumptions'!$F$6/(1+'Assumptions'!$F$7)^8+'CFADS Inputs'!J$6/'Assumptions'!$F$6/(1+'Assumptions'!$F$7)^9+'CFADS Inputs'!K$6/'Assumptions'!$F$6/(1+'Assumptions'!$F$7)^10</x:f>
        <x:v>364.7092396581639</x:v>
      </x:c>
    </x:row>
    <x:row r="22">
      <x:c r="A22" s="138" t="str">
        <x:v>Debt roll-forward check</x:v>
      </x:c>
      <x:c r="B22" s="139" t="n">
        <x:f>B$10-B$6+B$9</x:f>
        <x:v>-2.4868995751603507e-14</x:v>
      </x:c>
      <x:c r="C22" s="139" t="n">
        <x:f>C$10-C$6+C$9</x:f>
        <x:v>0</x:v>
      </x:c>
      <x:c r="D22" s="139" t="n">
        <x:f>D$10-D$6+D$9</x:f>
        <x:v>-7.105427357601002e-15</x:v>
      </x:c>
      <x:c r="E22" s="139" t="n">
        <x:f>E$10-E$6+E$9</x:f>
        <x:v>0</x:v>
      </x:c>
      <x:c r="F22" s="139" t="n">
        <x:f>F$10-F$6+F$9</x:f>
        <x:v>1.4210854715202004e-14</x:v>
      </x:c>
      <x:c r="G22" s="139" t="n">
        <x:f>G$10-G$6+G$9</x:f>
        <x:v>0</x:v>
      </x:c>
      <x:c r="H22" s="139" t="n">
        <x:f>H$10-H$6+H$9</x:f>
        <x:v>0</x:v>
      </x:c>
      <x:c r="I22" s="139" t="n">
        <x:f>I$10-I$6+I$9</x:f>
        <x:v>0</x:v>
      </x:c>
      <x:c r="J22" s="139" t="n">
        <x:f>J$10-J$6+J$9</x:f>
        <x:v>0</x:v>
      </x:c>
      <x:c r="K22" s="139" t="n">
        <x:f>K$10-K$6+K$9</x:f>
        <x:v>0</x:v>
      </x:c>
    </x:row>
    <x:row r="24">
      <x:c r="A24" s="42" t="str">
        <x:v>Review row definitions, sign convention, period basis, scenario mechanics, and every breakpoint before relying on the output.</x:v>
      </x:c>
      <x:c r="B24" s="43" t="str">
        <x:v>Review row definitions, sign convention, period basis, scenario mechanics, and every breakpoint before relying on the output.</x:v>
      </x:c>
      <x:c r="C24" s="43" t="str">
        <x:v>Review row definitions, sign convention, period basis, scenario mechanics, and every breakpoint before relying on the output.</x:v>
      </x:c>
      <x:c r="D24" s="43" t="str">
        <x:v>Review row definitions, sign convention, period basis, scenario mechanics, and every breakpoint before relying on the output.</x:v>
      </x:c>
      <x:c r="E24" s="43" t="str">
        <x:v>Review row definitions, sign convention, period basis, scenario mechanics, and every breakpoint before relying on the output.</x:v>
      </x:c>
      <x:c r="F24" s="43" t="str">
        <x:v>Review row definitions, sign convention, period basis, scenario mechanics, and every breakpoint before relying on the output.</x:v>
      </x:c>
      <x:c r="G24" s="43" t="str">
        <x:v>Review row definitions, sign convention, period basis, scenario mechanics, and every breakpoint before relying on the output.</x:v>
      </x:c>
      <x:c r="H24" s="43" t="str">
        <x:v>Review row definitions, sign convention, period basis, scenario mechanics, and every breakpoint before relying on the output.</x:v>
      </x:c>
      <x:c r="I24" s="43" t="str">
        <x:v>Review row definitions, sign convention, period basis, scenario mechanics, and every breakpoint before relying on the output.</x:v>
      </x:c>
      <x:c r="J24" s="43" t="str">
        <x:v>Review row definitions, sign convention, period basis, scenario mechanics, and every breakpoint before relying on the output.</x:v>
      </x:c>
      <x:c r="K24" s="44" t="str">
        <x:v>Review row definitions, sign convention, period basis, scenario mechanics, and every breakpoint before relying on the output.</x:v>
      </x:c>
    </x:row>
    <x:row r="25">
      <x:c r="A25" s="45" t="str">
        <x:v>Review row definitions, sign convention, period basis, scenario mechanics, and every breakpoint before relying on the output.</x:v>
      </x:c>
      <x:c r="B25" s="46" t="str">
        <x:v>Review row definitions, sign convention, period basis, scenario mechanics, and every breakpoint before relying on the output.</x:v>
      </x:c>
      <x:c r="C25" s="46" t="str">
        <x:v>Review row definitions, sign convention, period basis, scenario mechanics, and every breakpoint before relying on the output.</x:v>
      </x:c>
      <x:c r="D25" s="46" t="str">
        <x:v>Review row definitions, sign convention, period basis, scenario mechanics, and every breakpoint before relying on the output.</x:v>
      </x:c>
      <x:c r="E25" s="46" t="str">
        <x:v>Review row definitions, sign convention, period basis, scenario mechanics, and every breakpoint before relying on the output.</x:v>
      </x:c>
      <x:c r="F25" s="46" t="str">
        <x:v>Review row definitions, sign convention, period basis, scenario mechanics, and every breakpoint before relying on the output.</x:v>
      </x:c>
      <x:c r="G25" s="46" t="str">
        <x:v>Review row definitions, sign convention, period basis, scenario mechanics, and every breakpoint before relying on the output.</x:v>
      </x:c>
      <x:c r="H25" s="46" t="str">
        <x:v>Review row definitions, sign convention, period basis, scenario mechanics, and every breakpoint before relying on the output.</x:v>
      </x:c>
      <x:c r="I25" s="46" t="str">
        <x:v>Review row definitions, sign convention, period basis, scenario mechanics, and every breakpoint before relying on the output.</x:v>
      </x:c>
      <x:c r="J25" s="46" t="str">
        <x:v>Review row definitions, sign convention, period basis, scenario mechanics, and every breakpoint before relying on the output.</x:v>
      </x:c>
      <x:c r="K25" s="47" t="str">
        <x:v>Review row definitions, sign convention, period basis, scenario mechanics, and every breakpoint before relying on the output.</x:v>
      </x:c>
    </x:row>
    <x:row r="26">
      <x:c r="A26" s="48" t="str">
        <x:v>Review row definitions, sign convention, period basis, scenario mechanics, and every breakpoint before relying on the output.</x:v>
      </x:c>
      <x:c r="B26" s="49" t="str">
        <x:v>Review row definitions, sign convention, period basis, scenario mechanics, and every breakpoint before relying on the output.</x:v>
      </x:c>
      <x:c r="C26" s="49" t="str">
        <x:v>Review row definitions, sign convention, period basis, scenario mechanics, and every breakpoint before relying on the output.</x:v>
      </x:c>
      <x:c r="D26" s="49" t="str">
        <x:v>Review row definitions, sign convention, period basis, scenario mechanics, and every breakpoint before relying on the output.</x:v>
      </x:c>
      <x:c r="E26" s="49" t="str">
        <x:v>Review row definitions, sign convention, period basis, scenario mechanics, and every breakpoint before relying on the output.</x:v>
      </x:c>
      <x:c r="F26" s="49" t="str">
        <x:v>Review row definitions, sign convention, period basis, scenario mechanics, and every breakpoint before relying on the output.</x:v>
      </x:c>
      <x:c r="G26" s="49" t="str">
        <x:v>Review row definitions, sign convention, period basis, scenario mechanics, and every breakpoint before relying on the output.</x:v>
      </x:c>
      <x:c r="H26" s="49" t="str">
        <x:v>Review row definitions, sign convention, period basis, scenario mechanics, and every breakpoint before relying on the output.</x:v>
      </x:c>
      <x:c r="I26" s="49" t="str">
        <x:v>Review row definitions, sign convention, period basis, scenario mechanics, and every breakpoint before relying on the output.</x:v>
      </x:c>
      <x:c r="J26" s="49" t="str">
        <x:v>Review row definitions, sign convention, period basis, scenario mechanics, and every breakpoint before relying on the output.</x:v>
      </x:c>
      <x:c r="K26" s="50" t="str">
        <x:v>Review row definitions, sign convention, period basis, scenario mechanics, and every breakpoint before relying on the output.</x:v>
      </x:c>
    </x:row>
    <x:row r="28">
      <x:c r="A28" s="53" t="str">
        <x:v>TDAT Model Library  |  Trust builds the brand. Insight builds the decision.</x:v>
      </x:c>
      <x:c r="B28" s="53" t="str">
        <x:v>TDAT Model Library  |  Trust builds the brand. Insight builds the decision.</x:v>
      </x:c>
      <x:c r="C28" s="53" t="str">
        <x:v>TDAT Model Library  |  Trust builds the brand. Insight builds the decision.</x:v>
      </x:c>
      <x:c r="D28" s="53" t="str">
        <x:v>TDAT Model Library  |  Trust builds the brand. Insight builds the decision.</x:v>
      </x:c>
      <x:c r="E28" s="53" t="str">
        <x:v>TDAT Model Library  |  Trust builds the brand. Insight builds the decision.</x:v>
      </x:c>
      <x:c r="F28" s="53" t="str">
        <x:v>TDAT Model Library  |  Trust builds the brand. Insight builds the decision.</x:v>
      </x:c>
      <x:c r="G28" s="53" t="str">
        <x:v>TDAT Model Library  |  Trust builds the brand. Insight builds the decision.</x:v>
      </x:c>
      <x:c r="H28" s="53" t="str">
        <x:v>TDAT Model Library  |  Trust builds the brand. Insight builds the decision.</x:v>
      </x:c>
      <x:c r="I28" s="53" t="str">
        <x:v>TDAT Model Library  |  Trust builds the brand. Insight builds the decision.</x:v>
      </x:c>
      <x:c r="J28" s="53" t="str">
        <x:v>TDAT Model Library  |  Trust builds the brand. Insight builds the decision.</x:v>
      </x:c>
      <x:c r="K28" s="53" t="str">
        <x:v>TDAT Model Library  |  Trust builds the brand. Insight builds the decision.</x:v>
      </x:c>
    </x:row>
  </x:sheetData>
  <x:mergeCells>
    <x:mergeCell ref="A1:K1"/>
    <x:mergeCell ref="A2:K2"/>
    <x:mergeCell ref="A24:K26"/>
    <x:mergeCell ref="A28:K28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8" hidden="0" customWidth="1"/>
    <x:col min="9" max="9" width="18" hidden="0" customWidth="1"/>
    <x:col min="10" max="10" width="18" hidden="0" customWidth="1"/>
  </x:cols>
  <x:sheetData>
    <x:row r="1" ht="34" customHeight="1">
      <x:c r="A1" s="3" t="str">
        <x:v>SCENARIOS &amp; SENSITIVITY</x:v>
      </x:c>
      <x:c r="B1" s="3" t="str">
        <x:v>SCENARIOS &amp; SENSITIVITY</x:v>
      </x:c>
      <x:c r="C1" s="3" t="str">
        <x:v>SCENARIOS &amp; SENSITIVITY</x:v>
      </x:c>
      <x:c r="D1" s="3" t="str">
        <x:v>SCENARIOS &amp; SENSITIVITY</x:v>
      </x:c>
      <x:c r="E1" s="3" t="str">
        <x:v>SCENARIOS &amp; SENSITIVITY</x:v>
      </x:c>
      <x:c r="F1" s="3" t="str">
        <x:v>SCENARIOS &amp; SENSITIVITY</x:v>
      </x:c>
      <x:c r="G1" s="3" t="str">
        <x:v>SCENARIOS &amp; SENSITIVITY</x:v>
      </x:c>
      <x:c r="H1" s="3" t="str">
        <x:v>SCENARIOS &amp; SENSITIVITY</x:v>
      </x:c>
      <x:c r="I1" s="3" t="str">
        <x:v>SCENARIOS &amp; SENSITIVITY</x:v>
      </x:c>
      <x:c r="J1" s="3" t="str">
        <x:v>SCENARIOS &amp; SENSITIVITY</x:v>
      </x:c>
    </x:row>
    <x:row r="2" ht="24" customHeight="1">
      <x:c r="A2" s="6" t="str">
        <x:v>Debt Sculpting &amp; Waterfall  |  Formula-backed decision range</x:v>
      </x:c>
      <x:c r="B2" s="6" t="str">
        <x:v>Debt Sculpting &amp; Waterfall  |  Formula-backed decision range</x:v>
      </x:c>
      <x:c r="C2" s="6" t="str">
        <x:v>Debt Sculpting &amp; Waterfall  |  Formula-backed decision range</x:v>
      </x:c>
      <x:c r="D2" s="6" t="str">
        <x:v>Debt Sculpting &amp; Waterfall  |  Formula-backed decision range</x:v>
      </x:c>
      <x:c r="E2" s="6" t="str">
        <x:v>Debt Sculpting &amp; Waterfall  |  Formula-backed decision range</x:v>
      </x:c>
      <x:c r="F2" s="6" t="str">
        <x:v>Debt Sculpting &amp; Waterfall  |  Formula-backed decision range</x:v>
      </x:c>
      <x:c r="G2" s="6" t="str">
        <x:v>Debt Sculpting &amp; Waterfall  |  Formula-backed decision range</x:v>
      </x:c>
      <x:c r="H2" s="6" t="str">
        <x:v>Debt Sculpting &amp; Waterfall  |  Formula-backed decision range</x:v>
      </x:c>
      <x:c r="I2" s="6" t="str">
        <x:v>Debt Sculpting &amp; Waterfall  |  Formula-backed decision range</x:v>
      </x:c>
      <x:c r="J2" s="6" t="str">
        <x:v>Debt Sculpting &amp; Waterfall  |  Formula-backed decision range</x:v>
      </x:c>
    </x:row>
    <x:row r="3" ht="4" customHeight="1">
      <x:c r="A3" s="7"/>
      <x:c r="B3" s="7"/>
      <x:c r="C3" s="7"/>
      <x:c r="D3" s="7"/>
      <x:c r="E3" s="7"/>
      <x:c r="F3" s="7"/>
      <x:c r="G3" s="7"/>
      <x:c r="H3" s="7"/>
      <x:c r="I3" s="7"/>
      <x:c r="J3" s="7"/>
    </x:row>
    <x:row r="5">
      <x:c r="A5" s="140" t="str">
        <x:v>PV debt capacity — Target DSCR by Interest rate</x:v>
      </x:c>
      <x:c r="B5" s="140" t="str">
        <x:v>PV debt capacity — Target DSCR by Interest rate</x:v>
      </x:c>
      <x:c r="C5" s="140" t="str">
        <x:v>PV debt capacity — Target DSCR by Interest rate</x:v>
      </x:c>
      <x:c r="D5" s="140" t="str">
        <x:v>PV debt capacity — Target DSCR by Interest rate</x:v>
      </x:c>
      <x:c r="E5" s="140" t="str">
        <x:v>PV debt capacity — Target DSCR by Interest rate</x:v>
      </x:c>
      <x:c r="F5" s="140" t="str">
        <x:v>PV debt capacity — Target DSCR by Interest rate</x:v>
      </x:c>
      <x:c r="G5" s="140" t="str">
        <x:v>PV debt capacity — Target DSCR by Interest rate</x:v>
      </x:c>
      <x:c r="H5" s="140" t="str">
        <x:v>PV debt capacity — Target DSCR by Interest rate</x:v>
      </x:c>
      <x:c r="I5" s="140" t="str">
        <x:v>PV debt capacity — Target DSCR by Interest rate</x:v>
      </x:c>
      <x:c r="J5" s="140" t="str">
        <x:v>PV debt capacity — Target DSCR by Interest rate</x:v>
      </x:c>
    </x:row>
    <x:row r="6">
      <x:c r="A6" t="str">
        <x:v>Target DSCR</x:v>
      </x:c>
      <x:c r="B6" t="str">
        <x:v>Interest rate</x:v>
      </x:c>
    </x:row>
    <x:row r="7">
      <x:c r="B7" s="76" t="n">
        <x:v>0.06</x:v>
      </x:c>
      <x:c r="C7" s="76" t="n">
        <x:v>0.07</x:v>
      </x:c>
      <x:c r="D7" s="76" t="n">
        <x:v>0.08</x:v>
      </x:c>
      <x:c r="E7" s="76" t="n">
        <x:v>0.09</x:v>
      </x:c>
      <x:c r="F7" s="76" t="n">
        <x:v>0.1</x:v>
      </x:c>
    </x:row>
    <x:row r="8">
      <x:c r="A8" s="71" t="n">
        <x:v>1.15</x:v>
      </x:c>
      <x:c r="B8" s="142" t="n">
        <x:f>'CFADS Inputs'!B$6/$A8/(1+B$7)^1+'CFADS Inputs'!C$6/$A8/(1+B$7)^2+'CFADS Inputs'!D$6/$A8/(1+B$7)^3+'CFADS Inputs'!E$6/$A8/(1+B$7)^4+'CFADS Inputs'!F$6/$A8/(1+B$7)^5+'CFADS Inputs'!G$6/$A8/(1+B$7)^6+'CFADS Inputs'!H$6/$A8/(1+B$7)^7+'CFADS Inputs'!I$6/$A8/(1+B$7)^8+'CFADS Inputs'!J$6/$A8/(1+B$7)^9+'CFADS Inputs'!K$6/$A8/(1+B$7)^10</x:f>
        <x:v>456.8982530903173</x:v>
      </x:c>
      <x:c r="C8" s="142" t="n">
        <x:f>'CFADS Inputs'!B$6/$A8/(1+C$7)^1+'CFADS Inputs'!C$6/$A8/(1+C$7)^2+'CFADS Inputs'!D$6/$A8/(1+C$7)^3+'CFADS Inputs'!E$6/$A8/(1+C$7)^4+'CFADS Inputs'!F$6/$A8/(1+C$7)^5+'CFADS Inputs'!G$6/$A8/(1+C$7)^6+'CFADS Inputs'!H$6/$A8/(1+C$7)^7+'CFADS Inputs'!I$6/$A8/(1+C$7)^8+'CFADS Inputs'!J$6/$A8/(1+C$7)^9+'CFADS Inputs'!K$6/$A8/(1+C$7)^10</x:f>
        <x:v>433.75894313980746</x:v>
      </x:c>
      <x:c r="D8" s="142" t="n">
        <x:f>'CFADS Inputs'!B$6/$A8/(1+D$7)^1+'CFADS Inputs'!C$6/$A8/(1+D$7)^2+'CFADS Inputs'!D$6/$A8/(1+D$7)^3+'CFADS Inputs'!E$6/$A8/(1+D$7)^4+'CFADS Inputs'!F$6/$A8/(1+D$7)^5+'CFADS Inputs'!G$6/$A8/(1+D$7)^6+'CFADS Inputs'!H$6/$A8/(1+D$7)^7+'CFADS Inputs'!I$6/$A8/(1+D$7)^8+'CFADS Inputs'!J$6/$A8/(1+D$7)^9+'CFADS Inputs'!K$6/$A8/(1+D$7)^10</x:f>
        <x:v>412.28001004835926</x:v>
      </x:c>
      <x:c r="E8" s="142" t="n">
        <x:f>'CFADS Inputs'!B$6/$A8/(1+E$7)^1+'CFADS Inputs'!C$6/$A8/(1+E$7)^2+'CFADS Inputs'!D$6/$A8/(1+E$7)^3+'CFADS Inputs'!E$6/$A8/(1+E$7)^4+'CFADS Inputs'!F$6/$A8/(1+E$7)^5+'CFADS Inputs'!G$6/$A8/(1+E$7)^6+'CFADS Inputs'!H$6/$A8/(1+E$7)^7+'CFADS Inputs'!I$6/$A8/(1+E$7)^8+'CFADS Inputs'!J$6/$A8/(1+E$7)^9+'CFADS Inputs'!K$6/$A8/(1+E$7)^10</x:f>
        <x:v>392.31834199916125</x:v>
      </x:c>
      <x:c r="F8" s="142" t="n">
        <x:f>'CFADS Inputs'!B$6/$A8/(1+F$7)^1+'CFADS Inputs'!C$6/$A8/(1+F$7)^2+'CFADS Inputs'!D$6/$A8/(1+F$7)^3+'CFADS Inputs'!E$6/$A8/(1+F$7)^4+'CFADS Inputs'!F$6/$A8/(1+F$7)^5+'CFADS Inputs'!G$6/$A8/(1+F$7)^6+'CFADS Inputs'!H$6/$A8/(1+F$7)^7+'CFADS Inputs'!I$6/$A8/(1+F$7)^8+'CFADS Inputs'!J$6/$A8/(1+F$7)^9+'CFADS Inputs'!K$6/$A8/(1+F$7)^10</x:f>
        <x:v>373.7448408475337</x:v>
      </x:c>
    </x:row>
    <x:row r="9">
      <x:c r="A9" s="71" t="n">
        <x:v>1.2</x:v>
      </x:c>
      <x:c r="B9" s="142" t="n">
        <x:f>'CFADS Inputs'!B$6/$A9/(1+B$7)^1+'CFADS Inputs'!C$6/$A9/(1+B$7)^2+'CFADS Inputs'!D$6/$A9/(1+B$7)^3+'CFADS Inputs'!E$6/$A9/(1+B$7)^4+'CFADS Inputs'!F$6/$A9/(1+B$7)^5+'CFADS Inputs'!G$6/$A9/(1+B$7)^6+'CFADS Inputs'!H$6/$A9/(1+B$7)^7+'CFADS Inputs'!I$6/$A9/(1+B$7)^8+'CFADS Inputs'!J$6/$A9/(1+B$7)^9+'CFADS Inputs'!K$6/$A9/(1+B$7)^10</x:f>
        <x:v>437.8608258782208</x:v>
      </x:c>
      <x:c r="C9" s="142" t="n">
        <x:f>'CFADS Inputs'!B$6/$A9/(1+C$7)^1+'CFADS Inputs'!C$6/$A9/(1+C$7)^2+'CFADS Inputs'!D$6/$A9/(1+C$7)^3+'CFADS Inputs'!E$6/$A9/(1+C$7)^4+'CFADS Inputs'!F$6/$A9/(1+C$7)^5+'CFADS Inputs'!G$6/$A9/(1+C$7)^6+'CFADS Inputs'!H$6/$A9/(1+C$7)^7+'CFADS Inputs'!I$6/$A9/(1+C$7)^8+'CFADS Inputs'!J$6/$A9/(1+C$7)^9+'CFADS Inputs'!K$6/$A9/(1+C$7)^10</x:f>
        <x:v>415.6856538423155</x:v>
      </x:c>
      <x:c r="D9" s="142" t="n">
        <x:f>'CFADS Inputs'!B$6/$A9/(1+D$7)^1+'CFADS Inputs'!C$6/$A9/(1+D$7)^2+'CFADS Inputs'!D$6/$A9/(1+D$7)^3+'CFADS Inputs'!E$6/$A9/(1+D$7)^4+'CFADS Inputs'!F$6/$A9/(1+D$7)^5+'CFADS Inputs'!G$6/$A9/(1+D$7)^6+'CFADS Inputs'!H$6/$A9/(1+D$7)^7+'CFADS Inputs'!I$6/$A9/(1+D$7)^8+'CFADS Inputs'!J$6/$A9/(1+D$7)^9+'CFADS Inputs'!K$6/$A9/(1+D$7)^10</x:f>
        <x:v>395.10167629634424</x:v>
      </x:c>
      <x:c r="E9" s="142" t="n">
        <x:f>'CFADS Inputs'!B$6/$A9/(1+E$7)^1+'CFADS Inputs'!C$6/$A9/(1+E$7)^2+'CFADS Inputs'!D$6/$A9/(1+E$7)^3+'CFADS Inputs'!E$6/$A9/(1+E$7)^4+'CFADS Inputs'!F$6/$A9/(1+E$7)^5+'CFADS Inputs'!G$6/$A9/(1+E$7)^6+'CFADS Inputs'!H$6/$A9/(1+E$7)^7+'CFADS Inputs'!I$6/$A9/(1+E$7)^8+'CFADS Inputs'!J$6/$A9/(1+E$7)^9+'CFADS Inputs'!K$6/$A9/(1+E$7)^10</x:f>
        <x:v>375.9717444158629</x:v>
      </x:c>
      <x:c r="F9" s="142" t="n">
        <x:f>'CFADS Inputs'!B$6/$A9/(1+F$7)^1+'CFADS Inputs'!C$6/$A9/(1+F$7)^2+'CFADS Inputs'!D$6/$A9/(1+F$7)^3+'CFADS Inputs'!E$6/$A9/(1+F$7)^4+'CFADS Inputs'!F$6/$A9/(1+F$7)^5+'CFADS Inputs'!G$6/$A9/(1+F$7)^6+'CFADS Inputs'!H$6/$A9/(1+F$7)^7+'CFADS Inputs'!I$6/$A9/(1+F$7)^8+'CFADS Inputs'!J$6/$A9/(1+F$7)^9+'CFADS Inputs'!K$6/$A9/(1+F$7)^10</x:f>
        <x:v>358.172139145553</x:v>
      </x:c>
    </x:row>
    <x:row r="10">
      <x:c r="A10" s="71" t="n">
        <x:v>1.3</x:v>
      </x:c>
      <x:c r="B10" s="142" t="n">
        <x:f>'CFADS Inputs'!B$6/$A10/(1+B$7)^1+'CFADS Inputs'!C$6/$A10/(1+B$7)^2+'CFADS Inputs'!D$6/$A10/(1+B$7)^3+'CFADS Inputs'!E$6/$A10/(1+B$7)^4+'CFADS Inputs'!F$6/$A10/(1+B$7)^5+'CFADS Inputs'!G$6/$A10/(1+B$7)^6+'CFADS Inputs'!H$6/$A10/(1+B$7)^7+'CFADS Inputs'!I$6/$A10/(1+B$7)^8+'CFADS Inputs'!J$6/$A10/(1+B$7)^9+'CFADS Inputs'!K$6/$A10/(1+B$7)^10</x:f>
        <x:v>404.17922388758836</x:v>
      </x:c>
      <x:c r="C10" s="142" t="n">
        <x:f>'CFADS Inputs'!B$6/$A10/(1+C$7)^1+'CFADS Inputs'!C$6/$A10/(1+C$7)^2+'CFADS Inputs'!D$6/$A10/(1+C$7)^3+'CFADS Inputs'!E$6/$A10/(1+C$7)^4+'CFADS Inputs'!F$6/$A10/(1+C$7)^5+'CFADS Inputs'!G$6/$A10/(1+C$7)^6+'CFADS Inputs'!H$6/$A10/(1+C$7)^7+'CFADS Inputs'!I$6/$A10/(1+C$7)^8+'CFADS Inputs'!J$6/$A10/(1+C$7)^9+'CFADS Inputs'!K$6/$A10/(1+C$7)^10</x:f>
        <x:v>383.7098343159834</x:v>
      </x:c>
      <x:c r="D10" s="142" t="n">
        <x:f>'CFADS Inputs'!B$6/$A10/(1+D$7)^1+'CFADS Inputs'!C$6/$A10/(1+D$7)^2+'CFADS Inputs'!D$6/$A10/(1+D$7)^3+'CFADS Inputs'!E$6/$A10/(1+D$7)^4+'CFADS Inputs'!F$6/$A10/(1+D$7)^5+'CFADS Inputs'!G$6/$A10/(1+D$7)^6+'CFADS Inputs'!H$6/$A10/(1+D$7)^7+'CFADS Inputs'!I$6/$A10/(1+D$7)^8+'CFADS Inputs'!J$6/$A10/(1+D$7)^9+'CFADS Inputs'!K$6/$A10/(1+D$7)^10</x:f>
        <x:v>364.7092396581639</x:v>
      </x:c>
      <x:c r="E10" s="142" t="n">
        <x:f>'CFADS Inputs'!B$6/$A10/(1+E$7)^1+'CFADS Inputs'!C$6/$A10/(1+E$7)^2+'CFADS Inputs'!D$6/$A10/(1+E$7)^3+'CFADS Inputs'!E$6/$A10/(1+E$7)^4+'CFADS Inputs'!F$6/$A10/(1+E$7)^5+'CFADS Inputs'!G$6/$A10/(1+E$7)^6+'CFADS Inputs'!H$6/$A10/(1+E$7)^7+'CFADS Inputs'!I$6/$A10/(1+E$7)^8+'CFADS Inputs'!J$6/$A10/(1+E$7)^9+'CFADS Inputs'!K$6/$A10/(1+E$7)^10</x:f>
        <x:v>347.05084099925796</x:v>
      </x:c>
      <x:c r="F10" s="142" t="n">
        <x:f>'CFADS Inputs'!B$6/$A10/(1+F$7)^1+'CFADS Inputs'!C$6/$A10/(1+F$7)^2+'CFADS Inputs'!D$6/$A10/(1+F$7)^3+'CFADS Inputs'!E$6/$A10/(1+F$7)^4+'CFADS Inputs'!F$6/$A10/(1+F$7)^5+'CFADS Inputs'!G$6/$A10/(1+F$7)^6+'CFADS Inputs'!H$6/$A10/(1+F$7)^7+'CFADS Inputs'!I$6/$A10/(1+F$7)^8+'CFADS Inputs'!J$6/$A10/(1+F$7)^9+'CFADS Inputs'!K$6/$A10/(1+F$7)^10</x:f>
        <x:v>330.6204361343566</x:v>
      </x:c>
    </x:row>
    <x:row r="11">
      <x:c r="A11" s="71" t="n">
        <x:v>1.4</x:v>
      </x:c>
      <x:c r="B11" s="142" t="n">
        <x:f>'CFADS Inputs'!B$6/$A11/(1+B$7)^1+'CFADS Inputs'!C$6/$A11/(1+B$7)^2+'CFADS Inputs'!D$6/$A11/(1+B$7)^3+'CFADS Inputs'!E$6/$A11/(1+B$7)^4+'CFADS Inputs'!F$6/$A11/(1+B$7)^5+'CFADS Inputs'!G$6/$A11/(1+B$7)^6+'CFADS Inputs'!H$6/$A11/(1+B$7)^7+'CFADS Inputs'!I$6/$A11/(1+B$7)^8+'CFADS Inputs'!J$6/$A11/(1+B$7)^9+'CFADS Inputs'!K$6/$A11/(1+B$7)^10</x:f>
        <x:v>375.3092793241893</x:v>
      </x:c>
      <x:c r="C11" s="142" t="n">
        <x:f>'CFADS Inputs'!B$6/$A11/(1+C$7)^1+'CFADS Inputs'!C$6/$A11/(1+C$7)^2+'CFADS Inputs'!D$6/$A11/(1+C$7)^3+'CFADS Inputs'!E$6/$A11/(1+C$7)^4+'CFADS Inputs'!F$6/$A11/(1+C$7)^5+'CFADS Inputs'!G$6/$A11/(1+C$7)^6+'CFADS Inputs'!H$6/$A11/(1+C$7)^7+'CFADS Inputs'!I$6/$A11/(1+C$7)^8+'CFADS Inputs'!J$6/$A11/(1+C$7)^9+'CFADS Inputs'!K$6/$A11/(1+C$7)^10</x:f>
        <x:v>356.3019890076989</x:v>
      </x:c>
      <x:c r="D11" s="142" t="n">
        <x:f>'CFADS Inputs'!B$6/$A11/(1+D$7)^1+'CFADS Inputs'!C$6/$A11/(1+D$7)^2+'CFADS Inputs'!D$6/$A11/(1+D$7)^3+'CFADS Inputs'!E$6/$A11/(1+D$7)^4+'CFADS Inputs'!F$6/$A11/(1+D$7)^5+'CFADS Inputs'!G$6/$A11/(1+D$7)^6+'CFADS Inputs'!H$6/$A11/(1+D$7)^7+'CFADS Inputs'!I$6/$A11/(1+D$7)^8+'CFADS Inputs'!J$6/$A11/(1+D$7)^9+'CFADS Inputs'!K$6/$A11/(1+D$7)^10</x:f>
        <x:v>338.6585796825808</x:v>
      </x:c>
      <x:c r="E11" s="142" t="n">
        <x:f>'CFADS Inputs'!B$6/$A11/(1+E$7)^1+'CFADS Inputs'!C$6/$A11/(1+E$7)^2+'CFADS Inputs'!D$6/$A11/(1+E$7)^3+'CFADS Inputs'!E$6/$A11/(1+E$7)^4+'CFADS Inputs'!F$6/$A11/(1+E$7)^5+'CFADS Inputs'!G$6/$A11/(1+E$7)^6+'CFADS Inputs'!H$6/$A11/(1+E$7)^7+'CFADS Inputs'!I$6/$A11/(1+E$7)^8+'CFADS Inputs'!J$6/$A11/(1+E$7)^9+'CFADS Inputs'!K$6/$A11/(1+E$7)^10</x:f>
        <x:v>322.26149521359673</x:v>
      </x:c>
      <x:c r="F11" s="142" t="n">
        <x:f>'CFADS Inputs'!B$6/$A11/(1+F$7)^1+'CFADS Inputs'!C$6/$A11/(1+F$7)^2+'CFADS Inputs'!D$6/$A11/(1+F$7)^3+'CFADS Inputs'!E$6/$A11/(1+F$7)^4+'CFADS Inputs'!F$6/$A11/(1+F$7)^5+'CFADS Inputs'!G$6/$A11/(1+F$7)^6+'CFADS Inputs'!H$6/$A11/(1+F$7)^7+'CFADS Inputs'!I$6/$A11/(1+F$7)^8+'CFADS Inputs'!J$6/$A11/(1+F$7)^9+'CFADS Inputs'!K$6/$A11/(1+F$7)^10</x:f>
        <x:v>307.0046906961883</x:v>
      </x:c>
    </x:row>
    <x:row r="12">
      <x:c r="A12" s="71" t="n">
        <x:v>1.5</x:v>
      </x:c>
      <x:c r="B12" s="142" t="n">
        <x:f>'CFADS Inputs'!B$6/$A12/(1+B$7)^1+'CFADS Inputs'!C$6/$A12/(1+B$7)^2+'CFADS Inputs'!D$6/$A12/(1+B$7)^3+'CFADS Inputs'!E$6/$A12/(1+B$7)^4+'CFADS Inputs'!F$6/$A12/(1+B$7)^5+'CFADS Inputs'!G$6/$A12/(1+B$7)^6+'CFADS Inputs'!H$6/$A12/(1+B$7)^7+'CFADS Inputs'!I$6/$A12/(1+B$7)^8+'CFADS Inputs'!J$6/$A12/(1+B$7)^9+'CFADS Inputs'!K$6/$A12/(1+B$7)^10</x:f>
        <x:v>350.28866070257664</x:v>
      </x:c>
      <x:c r="C12" s="142" t="n">
        <x:f>'CFADS Inputs'!B$6/$A12/(1+C$7)^1+'CFADS Inputs'!C$6/$A12/(1+C$7)^2+'CFADS Inputs'!D$6/$A12/(1+C$7)^3+'CFADS Inputs'!E$6/$A12/(1+C$7)^4+'CFADS Inputs'!F$6/$A12/(1+C$7)^5+'CFADS Inputs'!G$6/$A12/(1+C$7)^6+'CFADS Inputs'!H$6/$A12/(1+C$7)^7+'CFADS Inputs'!I$6/$A12/(1+C$7)^8+'CFADS Inputs'!J$6/$A12/(1+C$7)^9+'CFADS Inputs'!K$6/$A12/(1+C$7)^10</x:f>
        <x:v>332.5485230738524</x:v>
      </x:c>
      <x:c r="D12" s="142" t="n">
        <x:f>'CFADS Inputs'!B$6/$A12/(1+D$7)^1+'CFADS Inputs'!C$6/$A12/(1+D$7)^2+'CFADS Inputs'!D$6/$A12/(1+D$7)^3+'CFADS Inputs'!E$6/$A12/(1+D$7)^4+'CFADS Inputs'!F$6/$A12/(1+D$7)^5+'CFADS Inputs'!G$6/$A12/(1+D$7)^6+'CFADS Inputs'!H$6/$A12/(1+D$7)^7+'CFADS Inputs'!I$6/$A12/(1+D$7)^8+'CFADS Inputs'!J$6/$A12/(1+D$7)^9+'CFADS Inputs'!K$6/$A12/(1+D$7)^10</x:f>
        <x:v>316.0813410370754</x:v>
      </x:c>
      <x:c r="E12" s="142" t="n">
        <x:f>'CFADS Inputs'!B$6/$A12/(1+E$7)^1+'CFADS Inputs'!C$6/$A12/(1+E$7)^2+'CFADS Inputs'!D$6/$A12/(1+E$7)^3+'CFADS Inputs'!E$6/$A12/(1+E$7)^4+'CFADS Inputs'!F$6/$A12/(1+E$7)^5+'CFADS Inputs'!G$6/$A12/(1+E$7)^6+'CFADS Inputs'!H$6/$A12/(1+E$7)^7+'CFADS Inputs'!I$6/$A12/(1+E$7)^8+'CFADS Inputs'!J$6/$A12/(1+E$7)^9+'CFADS Inputs'!K$6/$A12/(1+E$7)^10</x:f>
        <x:v>300.7773955326903</x:v>
      </x:c>
      <x:c r="F12" s="142" t="n">
        <x:f>'CFADS Inputs'!B$6/$A12/(1+F$7)^1+'CFADS Inputs'!C$6/$A12/(1+F$7)^2+'CFADS Inputs'!D$6/$A12/(1+F$7)^3+'CFADS Inputs'!E$6/$A12/(1+F$7)^4+'CFADS Inputs'!F$6/$A12/(1+F$7)^5+'CFADS Inputs'!G$6/$A12/(1+F$7)^6+'CFADS Inputs'!H$6/$A12/(1+F$7)^7+'CFADS Inputs'!I$6/$A12/(1+F$7)^8+'CFADS Inputs'!J$6/$A12/(1+F$7)^9+'CFADS Inputs'!K$6/$A12/(1+F$7)^10</x:f>
        <x:v>286.5377113164424</x:v>
      </x:c>
    </x:row>
    <x:row r="16" ht="22" customHeight="1">
      <x:c r="A16" s="9" t="str">
        <x:v>SCENARIO OUTPUTS</x:v>
      </x:c>
      <x:c r="B16" s="9" t="str">
        <x:v>SCENARIO OUTPUTS</x:v>
      </x:c>
      <x:c r="C16" s="9" t="str">
        <x:v>SCENARIO OUTPUTS</x:v>
      </x:c>
      <x:c r="D16" s="9" t="str">
        <x:v>SCENARIO OUTPUTS</x:v>
      </x:c>
      <x:c r="E16" s="9" t="str">
        <x:v>SCENARIO OUTPUTS</x:v>
      </x:c>
      <x:c r="F16" s="9" t="str">
        <x:v>SCENARIO OUTPUTS</x:v>
      </x:c>
      <x:c r="G16" s="9" t="str">
        <x:v>SCENARIO OUTPUTS</x:v>
      </x:c>
      <x:c r="H16" s="9" t="str">
        <x:v>SCENARIO OUTPUTS</x:v>
      </x:c>
      <x:c r="I16" s="9" t="str">
        <x:v>SCENARIO OUTPUTS</x:v>
      </x:c>
      <x:c r="J16" s="9" t="str">
        <x:v>SCENARIO OUTPUTS</x:v>
      </x:c>
    </x:row>
    <x:row r="17" ht="24" customHeight="1">
      <x:c r="A17" s="66" t="str">
        <x:v>Case</x:v>
      </x:c>
      <x:c r="B17" s="67" t="str">
        <x:v>Narrative</x:v>
      </x:c>
      <x:c r="C17" s="67" t="str">
        <x:v>Selected driver set</x:v>
      </x:c>
      <x:c r="D17" s="68" t="str">
        <x:v>Review question</x:v>
      </x:c>
    </x:row>
    <x:row r="18">
      <x:c r="A18" s="152" t="str">
        <x:v>Base</x:v>
      </x:c>
      <x:c r="B18" s="153" t="str">
        <x:v>Most likely operating and finance assumptions.</x:v>
      </x:c>
      <x:c r="C18" s="153" t="str">
        <x:v>Base</x:v>
      </x:c>
      <x:c r="D18" s="154" t="str">
        <x:v>What must be true for the base case to hold?</x:v>
      </x:c>
    </x:row>
    <x:row r="19">
      <x:c r="A19" s="155" t="str">
        <x:v>Upside</x:v>
      </x:c>
      <x:c r="B19" s="156" t="str">
        <x:v>Stronger performance, faster conversion, or lower risk/cost.</x:v>
      </x:c>
      <x:c r="C19" s="156" t="str">
        <x:v>Upside</x:v>
      </x:c>
      <x:c r="D19" s="157" t="str">
        <x:v>Which actions unlock the upside?</x:v>
      </x:c>
    </x:row>
    <x:row r="20">
      <x:c r="A20" s="158" t="str">
        <x:v>Downside</x:v>
      </x:c>
      <x:c r="B20" s="159" t="str">
        <x:v>Slower activity, weaker conversion, or higher risk/cost.</x:v>
      </x:c>
      <x:c r="C20" s="159" t="str">
        <x:v>Downside</x:v>
      </x:c>
      <x:c r="D20" s="160" t="str">
        <x:v>What breaks first and who acts?</x:v>
      </x:c>
    </x:row>
    <x:row r="22">
      <x:c r="A22" s="42" t="str">
        <x:v>Sensitivity outputs are analytical ranges, not forecasts or guarantees. Recheck directionality, boundaries, source quality, and the business narrative behind each driver before decision use.</x:v>
      </x:c>
      <x:c r="B22" s="43" t="str">
        <x:v>Sensitivity outputs are analytical ranges, not forecasts or guarantees. Recheck directionality, boundaries, source quality, and the business narrative behind each driver before decision use.</x:v>
      </x:c>
      <x:c r="C22" s="43" t="str">
        <x:v>Sensitivity outputs are analytical ranges, not forecasts or guarantees. Recheck directionality, boundaries, source quality, and the business narrative behind each driver before decision use.</x:v>
      </x:c>
      <x:c r="D22" s="43" t="str">
        <x:v>Sensitivity outputs are analytical ranges, not forecasts or guarantees. Recheck directionality, boundaries, source quality, and the business narrative behind each driver before decision use.</x:v>
      </x:c>
      <x:c r="E22" s="43" t="str">
        <x:v>Sensitivity outputs are analytical ranges, not forecasts or guarantees. Recheck directionality, boundaries, source quality, and the business narrative behind each driver before decision use.</x:v>
      </x:c>
      <x:c r="F22" s="43" t="str">
        <x:v>Sensitivity outputs are analytical ranges, not forecasts or guarantees. Recheck directionality, boundaries, source quality, and the business narrative behind each driver before decision use.</x:v>
      </x:c>
      <x:c r="G22" s="43" t="str">
        <x:v>Sensitivity outputs are analytical ranges, not forecasts or guarantees. Recheck directionality, boundaries, source quality, and the business narrative behind each driver before decision use.</x:v>
      </x:c>
      <x:c r="H22" s="43" t="str">
        <x:v>Sensitivity outputs are analytical ranges, not forecasts or guarantees. Recheck directionality, boundaries, source quality, and the business narrative behind each driver before decision use.</x:v>
      </x:c>
      <x:c r="I22" s="43" t="str">
        <x:v>Sensitivity outputs are analytical ranges, not forecasts or guarantees. Recheck directionality, boundaries, source quality, and the business narrative behind each driver before decision use.</x:v>
      </x:c>
      <x:c r="J22" s="44" t="str">
        <x:v>Sensitivity outputs are analytical ranges, not forecasts or guarantees. Recheck directionality, boundaries, source quality, and the business narrative behind each driver before decision use.</x:v>
      </x:c>
    </x:row>
    <x:row r="23">
      <x:c r="A23" s="45" t="str">
        <x:v>Sensitivity outputs are analytical ranges, not forecasts or guarantees. Recheck directionality, boundaries, source quality, and the business narrative behind each driver before decision use.</x:v>
      </x:c>
      <x:c r="B23" s="46" t="str">
        <x:v>Sensitivity outputs are analytical ranges, not forecasts or guarantees. Recheck directionality, boundaries, source quality, and the business narrative behind each driver before decision use.</x:v>
      </x:c>
      <x:c r="C23" s="46" t="str">
        <x:v>Sensitivity outputs are analytical ranges, not forecasts or guarantees. Recheck directionality, boundaries, source quality, and the business narrative behind each driver before decision use.</x:v>
      </x:c>
      <x:c r="D23" s="46" t="str">
        <x:v>Sensitivity outputs are analytical ranges, not forecasts or guarantees. Recheck directionality, boundaries, source quality, and the business narrative behind each driver before decision use.</x:v>
      </x:c>
      <x:c r="E23" s="46" t="str">
        <x:v>Sensitivity outputs are analytical ranges, not forecasts or guarantees. Recheck directionality, boundaries, source quality, and the business narrative behind each driver before decision use.</x:v>
      </x:c>
      <x:c r="F23" s="46" t="str">
        <x:v>Sensitivity outputs are analytical ranges, not forecasts or guarantees. Recheck directionality, boundaries, source quality, and the business narrative behind each driver before decision use.</x:v>
      </x:c>
      <x:c r="G23" s="46" t="str">
        <x:v>Sensitivity outputs are analytical ranges, not forecasts or guarantees. Recheck directionality, boundaries, source quality, and the business narrative behind each driver before decision use.</x:v>
      </x:c>
      <x:c r="H23" s="46" t="str">
        <x:v>Sensitivity outputs are analytical ranges, not forecasts or guarantees. Recheck directionality, boundaries, source quality, and the business narrative behind each driver before decision use.</x:v>
      </x:c>
      <x:c r="I23" s="46" t="str">
        <x:v>Sensitivity outputs are analytical ranges, not forecasts or guarantees. Recheck directionality, boundaries, source quality, and the business narrative behind each driver before decision use.</x:v>
      </x:c>
      <x:c r="J23" s="47" t="str">
        <x:v>Sensitivity outputs are analytical ranges, not forecasts or guarantees. Recheck directionality, boundaries, source quality, and the business narrative behind each driver before decision use.</x:v>
      </x:c>
    </x:row>
    <x:row r="24">
      <x:c r="A24" s="48" t="str">
        <x:v>Sensitivity outputs are analytical ranges, not forecasts or guarantees. Recheck directionality, boundaries, source quality, and the business narrative behind each driver before decision use.</x:v>
      </x:c>
      <x:c r="B24" s="49" t="str">
        <x:v>Sensitivity outputs are analytical ranges, not forecasts or guarantees. Recheck directionality, boundaries, source quality, and the business narrative behind each driver before decision use.</x:v>
      </x:c>
      <x:c r="C24" s="49" t="str">
        <x:v>Sensitivity outputs are analytical ranges, not forecasts or guarantees. Recheck directionality, boundaries, source quality, and the business narrative behind each driver before decision use.</x:v>
      </x:c>
      <x:c r="D24" s="49" t="str">
        <x:v>Sensitivity outputs are analytical ranges, not forecasts or guarantees. Recheck directionality, boundaries, source quality, and the business narrative behind each driver before decision use.</x:v>
      </x:c>
      <x:c r="E24" s="49" t="str">
        <x:v>Sensitivity outputs are analytical ranges, not forecasts or guarantees. Recheck directionality, boundaries, source quality, and the business narrative behind each driver before decision use.</x:v>
      </x:c>
      <x:c r="F24" s="49" t="str">
        <x:v>Sensitivity outputs are analytical ranges, not forecasts or guarantees. Recheck directionality, boundaries, source quality, and the business narrative behind each driver before decision use.</x:v>
      </x:c>
      <x:c r="G24" s="49" t="str">
        <x:v>Sensitivity outputs are analytical ranges, not forecasts or guarantees. Recheck directionality, boundaries, source quality, and the business narrative behind each driver before decision use.</x:v>
      </x:c>
      <x:c r="H24" s="49" t="str">
        <x:v>Sensitivity outputs are analytical ranges, not forecasts or guarantees. Recheck directionality, boundaries, source quality, and the business narrative behind each driver before decision use.</x:v>
      </x:c>
      <x:c r="I24" s="49" t="str">
        <x:v>Sensitivity outputs are analytical ranges, not forecasts or guarantees. Recheck directionality, boundaries, source quality, and the business narrative behind each driver before decision use.</x:v>
      </x:c>
      <x:c r="J24" s="50" t="str">
        <x:v>Sensitivity outputs are analytical ranges, not forecasts or guarantees. Recheck directionality, boundaries, source quality, and the business narrative behind each driver before decision use.</x:v>
      </x:c>
    </x:row>
    <x:row r="26">
      <x:c r="A26" s="53" t="str">
        <x:v>TDAT Model Library  |  Trust builds the brand. Insight builds the decision.</x:v>
      </x:c>
      <x:c r="B26" s="53" t="str">
        <x:v>TDAT Model Library  |  Trust builds the brand. Insight builds the decision.</x:v>
      </x:c>
      <x:c r="C26" s="53" t="str">
        <x:v>TDAT Model Library  |  Trust builds the brand. Insight builds the decision.</x:v>
      </x:c>
      <x:c r="D26" s="53" t="str">
        <x:v>TDAT Model Library  |  Trust builds the brand. Insight builds the decision.</x:v>
      </x:c>
      <x:c r="E26" s="53" t="str">
        <x:v>TDAT Model Library  |  Trust builds the brand. Insight builds the decision.</x:v>
      </x:c>
      <x:c r="F26" s="53" t="str">
        <x:v>TDAT Model Library  |  Trust builds the brand. Insight builds the decision.</x:v>
      </x:c>
      <x:c r="G26" s="53" t="str">
        <x:v>TDAT Model Library  |  Trust builds the brand. Insight builds the decision.</x:v>
      </x:c>
      <x:c r="H26" s="53" t="str">
        <x:v>TDAT Model Library  |  Trust builds the brand. Insight builds the decision.</x:v>
      </x:c>
      <x:c r="I26" s="53" t="str">
        <x:v>TDAT Model Library  |  Trust builds the brand. Insight builds the decision.</x:v>
      </x:c>
      <x:c r="J26" s="53" t="str">
        <x:v>TDAT Model Library  |  Trust builds the brand. Insight builds the decision.</x:v>
      </x:c>
    </x:row>
  </x:sheetData>
  <x:mergeCells>
    <x:mergeCell ref="A1:J1"/>
    <x:mergeCell ref="A2:J2"/>
    <x:mergeCell ref="A5:J5"/>
    <x:mergeCell ref="A16:J16"/>
    <x:mergeCell ref="A22:J24"/>
    <x:mergeCell ref="A26:J26"/>
  </x:mergeCells>
  <x:conditionalFormatting sqref="B8:F12">
    <x:cfRule type="colorScale" priority="1">
      <x:colorScale>
        <x:cfvo type="min"/>
        <x:cfvo type="percentile" val="50"/>
        <x:cfvo type="max"/>
        <x:color rgb="FFFCE8E6"/>
        <x:color rgb="FFFFF4DB"/>
        <x:color rgb="FFE5F6F3"/>
      </x:colorScale>
    </x:cfRule>
  </x:conditionalFormatting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</x:cols>
  <x:sheetData>
    <x:row r="1" ht="34" customHeight="1">
      <x:c r="A1" s="3" t="str">
        <x:v>EXECUTIVE SUMMARY</x:v>
      </x:c>
      <x:c r="B1" s="3" t="str">
        <x:v>EXECUTIVE SUMMARY</x:v>
      </x:c>
      <x:c r="C1" s="3" t="str">
        <x:v>EXECUTIVE SUMMARY</x:v>
      </x:c>
      <x:c r="D1" s="3" t="str">
        <x:v>EXECUTIVE SUMMARY</x:v>
      </x:c>
      <x:c r="E1" s="3" t="str">
        <x:v>EXECUTIVE SUMMARY</x:v>
      </x:c>
      <x:c r="F1" s="3" t="str">
        <x:v>EXECUTIVE SUMMARY</x:v>
      </x:c>
      <x:c r="G1" s="3" t="str">
        <x:v>EXECUTIVE SUMMARY</x:v>
      </x:c>
      <x:c r="H1" s="3" t="str">
        <x:v>EXECUTIVE SUMMARY</x:v>
      </x:c>
      <x:c r="I1" s="3" t="str">
        <x:v>EXECUTIVE SUMMARY</x:v>
      </x:c>
      <x:c r="J1" s="3" t="str">
        <x:v>EXECUTIVE SUMMARY</x:v>
      </x:c>
    </x:row>
    <x:row r="2" ht="24" customHeight="1">
      <x:c r="A2" s="6" t="str">
        <x:v>Debt Sculpting &amp; Waterfall  |  Decision outputs, trend, breakpoints, and action prompts</x:v>
      </x:c>
      <x:c r="B2" s="6" t="str">
        <x:v>Debt Sculpting &amp; Waterfall  |  Decision outputs, trend, breakpoints, and action prompts</x:v>
      </x:c>
      <x:c r="C2" s="6" t="str">
        <x:v>Debt Sculpting &amp; Waterfall  |  Decision outputs, trend, breakpoints, and action prompts</x:v>
      </x:c>
      <x:c r="D2" s="6" t="str">
        <x:v>Debt Sculpting &amp; Waterfall  |  Decision outputs, trend, breakpoints, and action prompts</x:v>
      </x:c>
      <x:c r="E2" s="6" t="str">
        <x:v>Debt Sculpting &amp; Waterfall  |  Decision outputs, trend, breakpoints, and action prompts</x:v>
      </x:c>
      <x:c r="F2" s="6" t="str">
        <x:v>Debt Sculpting &amp; Waterfall  |  Decision outputs, trend, breakpoints, and action prompts</x:v>
      </x:c>
      <x:c r="G2" s="6" t="str">
        <x:v>Debt Sculpting &amp; Waterfall  |  Decision outputs, trend, breakpoints, and action prompts</x:v>
      </x:c>
      <x:c r="H2" s="6" t="str">
        <x:v>Debt Sculpting &amp; Waterfall  |  Decision outputs, trend, breakpoints, and action prompts</x:v>
      </x:c>
      <x:c r="I2" s="6" t="str">
        <x:v>Debt Sculpting &amp; Waterfall  |  Decision outputs, trend, breakpoints, and action prompts</x:v>
      </x:c>
      <x:c r="J2" s="6" t="str">
        <x:v>Debt Sculpting &amp; Waterfall  |  Decision outputs, trend, breakpoints, and action prompts</x:v>
      </x:c>
    </x:row>
    <x:row r="3" ht="4" customHeight="1">
      <x:c r="A3" s="7"/>
      <x:c r="B3" s="7"/>
      <x:c r="C3" s="7"/>
      <x:c r="D3" s="7"/>
      <x:c r="E3" s="7"/>
      <x:c r="F3" s="7"/>
      <x:c r="G3" s="7"/>
      <x:c r="H3" s="7"/>
      <x:c r="I3" s="7"/>
      <x:c r="J3" s="7"/>
    </x:row>
    <x:row r="5">
      <x:c r="A5" s="162" t="str">
        <x:v>DEBT CAPACITY</x:v>
      </x:c>
      <x:c r="B5" s="162" t="str">
        <x:v>DEBT CAPACITY</x:v>
      </x:c>
      <x:c r="C5" s="162" t="str">
        <x:v>DEBT CAPACITY</x:v>
      </x:c>
      <x:c r="D5" s="162" t="str">
        <x:v>MINIMUM DSCR</x:v>
      </x:c>
      <x:c r="E5" s="162" t="str">
        <x:v>MINIMUM DSCR</x:v>
      </x:c>
      <x:c r="F5" s="162" t="str">
        <x:v>MINIMUM DSCR</x:v>
      </x:c>
      <x:c r="G5" s="162" t="str">
        <x:v>CLOSING DEBT / BALLOON</x:v>
      </x:c>
      <x:c r="H5" s="162" t="str">
        <x:v>CLOSING DEBT / BALLOON</x:v>
      </x:c>
      <x:c r="I5" s="162" t="str">
        <x:v>CLOSING DEBT / BALLOON</x:v>
      </x:c>
      <x:c r="J5" s="176" t="str">
        <x:v>MODEL STATUS</x:v>
      </x:c>
    </x:row>
    <x:row r="6">
      <x:c r="A6" s="166" t="n">
        <x:f>'Sculpting Waterfall'!K$21</x:f>
        <x:v>364.7092396581639</x:v>
      </x:c>
      <x:c r="B6" s="166"/>
      <x:c r="C6" s="166"/>
      <x:c r="D6" s="170" t="n">
        <x:f>MIN('Sculpting Waterfall'!B12:K12)</x:f>
        <x:v>0</x:v>
      </x:c>
      <x:c r="E6" s="170"/>
      <x:c r="F6" s="170"/>
      <x:c r="G6" s="166" t="n">
        <x:f>'Sculpting Waterfall'!K$10</x:f>
        <x:v>0</x:v>
      </x:c>
      <x:c r="H6" s="166"/>
      <x:c r="I6" s="166"/>
      <x:c r="J6" s="180" t="str">
        <x:f>'Checks'!$B$5</x:f>
        <x:v>PASS</x:v>
      </x:c>
    </x:row>
    <x:row r="7">
      <x:c r="A7" s="166"/>
      <x:c r="B7" s="166"/>
      <x:c r="C7" s="166"/>
      <x:c r="D7" s="170"/>
      <x:c r="E7" s="170"/>
      <x:c r="F7" s="170"/>
      <x:c r="G7" s="166"/>
      <x:c r="H7" s="166"/>
      <x:c r="I7" s="166"/>
      <x:c r="J7" s="180"/>
    </x:row>
    <x:row r="9">
      <x:c r="A9" s="162" t="str">
        <x:v>PEAK DSRA</x:v>
      </x:c>
      <x:c r="B9" s="162" t="str">
        <x:v>PEAK DSRA</x:v>
      </x:c>
      <x:c r="C9" s="162" t="str">
        <x:v>PEAK DSRA</x:v>
      </x:c>
      <x:c r="D9" s="162" t="str">
        <x:v>TOTAL DISTRIBUTIONS</x:v>
      </x:c>
      <x:c r="E9" s="162" t="str">
        <x:v>TOTAL DISTRIBUTIONS</x:v>
      </x:c>
      <x:c r="F9" s="162" t="str">
        <x:v>TOTAL DISTRIBUTIONS</x:v>
      </x:c>
      <x:c r="G9" s="162" t="str">
        <x:v>TARGET DSCR</x:v>
      </x:c>
      <x:c r="H9" s="162" t="str">
        <x:v>TARGET DSCR</x:v>
      </x:c>
      <x:c r="I9" s="162" t="str">
        <x:v>TARGET DSCR</x:v>
      </x:c>
      <x:c r="J9" s="176" t="str">
        <x:v>SCENARIO</x:v>
      </x:c>
    </x:row>
    <x:row r="10">
      <x:c r="A10" s="166" t="n">
        <x:f>MAX('Sculpting Waterfall'!B17:K17)</x:f>
        <x:v>31.538461538461537</x:v>
      </x:c>
      <x:c r="B10" s="166"/>
      <x:c r="C10" s="166"/>
      <x:c r="D10" s="166" t="n">
        <x:f>SUM('Sculpting Waterfall'!B19:K19)</x:f>
        <x:v>148.5826641118394</x:v>
      </x:c>
      <x:c r="E10" s="166"/>
      <x:c r="F10" s="166"/>
      <x:c r="G10" s="174" t="n">
        <x:f>'Assumptions'!$F$6</x:f>
        <x:v>1.3</x:v>
      </x:c>
      <x:c r="H10" s="174"/>
      <x:c r="I10" s="174"/>
      <x:c r="J10" s="183" t="str">
        <x:f>'Assumptions'!$B$3</x:f>
        <x:v>Base</x:v>
      </x:c>
    </x:row>
    <x:row r="11">
      <x:c r="A11" s="166"/>
      <x:c r="B11" s="166"/>
      <x:c r="C11" s="166"/>
      <x:c r="D11" s="166"/>
      <x:c r="E11" s="166"/>
      <x:c r="F11" s="166"/>
      <x:c r="G11" s="174"/>
      <x:c r="H11" s="174"/>
      <x:c r="I11" s="174"/>
      <x:c r="J11" s="183"/>
    </x:row>
    <x:row r="14" ht="22" customHeight="1">
      <x:c r="A14" s="9" t="str">
        <x:v>TREND</x:v>
      </x:c>
      <x:c r="B14" s="9" t="str">
        <x:v>TREND</x:v>
      </x:c>
      <x:c r="C14" s="9" t="str">
        <x:v>TREND</x:v>
      </x:c>
      <x:c r="D14" s="9" t="str">
        <x:v>TREND</x:v>
      </x:c>
      <x:c r="E14" s="9" t="str">
        <x:v>TREND</x:v>
      </x:c>
    </x:row>
    <x:row r="15" ht="24" customHeight="1">
      <x:c r="A15" s="66" t="str">
        <x:v>Period</x:v>
      </x:c>
      <x:c r="B15" s="67" t="str">
        <x:v>Target debt service</x:v>
      </x:c>
      <x:c r="C15" s="68" t="str">
        <x:v>Debt service</x:v>
      </x:c>
    </x:row>
    <x:row r="16">
      <x:c r="A16" t="str">
        <x:v>Y1</x:v>
      </x:c>
      <x:c r="B16" s="185" t="n">
        <x:f>'Sculpting Waterfall'!B$7</x:f>
        <x:v>40</x:v>
      </x:c>
      <x:c r="C16" s="185" t="n">
        <x:f>'Sculpting Waterfall'!B$11</x:f>
        <x:v>40</x:v>
      </x:c>
    </x:row>
    <x:row r="17">
      <x:c r="A17" t="str">
        <x:v>Y2</x:v>
      </x:c>
      <x:c r="B17" s="185" t="n">
        <x:f>'Sculpting Waterfall'!C$7</x:f>
        <x:v>43.07692307692307</x:v>
      </x:c>
      <x:c r="C17" s="185" t="n">
        <x:f>'Sculpting Waterfall'!C$11</x:f>
        <x:v>43.07692307692307</x:v>
      </x:c>
    </x:row>
    <x:row r="18">
      <x:c r="A18" t="str">
        <x:v>Y3</x:v>
      </x:c>
      <x:c r="B18" s="185" t="n">
        <x:f>'Sculpting Waterfall'!D$7</x:f>
        <x:v>46.92307692307692</x:v>
      </x:c>
      <x:c r="C18" s="185" t="n">
        <x:f>'Sculpting Waterfall'!D$11</x:f>
        <x:v>46.92307692307692</x:v>
      </x:c>
    </x:row>
    <x:row r="19">
      <x:c r="A19" t="str">
        <x:v>Y4</x:v>
      </x:c>
      <x:c r="B19" s="185" t="n">
        <x:f>'Sculpting Waterfall'!E$7</x:f>
        <x:v>50.76923076923077</x:v>
      </x:c>
      <x:c r="C19" s="185" t="n">
        <x:f>'Sculpting Waterfall'!E$11</x:f>
        <x:v>50.769230769230774</x:v>
      </x:c>
    </x:row>
    <x:row r="20">
      <x:c r="A20" t="str">
        <x:v>Y5</x:v>
      </x:c>
      <x:c r="B20" s="185" t="n">
        <x:f>'Sculpting Waterfall'!F$7</x:f>
        <x:v>55.38461538461538</x:v>
      </x:c>
      <x:c r="C20" s="185" t="n">
        <x:f>'Sculpting Waterfall'!F$11</x:f>
        <x:v>55.38461538461538</x:v>
      </x:c>
    </x:row>
    <x:row r="21">
      <x:c r="A21" t="str">
        <x:v>Y6</x:v>
      </x:c>
      <x:c r="B21" s="185" t="n">
        <x:f>'Sculpting Waterfall'!G$7</x:f>
        <x:v>60</x:v>
      </x:c>
      <x:c r="C21" s="185" t="n">
        <x:f>'Sculpting Waterfall'!G$11</x:f>
        <x:v>60</x:v>
      </x:c>
    </x:row>
    <x:row r="22">
      <x:c r="A22" t="str">
        <x:v>Y7</x:v>
      </x:c>
      <x:c r="B22" s="185" t="n">
        <x:f>'Sculpting Waterfall'!H$7</x:f>
        <x:v>63.07692307692307</x:v>
      </x:c>
      <x:c r="C22" s="185" t="n">
        <x:f>'Sculpting Waterfall'!H$11</x:f>
        <x:v>63.07692307692307</x:v>
      </x:c>
    </x:row>
    <x:row r="23">
      <x:c r="A23" t="str">
        <x:v>Y8</x:v>
      </x:c>
      <x:c r="B23" s="185" t="n">
        <x:f>'Sculpting Waterfall'!I$7</x:f>
        <x:v>66.15384615384615</x:v>
      </x:c>
      <x:c r="C23" s="185" t="n">
        <x:f>'Sculpting Waterfall'!I$11</x:f>
        <x:v>35.45771110492758</x:v>
      </x:c>
    </x:row>
    <x:row r="24">
      <x:c r="A24" t="str">
        <x:v>Y9</x:v>
      </x:c>
      <x:c r="B24" s="185" t="n">
        <x:f>'Sculpting Waterfall'!J$7</x:f>
        <x:v>69.23076923076923</x:v>
      </x:c>
      <x:c r="C24" s="185" t="n">
        <x:f>'Sculpting Waterfall'!J$11</x:f>
        <x:v>0</x:v>
      </x:c>
    </x:row>
    <x:row r="25">
      <x:c r="A25" t="str">
        <x:v>Y10</x:v>
      </x:c>
      <x:c r="B25" s="185" t="n">
        <x:f>'Sculpting Waterfall'!K$7</x:f>
        <x:v>72.3076923076923</x:v>
      </x:c>
      <x:c r="C25" s="185" t="n">
        <x:f>'Sculpting Waterfall'!K$11</x:f>
        <x:v>0</x:v>
      </x:c>
    </x:row>
    <x:row r="31" ht="22" customHeight="1">
      <x:c r="A31" s="9" t="str">
        <x:v>DECISION PROMPTS &amp; NEXT ACTIONS</x:v>
      </x:c>
      <x:c r="B31" s="9" t="str">
        <x:v>DECISION PROMPTS &amp; NEXT ACTIONS</x:v>
      </x:c>
      <x:c r="C31" s="9" t="str">
        <x:v>DECISION PROMPTS &amp; NEXT ACTIONS</x:v>
      </x:c>
      <x:c r="D31" s="9" t="str">
        <x:v>DECISION PROMPTS &amp; NEXT ACTIONS</x:v>
      </x:c>
      <x:c r="E31" s="9" t="str">
        <x:v>DECISION PROMPTS &amp; NEXT ACTIONS</x:v>
      </x:c>
      <x:c r="F31" s="9" t="str">
        <x:v>DECISION PROMPTS &amp; NEXT ACTIONS</x:v>
      </x:c>
      <x:c r="G31" s="9" t="str">
        <x:v>DECISION PROMPTS &amp; NEXT ACTIONS</x:v>
      </x:c>
      <x:c r="H31" s="9" t="str">
        <x:v>DECISION PROMPTS &amp; NEXT ACTIONS</x:v>
      </x:c>
      <x:c r="I31" s="9" t="str">
        <x:v>DECISION PROMPTS &amp; NEXT ACTIONS</x:v>
      </x:c>
      <x:c r="J31" s="9" t="str">
        <x:v>DECISION PROMPTS &amp; NEXT ACTIONS</x:v>
      </x:c>
    </x:row>
    <x:row r="32" ht="28" customHeight="1">
      <x:c r="A32" s="15" t="str">
        <x:v>Decision</x:v>
      </x:c>
      <x:c r="B32" s="17" t="str">
        <x:v>What repayment profile and cash waterfall meet coverage constraints while preserving equity value?</x:v>
      </x:c>
      <x:c r="C32" s="17" t="str"/>
      <x:c r="D32" s="17" t="str"/>
      <x:c r="E32" s="17" t="str"/>
      <x:c r="F32" s="17" t="str"/>
      <x:c r="G32" s="17" t="str"/>
      <x:c r="H32" s="187" t="str">
        <x:v>Decision owner</x:v>
      </x:c>
      <x:c r="I32" s="187" t="str"/>
      <x:c r="J32" s="187" t="str"/>
    </x:row>
    <x:row r="33" ht="28" customHeight="1">
      <x:c r="A33" s="15" t="str">
        <x:v>Driver</x:v>
      </x:c>
      <x:c r="B33" s="17" t="str">
        <x:v>Which assumption moves the answer most, and who owns it?</x:v>
      </x:c>
      <x:c r="C33" s="17" t="str"/>
      <x:c r="D33" s="17" t="str"/>
      <x:c r="E33" s="17" t="str"/>
      <x:c r="F33" s="17" t="str"/>
      <x:c r="G33" s="17" t="str"/>
      <x:c r="H33" s="187" t="str">
        <x:v>Finance / business owner</x:v>
      </x:c>
      <x:c r="I33" s="187" t="str"/>
      <x:c r="J33" s="187" t="str"/>
    </x:row>
    <x:row r="34" ht="28" customHeight="1">
      <x:c r="A34" s="15" t="str">
        <x:v>Downside</x:v>
      </x:c>
      <x:c r="B34" s="17" t="str">
        <x:v>What breaks first under Downside, and what action is triggered?</x:v>
      </x:c>
      <x:c r="C34" s="17" t="str"/>
      <x:c r="D34" s="17" t="str"/>
      <x:c r="E34" s="17" t="str"/>
      <x:c r="F34" s="17" t="str"/>
      <x:c r="G34" s="17" t="str"/>
      <x:c r="H34" s="187" t="str">
        <x:v>Finance leader</x:v>
      </x:c>
      <x:c r="I34" s="187" t="str"/>
      <x:c r="J34" s="187" t="str"/>
    </x:row>
    <x:row r="35" ht="28" customHeight="1">
      <x:c r="A35" s="15" t="str">
        <x:v>Source</x:v>
      </x:c>
      <x:c r="B35" s="17" t="str">
        <x:v>Are every material source, date, unit, and definition approved?</x:v>
      </x:c>
      <x:c r="C35" s="17" t="str"/>
      <x:c r="D35" s="17" t="str"/>
      <x:c r="E35" s="17" t="str"/>
      <x:c r="F35" s="17" t="str"/>
      <x:c r="G35" s="17" t="str"/>
      <x:c r="H35" s="187" t="str">
        <x:v>Model owner</x:v>
      </x:c>
      <x:c r="I35" s="187" t="str"/>
      <x:c r="J35" s="187" t="str"/>
    </x:row>
    <x:row r="36" ht="28" customHeight="1">
      <x:c r="A36" s="15" t="str">
        <x:v>Control</x:v>
      </x:c>
      <x:c r="B36" s="17" t="str">
        <x:v>Do all published checks pass after the latest input change?</x:v>
      </x:c>
      <x:c r="C36" s="17" t="str"/>
      <x:c r="D36" s="17" t="str"/>
      <x:c r="E36" s="17" t="str"/>
      <x:c r="F36" s="17" t="str"/>
      <x:c r="G36" s="17" t="str"/>
      <x:c r="H36" s="187" t="str">
        <x:v>Reviewer</x:v>
      </x:c>
      <x:c r="I36" s="187" t="str"/>
      <x:c r="J36" s="187" t="str"/>
    </x:row>
    <x:row r="37" ht="28" customHeight="1">
      <x:c r="A37" s="15" t="str">
        <x:v>Action</x:v>
      </x:c>
      <x:c r="B37" s="17" t="str">
        <x:v>What is the next action, owner, timing, and expected protection or upside?</x:v>
      </x:c>
      <x:c r="C37" s="17" t="str"/>
      <x:c r="D37" s="17" t="str"/>
      <x:c r="E37" s="17" t="str"/>
      <x:c r="F37" s="17" t="str"/>
      <x:c r="G37" s="17" t="str"/>
      <x:c r="H37" s="187" t="str">
        <x:v>Action owner</x:v>
      </x:c>
      <x:c r="I37" s="187" t="str"/>
      <x:c r="J37" s="187" t="str"/>
    </x:row>
    <x:row r="39">
      <x:c r="A39" s="42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B39" s="43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C39" s="43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D39" s="43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E39" s="43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F39" s="43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G39" s="43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H39" s="43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I39" s="43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J39" s="44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</x:row>
    <x:row r="40">
      <x:c r="A40" s="45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B40" s="46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C40" s="46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D40" s="46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E40" s="46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F40" s="46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G40" s="46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H40" s="46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I40" s="46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J40" s="47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</x:row>
    <x:row r="41">
      <x:c r="A41" s="48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B41" s="49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C41" s="49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D41" s="49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E41" s="49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F41" s="49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G41" s="49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H41" s="49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I41" s="49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J41" s="50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</x:row>
    <x:row r="43">
      <x:c r="A43" s="53" t="str">
        <x:v>TDAT Model Library  |  Trust builds the brand. Insight builds the decision.</x:v>
      </x:c>
      <x:c r="B43" s="53" t="str">
        <x:v>TDAT Model Library  |  Trust builds the brand. Insight builds the decision.</x:v>
      </x:c>
      <x:c r="C43" s="53" t="str">
        <x:v>TDAT Model Library  |  Trust builds the brand. Insight builds the decision.</x:v>
      </x:c>
      <x:c r="D43" s="53" t="str">
        <x:v>TDAT Model Library  |  Trust builds the brand. Insight builds the decision.</x:v>
      </x:c>
      <x:c r="E43" s="53" t="str">
        <x:v>TDAT Model Library  |  Trust builds the brand. Insight builds the decision.</x:v>
      </x:c>
      <x:c r="F43" s="53" t="str">
        <x:v>TDAT Model Library  |  Trust builds the brand. Insight builds the decision.</x:v>
      </x:c>
      <x:c r="G43" s="53" t="str">
        <x:v>TDAT Model Library  |  Trust builds the brand. Insight builds the decision.</x:v>
      </x:c>
      <x:c r="H43" s="53" t="str">
        <x:v>TDAT Model Library  |  Trust builds the brand. Insight builds the decision.</x:v>
      </x:c>
      <x:c r="I43" s="53" t="str">
        <x:v>TDAT Model Library  |  Trust builds the brand. Insight builds the decision.</x:v>
      </x:c>
      <x:c r="J43" s="53" t="str">
        <x:v>TDAT Model Library  |  Trust builds the brand. Insight builds the decision.</x:v>
      </x:c>
    </x:row>
  </x:sheetData>
  <x:mergeCells>
    <x:mergeCell ref="A1:J1"/>
    <x:mergeCell ref="A2:J2"/>
    <x:mergeCell ref="A5:C5"/>
    <x:mergeCell ref="A6:C7"/>
    <x:mergeCell ref="D5:F5"/>
    <x:mergeCell ref="D6:F7"/>
    <x:mergeCell ref="G5:I5"/>
    <x:mergeCell ref="G6:I7"/>
    <x:mergeCell ref="A9:C9"/>
    <x:mergeCell ref="A10:C11"/>
    <x:mergeCell ref="D9:F9"/>
    <x:mergeCell ref="D10:F11"/>
    <x:mergeCell ref="G9:I9"/>
    <x:mergeCell ref="G10:I11"/>
    <x:mergeCell ref="J6:J7"/>
    <x:mergeCell ref="J10:J11"/>
    <x:mergeCell ref="A14:E14"/>
    <x:mergeCell ref="A31:J31"/>
    <x:mergeCell ref="B32:G32"/>
    <x:mergeCell ref="B33:G33"/>
    <x:mergeCell ref="B34:G34"/>
    <x:mergeCell ref="B35:G35"/>
    <x:mergeCell ref="B36:G36"/>
    <x:mergeCell ref="B37:G37"/>
    <x:mergeCell ref="H32:J32"/>
    <x:mergeCell ref="H33:J33"/>
    <x:mergeCell ref="H34:J34"/>
    <x:mergeCell ref="H35:J35"/>
    <x:mergeCell ref="H36:J36"/>
    <x:mergeCell ref="H37:J37"/>
    <x:mergeCell ref="A39:J41"/>
    <x:mergeCell ref="A43:J43"/>
  </x:mergeCells>
  <x:pageMargins left="0.7" right="0.7" top="0.75" bottom="0.75" header="0.3" footer="0.3"/>
  <x:drawing xmlns:r="http://schemas.openxmlformats.org/officeDocument/2006/relationships" r:id="Rfecf5351f0574459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3" hidden="0" customWidth="1"/>
    <x:col min="7" max="7" width="13" hidden="0" customWidth="1"/>
    <x:col min="8" max="8" width="30" hidden="0" customWidth="1"/>
    <x:col min="9" max="9" width="42" hidden="0" customWidth="1"/>
  </x:cols>
  <x:sheetData>
    <x:row r="1" ht="34" customHeight="1">
      <x:c r="A1" s="3" t="str">
        <x:v>MODEL CHECKS</x:v>
      </x:c>
      <x:c r="B1" s="3" t="str">
        <x:v>MODEL CHECKS</x:v>
      </x:c>
      <x:c r="C1" s="3" t="str">
        <x:v>MODEL CHECKS</x:v>
      </x:c>
      <x:c r="D1" s="3" t="str">
        <x:v>MODEL CHECKS</x:v>
      </x:c>
      <x:c r="E1" s="3" t="str">
        <x:v>MODEL CHECKS</x:v>
      </x:c>
      <x:c r="F1" s="3" t="str">
        <x:v>MODEL CHECKS</x:v>
      </x:c>
      <x:c r="G1" s="3" t="str">
        <x:v>MODEL CHECKS</x:v>
      </x:c>
      <x:c r="H1" s="3" t="str">
        <x:v>MODEL CHECKS</x:v>
      </x:c>
      <x:c r="I1" s="3" t="str">
        <x:v>MODEL CHECKS</x:v>
      </x:c>
    </x:row>
    <x:row r="2" ht="24" customHeight="1">
      <x:c r="A2" s="6" t="str">
        <x:v>Debt Sculpting &amp; Waterfall  |  One assertion per row — investigate every FAIL</x:v>
      </x:c>
      <x:c r="B2" s="6" t="str">
        <x:v>Debt Sculpting &amp; Waterfall  |  One assertion per row — investigate every FAIL</x:v>
      </x:c>
      <x:c r="C2" s="6" t="str">
        <x:v>Debt Sculpting &amp; Waterfall  |  One assertion per row — investigate every FAIL</x:v>
      </x:c>
      <x:c r="D2" s="6" t="str">
        <x:v>Debt Sculpting &amp; Waterfall  |  One assertion per row — investigate every FAIL</x:v>
      </x:c>
      <x:c r="E2" s="6" t="str">
        <x:v>Debt Sculpting &amp; Waterfall  |  One assertion per row — investigate every FAIL</x:v>
      </x:c>
      <x:c r="F2" s="6" t="str">
        <x:v>Debt Sculpting &amp; Waterfall  |  One assertion per row — investigate every FAIL</x:v>
      </x:c>
      <x:c r="G2" s="6" t="str">
        <x:v>Debt Sculpting &amp; Waterfall  |  One assertion per row — investigate every FAIL</x:v>
      </x:c>
      <x:c r="H2" s="6" t="str">
        <x:v>Debt Sculpting &amp; Waterfall  |  One assertion per row — investigate every FAIL</x:v>
      </x:c>
      <x:c r="I2" s="6" t="str">
        <x:v>Debt Sculpting &amp; Waterfall  |  One assertion per row — investigate every FAIL</x:v>
      </x:c>
    </x:row>
    <x:row r="3" ht="4" customHeight="1">
      <x:c r="A3" s="7"/>
      <x:c r="B3" s="7"/>
      <x:c r="C3" s="7"/>
      <x:c r="D3" s="7"/>
      <x:c r="E3" s="7"/>
      <x:c r="F3" s="7"/>
      <x:c r="G3" s="7"/>
      <x:c r="H3" s="7"/>
      <x:c r="I3" s="7"/>
    </x:row>
    <x:row r="5">
      <x:c r="A5" s="54" t="str">
        <x:v>MODEL STATUS</x:v>
      </x:c>
      <x:c r="B5" s="189" t="str">
        <x:f>IF(COUNTIF(G8:G19,"FAIL")=0,"PASS","FAIL")</x:f>
        <x:v>PASS</x:v>
      </x:c>
      <x:c r="C5" s="189"/>
      <x:c r="D5" s="191" t="str">
        <x:v>Published controls: 12. PASS means the listed calculations tie within tolerance; source and decision readiness remain separate.</x:v>
      </x:c>
      <x:c r="E5" s="191" t="str">
        <x:v>Published controls: 12. PASS means the listed calculations tie within tolerance; source and decision readiness remain separate.</x:v>
      </x:c>
      <x:c r="F5" s="191" t="str">
        <x:v>Published controls: 12. PASS means the listed calculations tie within tolerance; source and decision readiness remain separate.</x:v>
      </x:c>
      <x:c r="G5" s="191" t="str">
        <x:v>Published controls: 12. PASS means the listed calculations tie within tolerance; source and decision readiness remain separate.</x:v>
      </x:c>
      <x:c r="H5" s="191" t="str">
        <x:v>Published controls: 12. PASS means the listed calculations tie within tolerance; source and decision readiness remain separate.</x:v>
      </x:c>
      <x:c r="I5" s="191" t="str">
        <x:v>Published controls: 12. PASS means the listed calculations tie within tolerance; source and decision readiness remain separate.</x:v>
      </x:c>
    </x:row>
    <x:row r="7" ht="24" customHeight="1">
      <x:c r="A7" s="66" t="str">
        <x:v>Check</x:v>
      </x:c>
      <x:c r="B7" s="67" t="str">
        <x:v>Period</x:v>
      </x:c>
      <x:c r="C7" s="67" t="str">
        <x:v>Actual</x:v>
      </x:c>
      <x:c r="D7" s="67" t="str">
        <x:v>Expected</x:v>
      </x:c>
      <x:c r="E7" s="67" t="str">
        <x:v>Difference</x:v>
      </x:c>
      <x:c r="F7" s="67" t="str">
        <x:v>Tolerance</x:v>
      </x:c>
      <x:c r="G7" s="67" t="str">
        <x:v>Status</x:v>
      </x:c>
      <x:c r="H7" s="67" t="str">
        <x:v>Where to fix</x:v>
      </x:c>
      <x:c r="I7" s="68" t="str">
        <x:v>Notes</x:v>
      </x:c>
    </x:row>
    <x:row r="8">
      <x:c r="A8" s="198" t="str">
        <x:v>Debt roll-forward ties</x:v>
      </x:c>
      <x:c r="B8" s="198" t="str">
        <x:v>Model</x:v>
      </x:c>
      <x:c r="C8" s="199" t="n">
        <x:f>SUM('Sculpting Waterfall'!B22:K22)</x:f>
        <x:v>-1.7763568394002505e-14</x:v>
      </x:c>
      <x:c r="D8" s="199" t="n">
        <x:v>0</x:v>
      </x:c>
      <x:c r="E8" s="199" t="n">
        <x:f>C8-D8</x:f>
        <x:v>-1.7763568394002505e-14</x:v>
      </x:c>
      <x:c r="F8" s="199" t="n">
        <x:v>0.01</x:v>
      </x:c>
      <x:c r="G8" s="200" t="str">
        <x:f>IF(ABS(E8)&lt;=F8,"PASS","FAIL")</x:f>
        <x:v>PASS</x:v>
      </x:c>
      <x:c r="H8" s="201" t="str">
        <x:v>Sculpting Waterfall — debt</x:v>
      </x:c>
      <x:c r="I8" s="201" t="str">
        <x:v>Opening debt less principal equals closing debt.</x:v>
      </x:c>
    </x:row>
    <x:row r="9">
      <x:c r="A9" s="202" t="str">
        <x:v>Waterfall sources and uses tie</x:v>
      </x:c>
      <x:c r="B9" s="202" t="str">
        <x:v>Model</x:v>
      </x:c>
      <x:c r="C9" s="203" t="n">
        <x:f>SUM('Sculpting Waterfall'!B20:K20)</x:f>
        <x:v>0</x:v>
      </x:c>
      <x:c r="D9" s="203" t="n">
        <x:v>0</x:v>
      </x:c>
      <x:c r="E9" s="203" t="n">
        <x:f>C9-D9</x:f>
        <x:v>0</x:v>
      </x:c>
      <x:c r="F9" s="203" t="n">
        <x:v>0.01</x:v>
      </x:c>
      <x:c r="G9" s="204" t="str">
        <x:f>IF(ABS(E9)&lt;=F9,"PASS","FAIL")</x:f>
        <x:v>PASS</x:v>
      </x:c>
      <x:c r="H9" s="205" t="str">
        <x:v>Sculpting Waterfall — waterfall</x:v>
      </x:c>
      <x:c r="I9" s="205" t="str">
        <x:v>CFADS less debt and reserve movements equals cash after debt.</x:v>
      </x:c>
    </x:row>
    <x:row r="10">
      <x:c r="A10" s="202" t="str">
        <x:v>Principal does not exceed opening debt</x:v>
      </x:c>
      <x:c r="B10" s="202" t="str">
        <x:v>Model</x:v>
      </x:c>
      <x:c r="C10" s="203" t="n">
        <x:f>MAX(0,'Sculpting Waterfall'!B9-'Sculpting Waterfall'!B6,'Sculpting Waterfall'!C9-'Sculpting Waterfall'!C6,'Sculpting Waterfall'!D9-'Sculpting Waterfall'!D6,'Sculpting Waterfall'!E9-'Sculpting Waterfall'!E6,'Sculpting Waterfall'!F9-'Sculpting Waterfall'!F6,'Sculpting Waterfall'!G9-'Sculpting Waterfall'!G6,'Sculpting Waterfall'!H9-'Sculpting Waterfall'!H6,'Sculpting Waterfall'!I9-'Sculpting Waterfall'!I6,'Sculpting Waterfall'!J9-'Sculpting Waterfall'!J6,'Sculpting Waterfall'!K9-'Sculpting Waterfall'!K6)</x:f>
        <x:v>0</x:v>
      </x:c>
      <x:c r="D10" s="203" t="n">
        <x:v>0</x:v>
      </x:c>
      <x:c r="E10" s="203" t="n">
        <x:f>C10-D10</x:f>
        <x:v>0</x:v>
      </x:c>
      <x:c r="F10" s="203" t="n">
        <x:v>0.01</x:v>
      </x:c>
      <x:c r="G10" s="204" t="str">
        <x:f>IF(ABS(E10)&lt;=F10,"PASS","FAIL")</x:f>
        <x:v>PASS</x:v>
      </x:c>
      <x:c r="H10" s="205" t="str">
        <x:v>Sculpting Waterfall — principal</x:v>
      </x:c>
      <x:c r="I10" s="205" t="str">
        <x:v>Principal is capped by opening debt.</x:v>
      </x:c>
    </x:row>
    <x:row r="11">
      <x:c r="A11" s="202" t="str">
        <x:v>DSRA roll-forward is non-negative</x:v>
      </x:c>
      <x:c r="B11" s="202" t="str">
        <x:v>Model</x:v>
      </x:c>
      <x:c r="C11" s="203" t="n">
        <x:f>MAX(0,-MIN('Sculpting Waterfall'!B17:K17))</x:f>
        <x:v>0</x:v>
      </x:c>
      <x:c r="D11" s="203" t="n">
        <x:v>0</x:v>
      </x:c>
      <x:c r="E11" s="203" t="n">
        <x:f>C11-D11</x:f>
        <x:v>0</x:v>
      </x:c>
      <x:c r="F11" s="203" t="n">
        <x:v>0.01</x:v>
      </x:c>
      <x:c r="G11" s="204" t="str">
        <x:f>IF(ABS(E11)&lt;=F11,"PASS","FAIL")</x:f>
        <x:v>PASS</x:v>
      </x:c>
      <x:c r="H11" s="205" t="str">
        <x:v>Sculpting Waterfall — DSRA</x:v>
      </x:c>
      <x:c r="I11" s="205" t="str">
        <x:v>Reserve balance cannot be negative.</x:v>
      </x:c>
    </x:row>
    <x:row r="12">
      <x:c r="A12" s="202" t="str">
        <x:v>Distributions respect lock-up</x:v>
      </x:c>
      <x:c r="B12" s="202" t="str">
        <x:v>Model</x:v>
      </x:c>
      <x:c r="C12" s="203" t="n">
        <x:f>SUM('Sculpting Waterfall'!B19:K19)-SUMIF('Sculpting Waterfall'!B12:K12,"&gt;="&amp;'Assumptions'!$F$10,'Sculpting Waterfall'!B19:K19)</x:f>
        <x:v>0</x:v>
      </x:c>
      <x:c r="D12" s="203" t="n">
        <x:v>0</x:v>
      </x:c>
      <x:c r="E12" s="203" t="n">
        <x:f>C12-D12</x:f>
        <x:v>0</x:v>
      </x:c>
      <x:c r="F12" s="203" t="n">
        <x:v>0.01</x:v>
      </x:c>
      <x:c r="G12" s="204" t="str">
        <x:f>IF(ABS(E12)&lt;=F12,"PASS","FAIL")</x:f>
        <x:v>PASS</x:v>
      </x:c>
      <x:c r="H12" s="205" t="str">
        <x:v>Sculpting Waterfall — distribution</x:v>
      </x:c>
      <x:c r="I12" s="205" t="str">
        <x:v>Distributions occur only when DSCR meets the lock-up threshold.</x:v>
      </x:c>
    </x:row>
    <x:row r="13">
      <x:c r="A13" s="202" t="str">
        <x:v>Scenario selector is valid</x:v>
      </x:c>
      <x:c r="B13" s="202" t="str">
        <x:v>Current</x:v>
      </x:c>
      <x:c r="C13" s="206" t="n">
        <x:f>COUNTIF('Assumptions'!$C$5:$E$5,'Assumptions'!$B$3)</x:f>
        <x:v>1</x:v>
      </x:c>
      <x:c r="D13" s="206" t="n">
        <x:v>1</x:v>
      </x:c>
      <x:c r="E13" s="206" t="n">
        <x:f>C13-D13</x:f>
        <x:v>0</x:v>
      </x:c>
      <x:c r="F13" s="206" t="n">
        <x:v>0</x:v>
      </x:c>
      <x:c r="G13" s="204" t="str">
        <x:f>IF(ABS(E13)&lt;=F13,"PASS","FAIL")</x:f>
        <x:v>PASS</x:v>
      </x:c>
      <x:c r="H13" s="205" t="str">
        <x:v>Assumptions B3</x:v>
      </x:c>
      <x:c r="I13" s="205" t="str">
        <x:v>Base, Upside, or Downside only.</x:v>
      </x:c>
    </x:row>
    <x:row r="14">
      <x:c r="A14" s="202" t="str">
        <x:v>Period headers are complete</x:v>
      </x:c>
      <x:c r="B14" s="202" t="str">
        <x:v>All periods</x:v>
      </x:c>
      <x:c r="C14" s="206" t="n">
        <x:f>COUNTA('CFADS Inputs'!B5:K5)</x:f>
        <x:v>10</x:v>
      </x:c>
      <x:c r="D14" s="206" t="n">
        <x:v>10</x:v>
      </x:c>
      <x:c r="E14" s="206" t="n">
        <x:f>C14-D14</x:f>
        <x:v>0</x:v>
      </x:c>
      <x:c r="F14" s="206" t="n">
        <x:v>0</x:v>
      </x:c>
      <x:c r="G14" s="204" t="str">
        <x:f>IF(ABS(E14)&lt;=F14,"PASS","FAIL")</x:f>
        <x:v>PASS</x:v>
      </x:c>
      <x:c r="H14" s="205" t="str">
        <x:v>CFADS Inputs row 5</x:v>
      </x:c>
      <x:c r="I14" s="205" t="str">
        <x:v>All modeled periods must have a visible header.</x:v>
      </x:c>
    </x:row>
    <x:row r="15">
      <x:c r="A15" s="202" t="str">
        <x:v>Source input grid is complete</x:v>
      </x:c>
      <x:c r="B15" s="202" t="str">
        <x:v>All periods</x:v>
      </x:c>
      <x:c r="C15" s="206" t="n">
        <x:f>COUNTA('CFADS Inputs'!B6:K6)</x:f>
        <x:v>10</x:v>
      </x:c>
      <x:c r="D15" s="206" t="n">
        <x:v>10</x:v>
      </x:c>
      <x:c r="E15" s="206" t="n">
        <x:f>C15-D15</x:f>
        <x:v>0</x:v>
      </x:c>
      <x:c r="F15" s="206" t="n">
        <x:v>0</x:v>
      </x:c>
      <x:c r="G15" s="204" t="str">
        <x:f>IF(ABS(E15)&lt;=F15,"PASS","FAIL")</x:f>
        <x:v>PASS</x:v>
      </x:c>
      <x:c r="H15" s="205" t="str">
        <x:v>CFADS Inputs</x:v>
      </x:c>
      <x:c r="I15" s="205" t="str">
        <x:v>Replace blanks with an approved value or an explicitly documented zero.</x:v>
      </x:c>
    </x:row>
    <x:row r="16">
      <x:c r="A16" s="202" t="str">
        <x:v>Selected assumptions are complete</x:v>
      </x:c>
      <x:c r="B16" s="202" t="str">
        <x:v>Current</x:v>
      </x:c>
      <x:c r="C16" s="206" t="n">
        <x:f>COUNT('Assumptions'!F6:F10)</x:f>
        <x:v>5</x:v>
      </x:c>
      <x:c r="D16" s="206" t="n">
        <x:v>5</x:v>
      </x:c>
      <x:c r="E16" s="206" t="n">
        <x:f>C16-D16</x:f>
        <x:v>0</x:v>
      </x:c>
      <x:c r="F16" s="206" t="n">
        <x:v>0</x:v>
      </x:c>
      <x:c r="G16" s="204" t="str">
        <x:f>IF(ABS(E16)&lt;=F16,"PASS","FAIL")</x:f>
        <x:v>PASS</x:v>
      </x:c>
      <x:c r="H16" s="205" t="str">
        <x:v>Assumptions column F</x:v>
      </x:c>
      <x:c r="I16" s="205" t="str">
        <x:v>Every scenario driver must resolve to a numeric selected value.</x:v>
      </x:c>
    </x:row>
    <x:row r="17">
      <x:c r="A17" s="202" t="str">
        <x:v>Core model cells calculate to numbers</x:v>
      </x:c>
      <x:c r="B17" s="202" t="str">
        <x:v>All periods</x:v>
      </x:c>
      <x:c r="C17" s="206" t="n">
        <x:f>COUNT('Sculpting Waterfall'!B6:K22)</x:f>
        <x:v>170</x:v>
      </x:c>
      <x:c r="D17" s="206" t="n">
        <x:v>170</x:v>
      </x:c>
      <x:c r="E17" s="206" t="n">
        <x:f>C17-D17</x:f>
        <x:v>0</x:v>
      </x:c>
      <x:c r="F17" s="206" t="n">
        <x:v>0</x:v>
      </x:c>
      <x:c r="G17" s="204" t="str">
        <x:f>IF(ABS(E17)&lt;=F17,"PASS","FAIL")</x:f>
        <x:v>PASS</x:v>
      </x:c>
      <x:c r="H17" s="205" t="str">
        <x:v>Sculpting Waterfall</x:v>
      </x:c>
      <x:c r="I17" s="205" t="str">
        <x:v>No blank or text output is permitted inside the calculation block.</x:v>
      </x:c>
    </x:row>
    <x:row r="18">
      <x:c r="A18" s="202" t="str">
        <x:v>Sensitivity base ties the headline output</x:v>
      </x:c>
      <x:c r="B18" s="202" t="str">
        <x:v>Base center</x:v>
      </x:c>
      <x:c r="C18" s="203" t="n">
        <x:f>IF('Assumptions'!$B$3="Base",'Sensitivity'!D10,'Sculpting Waterfall'!K$21)</x:f>
        <x:v>364.7092396581639</x:v>
      </x:c>
      <x:c r="D18" s="203" t="n">
        <x:f>'Sculpting Waterfall'!K$21</x:f>
        <x:v>364.7092396581639</x:v>
      </x:c>
      <x:c r="E18" s="203" t="n">
        <x:f>C18-D18</x:f>
        <x:v>0</x:v>
      </x:c>
      <x:c r="F18" s="203" t="n">
        <x:v>0.1</x:v>
      </x:c>
      <x:c r="G18" s="204" t="str">
        <x:f>IF(ABS(E18)&lt;=F18,"PASS","FAIL")</x:f>
        <x:v>PASS</x:v>
      </x:c>
      <x:c r="H18" s="205" t="str">
        <x:v>Sensitivity / core model</x:v>
      </x:c>
      <x:c r="I18" s="205" t="str">
        <x:v>The center cell must recalculate the Base-case headline output; the assertion is N/A under Upside or Downside.</x:v>
      </x:c>
    </x:row>
    <x:row r="19">
      <x:c r="A19" s="207" t="str">
        <x:v>Headline output is non-negative</x:v>
      </x:c>
      <x:c r="B19" s="207" t="str">
        <x:v>All periods</x:v>
      </x:c>
      <x:c r="C19" s="208" t="n">
        <x:f>MAX(0,-MIN('Sculpting Waterfall'!B21:K21))</x:f>
        <x:v>0</x:v>
      </x:c>
      <x:c r="D19" s="208" t="n">
        <x:v>0</x:v>
      </x:c>
      <x:c r="E19" s="208" t="n">
        <x:f>C19-D19</x:f>
        <x:v>0</x:v>
      </x:c>
      <x:c r="F19" s="208" t="n">
        <x:v>0.01</x:v>
      </x:c>
      <x:c r="G19" s="209" t="str">
        <x:f>IF(ABS(E19)&lt;=F19,"PASS","FAIL")</x:f>
        <x:v>PASS</x:v>
      </x:c>
      <x:c r="H19" s="210" t="str">
        <x:v>Sculpting Waterfall — debtCapacity</x:v>
      </x:c>
      <x:c r="I19" s="210" t="str">
        <x:v>Negative outputs require an explicit method and decision interpretation.</x:v>
      </x:c>
    </x:row>
    <x:row r="21">
      <x:c r="A21" s="42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B21" s="43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C21" s="43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D21" s="43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E21" s="43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F21" s="43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G21" s="43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H21" s="43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I21" s="44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</x:row>
    <x:row r="22">
      <x:c r="A22" s="45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B22" s="46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C22" s="46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D22" s="46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E22" s="46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F22" s="46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G22" s="46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H22" s="46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I22" s="47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</x:row>
    <x:row r="23">
      <x:c r="A23" s="48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B23" s="49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C23" s="49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D23" s="49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E23" s="49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F23" s="49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G23" s="49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H23" s="49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I23" s="50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</x:row>
    <x:row r="25">
      <x:c r="A25" s="53" t="str">
        <x:v>TDAT Model Library  |  Trust builds the brand. Insight builds the decision.</x:v>
      </x:c>
      <x:c r="B25" s="53" t="str">
        <x:v>TDAT Model Library  |  Trust builds the brand. Insight builds the decision.</x:v>
      </x:c>
      <x:c r="C25" s="53" t="str">
        <x:v>TDAT Model Library  |  Trust builds the brand. Insight builds the decision.</x:v>
      </x:c>
      <x:c r="D25" s="53" t="str">
        <x:v>TDAT Model Library  |  Trust builds the brand. Insight builds the decision.</x:v>
      </x:c>
      <x:c r="E25" s="53" t="str">
        <x:v>TDAT Model Library  |  Trust builds the brand. Insight builds the decision.</x:v>
      </x:c>
      <x:c r="F25" s="53" t="str">
        <x:v>TDAT Model Library  |  Trust builds the brand. Insight builds the decision.</x:v>
      </x:c>
      <x:c r="G25" s="53" t="str">
        <x:v>TDAT Model Library  |  Trust builds the brand. Insight builds the decision.</x:v>
      </x:c>
      <x:c r="H25" s="53" t="str">
        <x:v>TDAT Model Library  |  Trust builds the brand. Insight builds the decision.</x:v>
      </x:c>
      <x:c r="I25" s="53" t="str">
        <x:v>TDAT Model Library  |  Trust builds the brand. Insight builds the decision.</x:v>
      </x:c>
    </x:row>
  </x:sheetData>
  <x:mergeCells>
    <x:mergeCell ref="A1:I1"/>
    <x:mergeCell ref="A2:I2"/>
    <x:mergeCell ref="B5:C5"/>
    <x:mergeCell ref="D5:I5"/>
    <x:mergeCell ref="A21:I23"/>
    <x:mergeCell ref="A25:I25"/>
  </x:mergeCells>
  <x:conditionalFormatting sqref="G8:G19">
    <x:cfRule type="containsText" dxfId="0" priority="1" operator="containsText" text="PASS"/>
    <x:cfRule type="containsText" dxfId="1" priority="2" operator="containsText" text="FAIL"/>
  </x:conditionalFormatting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28" hidden="0" customWidth="1"/>
    <x:col min="3" max="3" width="16" hidden="0" customWidth="1"/>
    <x:col min="4" max="4" width="16" hidden="0" customWidth="1"/>
    <x:col min="5" max="5" width="22" hidden="0" customWidth="1"/>
    <x:col min="6" max="6" width="28" hidden="0" customWidth="1"/>
    <x:col min="7" max="7" width="18" hidden="0" customWidth="1"/>
    <x:col min="8" max="8" width="18" hidden="0" customWidth="1"/>
    <x:col min="9" max="9" width="16" hidden="0" customWidth="1"/>
    <x:col min="10" max="10" width="30" hidden="0" customWidth="1"/>
  </x:cols>
  <x:sheetData>
    <x:row r="1" ht="34" customHeight="1">
      <x:c r="A1" s="3" t="str">
        <x:v>SOURCES &amp; VERSION</x:v>
      </x:c>
      <x:c r="B1" s="3" t="str">
        <x:v>SOURCES &amp; VERSION</x:v>
      </x:c>
      <x:c r="C1" s="3" t="str">
        <x:v>SOURCES &amp; VERSION</x:v>
      </x:c>
      <x:c r="D1" s="3" t="str">
        <x:v>SOURCES &amp; VERSION</x:v>
      </x:c>
      <x:c r="E1" s="3" t="str">
        <x:v>SOURCES &amp; VERSION</x:v>
      </x:c>
      <x:c r="F1" s="3" t="str">
        <x:v>SOURCES &amp; VERSION</x:v>
      </x:c>
      <x:c r="G1" s="3" t="str">
        <x:v>SOURCES &amp; VERSION</x:v>
      </x:c>
      <x:c r="H1" s="3" t="str">
        <x:v>SOURCES &amp; VERSION</x:v>
      </x:c>
      <x:c r="I1" s="3" t="str">
        <x:v>SOURCES &amp; VERSION</x:v>
      </x:c>
      <x:c r="J1" s="3" t="str">
        <x:v>SOURCES &amp; VERSION</x:v>
      </x:c>
    </x:row>
    <x:row r="2" ht="24" customHeight="1">
      <x:c r="A2" s="6" t="str">
        <x:v>Debt Sculpting &amp; Waterfall  |  Assumption register, release facts, and distribution controls</x:v>
      </x:c>
      <x:c r="B2" s="6" t="str">
        <x:v>Debt Sculpting &amp; Waterfall  |  Assumption register, release facts, and distribution controls</x:v>
      </x:c>
      <x:c r="C2" s="6" t="str">
        <x:v>Debt Sculpting &amp; Waterfall  |  Assumption register, release facts, and distribution controls</x:v>
      </x:c>
      <x:c r="D2" s="6" t="str">
        <x:v>Debt Sculpting &amp; Waterfall  |  Assumption register, release facts, and distribution controls</x:v>
      </x:c>
      <x:c r="E2" s="6" t="str">
        <x:v>Debt Sculpting &amp; Waterfall  |  Assumption register, release facts, and distribution controls</x:v>
      </x:c>
      <x:c r="F2" s="6" t="str">
        <x:v>Debt Sculpting &amp; Waterfall  |  Assumption register, release facts, and distribution controls</x:v>
      </x:c>
      <x:c r="G2" s="6" t="str">
        <x:v>Debt Sculpting &amp; Waterfall  |  Assumption register, release facts, and distribution controls</x:v>
      </x:c>
      <x:c r="H2" s="6" t="str">
        <x:v>Debt Sculpting &amp; Waterfall  |  Assumption register, release facts, and distribution controls</x:v>
      </x:c>
      <x:c r="I2" s="6" t="str">
        <x:v>Debt Sculpting &amp; Waterfall  |  Assumption register, release facts, and distribution controls</x:v>
      </x:c>
      <x:c r="J2" s="6" t="str">
        <x:v>Debt Sculpting &amp; Waterfall  |  Assumption register, release facts, and distribution controls</x:v>
      </x:c>
    </x:row>
    <x:row r="3" ht="4" customHeight="1">
      <x:c r="A3" s="7"/>
      <x:c r="B3" s="7"/>
      <x:c r="C3" s="7"/>
      <x:c r="D3" s="7"/>
      <x:c r="E3" s="7"/>
      <x:c r="F3" s="7"/>
      <x:c r="G3" s="7"/>
      <x:c r="H3" s="7"/>
      <x:c r="I3" s="7"/>
      <x:c r="J3" s="7"/>
    </x:row>
    <x:row r="5" ht="22" customHeight="1">
      <x:c r="A5" s="9" t="str">
        <x:v>SOURCE / ASSUMPTION REGISTER</x:v>
      </x:c>
      <x:c r="B5" s="9" t="str">
        <x:v>SOURCE / ASSUMPTION REGISTER</x:v>
      </x:c>
      <x:c r="C5" s="9" t="str">
        <x:v>SOURCE / ASSUMPTION REGISTER</x:v>
      </x:c>
      <x:c r="D5" s="9" t="str">
        <x:v>SOURCE / ASSUMPTION REGISTER</x:v>
      </x:c>
      <x:c r="E5" s="9" t="str">
        <x:v>SOURCE / ASSUMPTION REGISTER</x:v>
      </x:c>
      <x:c r="F5" s="9" t="str">
        <x:v>SOURCE / ASSUMPTION REGISTER</x:v>
      </x:c>
      <x:c r="G5" s="9" t="str">
        <x:v>SOURCE / ASSUMPTION REGISTER</x:v>
      </x:c>
      <x:c r="H5" s="9" t="str">
        <x:v>SOURCE / ASSUMPTION REGISTER</x:v>
      </x:c>
      <x:c r="I5" s="9" t="str">
        <x:v>SOURCE / ASSUMPTION REGISTER</x:v>
      </x:c>
    </x:row>
    <x:row r="6" ht="24" customHeight="1">
      <x:c r="A6" s="66" t="str">
        <x:v>Item</x:v>
      </x:c>
      <x:c r="B6" s="67" t="str">
        <x:v>Value / definition</x:v>
      </x:c>
      <x:c r="C6" s="67" t="str">
        <x:v>Units</x:v>
      </x:c>
      <x:c r="D6" s="67" t="str">
        <x:v>Period / as-of</x:v>
      </x:c>
      <x:c r="E6" s="67" t="str">
        <x:v>Source type</x:v>
      </x:c>
      <x:c r="F6" s="67" t="str">
        <x:v>Source / owner</x:v>
      </x:c>
      <x:c r="G6" s="67" t="str">
        <x:v>Ref</x:v>
      </x:c>
      <x:c r="H6" s="67" t="str">
        <x:v>Confidence</x:v>
      </x:c>
      <x:c r="I6" s="68" t="str">
        <x:v>Notes</x:v>
      </x:c>
    </x:row>
    <x:row r="7">
      <x:c r="A7" s="152" t="str">
        <x:v>Worked example</x:v>
      </x:c>
      <x:c r="B7" s="153" t="str">
        <x:v>Synthetic case values</x:v>
      </x:c>
      <x:c r="C7" s="153" t="str">
        <x:v>LCY millions</x:v>
      </x:c>
      <x:c r="D7" s="153" t="str">
        <x:v>2026-07-13</x:v>
      </x:c>
      <x:c r="E7" s="153" t="str">
        <x:v>Illustrative</x:v>
      </x:c>
      <x:c r="F7" s="153" t="str">
        <x:v>TDAT model build</x:v>
      </x:c>
      <x:c r="G7" s="153" t="str">
        <x:v>SYN-001</x:v>
      </x:c>
      <x:c r="H7" s="153" t="str">
        <x:v>Illustrative</x:v>
      </x:c>
      <x:c r="I7" s="154" t="str">
        <x:v>Replace before use.</x:v>
      </x:c>
    </x:row>
    <x:row r="8">
      <x:c r="A8" s="155" t="str">
        <x:v>Scenario drivers</x:v>
      </x:c>
      <x:c r="B8" s="156" t="str">
        <x:v>Base / Upside / Downside</x:v>
      </x:c>
      <x:c r="C8" s="156" t="str">
        <x:v>Mixed</x:v>
      </x:c>
      <x:c r="D8" s="156" t="str">
        <x:v>Model horizon</x:v>
      </x:c>
      <x:c r="E8" s="156" t="str">
        <x:v>Assumption</x:v>
      </x:c>
      <x:c r="F8" s="156" t="str">
        <x:v>User / finance owner</x:v>
      </x:c>
      <x:c r="G8" s="156" t="str">
        <x:v>ASM-001</x:v>
      </x:c>
      <x:c r="H8" s="156" t="str">
        <x:v>Open</x:v>
      </x:c>
      <x:c r="I8" s="157" t="str">
        <x:v>Confirm rationale and owner.</x:v>
      </x:c>
    </x:row>
    <x:row r="9">
      <x:c r="A9" s="158" t="str">
        <x:v>Method</x:v>
      </x:c>
      <x:c r="B9" s="159" t="str">
        <x:v>Sculpting Waterfall</x:v>
      </x:c>
      <x:c r="C9" s="159" t="str">
        <x:v>Method</x:v>
      </x:c>
      <x:c r="D9" s="159" t="str">
        <x:v>Version 1.0.0</x:v>
      </x:c>
      <x:c r="E9" s="159" t="str">
        <x:v>Model method</x:v>
      </x:c>
      <x:c r="F9" s="159" t="str">
        <x:v>Model Guide</x:v>
      </x:c>
      <x:c r="G9" s="159" t="str">
        <x:v>MTH-001</x:v>
      </x:c>
      <x:c r="H9" s="159" t="str">
        <x:v>Template</x:v>
      </x:c>
      <x:c r="I9" s="160" t="str">
        <x:v>Validate for the intended use and jurisdiction.</x:v>
      </x:c>
    </x:row>
    <x:row r="11" ht="22" customHeight="1">
      <x:c r="A11" s="9" t="str">
        <x:v>RELEASE FACTS</x:v>
      </x:c>
      <x:c r="B11" s="9" t="str">
        <x:v>RELEASE FACTS</x:v>
      </x:c>
      <x:c r="C11" s="9" t="str">
        <x:v>RELEASE FACTS</x:v>
      </x:c>
      <x:c r="D11" s="9" t="str">
        <x:v>RELEASE FACTS</x:v>
      </x:c>
      <x:c r="E11" s="9" t="str">
        <x:v>RELEASE FACTS</x:v>
      </x:c>
      <x:c r="F11" s="9" t="str">
        <x:v>RELEASE FACTS</x:v>
      </x:c>
      <x:c r="G11" s="9" t="str">
        <x:v>RELEASE FACTS</x:v>
      </x:c>
      <x:c r="H11" s="9" t="str">
        <x:v>RELEASE FACTS</x:v>
      </x:c>
      <x:c r="I11" s="9" t="str">
        <x:v>RELEASE FACTS</x:v>
      </x:c>
    </x:row>
    <x:row r="12">
      <x:c r="A12" s="211" t="str">
        <x:v>Owner</x:v>
      </x:c>
      <x:c r="B12" s="153" t="str">
        <x:v>Truong Dinh Anh Tu</x:v>
      </x:c>
      <x:c r="C12" s="213" t="str">
        <x:v>Version</x:v>
      </x:c>
      <x:c r="D12" s="153" t="str">
        <x:v>1.0.0</x:v>
      </x:c>
      <x:c r="E12" s="213" t="str">
        <x:v>Standard</x:v>
      </x:c>
      <x:c r="F12" s="153" t="str">
        <x:v>TDAT Model Standard 1.0</x:v>
      </x:c>
      <x:c r="G12" s="213" t="str">
        <x:v>Last QA</x:v>
      </x:c>
      <x:c r="H12" s="153" t="str">
        <x:v>2026-07-13</x:v>
      </x:c>
      <x:c r="I12" s="213" t="str">
        <x:v>Status</x:v>
      </x:c>
      <x:c r="J12" s="154" t="str">
        <x:v>Available after release gates</x:v>
      </x:c>
    </x:row>
    <x:row r="13">
      <x:c r="A13" s="212" t="str">
        <x:v>Compatibility</x:v>
      </x:c>
      <x:c r="B13" s="159" t="str">
        <x:v>Excel 365</x:v>
      </x:c>
      <x:c r="C13" s="214" t="str">
        <x:v>Macros</x:v>
      </x:c>
      <x:c r="D13" s="159" t="str">
        <x:v>None</x:v>
      </x:c>
      <x:c r="E13" s="214" t="str">
        <x:v>External links</x:v>
      </x:c>
      <x:c r="F13" s="159" t="str">
        <x:v>None</x:v>
      </x:c>
      <x:c r="G13" s="214" t="str">
        <x:v>Circularity</x:v>
      </x:c>
      <x:c r="H13" s="159" t="str">
        <x:v>None</x:v>
      </x:c>
      <x:c r="I13" s="214" t="str">
        <x:v>Evidence</x:v>
      </x:c>
      <x:c r="J13" s="160" t="str">
        <x:v>Synthetic worked template</x:v>
      </x:c>
    </x:row>
    <x:row r="15" ht="22" customHeight="1">
      <x:c r="A15" s="9" t="str">
        <x:v>CHANGE LOG</x:v>
      </x:c>
      <x:c r="B15" s="9" t="str">
        <x:v>CHANGE LOG</x:v>
      </x:c>
      <x:c r="C15" s="9" t="str">
        <x:v>CHANGE LOG</x:v>
      </x:c>
      <x:c r="D15" s="9" t="str">
        <x:v>CHANGE LOG</x:v>
      </x:c>
      <x:c r="E15" s="9" t="str">
        <x:v>CHANGE LOG</x:v>
      </x:c>
      <x:c r="F15" s="9" t="str">
        <x:v>CHANGE LOG</x:v>
      </x:c>
      <x:c r="G15" s="9" t="str">
        <x:v>CHANGE LOG</x:v>
      </x:c>
      <x:c r="H15" s="9" t="str">
        <x:v>CHANGE LOG</x:v>
      </x:c>
      <x:c r="I15" s="9" t="str">
        <x:v>CHANGE LOG</x:v>
      </x:c>
    </x:row>
    <x:row r="16" ht="24" customHeight="1">
      <x:c r="A16" s="66" t="str">
        <x:v>Version</x:v>
      </x:c>
      <x:c r="B16" s="67" t="str">
        <x:v>Date</x:v>
      </x:c>
      <x:c r="C16" s="67" t="str">
        <x:v>Changed sheets</x:v>
      </x:c>
      <x:c r="D16" s="67" t="str">
        <x:v>Change</x:v>
      </x:c>
      <x:c r="E16" s="67" t="str">
        <x:v>Impact</x:v>
      </x:c>
      <x:c r="F16" s="67" t="str">
        <x:v>Migration note</x:v>
      </x:c>
      <x:c r="G16" s="67" t="str">
        <x:v>Owner</x:v>
      </x:c>
      <x:c r="H16" s="67" t="str">
        <x:v>Reviewer</x:v>
      </x:c>
      <x:c r="I16" s="68" t="str">
        <x:v>Status</x:v>
      </x:c>
    </x:row>
    <x:row r="17">
      <x:c r="A17" s="218" t="str">
        <x:v>1.0.0</x:v>
      </x:c>
      <x:c r="B17" s="219" t="str">
        <x:v>2026-07-13</x:v>
      </x:c>
      <x:c r="C17" s="219" t="str">
        <x:v>All</x:v>
      </x:c>
      <x:c r="D17" s="219" t="str">
        <x:v>Initial public reusable template</x:v>
      </x:c>
      <x:c r="E17" s="219" t="str">
        <x:v>New model release</x:v>
      </x:c>
      <x:c r="F17" s="219" t="str">
        <x:v>None</x:v>
      </x:c>
      <x:c r="G17" s="219" t="str">
        <x:v>Truong Dinh Anh Tu</x:v>
      </x:c>
      <x:c r="H17" s="219" t="str">
        <x:v>TDAT QA review</x:v>
      </x:c>
      <x:c r="I17" s="220" t="str">
        <x:v>Released</x:v>
      </x:c>
    </x:row>
    <x:row r="19" ht="22" customHeight="1">
      <x:c r="A19" s="9" t="str">
        <x:v>DISTRIBUTION &amp; PRIVACY</x:v>
      </x:c>
      <x:c r="B19" s="9" t="str">
        <x:v>DISTRIBUTION &amp; PRIVACY</x:v>
      </x:c>
      <x:c r="C19" s="9" t="str">
        <x:v>DISTRIBUTION &amp; PRIVACY</x:v>
      </x:c>
      <x:c r="D19" s="9" t="str">
        <x:v>DISTRIBUTION &amp; PRIVACY</x:v>
      </x:c>
      <x:c r="E19" s="9" t="str">
        <x:v>DISTRIBUTION &amp; PRIVACY</x:v>
      </x:c>
      <x:c r="F19" s="9" t="str">
        <x:v>DISTRIBUTION &amp; PRIVACY</x:v>
      </x:c>
      <x:c r="G19" s="9" t="str">
        <x:v>DISTRIBUTION &amp; PRIVACY</x:v>
      </x:c>
      <x:c r="H19" s="9" t="str">
        <x:v>DISTRIBUTION &amp; PRIVACY</x:v>
      </x:c>
      <x:c r="I19" s="9" t="str">
        <x:v>DISTRIBUTION &amp; PRIVACY</x:v>
      </x:c>
    </x:row>
    <x:row r="20" ht="32" customHeight="1">
      <x:c r="A20" s="21" t="str">
        <x:v>Public-safe evidence</x:v>
      </x:c>
      <x:c r="B20" s="17" t="str">
        <x:v>Synthetic company/case values only</x:v>
      </x:c>
      <x:c r="C20" s="17" t="str"/>
      <x:c r="D20" s="17" t="str"/>
      <x:c r="E20" s="17" t="str"/>
      <x:c r="F20" s="17" t="str"/>
      <x:c r="G20" s="17" t="str"/>
      <x:c r="H20" s="17" t="str"/>
      <x:c r="I20" s="17" t="str"/>
    </x:row>
    <x:row r="21" ht="32" customHeight="1">
      <x:c r="A21" s="21" t="str">
        <x:v>Excluded content</x:v>
      </x:c>
      <x:c r="B21" s="17" t="str">
        <x:v>No real customer, employee, vendor, borrower, issuer, position, policyholder, transaction, or household record</x:v>
      </x:c>
      <x:c r="C21" s="17" t="str"/>
      <x:c r="D21" s="17" t="str"/>
      <x:c r="E21" s="17" t="str"/>
      <x:c r="F21" s="17" t="str"/>
      <x:c r="G21" s="17" t="str"/>
      <x:c r="H21" s="17" t="str"/>
      <x:c r="I21" s="17" t="str"/>
    </x:row>
    <x:row r="22" ht="32" customHeight="1">
      <x:c r="A22" s="21" t="str">
        <x:v>Dependencies</x:v>
      </x:c>
      <x:c r="B22" s="17" t="str">
        <x:v>Macro-free .xlsx; no external workbooks, add-ins, live connections, or intentional circular references</x:v>
      </x:c>
      <x:c r="C22" s="17" t="str"/>
      <x:c r="D22" s="17" t="str"/>
      <x:c r="E22" s="17" t="str"/>
      <x:c r="F22" s="17" t="str"/>
      <x:c r="G22" s="17" t="str"/>
      <x:c r="H22" s="17" t="str"/>
      <x:c r="I22" s="17" t="str"/>
    </x:row>
    <x:row r="23" ht="32" customHeight="1">
      <x:c r="A23" s="21" t="str">
        <x:v>Usage</x:v>
      </x:c>
      <x:c r="B23" s="17" t="str">
        <x:v>Adapt for learning, interview cases, internal planning, or analysis. Do not resell an unchanged copy as your own product.</x:v>
      </x:c>
      <x:c r="C23" s="17" t="str"/>
      <x:c r="D23" s="17" t="str"/>
      <x:c r="E23" s="17" t="str"/>
      <x:c r="F23" s="17" t="str"/>
      <x:c r="G23" s="17" t="str"/>
      <x:c r="H23" s="17" t="str"/>
      <x:c r="I23" s="17" t="str"/>
    </x:row>
    <x:row r="24" ht="32" customHeight="1">
      <x:c r="A24" s="21" t="str">
        <x:v>Responsibility</x:v>
      </x:c>
      <x:c r="B24" s="17" t="str">
        <x:v>Illustrative sculpting and waterfall mechanics only. Validate CFADS definition, debt terms, reserve documents, distribution lock-ups, subordination, tax, and legal waterfall with qualified project-finance and legal reviewers.</x:v>
      </x:c>
      <x:c r="C24" s="17" t="str"/>
      <x:c r="D24" s="17" t="str"/>
      <x:c r="E24" s="17" t="str"/>
      <x:c r="F24" s="17" t="str"/>
      <x:c r="G24" s="17" t="str"/>
      <x:c r="H24" s="17" t="str"/>
      <x:c r="I24" s="17" t="str"/>
    </x:row>
    <x:row r="26">
      <x:c r="A26" s="42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B26" s="43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C26" s="43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D26" s="43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E26" s="43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F26" s="43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G26" s="43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H26" s="43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I26" s="44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</x:row>
    <x:row r="27">
      <x:c r="A27" s="45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B27" s="46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C27" s="46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D27" s="46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E27" s="46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F27" s="46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G27" s="46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H27" s="46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I27" s="47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</x:row>
    <x:row r="28">
      <x:c r="A28" s="48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B28" s="49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C28" s="49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D28" s="49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E28" s="49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F28" s="49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G28" s="49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H28" s="49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I28" s="50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</x:row>
    <x:row r="30">
      <x:c r="A30" s="53" t="str">
        <x:v>TDAT Model Library  |  Trust builds the brand. Insight builds the decision.</x:v>
      </x:c>
      <x:c r="B30" s="53" t="str">
        <x:v>TDAT Model Library  |  Trust builds the brand. Insight builds the decision.</x:v>
      </x:c>
      <x:c r="C30" s="53" t="str">
        <x:v>TDAT Model Library  |  Trust builds the brand. Insight builds the decision.</x:v>
      </x:c>
      <x:c r="D30" s="53" t="str">
        <x:v>TDAT Model Library  |  Trust builds the brand. Insight builds the decision.</x:v>
      </x:c>
      <x:c r="E30" s="53" t="str">
        <x:v>TDAT Model Library  |  Trust builds the brand. Insight builds the decision.</x:v>
      </x:c>
      <x:c r="F30" s="53" t="str">
        <x:v>TDAT Model Library  |  Trust builds the brand. Insight builds the decision.</x:v>
      </x:c>
      <x:c r="G30" s="53" t="str">
        <x:v>TDAT Model Library  |  Trust builds the brand. Insight builds the decision.</x:v>
      </x:c>
      <x:c r="H30" s="53" t="str">
        <x:v>TDAT Model Library  |  Trust builds the brand. Insight builds the decision.</x:v>
      </x:c>
      <x:c r="I30" s="53" t="str">
        <x:v>TDAT Model Library  |  Trust builds the brand. Insight builds the decision.</x:v>
      </x:c>
      <x:c r="J30" s="53" t="str">
        <x:v>TDAT Model Library  |  Trust builds the brand. Insight builds the decision.</x:v>
      </x:c>
    </x:row>
  </x:sheetData>
  <x:mergeCells>
    <x:mergeCell ref="A1:J1"/>
    <x:mergeCell ref="A2:J2"/>
    <x:mergeCell ref="A5:I5"/>
    <x:mergeCell ref="A11:I11"/>
    <x:mergeCell ref="A15:I15"/>
    <x:mergeCell ref="A19:I19"/>
    <x:mergeCell ref="B20:I20"/>
    <x:mergeCell ref="B21:I21"/>
    <x:mergeCell ref="B22:I22"/>
    <x:mergeCell ref="B23:I23"/>
    <x:mergeCell ref="B24:I24"/>
    <x:mergeCell ref="A26:I28"/>
    <x:mergeCell ref="A30:J30"/>
  </x:mergeCells>
  <x:pageMargins left="0.7" right="0.7" top="0.75" bottom="0.75" header="0.3" footer="0.3"/>
</x:worksheet>
</file>