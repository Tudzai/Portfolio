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4a5177b0b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79b428fe6ee44fee"/>
    <x:sheet xmlns:r="http://schemas.openxmlformats.org/officeDocument/2006/relationships" name="Inputs" sheetId="2" r:id="R2c1c3eaf977b4b9b"/>
    <x:sheet xmlns:r="http://schemas.openxmlformats.org/officeDocument/2006/relationships" name="Model" sheetId="3" r:id="Rd1139430fd014cf6"/>
    <x:sheet xmlns:r="http://schemas.openxmlformats.org/officeDocument/2006/relationships" name="Results" sheetId="4" r:id="R45aaf5f59ae6476b"/>
    <x:sheet xmlns:r="http://schemas.openxmlformats.org/officeDocument/2006/relationships" name="Checks" sheetId="5" r:id="Re2f30054b73b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0.0x;[Red](0.0x);-"/>
    <x:numFmt numFmtId="203" formatCode="#,##0.0;[Red](#,##0.0);-"/>
    <x:numFmt numFmtId="204" formatCode="0.00;[Red](0.00);-"/>
  </x:numFmts>
  <x:fonts count="14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68717C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0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bottom style="thin">
        <x:color rgb="FFB5883A"/>
      </x:bottom>
    </x:border>
    <x:border>
      <x:left style="thin">
        <x:color rgb="FFD7DBE0"/>
      </x:left>
      <x:bottom style="thin">
        <x:color rgb="FFB5883A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6" borderId="16" xfId="0" applyNumberFormat="1" applyFont="1" applyFill="1" applyBorder="1" applyAlignment="1">
      <x:alignment horizontal="lef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203" fontId="7" fillId="8" borderId="0" xfId="0" applyNumberFormat="1" applyFont="1" applyFill="1" applyBorder="1" applyAlignment="1">
      <x:alignment vertical="center"/>
    </x:xf>
    <x:xf numFmtId="203" fontId="7" fillId="8" borderId="0" xfId="0" applyNumberFormat="1" applyFont="1" applyFill="1" applyBorder="1" applyAlignment="1">
      <x:alignment horizontal="right" vertical="center"/>
    </x:xf>
    <x:xf numFmtId="203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201" fontId="7" fillId="8" borderId="0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horizontal="right" vertical="center"/>
    </x:xf>
    <x:xf numFmtId="202" fontId="7" fillId="8" borderId="0" xfId="0" applyNumberFormat="1" applyFont="1" applyFill="1" applyBorder="1" applyAlignment="1">
      <x:alignment vertical="center"/>
    </x:xf>
    <x:xf numFmtId="202" fontId="7" fillId="8" borderId="0" xfId="0" applyNumberFormat="1" applyFont="1" applyFill="1" applyBorder="1" applyAlignment="1">
      <x:alignment horizontal="right" vertical="center"/>
    </x:xf>
    <x:xf numFmtId="201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horizontal="right" vertical="center"/>
    </x:xf>
    <x:xf numFmtId="0" fontId="8" fillId="8" borderId="0" xfId="0" applyNumberFormat="1" applyFont="1" applyFill="1" applyBorder="1" applyAlignment="1">
      <x:alignment vertical="center"/>
    </x:xf>
    <x:xf numFmtId="203" fontId="8" fillId="8" borderId="0" xfId="0" applyNumberFormat="1" applyFont="1" applyFill="1" applyBorder="1" applyAlignment="1">
      <x:alignment vertical="center"/>
    </x:xf>
    <x:xf numFmtId="203" fontId="8" fillId="8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203" fontId="3" fillId="10" borderId="0" xfId="0" applyNumberFormat="1" applyFont="1" applyFill="1" applyBorder="1" applyAlignment="1">
      <x:alignment vertical="center"/>
    </x:xf>
    <x:xf numFmtId="203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4" xfId="0" applyNumberFormat="1" applyFont="1" applyFill="1" applyBorder="1" applyAlignment="1">
      <x:alignment vertical="center"/>
    </x:xf>
    <x:xf numFmtId="0" fontId="5" fillId="10" borderId="5" xfId="0" applyNumberFormat="1" applyFont="1" applyFill="1" applyBorder="1" applyAlignment="1">
      <x:alignment vertical="center"/>
    </x:xf>
    <x:xf numFmtId="0" fontId="5" fillId="10" borderId="4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2" fillId="6" borderId="4" xfId="0" applyNumberFormat="1" applyFont="1" applyFill="1" applyBorder="1" applyAlignment="1">
      <x:alignment vertical="center"/>
    </x:xf>
    <x:xf numFmtId="0" fontId="2" fillId="6" borderId="5" xfId="0" applyNumberFormat="1" applyFont="1" applyFill="1" applyBorder="1" applyAlignment="1">
      <x:alignment vertical="center"/>
    </x:xf>
    <x:xf numFmtId="0" fontId="2" fillId="6" borderId="16" xfId="0" applyNumberFormat="1" applyFont="1" applyFill="1" applyBorder="1" applyAlignment="1">
      <x:alignment vertical="center"/>
    </x:xf>
    <x:xf numFmtId="0" fontId="2" fillId="6" borderId="17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9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horizontal="center" vertical="center"/>
    </x:xf>
    <x:xf numFmtId="0" fontId="2" fillId="3" borderId="19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20" xfId="0" applyNumberFormat="1" applyFont="1" applyFill="1" applyBorder="1" applyAlignment="1">
      <x:alignment vertical="center"/>
    </x:xf>
    <x:xf numFmtId="0" fontId="9" fillId="8" borderId="21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vertical="center"/>
    </x:xf>
    <x:xf numFmtId="203" fontId="9" fillId="8" borderId="3" xfId="0" applyNumberFormat="1" applyFont="1" applyFill="1" applyBorder="1" applyAlignment="1">
      <x:alignment vertical="center"/>
    </x:xf>
    <x:xf numFmtId="203" fontId="9" fillId="8" borderId="20" xfId="0" applyNumberFormat="1" applyFont="1" applyFill="1" applyBorder="1" applyAlignment="1">
      <x:alignment vertical="center"/>
    </x:xf>
    <x:xf numFmtId="203" fontId="9" fillId="8" borderId="21" xfId="0" applyNumberFormat="1" applyFont="1" applyFill="1" applyBorder="1" applyAlignment="1">
      <x:alignment vertical="center"/>
    </x:xf>
    <x:xf numFmtId="203" fontId="9" fillId="8" borderId="4" xfId="0" applyNumberFormat="1" applyFont="1" applyFill="1" applyBorder="1" applyAlignment="1">
      <x:alignment vertical="center"/>
    </x:xf>
    <x:xf numFmtId="203" fontId="9" fillId="8" borderId="6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horizontal="center" vertical="center"/>
    </x:xf>
    <x:xf numFmtId="203" fontId="9" fillId="8" borderId="3" xfId="0" applyNumberFormat="1" applyFont="1" applyFill="1" applyBorder="1" applyAlignment="1">
      <x:alignment horizontal="center" vertical="center"/>
    </x:xf>
    <x:xf numFmtId="203" fontId="9" fillId="8" borderId="20" xfId="0" applyNumberFormat="1" applyFont="1" applyFill="1" applyBorder="1" applyAlignment="1">
      <x:alignment horizontal="center" vertical="center"/>
    </x:xf>
    <x:xf numFmtId="203" fontId="9" fillId="8" borderId="21" xfId="0" applyNumberFormat="1" applyFont="1" applyFill="1" applyBorder="1" applyAlignment="1">
      <x:alignment horizontal="center" vertical="center"/>
    </x:xf>
    <x:xf numFmtId="203" fontId="9" fillId="8" borderId="4" xfId="0" applyNumberFormat="1" applyFont="1" applyFill="1" applyBorder="1" applyAlignment="1">
      <x:alignment horizontal="center" vertical="center"/>
    </x:xf>
    <x:xf numFmtId="203" fontId="9" fillId="8" borderId="6" xfId="0" applyNumberFormat="1" applyFont="1" applyFill="1" applyBorder="1" applyAlignment="1">
      <x:alignment horizontal="center" vertical="center"/>
    </x:xf>
    <x:xf numFmtId="201" fontId="9" fillId="8" borderId="1" xfId="0" applyNumberFormat="1" applyFont="1" applyFill="1" applyBorder="1" applyAlignment="1">
      <x:alignment vertical="center"/>
    </x:xf>
    <x:xf numFmtId="201" fontId="9" fillId="8" borderId="3" xfId="0" applyNumberFormat="1" applyFont="1" applyFill="1" applyBorder="1" applyAlignment="1">
      <x:alignment vertical="center"/>
    </x:xf>
    <x:xf numFmtId="201" fontId="9" fillId="8" borderId="20" xfId="0" applyNumberFormat="1" applyFont="1" applyFill="1" applyBorder="1" applyAlignment="1">
      <x:alignment vertical="center"/>
    </x:xf>
    <x:xf numFmtId="201" fontId="9" fillId="8" borderId="21" xfId="0" applyNumberFormat="1" applyFont="1" applyFill="1" applyBorder="1" applyAlignment="1">
      <x:alignment vertical="center"/>
    </x:xf>
    <x:xf numFmtId="201" fontId="9" fillId="8" borderId="4" xfId="0" applyNumberFormat="1" applyFont="1" applyFill="1" applyBorder="1" applyAlignment="1">
      <x:alignment vertical="center"/>
    </x:xf>
    <x:xf numFmtId="201" fontId="9" fillId="8" borderId="6" xfId="0" applyNumberFormat="1" applyFont="1" applyFill="1" applyBorder="1" applyAlignment="1">
      <x:alignment vertical="center"/>
    </x:xf>
    <x:xf numFmtId="201" fontId="9" fillId="8" borderId="1" xfId="0" applyNumberFormat="1" applyFont="1" applyFill="1" applyBorder="1" applyAlignment="1">
      <x:alignment horizontal="center" vertical="center"/>
    </x:xf>
    <x:xf numFmtId="201" fontId="9" fillId="8" borderId="3" xfId="0" applyNumberFormat="1" applyFont="1" applyFill="1" applyBorder="1" applyAlignment="1">
      <x:alignment horizontal="center" vertical="center"/>
    </x:xf>
    <x:xf numFmtId="201" fontId="9" fillId="8" borderId="20" xfId="0" applyNumberFormat="1" applyFont="1" applyFill="1" applyBorder="1" applyAlignment="1">
      <x:alignment horizontal="center" vertical="center"/>
    </x:xf>
    <x:xf numFmtId="201" fontId="9" fillId="8" borderId="21" xfId="0" applyNumberFormat="1" applyFont="1" applyFill="1" applyBorder="1" applyAlignment="1">
      <x:alignment horizontal="center" vertical="center"/>
    </x:xf>
    <x:xf numFmtId="201" fontId="9" fillId="8" borderId="4" xfId="0" applyNumberFormat="1" applyFont="1" applyFill="1" applyBorder="1" applyAlignment="1">
      <x:alignment horizontal="center" vertical="center"/>
    </x:xf>
    <x:xf numFmtId="201" fontId="9" fillId="8" borderId="6" xfId="0" applyNumberFormat="1" applyFont="1" applyFill="1" applyBorder="1" applyAlignment="1">
      <x:alignment horizontal="center" vertical="center"/>
    </x:xf>
    <x:xf numFmtId="0" fontId="2" fillId="6" borderId="16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horizontal="right"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horizontal="right"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/>
    </x:xf>
    <x:xf numFmtId="0" fontId="9" fillId="5" borderId="23" xfId="0" applyNumberFormat="1" applyFont="1" applyFill="1" applyBorder="1" applyAlignment="1">
      <x:alignment vertical="center"/>
    </x:xf>
    <x:xf numFmtId="0" fontId="9" fillId="5" borderId="24" xfId="0" applyNumberFormat="1" applyFont="1" applyFill="1" applyBorder="1" applyAlignment="1">
      <x:alignment vertical="center"/>
    </x:xf>
    <x:xf numFmtId="0" fontId="9" fillId="5" borderId="25" xfId="0" applyNumberFormat="1" applyFont="1" applyFill="1" applyBorder="1" applyAlignment="1">
      <x:alignment vertical="center"/>
    </x:xf>
    <x:xf numFmtId="0" fontId="9" fillId="5" borderId="16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9" fillId="5" borderId="24" xfId="0" applyNumberFormat="1" applyFont="1" applyFill="1" applyBorder="1" applyAlignment="1">
      <x:alignment vertical="center" wrapText="1"/>
    </x:xf>
    <x:xf numFmtId="0" fontId="9" fillId="5" borderId="2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9" fillId="5" borderId="24" xfId="0" applyNumberFormat="1" applyFont="1" applyFill="1" applyBorder="1" applyAlignment="1">
      <x:alignment horizontal="center" vertical="center" wrapText="1"/>
    </x:xf>
    <x:xf numFmtId="0" fontId="9" fillId="5" borderId="25" xfId="0" applyNumberFormat="1" applyFont="1" applyFill="1" applyBorder="1" applyAlignment="1">
      <x:alignment horizontal="center" vertical="center" wrapText="1"/>
    </x:xf>
    <x:xf numFmtId="0" fontId="9" fillId="5" borderId="16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27" xfId="0" applyNumberFormat="1" applyFont="1" applyFill="1" applyBorder="1" applyAlignment="1">
      <x:alignment vertical="center"/>
    </x:xf>
    <x:xf numFmtId="0" fontId="11" fillId="8" borderId="28" xfId="0" applyNumberFormat="1" applyFont="1" applyFill="1" applyBorder="1" applyAlignment="1">
      <x:alignment vertical="center"/>
    </x:xf>
    <x:xf numFmtId="0" fontId="11" fillId="8" borderId="27" xfId="0" applyNumberFormat="1" applyFont="1" applyFill="1" applyBorder="1" applyAlignment="1">
      <x:alignment horizontal="center" vertical="center"/>
    </x:xf>
    <x:xf numFmtId="0" fontId="11" fillId="8" borderId="28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27" xfId="0" applyNumberFormat="1" applyFont="1" applyFill="1" applyBorder="1" applyAlignment="1">
      <x:alignment vertical="center"/>
    </x:xf>
    <x:xf numFmtId="0" fontId="12" fillId="9" borderId="28" xfId="0" applyNumberFormat="1" applyFont="1" applyFill="1" applyBorder="1" applyAlignment="1">
      <x:alignment vertical="center"/>
    </x:xf>
    <x:xf numFmtId="0" fontId="12" fillId="9" borderId="27" xfId="0" applyNumberFormat="1" applyFont="1" applyFill="1" applyBorder="1" applyAlignment="1">
      <x:alignment vertical="center" wrapText="1"/>
    </x:xf>
    <x:xf numFmtId="0" fontId="12" fillId="9" borderId="28" xfId="0" applyNumberFormat="1" applyFont="1" applyFill="1" applyBorder="1" applyAlignment="1">
      <x:alignment vertical="center" wrapText="1"/>
    </x:xf>
    <x:xf numFmtId="0" fontId="12" fillId="9" borderId="27" xfId="0" applyNumberFormat="1" applyFont="1" applyFill="1" applyBorder="1" applyAlignment="1">
      <x:alignment horizontal="center" vertical="center" wrapText="1"/>
    </x:xf>
    <x:xf numFmtId="0" fontId="12" fillId="9" borderId="28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20" xfId="0" applyNumberFormat="1" applyFont="1" applyFill="1" applyBorder="1" applyAlignment="1">
      <x:alignment vertical="center"/>
    </x:xf>
    <x:xf numFmtId="0" fontId="1" fillId="8" borderId="21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1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7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vertical="center"/>
    </x:xf>
    <x:xf numFmtId="0" fontId="11" fillId="8" borderId="29" xfId="0" applyNumberFormat="1" applyFont="1" applyFill="1" applyBorder="1" applyAlignment="1">
      <x:alignment vertical="center"/>
    </x:xf>
    <x:xf numFmtId="0" fontId="11" fillId="8" borderId="29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3" fillId="5" borderId="20" xfId="0" applyNumberFormat="1" applyFont="1" applyFill="1" applyBorder="1" applyAlignment="1">
      <x:alignment vertical="center"/>
    </x:xf>
    <x:xf numFmtId="0" fontId="3" fillId="5" borderId="2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2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21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9" fillId="5" borderId="27" xfId="0" applyNumberFormat="1" applyFont="1" applyFill="1" applyBorder="1" applyAlignment="1">
      <x:alignment vertical="center"/>
    </x:xf>
    <x:xf numFmtId="0" fontId="9" fillId="5" borderId="28" xfId="0" applyNumberFormat="1" applyFont="1" applyFill="1" applyBorder="1" applyAlignment="1">
      <x:alignment vertical="center"/>
    </x:xf>
    <x:xf numFmtId="0" fontId="9" fillId="5" borderId="27" xfId="0" applyNumberFormat="1" applyFont="1" applyFill="1" applyBorder="1" applyAlignment="1">
      <x:alignment horizontal="center" vertical="center"/>
    </x:xf>
    <x:xf numFmtId="0" fontId="9" fillId="5" borderId="28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c4413dc324172" /><Relationship Type="http://schemas.openxmlformats.org/officeDocument/2006/relationships/theme" Target="/xl/theme/theme1.xml" Id="R117ab33e9d1f4856" /><Relationship Type="http://schemas.openxmlformats.org/officeDocument/2006/relationships/sharedStrings" Target="/xl/sharedStrings.xml" Id="R821f2adfe74f46bb" /><Relationship Type="http://schemas.openxmlformats.org/officeDocument/2006/relationships/worksheet" Target="/xl/worksheets/sheet1.xml" Id="R79b428fe6ee44fee" /><Relationship Type="http://schemas.openxmlformats.org/officeDocument/2006/relationships/worksheet" Target="/xl/worksheets/sheet2.xml" Id="R2c1c3eaf977b4b9b" /><Relationship Type="http://schemas.openxmlformats.org/officeDocument/2006/relationships/worksheet" Target="/xl/worksheets/sheet3.xml" Id="Rd1139430fd014cf6" /><Relationship Type="http://schemas.openxmlformats.org/officeDocument/2006/relationships/worksheet" Target="/xl/worksheets/sheet4.xml" Id="R45aaf5f59ae6476b" /><Relationship Type="http://schemas.openxmlformats.org/officeDocument/2006/relationships/worksheet" Target="/xl/worksheets/sheet5.xml" Id="Re2f30054b73b4a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TDAT-FM-RSK-002 · 12-month / lifetime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32" t="str">
        <x:v>ECL Credit Stress Lite</x:v>
      </x:c>
      <x:c r="B5" s="233"/>
      <x:c r="C5" s="233"/>
      <x:c r="D5" s="233"/>
      <x:c r="E5" s="233"/>
      <x:c r="F5" s="234"/>
      <x:c r="G5" s="60" t="str">
        <x:v>MODEL STATUS</x:v>
      </x:c>
      <x:c r="H5" s="60"/>
    </x:row>
    <x:row r="6" ht="20" customHeight="1">
      <x:c r="A6" s="235"/>
      <x:c r="B6" s="236"/>
      <x:c r="C6" s="236"/>
      <x:c r="D6" s="236"/>
      <x:c r="E6" s="236"/>
      <x:c r="F6" s="237"/>
      <x:c r="G6" s="245" t="str">
        <x:f>'Checks'!B4</x:f>
        <x:v>PASS</x:v>
      </x:c>
      <x:c r="H6" s="246"/>
    </x:row>
    <x:row r="7" ht="20" customHeight="1">
      <x:c r="A7" s="238"/>
      <x:c r="B7" s="239"/>
      <x:c r="C7" s="239"/>
      <x:c r="D7" s="239"/>
      <x:c r="E7" s="239"/>
      <x:c r="F7" s="240"/>
      <x:c r="G7" s="247"/>
      <x:c r="H7" s="248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82" t="str">
        <x:v>What loss allowance results for one portfolio under stress?</x:v>
      </x:c>
      <x:c r="B10" s="183"/>
      <x:c r="C10" s="183"/>
      <x:c r="D10" s="183"/>
      <x:c r="E10" s="183"/>
      <x:c r="F10" s="183"/>
      <x:c r="G10" s="183"/>
      <x:c r="H10" s="184"/>
    </x:row>
    <x:row r="11" ht="20" customHeight="1">
      <x:c r="A11" s="185"/>
      <x:c r="B11" s="186"/>
      <x:c r="C11" s="186"/>
      <x:c r="D11" s="186"/>
      <x:c r="E11" s="186"/>
      <x:c r="F11" s="186"/>
      <x:c r="G11" s="186"/>
      <x:c r="H11" s="187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51" t="str">
        <x:v>1 · INPUTS</x:v>
      </x:c>
      <x:c r="B14" s="252"/>
      <x:c r="C14" s="251" t="str">
        <x:v>2 · MODEL</x:v>
      </x:c>
      <x:c r="D14" s="252"/>
      <x:c r="E14" s="251" t="str">
        <x:v>3 · RESULTS</x:v>
      </x:c>
      <x:c r="F14" s="252"/>
      <x:c r="G14" s="251" t="str">
        <x:v>4 · CHECKS</x:v>
      </x:c>
      <x:c r="H14" s="252"/>
    </x:row>
    <x:row r="15" ht="20" customHeight="1">
      <x:c r="A15" s="253" t="str">
        <x:v>Edit only blue cells</x:v>
      </x:c>
      <x:c r="B15" s="254"/>
      <x:c r="C15" s="253" t="str">
        <x:v>Trace schedules and formulas</x:v>
      </x:c>
      <x:c r="D15" s="254"/>
      <x:c r="E15" s="253" t="str">
        <x:v>Read the linked decision view</x:v>
      </x:c>
      <x:c r="F15" s="254"/>
      <x:c r="G15" s="253" t="str">
        <x:v>Resolve every FAIL</x:v>
      </x:c>
      <x:c r="H15" s="254"/>
    </x:row>
    <x:row r="16" ht="20" customHeight="1">
      <x:c r="A16" s="255"/>
      <x:c r="B16" s="256"/>
      <x:c r="C16" s="255"/>
      <x:c r="D16" s="256"/>
      <x:c r="E16" s="255"/>
      <x:c r="F16" s="256"/>
      <x:c r="G16" s="255"/>
      <x:c r="H16" s="256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161" t="str">
        <x:v>Forecast</x:v>
      </x:c>
      <x:c r="B19" s="161"/>
      <x:c r="C19" s="175" t="str">
        <x:v>12-month / lifetime</x:v>
      </x:c>
      <x:c r="D19" s="175"/>
      <x:c r="E19" s="175"/>
      <x:c r="F19" s="175"/>
      <x:c r="G19" s="175"/>
      <x:c r="H19" s="175"/>
    </x:row>
    <x:row r="20" ht="20" customHeight="1">
      <x:c r="A20" s="161" t="str">
        <x:v>Editable inputs</x:v>
      </x:c>
      <x:c r="B20" s="161"/>
      <x:c r="C20" s="175" t="str">
        <x:v>10</x:v>
      </x:c>
      <x:c r="D20" s="175"/>
      <x:c r="E20" s="175"/>
      <x:c r="F20" s="175"/>
      <x:c r="G20" s="175"/>
      <x:c r="H20" s="175"/>
    </x:row>
    <x:row r="21" ht="20" customHeight="1">
      <x:c r="A21" s="161" t="str">
        <x:v>Visible sheets</x:v>
      </x:c>
      <x:c r="B21" s="161"/>
      <x:c r="C21" s="175" t="str">
        <x:v>5</x:v>
      </x:c>
      <x:c r="D21" s="175"/>
      <x:c r="E21" s="175"/>
      <x:c r="F21" s="175"/>
      <x:c r="G21" s="175"/>
      <x:c r="H21" s="175"/>
    </x:row>
    <x:row r="22" ht="20" customHeight="1">
      <x:c r="A22" s="161" t="str">
        <x:v>Setup</x:v>
      </x:c>
      <x:c r="B22" s="161"/>
      <x:c r="C22" s="175" t="str">
        <x:v>15–20 minutes</x:v>
      </x:c>
      <x:c r="D22" s="175"/>
      <x:c r="E22" s="175"/>
      <x:c r="F22" s="175"/>
      <x:c r="G22" s="175"/>
      <x:c r="H22" s="175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196" t="str">
        <x:v>Included: One portfolio exposure at default · Stage-based PD with one stress multiplier · Selected-case bridge plus visible Stage 1 / 2 / 3 comparison</x:v>
      </x:c>
      <x:c r="B25" s="197"/>
      <x:c r="C25" s="197"/>
      <x:c r="D25" s="197"/>
      <x:c r="E25" s="197"/>
      <x:c r="F25" s="197"/>
      <x:c r="G25" s="197"/>
      <x:c r="H25" s="198"/>
    </x:row>
    <x:row r="26" ht="20" customHeight="1">
      <x:c r="A26" s="202"/>
      <x:c r="B26" s="203"/>
      <x:c r="C26" s="203"/>
      <x:c r="D26" s="203"/>
      <x:c r="E26" s="203"/>
      <x:c r="F26" s="203"/>
      <x:c r="G26" s="203"/>
      <x:c r="H26" s="204"/>
    </x:row>
    <x:row r="27" ht="20" customHeight="1">
      <x:c r="A27" s="263" t="str">
        <x:v>Scope boundary: Portfolio segments, SICR, transition matrices, regulatory reporting, and IFRS 9 compliance.</x:v>
      </x:c>
      <x:c r="B27" s="264"/>
      <x:c r="C27" s="264"/>
      <x:c r="D27" s="264"/>
      <x:c r="E27" s="264"/>
      <x:c r="F27" s="264"/>
      <x:c r="G27" s="264"/>
      <x:c r="H27" s="265"/>
    </x:row>
    <x:row r="28" ht="20" customHeight="1">
      <x:c r="A28" s="266"/>
      <x:c r="B28" s="267"/>
      <x:c r="C28" s="267"/>
      <x:c r="D28" s="267"/>
      <x:c r="E28" s="267"/>
      <x:c r="F28" s="267"/>
      <x:c r="G28" s="267"/>
      <x:c r="H28" s="268"/>
    </x:row>
    <x:row r="29" ht="20" customHeight="1">
      <x:c r="A29" s="270" t="str">
        <x:v>Synthetic demonstration only · Tested 2026-08-17 · Excel 365 · Macro-free · No external links</x:v>
      </x:c>
      <x:c r="B29" s="270"/>
      <x:c r="C29" s="270"/>
      <x:c r="D29" s="270"/>
      <x:c r="E29" s="270"/>
      <x:c r="F29" s="270"/>
      <x:c r="G29" s="270"/>
      <x:c r="H29" s="270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ECL Credit Stress Lite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ECL Credit Stress Lite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Drawn exposure</x:v>
      </x:c>
      <x:c r="B10" s="39" t="n">
        <x:v>1000000</x:v>
      </x:c>
      <x:c r="C10" s="3" t="str">
        <x:v>LCY</x:v>
      </x:c>
      <x:c r="D10" s="37" t="str">
        <x:v>Amount currently outstanding</x:v>
      </x:c>
      <x:c r="E10" s="38"/>
      <x:c r="F10" s="38"/>
      <x:c r="G10" s="38"/>
      <x:c r="H10" s="38"/>
    </x:row>
    <x:row r="11" ht="20" customHeight="1">
      <x:c r="A11" s="3" t="str">
        <x:v>Undrawn commitment</x:v>
      </x:c>
      <x:c r="B11" s="39" t="n">
        <x:v>200000</x:v>
      </x:c>
      <x:c r="C11" s="3" t="str">
        <x:v>LCY</x:v>
      </x:c>
      <x:c r="D11" s="37" t="str">
        <x:v>Available but not yet drawn</x:v>
      </x:c>
      <x:c r="E11" s="38"/>
      <x:c r="F11" s="38"/>
      <x:c r="G11" s="38"/>
      <x:c r="H11" s="38"/>
    </x:row>
    <x:row r="12" ht="20" customHeight="1">
      <x:c r="A12" s="3" t="str">
        <x:v>Credit conversion factor</x:v>
      </x:c>
      <x:c r="B12" s="42" t="n">
        <x:v>0.5</x:v>
      </x:c>
      <x:c r="C12" s="3" t="str">
        <x:v>%</x:v>
      </x:c>
      <x:c r="D12" s="37" t="str">
        <x:v>Share of undrawn included in EAD</x:v>
      </x:c>
      <x:c r="E12" s="38"/>
      <x:c r="F12" s="38"/>
      <x:c r="G12" s="38"/>
      <x:c r="H12" s="38"/>
    </x:row>
    <x:row r="13" ht="20" customHeight="1">
      <x:c r="A13" s="3" t="str">
        <x:v>Illustrative stage</x:v>
      </x:c>
      <x:c r="B13" s="39" t="n">
        <x:v>2</x:v>
      </x:c>
      <x:c r="C13" s="3" t="str">
        <x:v>1 / 2 / 3</x:v>
      </x:c>
      <x:c r="D13" s="37" t="str">
        <x:v>1 = 12-month; 2 = lifetime; 3 = default</x:v>
      </x:c>
      <x:c r="E13" s="38"/>
      <x:c r="F13" s="38"/>
      <x:c r="G13" s="38"/>
      <x:c r="H13" s="38"/>
    </x:row>
    <x:row r="14" ht="20" customHeight="1">
      <x:c r="A14" s="3" t="str">
        <x:v>12-month PD</x:v>
      </x:c>
      <x:c r="B14" s="42" t="n">
        <x:v>0.02</x:v>
      </x:c>
      <x:c r="C14" s="3" t="str">
        <x:v>%</x:v>
      </x:c>
      <x:c r="D14" s="37" t="str">
        <x:v>Used for Stage 1</x:v>
      </x:c>
      <x:c r="E14" s="38"/>
      <x:c r="F14" s="38"/>
      <x:c r="G14" s="38"/>
      <x:c r="H14" s="38"/>
    </x:row>
    <x:row r="15" ht="20" customHeight="1">
      <x:c r="A15" s="3" t="str">
        <x:v>Lifetime PD</x:v>
      </x:c>
      <x:c r="B15" s="42" t="n">
        <x:v>0.08</x:v>
      </x:c>
      <x:c r="C15" s="3" t="str">
        <x:v>%</x:v>
      </x:c>
      <x:c r="D15" s="37" t="str">
        <x:v>Used for Stage 2</x:v>
      </x:c>
      <x:c r="E15" s="38"/>
      <x:c r="F15" s="38"/>
      <x:c r="G15" s="38"/>
      <x:c r="H15" s="38"/>
    </x:row>
    <x:row r="16" ht="20" customHeight="1">
      <x:c r="A16" s="3" t="str">
        <x:v>Loss given default</x:v>
      </x:c>
      <x:c r="B16" s="42" t="n">
        <x:v>0.45</x:v>
      </x:c>
      <x:c r="C16" s="3" t="str">
        <x:v>%</x:v>
      </x:c>
      <x:c r="D16" s="37" t="str">
        <x:v>Loss after recoveries</x:v>
      </x:c>
      <x:c r="E16" s="38"/>
      <x:c r="F16" s="38"/>
      <x:c r="G16" s="38"/>
      <x:c r="H16" s="38"/>
    </x:row>
    <x:row r="17" ht="20" customHeight="1">
      <x:c r="A17" s="3" t="str">
        <x:v>Discount factor</x:v>
      </x:c>
      <x:c r="B17" s="42" t="n">
        <x:v>0.97</x:v>
      </x:c>
      <x:c r="C17" s="3" t="str">
        <x:v>%</x:v>
      </x:c>
      <x:c r="D17" s="37" t="str">
        <x:v>Present-value factor</x:v>
      </x:c>
      <x:c r="E17" s="38"/>
      <x:c r="F17" s="38"/>
      <x:c r="G17" s="38"/>
      <x:c r="H17" s="38"/>
    </x:row>
    <x:row r="18" ht="20" customHeight="1">
      <x:c r="A18" s="3" t="str">
        <x:v>PD stress multiplier</x:v>
      </x:c>
      <x:c r="B18" s="45" t="n">
        <x:v>1.25</x:v>
      </x:c>
      <x:c r="C18" s="3" t="str">
        <x:v>x</x:v>
      </x:c>
      <x:c r="D18" s="37" t="str">
        <x:v>Scales the selected PD</x:v>
      </x:c>
      <x:c r="E18" s="38"/>
      <x:c r="F18" s="38"/>
      <x:c r="G18" s="38"/>
      <x:c r="H18" s="38"/>
    </x:row>
    <x:row r="19" ht="20" customHeight="1">
      <x:c r="A19" s="3" t="str">
        <x:v>Management overlay</x:v>
      </x:c>
      <x:c r="B19" s="42" t="n">
        <x:v>0.05</x:v>
      </x:c>
      <x:c r="C19" s="3" t="str">
        <x:v>%</x:v>
      </x:c>
      <x:c r="D19" s="37" t="str">
        <x:v>Adjustment to calculated ECL</x:v>
      </x:c>
      <x:c r="E19" s="38"/>
      <x:c r="F19" s="38"/>
      <x:c r="G19" s="38"/>
      <x:c r="H19" s="38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</x:row>
    <x:row r="21" ht="20" customHeight="1">
      <x:c r="A21" s="54" t="str">
        <x:v>Synthetic example. Replace only the blue values, trace the calculation on Model, then review Results and Checks.</x:v>
      </x:c>
      <x:c r="B21" s="55"/>
      <x:c r="C21" s="55"/>
      <x:c r="D21" s="55"/>
      <x:c r="E21" s="55"/>
      <x:c r="F21" s="55"/>
      <x:c r="G21" s="55"/>
      <x:c r="H21" s="56"/>
    </x:row>
    <x:row r="22" ht="20" customHeight="1">
      <x:c r="A22" s="57"/>
      <x:c r="B22" s="58"/>
      <x:c r="C22" s="58"/>
      <x:c r="D22" s="58"/>
      <x:c r="E22" s="58"/>
      <x:c r="F22" s="58"/>
      <x:c r="G22" s="58"/>
      <x:c r="H22" s="59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60" t="str">
        <x:v>ECL Credit Stress Lite · 10 editable assumptions · v1.4.0</x:v>
      </x:c>
      <x:c r="B26" s="60"/>
      <x:c r="C26" s="60"/>
      <x:c r="D26" s="60"/>
      <x:c r="E26" s="60"/>
      <x:c r="F26" s="60"/>
      <x:c r="G26" s="60"/>
      <x:c r="H26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A21:H22"/>
    <x:mergeCell ref="A26:H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ECL Credit Stress Lite · Selected allowance plus three-stage comparison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2" t="str">
        <x:v>EXPOSURE AT DEFAULT</x:v>
      </x:c>
      <x:c r="B5" s="103"/>
      <x:c r="C5" s="102" t="str">
        <x:v>SELECTED PD</x:v>
      </x:c>
      <x:c r="D5" s="103"/>
      <x:c r="E5" s="102" t="str">
        <x:v>EXPECTED LOSS</x:v>
      </x:c>
      <x:c r="F5" s="103"/>
      <x:c r="G5" s="102" t="str">
        <x:v>LOSS RATE</x:v>
      </x:c>
      <x:c r="H5" s="103"/>
    </x:row>
    <x:row r="6" ht="20" customHeight="1">
      <x:c r="A6" s="117" t="n">
        <x:f>B15</x:f>
        <x:v>1100000</x:v>
      </x:c>
      <x:c r="B6" s="118"/>
      <x:c r="C6" s="129" t="n">
        <x:f>B18</x:f>
        <x:v>0.1</x:v>
      </x:c>
      <x:c r="D6" s="130"/>
      <x:c r="E6" s="117" t="n">
        <x:f>B24</x:f>
        <x:v>50415.75</x:v>
      </x:c>
      <x:c r="F6" s="118"/>
      <x:c r="G6" s="129" t="n">
        <x:f>B25</x:f>
        <x:v>0.0458325</x:v>
      </x:c>
      <x:c r="H6" s="130"/>
    </x:row>
    <x:row r="7" ht="20" customHeight="1">
      <x:c r="A7" s="119"/>
      <x:c r="B7" s="120"/>
      <x:c r="C7" s="131"/>
      <x:c r="D7" s="132"/>
      <x:c r="E7" s="119"/>
      <x:c r="F7" s="120"/>
      <x:c r="G7" s="131"/>
      <x:c r="H7" s="132"/>
    </x:row>
    <x:row r="8" ht="20" customHeight="1">
      <x:c r="A8" s="121"/>
      <x:c r="B8" s="122"/>
      <x:c r="C8" s="133"/>
      <x:c r="D8" s="134"/>
      <x:c r="E8" s="121"/>
      <x:c r="F8" s="122"/>
      <x:c r="G8" s="133"/>
      <x:c r="H8" s="134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2" t="str">
        <x:v>EXPECTED LOSS BRIDGE</x:v>
      </x:c>
      <x:c r="B10" s="62"/>
      <x:c r="C10" s="62"/>
      <x:c r="D10" s="62"/>
      <x:c r="E10" s="62"/>
      <x:c r="F10" s="62"/>
      <x:c r="G10" s="62"/>
      <x:c r="H10" s="62"/>
    </x:row>
    <x:row r="11" ht="20" customHeight="1">
      <x:c r="A11" s="98" t="str">
        <x:v>Metric</x:v>
      </x:c>
      <x:c r="B11" s="98" t="str">
        <x:v>Value</x:v>
      </x:c>
      <x:c r="C11" s="98" t="str">
        <x:v>Unit</x:v>
      </x:c>
      <x:c r="D11" s="99" t="str">
        <x:v>Notes</x:v>
      </x:c>
      <x:c r="E11" s="98"/>
      <x:c r="F11" s="98"/>
      <x:c r="G11" s="98"/>
      <x:c r="H11" s="98"/>
    </x:row>
    <x:row r="12" ht="20" customHeight="1">
      <x:c r="A12" s="29" t="str">
        <x:v>Drawn exposure</x:v>
      </x:c>
      <x:c r="B12" s="67" t="n">
        <x:f>'Inputs'!$B$10</x:f>
        <x:v>1000000</x:v>
      </x:c>
      <x:c r="C12" s="29" t="str">
        <x:v>LCY</x:v>
      </x:c>
      <x:c r="D12" s="37" t="str">
        <x:v>Outstanding exposure included at 100%</x:v>
      </x:c>
      <x:c r="E12" s="38"/>
      <x:c r="F12" s="38"/>
      <x:c r="G12" s="38"/>
      <x:c r="H12" s="38"/>
    </x:row>
    <x:row r="13" ht="20" customHeight="1">
      <x:c r="A13" s="29" t="str">
        <x:v>Undrawn commitment</x:v>
      </x:c>
      <x:c r="B13" s="67" t="n">
        <x:f>'Inputs'!$B$11</x:f>
        <x:v>200000</x:v>
      </x:c>
      <x:c r="C13" s="29" t="str">
        <x:v>LCY</x:v>
      </x:c>
      <x:c r="D13" s="37" t="str">
        <x:v>Available commitment before conversion</x:v>
      </x:c>
      <x:c r="E13" s="38"/>
      <x:c r="F13" s="38"/>
      <x:c r="G13" s="38"/>
      <x:c r="H13" s="38"/>
    </x:row>
    <x:row r="14" ht="20" customHeight="1">
      <x:c r="A14" s="29" t="str">
        <x:v>Converted undrawn exposure</x:v>
      </x:c>
      <x:c r="B14" s="67" t="n">
        <x:f>'Inputs'!$B$11*'Inputs'!$B$12</x:f>
        <x:v>100000</x:v>
      </x:c>
      <x:c r="C14" s="29" t="str">
        <x:v>LCY</x:v>
      </x:c>
      <x:c r="D14" s="37" t="str">
        <x:v>Undrawn commitment × CCF</x:v>
      </x:c>
      <x:c r="E14" s="38"/>
      <x:c r="F14" s="38"/>
      <x:c r="G14" s="38"/>
      <x:c r="H14" s="38"/>
    </x:row>
    <x:row r="15" ht="20" customHeight="1">
      <x:c r="A15" s="11" t="str">
        <x:v>Exposure at default</x:v>
      </x:c>
      <x:c r="B15" s="69" t="n">
        <x:f>SUM(B12,B14)</x:f>
        <x:v>1100000</x:v>
      </x:c>
      <x:c r="C15" s="11" t="str">
        <x:v>LCY</x:v>
      </x:c>
      <x:c r="D15" s="73" t="str">
        <x:v>Drawn plus converted undrawn</x:v>
      </x:c>
      <x:c r="E15" s="74"/>
      <x:c r="F15" s="74"/>
      <x:c r="G15" s="74"/>
      <x:c r="H15" s="74"/>
    </x:row>
    <x:row r="16" ht="20" customHeight="1">
      <x:c r="A16" s="29" t="str">
        <x:v>Stage-selected base PD</x:v>
      </x:c>
      <x:c r="B16" s="76" t="n">
        <x:f>IF('Inputs'!$B$13=1,'Inputs'!$B$14,IF('Inputs'!$B$13=2,'Inputs'!$B$15,1))</x:f>
        <x:v>0.08</x:v>
      </x:c>
      <x:c r="C16" s="29" t="str">
        <x:v>%</x:v>
      </x:c>
      <x:c r="D16" s="37" t="str">
        <x:v>Stage 1 uses 12-month PD; Stage 2 lifetime PD</x:v>
      </x:c>
      <x:c r="E16" s="38"/>
      <x:c r="F16" s="38"/>
      <x:c r="G16" s="38"/>
      <x:c r="H16" s="38"/>
    </x:row>
    <x:row r="17" ht="20" customHeight="1">
      <x:c r="A17" s="29" t="str">
        <x:v>PD stress multiplier</x:v>
      </x:c>
      <x:c r="B17" s="78" t="n">
        <x:f>'Inputs'!$B$18</x:f>
        <x:v>1.25</x:v>
      </x:c>
      <x:c r="C17" s="29" t="str">
        <x:v>x</x:v>
      </x:c>
      <x:c r="D17" s="37" t="str">
        <x:v>Stress applied to the stage-selected PD</x:v>
      </x:c>
      <x:c r="E17" s="38"/>
      <x:c r="F17" s="38"/>
      <x:c r="G17" s="38"/>
      <x:c r="H17" s="38"/>
    </x:row>
    <x:row r="18" ht="20" customHeight="1">
      <x:c r="A18" s="11" t="str">
        <x:v>Selected stressed PD</x:v>
      </x:c>
      <x:c r="B18" s="80" t="n">
        <x:f>MIN(1,B16*B17)</x:f>
        <x:v>0.1</x:v>
      </x:c>
      <x:c r="C18" s="11" t="str">
        <x:v>%</x:v>
      </x:c>
      <x:c r="D18" s="73" t="str">
        <x:v>Base PD × stress, capped at 100%</x:v>
      </x:c>
      <x:c r="E18" s="74"/>
      <x:c r="F18" s="74"/>
      <x:c r="G18" s="74"/>
      <x:c r="H18" s="74"/>
    </x:row>
    <x:row r="19" ht="20" customHeight="1">
      <x:c r="A19" s="29" t="str">
        <x:v>Loss given default</x:v>
      </x:c>
      <x:c r="B19" s="76" t="n">
        <x:f>'Inputs'!$B$16</x:f>
        <x:v>0.45</x:v>
      </x:c>
      <x:c r="C19" s="29" t="str">
        <x:v>%</x:v>
      </x:c>
      <x:c r="D19" s="37" t="str">
        <x:v>Loss severity after recoveries</x:v>
      </x:c>
      <x:c r="E19" s="38"/>
      <x:c r="F19" s="38"/>
      <x:c r="G19" s="38"/>
      <x:c r="H19" s="38"/>
    </x:row>
    <x:row r="20" ht="20" customHeight="1">
      <x:c r="A20" s="29" t="str">
        <x:v>Discount factor</x:v>
      </x:c>
      <x:c r="B20" s="76" t="n">
        <x:f>'Inputs'!$B$17</x:f>
        <x:v>0.97</x:v>
      </x:c>
      <x:c r="C20" s="29" t="str">
        <x:v>%</x:v>
      </x:c>
      <x:c r="D20" s="37" t="str">
        <x:v>Present-value factor</x:v>
      </x:c>
      <x:c r="E20" s="38"/>
      <x:c r="F20" s="38"/>
      <x:c r="G20" s="38"/>
      <x:c r="H20" s="38"/>
    </x:row>
    <x:row r="21" ht="20" customHeight="1">
      <x:c r="A21" s="29" t="str">
        <x:v>ECL before overlay</x:v>
      </x:c>
      <x:c r="B21" s="83" t="n">
        <x:f>B15*B18*B19*B20</x:f>
        <x:v>48015</x:v>
      </x:c>
      <x:c r="C21" s="29" t="str">
        <x:v>LCY</x:v>
      </x:c>
      <x:c r="D21" s="37" t="str">
        <x:v>EAD × stressed PD × LGD × discount factor</x:v>
      </x:c>
      <x:c r="E21" s="38"/>
      <x:c r="F21" s="38"/>
      <x:c r="G21" s="38"/>
      <x:c r="H21" s="38"/>
    </x:row>
    <x:row r="22" ht="20" customHeight="1">
      <x:c r="A22" s="29" t="str">
        <x:v>Management overlay</x:v>
      </x:c>
      <x:c r="B22" s="76" t="n">
        <x:f>'Inputs'!$B$19</x:f>
        <x:v>0.05</x:v>
      </x:c>
      <x:c r="C22" s="29" t="str">
        <x:v>%</x:v>
      </x:c>
      <x:c r="D22" s="37" t="str">
        <x:v>Adjustment rate applied to calculated ECL</x:v>
      </x:c>
      <x:c r="E22" s="38"/>
      <x:c r="F22" s="38"/>
      <x:c r="G22" s="38"/>
      <x:c r="H22" s="38"/>
    </x:row>
    <x:row r="23" ht="20" customHeight="1">
      <x:c r="A23" s="29" t="str">
        <x:v>Overlay amount</x:v>
      </x:c>
      <x:c r="B23" s="83" t="n">
        <x:f>B21*B22</x:f>
        <x:v>2400.75</x:v>
      </x:c>
      <x:c r="C23" s="29" t="str">
        <x:v>LCY</x:v>
      </x:c>
      <x:c r="D23" s="37" t="str">
        <x:v>ECL before overlay × overlay rate</x:v>
      </x:c>
      <x:c r="E23" s="38"/>
      <x:c r="F23" s="38"/>
      <x:c r="G23" s="38"/>
      <x:c r="H23" s="38"/>
    </x:row>
    <x:row r="24" ht="20" customHeight="1">
      <x:c r="A24" s="11" t="str">
        <x:v>Expected credit loss</x:v>
      </x:c>
      <x:c r="B24" s="69" t="n">
        <x:f>SUM(B21,B23)</x:f>
        <x:v>50415.75</x:v>
      </x:c>
      <x:c r="C24" s="11" t="str">
        <x:v>LCY</x:v>
      </x:c>
      <x:c r="D24" s="73" t="str">
        <x:v>Pre-overlay loss plus overlay</x:v>
      </x:c>
      <x:c r="E24" s="74"/>
      <x:c r="F24" s="74"/>
      <x:c r="G24" s="74"/>
      <x:c r="H24" s="74"/>
    </x:row>
    <x:row r="25" ht="20" customHeight="1">
      <x:c r="A25" s="11" t="str">
        <x:v>ECL / EAD</x:v>
      </x:c>
      <x:c r="B25" s="80" t="n">
        <x:f>IF(B15=0,0,B24/B15)</x:f>
        <x:v>0.0458325</x:v>
      </x:c>
      <x:c r="C25" s="11" t="str">
        <x:v>%</x:v>
      </x:c>
      <x:c r="D25" s="73" t="str">
        <x:v>Loss allowance as a share of EAD</x:v>
      </x:c>
      <x:c r="E25" s="74"/>
      <x:c r="F25" s="74"/>
      <x:c r="G25" s="74"/>
      <x:c r="H25" s="74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</x:row>
    <x:row r="28" ht="20" customHeight="1">
      <x:c r="A28" s="62" t="str">
        <x:v>THREE-STAGE ALLOWANCE COMPARISON</x:v>
      </x:c>
      <x:c r="B28" s="62"/>
      <x:c r="C28" s="62"/>
      <x:c r="D28" s="62"/>
      <x:c r="E28" s="62"/>
      <x:c r="F28" s="62"/>
      <x:c r="G28" s="62"/>
      <x:c r="H28" s="62"/>
    </x:row>
    <x:row r="29" ht="20" customHeight="1">
      <x:c r="A29" s="62" t="str">
        <x:v>Stage</x:v>
      </x:c>
      <x:c r="B29" s="135" t="str">
        <x:v>Basis / selection</x:v>
      </x:c>
      <x:c r="C29" s="135" t="str">
        <x:v>Base PD</x:v>
      </x:c>
      <x:c r="D29" s="135" t="str">
        <x:v>Stressed PD</x:v>
      </x:c>
      <x:c r="E29" s="135" t="str">
        <x:v>EAD</x:v>
      </x:c>
      <x:c r="F29" s="135" t="str">
        <x:v>Pre-overlay ECL</x:v>
      </x:c>
      <x:c r="G29" s="135" t="str">
        <x:v>Overlay</x:v>
      </x:c>
      <x:c r="H29" s="135" t="str">
        <x:v>Reported ECL</x:v>
      </x:c>
    </x:row>
    <x:row r="30" ht="20" customHeight="1">
      <x:c r="A30" s="137" t="n">
        <x:v>1</x:v>
      </x:c>
      <x:c r="B30" s="29" t="str">
        <x:f>IF('Inputs'!$B$13=A30,"SELECTED · ","")&amp;IF(A30=1,"12-MONTH",IF(A30=2,"LIFETIME","DEFAULT"))</x:f>
        <x:v>12-MONTH</x:v>
      </x:c>
      <x:c r="C30" s="139" t="n">
        <x:f>IF(A30=1,'Inputs'!$B$14,IF(A30=2,'Inputs'!$B$15,1))</x:f>
        <x:v>0.02</x:v>
      </x:c>
      <x:c r="D30" s="139" t="n">
        <x:f>MIN(1,C30*'Inputs'!$B$18)</x:f>
        <x:v>0.025</x:v>
      </x:c>
      <x:c r="E30" s="141" t="n">
        <x:f>B15</x:f>
        <x:v>1100000</x:v>
      </x:c>
      <x:c r="F30" s="141" t="n">
        <x:f>E30*D30*'Inputs'!$B$16*'Inputs'!$B$17</x:f>
        <x:v>12003.75</x:v>
      </x:c>
      <x:c r="G30" s="141" t="n">
        <x:f>F30*'Inputs'!$B$19</x:f>
        <x:v>600.1875</x:v>
      </x:c>
      <x:c r="H30" s="141" t="n">
        <x:f>SUM(F30:G30)</x:f>
        <x:v>12603.9375</x:v>
      </x:c>
    </x:row>
    <x:row r="31" ht="20" customHeight="1">
      <x:c r="A31" s="137" t="n">
        <x:v>2</x:v>
      </x:c>
      <x:c r="B31" s="29" t="str">
        <x:f>IF('Inputs'!$B$13=A31,"SELECTED · ","")&amp;IF(A31=1,"12-MONTH",IF(A31=2,"LIFETIME","DEFAULT"))</x:f>
        <x:v>SELECTED · LIFETIME</x:v>
      </x:c>
      <x:c r="C31" s="139" t="n">
        <x:f>IF(A31=1,'Inputs'!$B$14,IF(A31=2,'Inputs'!$B$15,1))</x:f>
        <x:v>0.08</x:v>
      </x:c>
      <x:c r="D31" s="139" t="n">
        <x:f>MIN(1,C31*'Inputs'!$B$18)</x:f>
        <x:v>0.1</x:v>
      </x:c>
      <x:c r="E31" s="141" t="n">
        <x:f>B15</x:f>
        <x:v>1100000</x:v>
      </x:c>
      <x:c r="F31" s="141" t="n">
        <x:f>E31*D31*'Inputs'!$B$16*'Inputs'!$B$17</x:f>
        <x:v>48015</x:v>
      </x:c>
      <x:c r="G31" s="141" t="n">
        <x:f>F31*'Inputs'!$B$19</x:f>
        <x:v>2400.75</x:v>
      </x:c>
      <x:c r="H31" s="141" t="n">
        <x:f>SUM(F31:G31)</x:f>
        <x:v>50415.75</x:v>
      </x:c>
    </x:row>
    <x:row r="32" ht="20" customHeight="1">
      <x:c r="A32" s="137" t="n">
        <x:v>3</x:v>
      </x:c>
      <x:c r="B32" s="29" t="str">
        <x:f>IF('Inputs'!$B$13=A32,"SELECTED · ","")&amp;IF(A32=1,"12-MONTH",IF(A32=2,"LIFETIME","DEFAULT"))</x:f>
        <x:v>DEFAULT</x:v>
      </x:c>
      <x:c r="C32" s="139" t="n">
        <x:f>IF(A32=1,'Inputs'!$B$14,IF(A32=2,'Inputs'!$B$15,1))</x:f>
        <x:v>1</x:v>
      </x:c>
      <x:c r="D32" s="139" t="n">
        <x:f>MIN(1,C32*'Inputs'!$B$18)</x:f>
        <x:v>1</x:v>
      </x:c>
      <x:c r="E32" s="141" t="n">
        <x:f>B15</x:f>
        <x:v>1100000</x:v>
      </x:c>
      <x:c r="F32" s="141" t="n">
        <x:f>E32*D32*'Inputs'!$B$16*'Inputs'!$B$17</x:f>
        <x:v>480150</x:v>
      </x:c>
      <x:c r="G32" s="141" t="n">
        <x:f>F32*'Inputs'!$B$19</x:f>
        <x:v>24007.5</x:v>
      </x:c>
      <x:c r="H32" s="141" t="n">
        <x:f>SUM(F32:G32)</x:f>
        <x:v>504157.5</x:v>
      </x:c>
    </x:row>
    <x:row r="33" ht="20" customHeight="1">
      <x:c r="A33" s="3"/>
      <x:c r="B33" s="3"/>
      <x:c r="C33" s="3"/>
      <x:c r="D33" s="3"/>
      <x:c r="E33" s="3"/>
      <x:c r="F33" s="3"/>
      <x:c r="G33" s="3"/>
      <x:c r="H33" s="3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</x:row>
    <x:row r="35" ht="20" customHeight="1">
      <x:c r="A35" s="155" t="str">
        <x:f>IF(B25&lt;=0.03,"Lower illustrative loss rate","Higher illustrative loss rate · review PD and LGD")</x:f>
        <x:v>Higher illustrative loss rate · review PD and LGD</x:v>
      </x:c>
      <x:c r="B35" s="156"/>
      <x:c r="C35" s="156"/>
      <x:c r="D35" s="156"/>
      <x:c r="E35" s="156"/>
      <x:c r="F35" s="156"/>
      <x:c r="G35" s="156"/>
      <x:c r="H35" s="157"/>
    </x:row>
    <x:row r="36" ht="20" customHeight="1">
      <x:c r="A36" s="158"/>
      <x:c r="B36" s="159"/>
      <x:c r="C36" s="159"/>
      <x:c r="D36" s="159"/>
      <x:c r="E36" s="159"/>
      <x:c r="F36" s="159"/>
      <x:c r="G36" s="159"/>
      <x:c r="H36" s="160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</x:row>
    <x:row r="41" ht="20" customHeight="1">
      <x:c r="A41" s="60" t="str">
        <x:v>ECL Credit Stress Lite · Three stages visible · Educational estimate, not IFRS 9</x:v>
      </x:c>
      <x:c r="B41" s="60"/>
      <x:c r="C41" s="60"/>
      <x:c r="D41" s="60"/>
      <x:c r="E41" s="60"/>
      <x:c r="F41" s="60"/>
      <x:c r="G41" s="60"/>
      <x:c r="H41" s="60"/>
    </x:row>
  </x:sheetData>
  <x:mergeCells>
    <x:mergeCell ref="A1:H2"/>
    <x:mergeCell ref="A3:H3"/>
    <x:mergeCell ref="A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D22:H22"/>
    <x:mergeCell ref="D23:H23"/>
    <x:mergeCell ref="D24:H24"/>
    <x:mergeCell ref="D25:H25"/>
    <x:mergeCell ref="A5:B5"/>
    <x:mergeCell ref="A6:B8"/>
    <x:mergeCell ref="C5:D5"/>
    <x:mergeCell ref="C6:D8"/>
    <x:mergeCell ref="E5:F5"/>
    <x:mergeCell ref="E6:F8"/>
    <x:mergeCell ref="G5:H5"/>
    <x:mergeCell ref="G6:H8"/>
    <x:mergeCell ref="A28:H28"/>
    <x:mergeCell ref="A35:H36"/>
    <x:mergeCell ref="A41:H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ECL Credit Stress Lite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2" t="str">
        <x:v>EXPOSURE AT DEFAULT</x:v>
      </x:c>
      <x:c r="B5" s="103"/>
      <x:c r="C5" s="102" t="str">
        <x:v>SELECTED PD</x:v>
      </x:c>
      <x:c r="D5" s="103"/>
      <x:c r="E5" s="102" t="str">
        <x:v>EXPECTED LOSS</x:v>
      </x:c>
      <x:c r="F5" s="103"/>
      <x:c r="G5" s="102" t="str">
        <x:v>LOSS RATE</x:v>
      </x:c>
      <x:c r="H5" s="103"/>
    </x:row>
    <x:row r="6" ht="20" customHeight="1">
      <x:c r="A6" s="117" t="n">
        <x:f>'Model'!A6</x:f>
        <x:v>1100000</x:v>
      </x:c>
      <x:c r="B6" s="118"/>
      <x:c r="C6" s="129" t="n">
        <x:f>'Model'!C6</x:f>
        <x:v>0.1</x:v>
      </x:c>
      <x:c r="D6" s="130"/>
      <x:c r="E6" s="117" t="n">
        <x:f>'Model'!E6</x:f>
        <x:v>50415.75</x:v>
      </x:c>
      <x:c r="F6" s="118"/>
      <x:c r="G6" s="129" t="n">
        <x:f>'Model'!G6</x:f>
        <x:v>0.0458325</x:v>
      </x:c>
      <x:c r="H6" s="130"/>
    </x:row>
    <x:row r="7" ht="20" customHeight="1">
      <x:c r="A7" s="119"/>
      <x:c r="B7" s="120"/>
      <x:c r="C7" s="131"/>
      <x:c r="D7" s="132"/>
      <x:c r="E7" s="119"/>
      <x:c r="F7" s="120"/>
      <x:c r="G7" s="131"/>
      <x:c r="H7" s="132"/>
    </x:row>
    <x:row r="8" ht="20" customHeight="1">
      <x:c r="A8" s="121"/>
      <x:c r="B8" s="122"/>
      <x:c r="C8" s="133"/>
      <x:c r="D8" s="134"/>
      <x:c r="E8" s="121"/>
      <x:c r="F8" s="122"/>
      <x:c r="G8" s="133"/>
      <x:c r="H8" s="134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62" t="str">
        <x:v>CALCULATION STATUS</x:v>
      </x:c>
      <x:c r="B11" s="162"/>
      <x:c r="C11" s="166" t="str">
        <x:f>'Checks'!B4</x:f>
        <x:v>PASS</x:v>
      </x:c>
      <x:c r="D11" s="167"/>
      <x:c r="E11" s="162" t="str">
        <x:v>ECL OUTCOME</x:v>
      </x:c>
      <x:c r="F11" s="162"/>
      <x:c r="G11" s="173" t="str">
        <x:f>'Model'!A35</x:f>
        <x:v>Higher illustrative loss rate · review PD and LGD</x:v>
      </x:c>
      <x:c r="H11" s="174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82" t="str">
        <x:v>What loss allowance results for one portfolio under stress?</x:v>
      </x:c>
      <x:c r="B14" s="183"/>
      <x:c r="C14" s="183"/>
      <x:c r="D14" s="183"/>
      <x:c r="E14" s="183"/>
      <x:c r="F14" s="183"/>
      <x:c r="G14" s="183"/>
      <x:c r="H14" s="184"/>
    </x:row>
    <x:row r="15" ht="20" customHeight="1">
      <x:c r="A15" s="185"/>
      <x:c r="B15" s="186"/>
      <x:c r="C15" s="186"/>
      <x:c r="D15" s="186"/>
      <x:c r="E15" s="186"/>
      <x:c r="F15" s="186"/>
      <x:c r="G15" s="186"/>
      <x:c r="H15" s="187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161" t="str">
        <x:v>Forecast</x:v>
      </x:c>
      <x:c r="B18" s="161"/>
      <x:c r="C18" s="175" t="str">
        <x:v>12-month / lifetime</x:v>
      </x:c>
      <x:c r="D18" s="175"/>
      <x:c r="E18" s="175"/>
      <x:c r="F18" s="175"/>
      <x:c r="G18" s="175"/>
      <x:c r="H18" s="175"/>
    </x:row>
    <x:row r="19" ht="20" customHeight="1">
      <x:c r="A19" s="161" t="str">
        <x:v>Editable inputs</x:v>
      </x:c>
      <x:c r="B19" s="161"/>
      <x:c r="C19" s="175" t="str">
        <x:v>10</x:v>
      </x:c>
      <x:c r="D19" s="175"/>
      <x:c r="E19" s="175"/>
      <x:c r="F19" s="175"/>
      <x:c r="G19" s="175"/>
      <x:c r="H19" s="175"/>
    </x:row>
    <x:row r="20" ht="20" customHeight="1">
      <x:c r="A20" s="161" t="str">
        <x:v>Calculation detail</x:v>
      </x:c>
      <x:c r="B20" s="161"/>
      <x:c r="C20" s="175" t="str">
        <x:v>Visible formulas, schedules, roll-forwards, and bridges</x:v>
      </x:c>
      <x:c r="D20" s="175"/>
      <x:c r="E20" s="175"/>
      <x:c r="F20" s="175"/>
      <x:c r="G20" s="175"/>
      <x:c r="H20" s="175"/>
    </x:row>
    <x:row r="21" ht="20" customHeight="1">
      <x:c r="A21" s="161" t="str">
        <x:v>Workbook flow</x:v>
      </x:c>
      <x:c r="B21" s="161"/>
      <x:c r="C21" s="175" t="str">
        <x:v>Start → Inputs → Model → Results → Checks</x:v>
      </x:c>
      <x:c r="D21" s="175"/>
      <x:c r="E21" s="175"/>
      <x:c r="F21" s="175"/>
      <x:c r="G21" s="175"/>
      <x:c r="H21" s="175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196" t="str">
        <x:v>Included: One portfolio exposure at default · Stage-based PD with one stress multiplier · Selected-case bridge plus visible Stage 1 / 2 / 3 comparison</x:v>
      </x:c>
      <x:c r="B24" s="197"/>
      <x:c r="C24" s="197"/>
      <x:c r="D24" s="197"/>
      <x:c r="E24" s="197"/>
      <x:c r="F24" s="197"/>
      <x:c r="G24" s="197"/>
      <x:c r="H24" s="198"/>
    </x:row>
    <x:row r="25" ht="20" customHeight="1">
      <x:c r="A25" s="199"/>
      <x:c r="B25" s="200"/>
      <x:c r="C25" s="200"/>
      <x:c r="D25" s="200"/>
      <x:c r="E25" s="200"/>
      <x:c r="F25" s="200"/>
      <x:c r="G25" s="200"/>
      <x:c r="H25" s="201"/>
    </x:row>
    <x:row r="26" ht="20" customHeight="1">
      <x:c r="A26" s="202"/>
      <x:c r="B26" s="203"/>
      <x:c r="C26" s="203"/>
      <x:c r="D26" s="203"/>
      <x:c r="E26" s="203"/>
      <x:c r="F26" s="203"/>
      <x:c r="G26" s="203"/>
      <x:c r="H26" s="204"/>
    </x:row>
    <x:row r="27" ht="20" customHeight="1">
      <x:c r="A27" s="54" t="str">
        <x:v>Outside this model: Portfolio segments, SICR, transition matrices, regulatory reporting, and IFRS 9 compliance.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208" t="str">
        <x:v>Five visible tabs · No hidden calculations · Calculation status and business outcome are reported separately.</x:v>
      </x:c>
      <x:c r="B29" s="209"/>
      <x:c r="C29" s="209"/>
      <x:c r="D29" s="209"/>
      <x:c r="E29" s="209"/>
      <x:c r="F29" s="209"/>
      <x:c r="G29" s="209"/>
      <x:c r="H29" s="210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ECL Credit Stress Lite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ECL Credit Stress Lite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11" t="str">
        <x:f>IF(COUNTIF(F9:F18,"PASS")=10,"PASS","FAIL")</x:f>
        <x:v>PASS</x:v>
      </x:c>
      <x:c r="C4" s="211"/>
      <x:c r="D4" s="211"/>
      <x:c r="E4" s="211"/>
      <x:c r="F4" s="211"/>
      <x:c r="G4" s="211"/>
      <x:c r="H4" s="211"/>
    </x:row>
    <x:row r="5" ht="20" customHeight="1">
      <x:c r="A5" s="60" t="str">
        <x:v>MODEL STATUS</x:v>
      </x:c>
      <x:c r="B5" s="60"/>
      <x:c r="C5" s="166" t="str">
        <x:f>B4</x:f>
        <x:v>PASS</x:v>
      </x:c>
      <x:c r="D5" s="213"/>
      <x:c r="E5" s="213"/>
      <x:c r="F5" s="213"/>
      <x:c r="G5" s="213"/>
      <x:c r="H5" s="167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200" t="str">
        <x:v>All editable inputs are numeric</x:v>
      </x:c>
      <x:c r="B9" s="215" t="n">
        <x:f>ROUND(COUNT('Inputs'!B10,'Inputs'!B11,'Inputs'!B12,'Inputs'!B13,'Inputs'!B14,'Inputs'!B15,'Inputs'!B16,'Inputs'!B17,'Inputs'!B18,'Inputs'!B19),6)</x:f>
        <x:v>10</x:v>
      </x:c>
      <x:c r="C9" s="215" t="n">
        <x:f>10</x:f>
        <x:v>10</x:v>
      </x:c>
      <x:c r="D9" s="215" t="n">
        <x:f>ROUND(B9-C9,6)</x:f>
        <x:v>0</x:v>
      </x:c>
      <x:c r="E9" s="215" t="n">
        <x:f>0</x:f>
        <x:v>0</x:v>
      </x:c>
      <x:c r="F9" s="216" t="str">
        <x:f>IF(ABS(ROUND(D9,6))&lt;=E9,"PASS","FAIL")</x:f>
        <x:v>PASS</x:v>
      </x:c>
      <x:c r="G9" s="200" t="str">
        <x:v>Complete the blue cells on Inputs</x:v>
      </x:c>
      <x:c r="H9" s="200"/>
    </x:row>
    <x:row r="10" ht="26" customHeight="1">
      <x:c r="A10" s="200" t="str">
        <x:v>Results headline KPIs reconcile to Model</x:v>
      </x:c>
      <x:c r="B10" s="219" t="n">
        <x:f>ROUND(IFERROR(SUM(ABS('Results'!A6-'Model'!A6),ABS('Results'!C6-'Model'!C6),ABS('Results'!E6-'Model'!E6),ABS('Results'!G6-'Model'!G6)),1E+99),6)</x:f>
        <x:v>0</x:v>
      </x:c>
      <x:c r="C10" s="219" t="n">
        <x:f>0</x:f>
        <x:v>0</x:v>
      </x:c>
      <x:c r="D10" s="219" t="n">
        <x:f>ROUND(B10-C10,6)</x:f>
        <x:v>0</x:v>
      </x:c>
      <x:c r="E10" s="219" t="n">
        <x:f>0.0001</x:f>
        <x:v>0.0001</x:v>
      </x:c>
      <x:c r="F10" s="216" t="str">
        <x:f>IF(ABS(ROUND(D10,6))&lt;=E10,"PASS","FAIL")</x:f>
        <x:v>PASS</x:v>
      </x:c>
      <x:c r="G10" s="200" t="str">
        <x:v>Review Results-to-Model links</x:v>
      </x:c>
      <x:c r="H10" s="200"/>
    </x:row>
    <x:row r="11" ht="26" customHeight="1">
      <x:c r="A11" s="200" t="str">
        <x:v>Stage and risk inputs are valid</x:v>
      </x:c>
      <x:c r="B11" s="219" t="n">
        <x:f>ROUND(IF(AND('Inputs'!$B$10&gt;=0,'Inputs'!$B$11&gt;=0,OR('Inputs'!$B$13=1,'Inputs'!$B$13=2,'Inputs'!$B$13=3),'Inputs'!$B$12&gt;=0,'Inputs'!$B$12&lt;=1,'Inputs'!$B$14&gt;=0,'Inputs'!$B$14&lt;=1,'Inputs'!$B$15&gt;=0,'Inputs'!$B$15&lt;=1,'Inputs'!$B$16&gt;=0,'Inputs'!$B$16&lt;=1,'Inputs'!$B$17&gt;=0,'Inputs'!$B$17&lt;=1,'Inputs'!$B$18&gt;=0,'Inputs'!$B$19&gt;=-1),1,0),6)</x:f>
        <x:v>1</x:v>
      </x:c>
      <x:c r="C11" s="219" t="n">
        <x:f>1</x:f>
        <x:v>1</x:v>
      </x:c>
      <x:c r="D11" s="219" t="n">
        <x:f>ROUND(B11-C11,6)</x:f>
        <x:v>0</x:v>
      </x:c>
      <x:c r="E11" s="219" t="n">
        <x:f>0.0001</x:f>
        <x:v>0.0001</x:v>
      </x:c>
      <x:c r="F11" s="216" t="str">
        <x:f>IF(ABS(ROUND(D11,6))&lt;=E11,"PASS","FAIL")</x:f>
        <x:v>PASS</x:v>
      </x:c>
      <x:c r="G11" s="200" t="str">
        <x:v>Inputs: stage and risk rates</x:v>
      </x:c>
      <x:c r="H11" s="200"/>
    </x:row>
    <x:row r="12" ht="26" customHeight="1">
      <x:c r="A12" s="200" t="str">
        <x:v>Exposure at default bridge ties</x:v>
      </x:c>
      <x:c r="B12" s="221" t="n">
        <x:f>ROUND('Model'!B15-'Inputs'!$B$10-'Inputs'!$B$11*'Inputs'!$B$12,6)</x:f>
        <x:v>0</x:v>
      </x:c>
      <x:c r="C12" s="221" t="n">
        <x:f>0</x:f>
        <x:v>0</x:v>
      </x:c>
      <x:c r="D12" s="221" t="n">
        <x:f>ROUND(B12-C12,6)</x:f>
        <x:v>0</x:v>
      </x:c>
      <x:c r="E12" s="221" t="n">
        <x:f>0.0001</x:f>
        <x:v>0.0001</x:v>
      </x:c>
      <x:c r="F12" s="216" t="str">
        <x:f>IF(ABS(ROUND(D12,6))&lt;=E12,"PASS","FAIL")</x:f>
        <x:v>PASS</x:v>
      </x:c>
      <x:c r="G12" s="200" t="str">
        <x:v>Model: EAD bridge</x:v>
      </x:c>
      <x:c r="H12" s="200"/>
    </x:row>
    <x:row r="13" ht="26" customHeight="1">
      <x:c r="A13" s="200" t="str">
        <x:v>ECL bridge and non-negativity tie</x:v>
      </x:c>
      <x:c r="B13" s="219" t="n">
        <x:f>ROUND(IF(AND(ABS('Model'!B24-'Model'!B21-'Model'!B23)&lt;=0.0001,'Model'!B24&gt;=0),1,0),6)</x:f>
        <x:v>1</x:v>
      </x:c>
      <x:c r="C13" s="219" t="n">
        <x:f>1</x:f>
        <x:v>1</x:v>
      </x:c>
      <x:c r="D13" s="219" t="n">
        <x:f>ROUND(B13-C13,6)</x:f>
        <x:v>0</x:v>
      </x:c>
      <x:c r="E13" s="219" t="n">
        <x:f>0.0001</x:f>
        <x:v>0.0001</x:v>
      </x:c>
      <x:c r="F13" s="216" t="str">
        <x:f>IF(ABS(ROUND(D13,6))&lt;=E13,"PASS","FAIL")</x:f>
        <x:v>PASS</x:v>
      </x:c>
      <x:c r="G13" s="200" t="str">
        <x:v>Model: ECL bridge</x:v>
      </x:c>
      <x:c r="H13" s="200"/>
    </x:row>
    <x:row r="14" ht="26" customHeight="1">
      <x:c r="A14" s="200" t="str">
        <x:v>Stage-selected base PD traces correctly</x:v>
      </x:c>
      <x:c r="B14" s="223" t="n">
        <x:f>ROUND('Model'!B16-IF('Inputs'!$B$13=1,'Inputs'!$B$14,IF('Inputs'!$B$13=2,'Inputs'!$B$15,1)),6)</x:f>
        <x:v>0</x:v>
      </x:c>
      <x:c r="C14" s="223" t="n">
        <x:f>0</x:f>
        <x:v>0</x:v>
      </x:c>
      <x:c r="D14" s="223" t="n">
        <x:f>ROUND(B14-C14,6)</x:f>
        <x:v>0</x:v>
      </x:c>
      <x:c r="E14" s="223" t="n">
        <x:f>0.0001</x:f>
        <x:v>0.0001</x:v>
      </x:c>
      <x:c r="F14" s="216" t="str">
        <x:f>IF(ABS(ROUND(D14,6))&lt;=E14,"PASS","FAIL")</x:f>
        <x:v>PASS</x:v>
      </x:c>
      <x:c r="G14" s="200" t="str">
        <x:v>Model: stage PD selection</x:v>
      </x:c>
      <x:c r="H14" s="200"/>
    </x:row>
    <x:row r="15" ht="26" customHeight="1">
      <x:c r="A15" s="200" t="str">
        <x:v>Stressed PD applies the cap</x:v>
      </x:c>
      <x:c r="B15" s="223" t="n">
        <x:f>ROUND('Model'!B18-MIN(1,'Model'!B16*'Inputs'!$B$18),6)</x:f>
        <x:v>0</x:v>
      </x:c>
      <x:c r="C15" s="223" t="n">
        <x:f>0</x:f>
        <x:v>0</x:v>
      </x:c>
      <x:c r="D15" s="223" t="n">
        <x:f>ROUND(B15-C15,6)</x:f>
        <x:v>0</x:v>
      </x:c>
      <x:c r="E15" s="223" t="n">
        <x:f>0.0001</x:f>
        <x:v>0.0001</x:v>
      </x:c>
      <x:c r="F15" s="216" t="str">
        <x:f>IF(ABS(ROUND(D15,6))&lt;=E15,"PASS","FAIL")</x:f>
        <x:v>PASS</x:v>
      </x:c>
      <x:c r="G15" s="200" t="str">
        <x:v>Model: stressed PD</x:v>
      </x:c>
      <x:c r="H15" s="200"/>
    </x:row>
    <x:row r="16" ht="26" customHeight="1">
      <x:c r="A16" s="200" t="str">
        <x:v>Pre-overlay expected loss traces</x:v>
      </x:c>
      <x:c r="B16" s="221" t="n">
        <x:f>ROUND('Model'!B21-'Model'!B15*'Model'!B18*'Inputs'!$B$16*'Inputs'!$B$17,6)</x:f>
        <x:v>0</x:v>
      </x:c>
      <x:c r="C16" s="221" t="n">
        <x:f>0</x:f>
        <x:v>0</x:v>
      </x:c>
      <x:c r="D16" s="221" t="n">
        <x:f>ROUND(B16-C16,6)</x:f>
        <x:v>0</x:v>
      </x:c>
      <x:c r="E16" s="221" t="n">
        <x:f>0.0001</x:f>
        <x:v>0.0001</x:v>
      </x:c>
      <x:c r="F16" s="216" t="str">
        <x:f>IF(ABS(ROUND(D16,6))&lt;=E16,"PASS","FAIL")</x:f>
        <x:v>PASS</x:v>
      </x:c>
      <x:c r="G16" s="200" t="str">
        <x:v>Model: EAD × PD × LGD × discount</x:v>
      </x:c>
      <x:c r="H16" s="200"/>
    </x:row>
    <x:row r="17" ht="26" customHeight="1">
      <x:c r="A17" s="200" t="str">
        <x:v>Management overlay amount traces</x:v>
      </x:c>
      <x:c r="B17" s="221" t="n">
        <x:f>ROUND('Model'!B23-'Model'!B21*'Inputs'!$B$19,6)</x:f>
        <x:v>0</x:v>
      </x:c>
      <x:c r="C17" s="221" t="n">
        <x:f>0</x:f>
        <x:v>0</x:v>
      </x:c>
      <x:c r="D17" s="221" t="n">
        <x:f>ROUND(B17-C17,6)</x:f>
        <x:v>0</x:v>
      </x:c>
      <x:c r="E17" s="221" t="n">
        <x:f>0.0001</x:f>
        <x:v>0.0001</x:v>
      </x:c>
      <x:c r="F17" s="216" t="str">
        <x:f>IF(ABS(ROUND(D17,6))&lt;=E17,"PASS","FAIL")</x:f>
        <x:v>PASS</x:v>
      </x:c>
      <x:c r="G17" s="200" t="str">
        <x:v>Model: management overlay</x:v>
      </x:c>
      <x:c r="H17" s="200"/>
    </x:row>
    <x:row r="18" ht="26" customHeight="1">
      <x:c r="A18" s="200" t="str">
        <x:v>Selected stage row ties to the allowance bridge</x:v>
      </x:c>
      <x:c r="B18" s="221" t="n">
        <x:f>ROUND(SUM(ABS(INDEX('Model'!D30:D32,'Inputs'!$B$13)-'Model'!B18),ABS(INDEX('Model'!E30:E32,'Inputs'!$B$13)-'Model'!B15),ABS(INDEX('Model'!H30:H32,'Inputs'!$B$13)-'Model'!B24)),6)</x:f>
        <x:v>0</x:v>
      </x:c>
      <x:c r="C18" s="221" t="n">
        <x:f>0</x:f>
        <x:v>0</x:v>
      </x:c>
      <x:c r="D18" s="221" t="n">
        <x:f>ROUND(B18-C18,6)</x:f>
        <x:v>0</x:v>
      </x:c>
      <x:c r="E18" s="221" t="n">
        <x:f>0.0001</x:f>
        <x:v>0.0001</x:v>
      </x:c>
      <x:c r="F18" s="216" t="str">
        <x:f>IF(ABS(ROUND(D18,6))&lt;=E18,"PASS","FAIL")</x:f>
        <x:v>PASS</x:v>
      </x:c>
      <x:c r="G18" s="200" t="str">
        <x:v>Model: stage comparison</x:v>
      </x:c>
      <x:c r="H18" s="200"/>
    </x:row>
    <x:row r="19" ht="20" customHeight="1">
      <x:c r="A19" s="227" t="str">
        <x:v>A warning business outcome can still pass these controls; review Model and Results before making a decision.</x:v>
      </x:c>
      <x:c r="B19" s="228"/>
      <x:c r="C19" s="228"/>
      <x:c r="D19" s="228"/>
      <x:c r="E19" s="228"/>
      <x:c r="F19" s="228"/>
      <x:c r="G19" s="228"/>
      <x:c r="H19" s="229"/>
    </x:row>
    <x:row r="20" ht="20" customHeight="1">
      <x:c r="A20" s="60" t="str">
        <x:v>ECL Credit Stress Lite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