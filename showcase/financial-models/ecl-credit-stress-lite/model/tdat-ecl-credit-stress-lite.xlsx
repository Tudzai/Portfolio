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058a851ca240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83dcc882d434f76"/>
    <x:sheet xmlns:r="http://schemas.openxmlformats.org/officeDocument/2006/relationships" name="Guide" sheetId="2" r:id="R104f9d9f1f994968"/>
    <x:sheet xmlns:r="http://schemas.openxmlformats.org/officeDocument/2006/relationships" name="Assumptions" sheetId="3" r:id="R5434171a13114fb9"/>
    <x:sheet xmlns:r="http://schemas.openxmlformats.org/officeDocument/2006/relationships" name="Portfolio Inputs" sheetId="4" r:id="Rbbf82e918dad4a43"/>
    <x:sheet xmlns:r="http://schemas.openxmlformats.org/officeDocument/2006/relationships" name="ECL Engine" sheetId="5" r:id="Rf20238d89de14a1f"/>
    <x:sheet xmlns:r="http://schemas.openxmlformats.org/officeDocument/2006/relationships" name="Sensitivity" sheetId="6" r:id="Rda85dd2d094b4086"/>
    <x:sheet xmlns:r="http://schemas.openxmlformats.org/officeDocument/2006/relationships" name="Summary" sheetId="7" r:id="R7fa5e194101c4b30"/>
    <x:sheet xmlns:r="http://schemas.openxmlformats.org/officeDocument/2006/relationships" name="Checks" sheetId="8" r:id="R358dfac18a7f4c29"/>
    <x:sheet xmlns:r="http://schemas.openxmlformats.org/officeDocument/2006/relationships" name="Sources &amp; Version" sheetId="9" r:id="Radfd3a8b37bc4b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x;(0.0x);-"/>
    <x:numFmt numFmtId="201" formatCode="0.0%;(0.0%);-"/>
    <x:numFmt numFmtId="202" formatCode="#,##0.0;(#,##0.0);-"/>
    <x:numFmt numFmtId="203" formatCode="#,##0;(#,##0);-"/>
    <x:numFmt numFmtId="204" formatCode="0.00;(0.0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2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204" fontId="12" fillId="5" borderId="0" xfId="0" applyNumberFormat="1" applyFont="1" applyFill="1" applyBorder="1"/>
    <x:xf numFmtId="204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201" fontId="12" fillId="5" borderId="22" xfId="0" applyNumberFormat="1" applyFont="1" applyFill="1" applyBorder="1" applyAlignment="1">
      <x:alignment horizontal="right"/>
    </x:xf>
    <x:xf numFmtId="203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4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2" fontId="16" fillId="6" borderId="24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2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3" fillId="8" borderId="24" xfId="0" applyNumberFormat="1" applyFont="1" applyFill="1" applyBorder="1" applyAlignment="1">
      <x:alignment horizontal="right"/>
    </x:xf>
    <x:xf numFmtId="0" fontId="6" fillId="6" borderId="25" xfId="0" applyNumberFormat="1" applyFont="1" applyFill="1" applyBorder="1" applyAlignment="1">
      <x:alignment wrapText="1"/>
    </x:xf>
    <x:xf numFmtId="202" fontId="16" fillId="6" borderId="25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202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2" fontId="13" fillId="8" borderId="22" xfId="0" applyNumberFormat="1" applyFont="1" applyFill="1" applyBorder="1" applyAlignment="1">
      <x:alignment horizontal="right"/>
    </x:xf>
    <x:xf numFmtId="201" fontId="13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2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2" fontId="16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 vertic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2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1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cf1260c2f1421b" /><Relationship Type="http://schemas.openxmlformats.org/officeDocument/2006/relationships/theme" Target="/xl/theme/theme1.xml" Id="R87aafa1655e84bdc" /><Relationship Type="http://schemas.openxmlformats.org/officeDocument/2006/relationships/sharedStrings" Target="/xl/sharedStrings.xml" Id="R91d5c9b335614529" /><Relationship Type="http://schemas.openxmlformats.org/officeDocument/2006/relationships/worksheet" Target="/xl/worksheets/sheet1.xml" Id="Rb83dcc882d434f76" /><Relationship Type="http://schemas.openxmlformats.org/officeDocument/2006/relationships/worksheet" Target="/xl/worksheets/sheet2.xml" Id="R104f9d9f1f994968" /><Relationship Type="http://schemas.openxmlformats.org/officeDocument/2006/relationships/worksheet" Target="/xl/worksheets/sheet3.xml" Id="R5434171a13114fb9" /><Relationship Type="http://schemas.openxmlformats.org/officeDocument/2006/relationships/worksheet" Target="/xl/worksheets/sheet4.xml" Id="Rbbf82e918dad4a43" /><Relationship Type="http://schemas.openxmlformats.org/officeDocument/2006/relationships/worksheet" Target="/xl/worksheets/sheet5.xml" Id="Rf20238d89de14a1f" /><Relationship Type="http://schemas.openxmlformats.org/officeDocument/2006/relationships/worksheet" Target="/xl/worksheets/sheet6.xml" Id="Rda85dd2d094b4086" /><Relationship Type="http://schemas.openxmlformats.org/officeDocument/2006/relationships/worksheet" Target="/xl/worksheets/sheet7.xml" Id="R7fa5e194101c4b30" /><Relationship Type="http://schemas.openxmlformats.org/officeDocument/2006/relationships/worksheet" Target="/xl/worksheets/sheet8.xml" Id="R358dfac18a7f4c29" /><Relationship Type="http://schemas.openxmlformats.org/officeDocument/2006/relationships/worksheet" Target="/xl/worksheets/sheet9.xml" Id="Radfd3a8b37bc4b9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4738523183416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Exposure and expected loss by portfolio</a:t>
            </a:r>
          </a:p>
        </c:rich>
      </c:tx>
    </c:title>
    <c:plotArea>
      <c:lineChart>
        <c:grouping val="standard"/>
        <c:ser>
          <c:idx val="0"/>
          <c:order val="0"/>
          <c:tx>
            <c:v>Exposure at default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'Summary'!$B$16:$B$20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Expected credit loss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'Summary'!$C$16:$C$20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4738523183416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0b0d6c4a04134c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TDAT-FM-RSK-002  |  Built to flex. Built to tie. Built to trust.</x:v>
      </x:c>
      <x:c r="B2" s="6" t="str">
        <x:v>TDAT-FM-RSK-002  |  Built to flex. Built to tie. Built to trust.</x:v>
      </x:c>
      <x:c r="C2" s="6" t="str">
        <x:v>TDAT-FM-RSK-002  |  Built to flex. Built to tie. Built to trust.</x:v>
      </x:c>
      <x:c r="D2" s="6" t="str">
        <x:v>TDAT-FM-RSK-002  |  Built to flex. Built to tie. Built to trust.</x:v>
      </x:c>
      <x:c r="E2" s="6" t="str">
        <x:v>TDAT-FM-RSK-002  |  Built to flex. Built to tie. Built to trust.</x:v>
      </x:c>
      <x:c r="F2" s="6" t="str">
        <x:v>TDAT-FM-RSK-002  |  Built to flex. Built to tie. Built to trust.</x:v>
      </x:c>
      <x:c r="G2" s="6" t="str">
        <x:v>TDAT-FM-RSK-002  |  Built to flex. Built to tie. Built to trust.</x:v>
      </x:c>
      <x:c r="H2" s="6" t="str">
        <x:v>TDAT-FM-RSK-002  |  Built to flex. Built to tie. Built to trust.</x:v>
      </x:c>
      <x:c r="I2" s="6" t="str">
        <x:v>TDAT-FM-RSK-002  |  Built to flex. Built to tie. Built to trust.</x:v>
      </x:c>
      <x:c r="J2" s="6" t="str">
        <x:v>TDAT-FM-RSK-002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6" t="str">
        <x:v>ECL / Credit Stress Lite</x:v>
      </x:c>
      <x:c r="B5" s="226" t="str">
        <x:v>ECL / Credit Stress Lite</x:v>
      </x:c>
      <x:c r="C5" s="226" t="str">
        <x:v>ECL / Credit Stress Lite</x:v>
      </x:c>
      <x:c r="D5" s="226" t="str">
        <x:v>ECL / Credit Stress Lite</x:v>
      </x:c>
      <x:c r="E5" s="226" t="str">
        <x:v>ECL / Credit Stress Lite</x:v>
      </x:c>
      <x:c r="F5" s="226" t="str">
        <x:v>ECL / Credit Stress Lite</x:v>
      </x:c>
      <x:c r="G5" s="138" t="str">
        <x:v>CALCULATION INTEGRITY</x:v>
      </x:c>
      <x:c r="H5" s="138" t="str">
        <x:v>CALCULATION INTEGRITY</x:v>
      </x:c>
      <x:c r="I5" s="138" t="str">
        <x:v>CALCULATION INTEGRITY</x:v>
      </x:c>
      <x:c r="J5" s="138" t="str">
        <x:v>CALCULATION INTEGRITY</x:v>
      </x:c>
    </x:row>
    <x:row r="6">
      <x:c r="A6" s="226" t="str">
        <x:v>ECL / Credit Stress Lite</x:v>
      </x:c>
      <x:c r="B6" s="226" t="str">
        <x:v>ECL / Credit Stress Lite</x:v>
      </x:c>
      <x:c r="C6" s="226" t="str">
        <x:v>ECL / Credit Stress Lite</x:v>
      </x:c>
      <x:c r="D6" s="226" t="str">
        <x:v>ECL / Credit Stress Lite</x:v>
      </x:c>
      <x:c r="E6" s="226" t="str">
        <x:v>ECL / Credit Stress Lite</x:v>
      </x:c>
      <x:c r="F6" s="226" t="str">
        <x:v>ECL / Credit Stress Lite</x:v>
      </x:c>
      <x:c r="G6" s="229" t="str">
        <x:f>'Checks'!$B$5</x:f>
        <x:v>PASS</x:v>
      </x:c>
      <x:c r="H6" s="229"/>
      <x:c r="I6" s="229"/>
      <x:c r="J6" s="229"/>
    </x:row>
    <x:row r="7">
      <x:c r="A7" s="226" t="str">
        <x:v>ECL / Credit Stress Lite</x:v>
      </x:c>
      <x:c r="B7" s="226" t="str">
        <x:v>ECL / Credit Stress Lite</x:v>
      </x:c>
      <x:c r="C7" s="226" t="str">
        <x:v>ECL / Credit Stress Lite</x:v>
      </x:c>
      <x:c r="D7" s="226" t="str">
        <x:v>ECL / Credit Stress Lite</x:v>
      </x:c>
      <x:c r="E7" s="226" t="str">
        <x:v>ECL / Credit Stress Lite</x:v>
      </x:c>
      <x:c r="F7" s="226" t="str">
        <x:v>ECL / Credit Stress Lite</x:v>
      </x:c>
      <x:c r="G7" s="229"/>
      <x:c r="H7" s="229"/>
      <x:c r="I7" s="229"/>
      <x:c r="J7" s="229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33" t="str">
        <x:v>How do PD, LGD, EAD, staging, and macro scenarios change expected loss?</x:v>
      </x:c>
      <x:c r="B10" s="233" t="str">
        <x:v>How do PD, LGD, EAD, staging, and macro scenarios change expected loss?</x:v>
      </x:c>
      <x:c r="C10" s="233" t="str">
        <x:v>How do PD, LGD, EAD, staging, and macro scenarios change expected loss?</x:v>
      </x:c>
      <x:c r="D10" s="233" t="str">
        <x:v>How do PD, LGD, EAD, staging, and macro scenarios change expected loss?</x:v>
      </x:c>
      <x:c r="E10" s="233" t="str">
        <x:v>How do PD, LGD, EAD, staging, and macro scenarios change expected loss?</x:v>
      </x:c>
      <x:c r="F10" s="233" t="str">
        <x:v>How do PD, LGD, EAD, staging, and macro scenarios change expected loss?</x:v>
      </x:c>
      <x:c r="G10" s="233" t="str">
        <x:v>How do PD, LGD, EAD, staging, and macro scenarios change expected loss?</x:v>
      </x:c>
      <x:c r="H10" s="233" t="str">
        <x:v>How do PD, LGD, EAD, staging, and macro scenarios change expected loss?</x:v>
      </x:c>
      <x:c r="I10" s="233" t="str">
        <x:v>How do PD, LGD, EAD, staging, and macro scenarios change expected loss?</x:v>
      </x:c>
      <x:c r="J10" s="233" t="str">
        <x:v>How do PD, LGD, EAD, staging, and macro scenarios change expected loss?</x:v>
      </x:c>
    </x:row>
    <x:row r="11">
      <x:c r="A11" s="233" t="str">
        <x:v>How do PD, LGD, EAD, staging, and macro scenarios change expected loss?</x:v>
      </x:c>
      <x:c r="B11" s="233" t="str">
        <x:v>How do PD, LGD, EAD, staging, and macro scenarios change expected loss?</x:v>
      </x:c>
      <x:c r="C11" s="233" t="str">
        <x:v>How do PD, LGD, EAD, staging, and macro scenarios change expected loss?</x:v>
      </x:c>
      <x:c r="D11" s="233" t="str">
        <x:v>How do PD, LGD, EAD, staging, and macro scenarios change expected loss?</x:v>
      </x:c>
      <x:c r="E11" s="233" t="str">
        <x:v>How do PD, LGD, EAD, staging, and macro scenarios change expected loss?</x:v>
      </x:c>
      <x:c r="F11" s="233" t="str">
        <x:v>How do PD, LGD, EAD, staging, and macro scenarios change expected loss?</x:v>
      </x:c>
      <x:c r="G11" s="233" t="str">
        <x:v>How do PD, LGD, EAD, staging, and macro scenarios change expected loss?</x:v>
      </x:c>
      <x:c r="H11" s="233" t="str">
        <x:v>How do PD, LGD, EAD, staging, and macro scenarios change expected loss?</x:v>
      </x:c>
      <x:c r="I11" s="233" t="str">
        <x:v>How do PD, LGD, EAD, staging, and macro scenarios change expected loss?</x:v>
      </x:c>
      <x:c r="J11" s="233" t="str">
        <x:v>How do PD, LGD, EAD, staging, and macro scenarios change expected loss?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4" t="str">
        <x:v>Calculation integrity</x:v>
      </x:c>
      <x:c r="B14" s="235" t="str">
        <x:v>Decision readiness</x:v>
      </x:c>
      <x:c r="C14" s="240" t="str">
        <x:f>'Checks'!$B$5</x:f>
        <x:v>PASS</x:v>
      </x:c>
      <x:c r="D14" s="240"/>
      <x:c r="E14" s="240"/>
      <x:c r="F14" s="255" t="str">
        <x:v>TEMPLATE — VALIDATE INPUTS</x:v>
      </x:c>
      <x:c r="G14" s="255" t="str">
        <x:v>TEMPLATE — VALIDATE INPUTS</x:v>
      </x:c>
      <x:c r="H14" s="255" t="str">
        <x:v>TEMPLATE — VALIDATE INPUTS</x:v>
      </x:c>
      <x:c r="I14" s="255" t="str">
        <x:v>TEMPLATE — VALIDATE INPUTS</x:v>
      </x:c>
      <x:c r="J14" s="256" t="str">
        <x:v>TEMPLATE — VALIDATE INPUTS</x:v>
      </x:c>
    </x:row>
    <x:row r="15">
      <x:c r="A15" s="236" t="str">
        <x:v>Published checks</x:v>
      </x:c>
      <x:c r="B15" s="237" t="str">
        <x:v>Template posture</x:v>
      </x:c>
      <x:c r="C15" s="241" t="str">
        <x:f>"11 / 11 PASS"</x:f>
        <x:v>11 / 11 PASS</x:v>
      </x:c>
      <x:c r="D15" s="241"/>
      <x:c r="E15" s="241"/>
      <x:c r="F15" s="257" t="str">
        <x:v>Illustrative, screen-grade worked example</x:v>
      </x:c>
      <x:c r="G15" s="257" t="str">
        <x:v>Illustrative, screen-grade worked example</x:v>
      </x:c>
      <x:c r="H15" s="257" t="str">
        <x:v>Illustrative, screen-grade worked example</x:v>
      </x:c>
      <x:c r="I15" s="257" t="str">
        <x:v>Illustrative, screen-grade worked example</x:v>
      </x:c>
      <x:c r="J15" s="258" t="str">
        <x:v>Illustrative, screen-grade worked example</x:v>
      </x:c>
    </x:row>
    <x:row r="16">
      <x:c r="A16" s="236" t="str">
        <x:v>Scenario</x:v>
      </x:c>
      <x:c r="B16" s="237" t="str">
        <x:v>Evidence</x:v>
      </x:c>
      <x:c r="C16" s="241" t="str">
        <x:f>'Assumptions'!$B$3</x:f>
        <x:v>Base</x:v>
      </x:c>
      <x:c r="D16" s="241"/>
      <x:c r="E16" s="241"/>
      <x:c r="F16" s="257" t="str">
        <x:v>Synthetic / illustrative</x:v>
      </x:c>
      <x:c r="G16" s="257" t="str">
        <x:v>Synthetic / illustrative</x:v>
      </x:c>
      <x:c r="H16" s="257" t="str">
        <x:v>Synthetic / illustrative</x:v>
      </x:c>
      <x:c r="I16" s="257" t="str">
        <x:v>Synthetic / illustrative</x:v>
      </x:c>
      <x:c r="J16" s="258" t="str">
        <x:v>Synthetic / illustrative</x:v>
      </x:c>
    </x:row>
    <x:row r="17">
      <x:c r="A17" s="238" t="str">
        <x:v>Owner</x:v>
      </x:c>
      <x:c r="B17" s="239" t="str">
        <x:v>Use</x:v>
      </x:c>
      <x:c r="C17" s="242" t="str">
        <x:f>'Sources &amp; Version'!$B$12</x:f>
        <x:v>Truong Dinh Anh Tu</x:v>
      </x:c>
      <x:c r="D17" s="242"/>
      <x:c r="E17" s="242"/>
      <x:c r="F17" s="259" t="str">
        <x:v>Credit Risk · Banking Finance · Risk Analytics · Financial Reporting</x:v>
      </x:c>
      <x:c r="G17" s="259" t="str">
        <x:v>Credit Risk · Banking Finance · Risk Analytics · Financial Reporting</x:v>
      </x:c>
      <x:c r="H17" s="259" t="str">
        <x:v>Credit Risk · Banking Finance · Risk Analytics · Financial Reporting</x:v>
      </x:c>
      <x:c r="I17" s="259" t="str">
        <x:v>Credit Risk · Banking Finance · Risk Analytics · Financial Reporting</x:v>
      </x:c>
      <x:c r="J17" s="260" t="str">
        <x:v>Credit Risk · Banking Finance · Risk Analytics · Financial Reporting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5" t="str">
        <x:v>Model ID</x:v>
      </x:c>
      <x:c r="B20" s="151" t="str">
        <x:v>TDAT-FM-RSK-002</x:v>
      </x:c>
      <x:c r="C20" s="217" t="str">
        <x:v>Version</x:v>
      </x:c>
      <x:c r="D20" s="151" t="str">
        <x:v>1.0.0</x:v>
      </x:c>
      <x:c r="E20" s="217" t="str">
        <x:v>Last QA</x:v>
      </x:c>
      <x:c r="F20" s="152" t="str">
        <x:v>2026-07-13</x:v>
      </x:c>
      <x:c r="G20" s="264" t="str">
        <x:v>Total EAD</x:v>
      </x:c>
      <x:c r="H20" s="264" t="str">
        <x:v>Total EAD</x:v>
      </x:c>
      <x:c r="I20" s="265" t="n">
        <x:f>SUM('ECL Engine'!B6:F6)</x:f>
        <x:v>1753.5</x:v>
      </x:c>
      <x:c r="J20" s="265"/>
    </x:row>
    <x:row r="21">
      <x:c r="A21" s="262" t="str">
        <x:v>Domain</x:v>
      </x:c>
      <x:c r="B21" s="154" t="str">
        <x:v>Credit &amp; Risk</x:v>
      </x:c>
      <x:c r="C21" s="263" t="str">
        <x:v>Compatibility</x:v>
      </x:c>
      <x:c r="D21" s="154" t="str">
        <x:v>Excel 365</x:v>
      </x:c>
      <x:c r="E21" s="263" t="str">
        <x:v>Macros</x:v>
      </x:c>
      <x:c r="F21" s="155" t="str">
        <x:v>None</x:v>
      </x:c>
      <x:c r="G21" s="264" t="str">
        <x:v>Total ECL</x:v>
      </x:c>
      <x:c r="H21" s="264" t="str">
        <x:v>Total ECL</x:v>
      </x:c>
      <x:c r="I21" s="265" t="n">
        <x:f>SUM('ECL Engine'!B11:F11)</x:f>
        <x:v>58.02045270000001</x:v>
      </x:c>
      <x:c r="J21" s="265"/>
    </x:row>
    <x:row r="22">
      <x:c r="A22" s="262" t="str">
        <x:v>Horizon</x:v>
      </x:c>
      <x:c r="B22" s="154" t="str">
        <x:v>12-month / lifetime</x:v>
      </x:c>
      <x:c r="C22" s="263" t="str">
        <x:v>Frequency</x:v>
      </x:c>
      <x:c r="D22" s="154" t="str">
        <x:v>Reporting-date snapshot</x:v>
      </x:c>
      <x:c r="E22" s="263" t="str">
        <x:v>External links</x:v>
      </x:c>
      <x:c r="F22" s="155" t="str">
        <x:v>None</x:v>
      </x:c>
      <x:c r="G22" s="264" t="str">
        <x:v>Portfolio loss rate</x:v>
      </x:c>
      <x:c r="H22" s="264" t="str">
        <x:v>Portfolio loss rate</x:v>
      </x:c>
      <x:c r="I22" s="266" t="n">
        <x:f>SUM('ECL Engine'!B11:F11)/SUM('ECL Engine'!B6:F6)</x:f>
        <x:v>0.03308836766467066</x:v>
      </x:c>
      <x:c r="J22" s="266"/>
    </x:row>
    <x:row r="23">
      <x:c r="A23" s="262" t="str">
        <x:v>Currency</x:v>
      </x:c>
      <x:c r="B23" s="154" t="str">
        <x:v>LCY</x:v>
      </x:c>
      <x:c r="C23" s="263" t="str">
        <x:v>Units</x:v>
      </x:c>
      <x:c r="D23" s="154" t="str">
        <x:v>LCY millions</x:v>
      </x:c>
      <x:c r="E23" s="263" t="str">
        <x:v>Scenario</x:v>
      </x:c>
      <x:c r="F23" s="155" t="str">
        <x:v>Base / Upside / Downside</x:v>
      </x:c>
      <x:c r="G23" s="264" t="str">
        <x:v>Stage 2+ EAD</x:v>
      </x:c>
      <x:c r="H23" s="264" t="str">
        <x:v>Stage 2+ EAD</x:v>
      </x:c>
      <x:c r="I23" s="265" t="n">
        <x:f>SUMIF('Portfolio Inputs'!B9:F9,"&gt;=2",'ECL Engine'!B6:F6)</x:f>
        <x:v>400</x:v>
      </x:c>
      <x:c r="J23" s="265"/>
    </x:row>
    <x:row r="24">
      <x:c r="A24" s="216" t="str">
        <x:v>Owner</x:v>
      </x:c>
      <x:c r="B24" s="157" t="str">
        <x:v>Truong Dinh Anh Tu</x:v>
      </x:c>
      <x:c r="C24" s="218" t="str">
        <x:v>Standard</x:v>
      </x:c>
      <x:c r="D24" s="157" t="str">
        <x:v>TDAT Model Standard 1.0</x:v>
      </x:c>
      <x:c r="E24" s="218" t="str">
        <x:v>Evidence</x:v>
      </x:c>
      <x:c r="F24" s="158" t="str">
        <x:v>Synthetic worked template</x:v>
      </x:c>
      <x:c r="G24" s="264" t="str">
        <x:v>Management overlay</x:v>
      </x:c>
      <x:c r="H24" s="264" t="str">
        <x:v>Management overlay</x:v>
      </x:c>
      <x:c r="I24" s="265" t="n">
        <x:f>SUM('ECL Engine'!B10:F10)</x:f>
        <x:v>2.7628787000000004</x:v>
      </x:c>
      <x:c r="J24" s="265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6" t="str">
        <x:v>Blue font</x:v>
      </x:c>
      <x:c r="B27" s="278" t="str">
        <x:v>Editable hardcode</x:v>
      </x:c>
      <x:c r="C27" s="287" t="str">
        <x:v>Black font</x:v>
      </x:c>
      <x:c r="D27" s="278" t="str">
        <x:v>In-sheet formula</x:v>
      </x:c>
      <x:c r="E27" s="288" t="str">
        <x:v>Green font</x:v>
      </x:c>
      <x:c r="F27" s="278" t="str">
        <x:v>Cross-sheet formula</x:v>
      </x:c>
      <x:c r="G27" s="289" t="str">
        <x:v>Pale amber</x:v>
      </x:c>
      <x:c r="H27" s="289" t="str">
        <x:v>Scenario / review cue</x:v>
      </x:c>
      <x:c r="I27" s="290" t="str">
        <x:v>Teal</x:v>
      </x:c>
      <x:c r="J27" s="291" t="str">
        <x:v>PASS / trusted output</x:v>
      </x:c>
    </x:row>
    <x:row r="28">
      <x:c r="A28" s="280" t="str">
        <x:v>Actual</x:v>
      </x:c>
      <x:c r="B28" s="281" t="str">
        <x:v>Neutral period band</x:v>
      </x:c>
      <x:c r="C28" s="281" t="str">
        <x:v>Forecast</x:v>
      </x:c>
      <x:c r="D28" s="281" t="str">
        <x:v>Pale-blue period band</x:v>
      </x:c>
      <x:c r="E28" s="281" t="str">
        <x:v>Zero</x:v>
      </x:c>
      <x:c r="F28" s="281" t="str">
        <x:v>Displayed as an en dash</x:v>
      </x:c>
      <x:c r="G28" s="281" t="str">
        <x:v>Rule</x:v>
      </x:c>
      <x:c r="H28" s="281" t="str">
        <x:v>Keep formulas copy-across</x:v>
      </x:c>
      <x:c r="I28" s="281" t="str">
        <x:v>Rule</x:v>
      </x:c>
      <x:c r="J28" s="282" t="str">
        <x:v>Recheck after every change</x:v>
      </x:c>
    </x:row>
    <x:row r="29">
      <x:c r="A29" s="283" t="str">
        <x:v>Status</x:v>
      </x:c>
      <x:c r="B29" s="284" t="str">
        <x:v>PASS means controls tie</x:v>
      </x:c>
      <x:c r="C29" s="284" t="str">
        <x:v>Readiness</x:v>
      </x:c>
      <x:c r="D29" s="284" t="str">
        <x:v>Inputs still require review</x:v>
      </x:c>
      <x:c r="E29" s="284" t="str">
        <x:v>Privacy</x:v>
      </x:c>
      <x:c r="F29" s="284" t="str">
        <x:v>Public-safe example</x:v>
      </x:c>
      <x:c r="G29" s="284" t="str">
        <x:v>Use</x:v>
      </x:c>
      <x:c r="H29" s="284" t="str">
        <x:v>Adapt and validate</x:v>
      </x:c>
      <x:c r="I29" s="284" t="str">
        <x:v>Support</x:v>
      </x:c>
      <x:c r="J29" s="285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ECL / Credit Stress Lite  |  Scope, setup, flexibility, and limitations</x:v>
      </x:c>
      <x:c r="B2" s="6" t="str">
        <x:v>ECL / Credit Stress Lite  |  Scope, setup, flexibility, and limitations</x:v>
      </x:c>
      <x:c r="C2" s="6" t="str">
        <x:v>ECL / Credit Stress Lite  |  Scope, setup, flexibility, and limitations</x:v>
      </x:c>
      <x:c r="D2" s="6" t="str">
        <x:v>ECL / Credit Stress Lite  |  Scope, setup, flexibility, and limitations</x:v>
      </x:c>
      <x:c r="E2" s="6" t="str">
        <x:v>ECL / Credit Stress Lite  |  Scope, setup, flexibility, and limitations</x:v>
      </x:c>
      <x:c r="F2" s="6" t="str">
        <x:v>ECL / Credit Stress Lite  |  Scope, setup, flexibility, and limitations</x:v>
      </x:c>
      <x:c r="G2" s="6" t="str">
        <x:v>ECL / Credit Stress Lite  |  Scope, setup, flexibility, and limitations</x:v>
      </x:c>
      <x:c r="H2" s="6" t="str">
        <x:v>ECL / Credit Stress Lite  |  Scope, setup, flexibility, and limitations</x:v>
      </x:c>
      <x:c r="I2" s="6" t="str">
        <x:v>ECL / Credit Stress Lite  |  Scope, setup, flexibility, and limitations</x:v>
      </x:c>
      <x:c r="J2" s="6" t="str">
        <x:v>ECL / Credit Stress Lite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B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C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D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E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F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G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H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I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J6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</x:row>
    <x:row r="7">
      <x:c r="A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B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C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D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E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F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G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H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I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J7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</x:row>
    <x:row r="8">
      <x:c r="A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B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C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D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E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F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G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H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I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  <x:c r="J8" s="12" t="str">
        <x:v>Illustrative expected-credit-loss engine with transparent assumptions, scenario weights, and reconciliation checks.
Primary users: Credit Risk, Banking Finance, Risk Analytics, Financial Reporting. Typical use: Expected loss, Stress, Provision.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How do PD, LGD, EAD, staging, and macro scenarios change expected loss?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Portfolio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ECL Engine;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Portfolio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ECL Engine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PD multiplier × LGD multiplier recalculation of Total expected credit loss.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Portfolio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ECL Engine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educational ECL engine only; it is not IFRS 9 compliant and not an accounting or regulatory conclusion. Validate staging, SICR, PD term structures, LGD/EAD methods, discounting, overlays, governance, data lineage, and independent validation.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B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C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D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E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F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G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H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I37" s="43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J37" s="44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</x:row>
    <x:row r="38">
      <x:c r="A38" s="45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B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C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D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E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F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G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H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I38" s="46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J38" s="47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</x:row>
    <x:row r="39">
      <x:c r="A39" s="48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B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C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D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E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F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G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H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I39" s="49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  <x:c r="J39" s="50" t="str">
        <x:v>Deliberately excluded in version 1.0.0: IFRS 9 compliance; SICR framework; discounted lifetime cash-flow engine; cure/default transition matrices; regulatory reporting; model validation opinion.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ECL / Credit Stress Lite  |  One controlled selector and visible driver cases</x:v>
      </x:c>
      <x:c r="B2" s="6" t="str">
        <x:v>ECL / Credit Stress Lite  |  One controlled selector and visible driver cases</x:v>
      </x:c>
      <x:c r="C2" s="6" t="str">
        <x:v>ECL / Credit Stress Lite  |  One controlled selector and visible driver cases</x:v>
      </x:c>
      <x:c r="D2" s="6" t="str">
        <x:v>ECL / Credit Stress Lite  |  One controlled selector and visible driver cases</x:v>
      </x:c>
      <x:c r="E2" s="6" t="str">
        <x:v>ECL / Credit Stress Lite  |  One controlled selector and visible driver cases</x:v>
      </x:c>
      <x:c r="F2" s="6" t="str">
        <x:v>ECL / Credit Stress Lite  |  One controlled selector and visible driver cases</x:v>
      </x:c>
      <x:c r="G2" s="6" t="str">
        <x:v>ECL / Credit Stress Lite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Macro PD multiplier</x:v>
      </x:c>
      <x:c r="B6" s="81" t="str">
        <x:v>x</x:v>
      </x:c>
      <x:c r="C6" s="82" t="n">
        <x:v>1</x:v>
      </x:c>
      <x:c r="D6" s="82" t="n">
        <x:v>0.8</x:v>
      </x:c>
      <x:c r="E6" s="82" t="n">
        <x:v>1.5</x:v>
      </x:c>
      <x:c r="F6" s="83" t="n">
        <x:f>IF($B$3="Base",C6,IF($B$3="Upside",D6,E6))</x:f>
        <x:v>1</x:v>
      </x:c>
      <x:c r="G6" s="84" t="str">
        <x:v>Replace with an approved, sourced assumption.</x:v>
      </x:c>
    </x:row>
    <x:row r="7">
      <x:c r="A7" s="85" t="str">
        <x:v>Macro LGD multiplier</x:v>
      </x:c>
      <x:c r="B7" s="86" t="str">
        <x:v>x</x:v>
      </x:c>
      <x:c r="C7" s="87" t="n">
        <x:v>1</x:v>
      </x:c>
      <x:c r="D7" s="87" t="n">
        <x:v>0.9</x:v>
      </x:c>
      <x:c r="E7" s="87" t="n">
        <x:v>1.2</x:v>
      </x:c>
      <x:c r="F7" s="88" t="n">
        <x:f>IF($B$3="Base",C7,IF($B$3="Upside",D7,E7))</x:f>
        <x:v>1</x:v>
      </x:c>
      <x:c r="G7" s="89" t="str">
        <x:v>Replace with an approved, sourced assumption.</x:v>
      </x:c>
    </x:row>
    <x:row r="8">
      <x:c r="A8" s="85" t="str">
        <x:v>Stage 3 default probability</x:v>
      </x:c>
      <x:c r="B8" s="86" t="str">
        <x:v>%</x:v>
      </x:c>
      <x:c r="C8" s="90" t="n">
        <x:v>1</x:v>
      </x:c>
      <x:c r="D8" s="90" t="n">
        <x:v>1</x:v>
      </x:c>
      <x:c r="E8" s="90" t="n">
        <x:v>1</x:v>
      </x:c>
      <x:c r="F8" s="91" t="n">
        <x:f>IF($B$3="Base",C8,IF($B$3="Upside",D8,E8))</x:f>
        <x:v>1</x:v>
      </x:c>
      <x:c r="G8" s="89" t="str">
        <x:v>Replace with an approved, sourced assumption.</x:v>
      </x:c>
    </x:row>
    <x:row r="9">
      <x:c r="A9" s="92" t="str">
        <x:v>Management overlay</x:v>
      </x:c>
      <x:c r="B9" s="93" t="str">
        <x:v>%</x:v>
      </x:c>
      <x:c r="C9" s="94" t="n">
        <x:v>0.05</x:v>
      </x:c>
      <x:c r="D9" s="94" t="n">
        <x:v>0</x:v>
      </x:c>
      <x:c r="E9" s="94" t="n">
        <x:v>0.15</x:v>
      </x:c>
      <x:c r="F9" s="95" t="n">
        <x:f>IF($B$3="Base",C9,IF($B$3="Upside",D9,E9))</x:f>
        <x:v>0.05</x:v>
      </x:c>
      <x:c r="G9" s="96" t="str">
        <x:v>Replace with an approved, sourced assumption.</x:v>
      </x:c>
    </x:row>
    <x:row r="11">
      <x:c r="A11" s="42" t="str">
        <x:v>Scenario discipline: change a small number of decision-relevant drivers, preserve the core formula architecture, and document what changed, why, who owns it, and what action follows.</x:v>
      </x:c>
      <x:c r="B11" s="43" t="str">
        <x:v>Scenario discipline: change a small number of decision-relevant drivers, preserve the core formula architecture, and document what changed, why, who owns it, and what action follows.</x:v>
      </x:c>
      <x:c r="C11" s="43" t="str">
        <x:v>Scenario discipline: change a small number of decision-relevant drivers, preserve the core formula architecture, and document what changed, why, who owns it, and what action follows.</x:v>
      </x:c>
      <x:c r="D11" s="43" t="str">
        <x:v>Scenario discipline: change a small number of decision-relevant drivers, preserve the core formula architecture, and document what changed, why, who owns it, and what action follows.</x:v>
      </x:c>
      <x:c r="E11" s="43" t="str">
        <x:v>Scenario discipline: change a small number of decision-relevant drivers, preserve the core formula architecture, and document what changed, why, who owns it, and what action follows.</x:v>
      </x:c>
      <x:c r="F11" s="43" t="str">
        <x:v>Scenario discipline: change a small number of decision-relevant drivers, preserve the core formula architecture, and document what changed, why, who owns it, and what action follows.</x:v>
      </x:c>
      <x:c r="G11" s="44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5" t="str">
        <x:v>Scenario discipline: change a small number of decision-relevant drivers, preserve the core formula architecture, and document what changed, why, who owns it, and what action follows.</x:v>
      </x:c>
      <x:c r="B12" s="46" t="str">
        <x:v>Scenario discipline: change a small number of decision-relevant drivers, preserve the core formula architecture, and document what changed, why, who owns it, and what action follows.</x:v>
      </x:c>
      <x:c r="C12" s="46" t="str">
        <x:v>Scenario discipline: change a small number of decision-relevant drivers, preserve the core formula architecture, and document what changed, why, who owns it, and what action follows.</x:v>
      </x:c>
      <x:c r="D12" s="46" t="str">
        <x:v>Scenario discipline: change a small number of decision-relevant drivers, preserve the core formula architecture, and document what changed, why, who owns it, and what action follows.</x:v>
      </x:c>
      <x:c r="E12" s="46" t="str">
        <x:v>Scenario discipline: change a small number of decision-relevant drivers, preserve the core formula architecture, and document what changed, why, who owns it, and what action follows.</x:v>
      </x:c>
      <x:c r="F12" s="46" t="str">
        <x:v>Scenario discipline: change a small number of decision-relevant drivers, preserve the core formula architecture, and document what changed, why, who owns it, and what action follows.</x:v>
      </x:c>
      <x:c r="G12" s="47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8" t="str">
        <x:v>Scenario discipline: change a small number of decision-relevant drivers, preserve the core formula architecture, and document what changed, why, who owns it, and what action follows.</x:v>
      </x:c>
      <x:c r="B13" s="49" t="str">
        <x:v>Scenario discipline: change a small number of decision-relevant drivers, preserve the core formula architecture, and document what changed, why, who owns it, and what action follows.</x:v>
      </x:c>
      <x:c r="C13" s="49" t="str">
        <x:v>Scenario discipline: change a small number of decision-relevant drivers, preserve the core formula architecture, and document what changed, why, who owns it, and what action follows.</x:v>
      </x:c>
      <x:c r="D13" s="49" t="str">
        <x:v>Scenario discipline: change a small number of decision-relevant drivers, preserve the core formula architecture, and document what changed, why, who owns it, and what action follows.</x:v>
      </x:c>
      <x:c r="E13" s="49" t="str">
        <x:v>Scenario discipline: change a small number of decision-relevant drivers, preserve the core formula architecture, and document what changed, why, who owns it, and what action follows.</x:v>
      </x:c>
      <x:c r="F13" s="49" t="str">
        <x:v>Scenario discipline: change a small number of decision-relevant drivers, preserve the core formula architecture, and document what changed, why, who owns it, and what action follows.</x:v>
      </x:c>
      <x:c r="G13" s="50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</x:row>
  </x:sheetData>
  <x:mergeCells>
    <x:mergeCell ref="A1:G1"/>
    <x:mergeCell ref="A2:G2"/>
    <x:mergeCell ref="A11:G13"/>
    <x:mergeCell ref="A15:G15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PORTFOLIO INPUTS</x:v>
      </x:c>
      <x:c r="B1" s="3" t="str">
        <x:v>PORTFOLIO INPUTS</x:v>
      </x:c>
      <x:c r="C1" s="3" t="str">
        <x:v>PORTFOLIO INPUTS</x:v>
      </x:c>
      <x:c r="D1" s="3" t="str">
        <x:v>PORTFOLIO INPUTS</x:v>
      </x:c>
      <x:c r="E1" s="3" t="str">
        <x:v>PORTFOLIO INPUTS</x:v>
      </x:c>
      <x:c r="F1" s="3" t="str">
        <x:v>PORTFOLIO INPUTS</x:v>
      </x:c>
    </x:row>
    <x:row r="2" ht="24" customHeight="1">
      <x:c r="A2" s="6" t="str">
        <x:v>ECL / Credit Stress Lite  |  Synthetic worked inputs — replace blue cells</x:v>
      </x:c>
      <x:c r="B2" s="6" t="str">
        <x:v>ECL / Credit Stress Lite  |  Synthetic worked inputs — replace blue cells</x:v>
      </x:c>
      <x:c r="C2" s="6" t="str">
        <x:v>ECL / Credit Stress Lite  |  Synthetic worked inputs — replace blue cells</x:v>
      </x:c>
      <x:c r="D2" s="6" t="str">
        <x:v>ECL / Credit Stress Lite  |  Synthetic worked inputs — replace blue cells</x:v>
      </x:c>
      <x:c r="E2" s="6" t="str">
        <x:v>ECL / Credit Stress Lite  |  Synthetic worked inputs — replace blue cells</x:v>
      </x:c>
      <x:c r="F2" s="6" t="str">
        <x:v>ECL / Credit Stress Lite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Input / Period</x:v>
      </x:c>
      <x:c r="B5" s="67" t="str">
        <x:v>Corporate</x:v>
      </x:c>
      <x:c r="C5" s="67" t="str">
        <x:v>SME</x:v>
      </x:c>
      <x:c r="D5" s="67" t="str">
        <x:v>Retail</x:v>
      </x:c>
      <x:c r="E5" s="67" t="str">
        <x:v>Cards</x:v>
      </x:c>
      <x:c r="F5" s="68" t="str">
        <x:v>Mortgage</x:v>
      </x:c>
    </x:row>
    <x:row r="6">
      <x:c r="A6" s="104" t="str">
        <x:v>Drawn exposure</x:v>
      </x:c>
      <x:c r="B6" s="105" t="n">
        <x:v>420</x:v>
      </x:c>
      <x:c r="C6" s="105" t="n">
        <x:v>310</x:v>
      </x:c>
      <x:c r="D6" s="105" t="n">
        <x:v>250</x:v>
      </x:c>
      <x:c r="E6" s="105" t="n">
        <x:v>120</x:v>
      </x:c>
      <x:c r="F6" s="105" t="n">
        <x:v>500</x:v>
      </x:c>
    </x:row>
    <x:row r="7">
      <x:c r="A7" s="106" t="str">
        <x:v>Undrawn commitment</x:v>
      </x:c>
      <x:c r="B7" s="107" t="n">
        <x:v>120</x:v>
      </x:c>
      <x:c r="C7" s="107" t="n">
        <x:v>90</x:v>
      </x:c>
      <x:c r="D7" s="107" t="n">
        <x:v>40</x:v>
      </x:c>
      <x:c r="E7" s="107" t="n">
        <x:v>20</x:v>
      </x:c>
      <x:c r="F7" s="107" t="n">
        <x:v>80</x:v>
      </x:c>
    </x:row>
    <x:row r="8">
      <x:c r="A8" s="106" t="str">
        <x:v>Credit conversion factor</x:v>
      </x:c>
      <x:c r="B8" s="108" t="n">
        <x:v>0.45</x:v>
      </x:c>
      <x:c r="C8" s="108" t="n">
        <x:v>0.55</x:v>
      </x:c>
      <x:c r="D8" s="108" t="n">
        <x:v>0.35</x:v>
      </x:c>
      <x:c r="E8" s="108" t="n">
        <x:v>0.8</x:v>
      </x:c>
      <x:c r="F8" s="108" t="n">
        <x:v>0.25</x:v>
      </x:c>
    </x:row>
    <x:row r="9">
      <x:c r="A9" s="106" t="str">
        <x:v>Illustrative stage (1 / 2 / 3)</x:v>
      </x:c>
      <x:c r="B9" s="109" t="n">
        <x:v>1</x:v>
      </x:c>
      <x:c r="C9" s="109" t="n">
        <x:v>1</x:v>
      </x:c>
      <x:c r="D9" s="109" t="n">
        <x:v>2</x:v>
      </x:c>
      <x:c r="E9" s="109" t="n">
        <x:v>2</x:v>
      </x:c>
      <x:c r="F9" s="109" t="n">
        <x:v>1</x:v>
      </x:c>
    </x:row>
    <x:row r="10">
      <x:c r="A10" s="106" t="str">
        <x:v>12-month PD</x:v>
      </x:c>
      <x:c r="B10" s="108" t="n">
        <x:v>0.015</x:v>
      </x:c>
      <x:c r="C10" s="108" t="n">
        <x:v>0.025</x:v>
      </x:c>
      <x:c r="D10" s="108" t="n">
        <x:v>0.045</x:v>
      </x:c>
      <x:c r="E10" s="108" t="n">
        <x:v>0.075</x:v>
      </x:c>
      <x:c r="F10" s="108" t="n">
        <x:v>0.008</x:v>
      </x:c>
    </x:row>
    <x:row r="11">
      <x:c r="A11" s="106" t="str">
        <x:v>Lifetime PD</x:v>
      </x:c>
      <x:c r="B11" s="108" t="n">
        <x:v>0.055</x:v>
      </x:c>
      <x:c r="C11" s="108" t="n">
        <x:v>0.09</x:v>
      </x:c>
      <x:c r="D11" s="108" t="n">
        <x:v>0.18</x:v>
      </x:c>
      <x:c r="E11" s="108" t="n">
        <x:v>0.28</x:v>
      </x:c>
      <x:c r="F11" s="108" t="n">
        <x:v>0.035</x:v>
      </x:c>
    </x:row>
    <x:row r="12">
      <x:c r="A12" s="106" t="str">
        <x:v>LGD</x:v>
      </x:c>
      <x:c r="B12" s="108" t="n">
        <x:v>0.42</x:v>
      </x:c>
      <x:c r="C12" s="108" t="n">
        <x:v>0.48</x:v>
      </x:c>
      <x:c r="D12" s="108" t="n">
        <x:v>0.55</x:v>
      </x:c>
      <x:c r="E12" s="108" t="n">
        <x:v>0.68</x:v>
      </x:c>
      <x:c r="F12" s="108" t="n">
        <x:v>0.22</x:v>
      </x:c>
    </x:row>
    <x:row r="13">
      <x:c r="A13" s="110" t="str">
        <x:v>Discount factor</x:v>
      </x:c>
      <x:c r="B13" s="111" t="n">
        <x:v>0.97</x:v>
      </x:c>
      <x:c r="C13" s="111" t="n">
        <x:v>0.96</x:v>
      </x:c>
      <x:c r="D13" s="111" t="n">
        <x:v>0.92</x:v>
      </x:c>
      <x:c r="E13" s="111" t="n">
        <x:v>0.9</x:v>
      </x:c>
      <x:c r="F13" s="111" t="n">
        <x:v>0.95</x:v>
      </x:c>
    </x:row>
    <x:row r="15">
      <x:c r="A15" s="42" t="str">
        <x:v>Synthetic input pack. Preserve source definitions, units, period basis, and sign convention when replacing values.</x:v>
      </x:c>
      <x:c r="B15" s="43" t="str">
        <x:v>Synthetic input pack. Preserve source definitions, units, period basis, and sign convention when replacing values.</x:v>
      </x:c>
      <x:c r="C15" s="43" t="str">
        <x:v>Synthetic input pack. Preserve source definitions, units, period basis, and sign convention when replacing values.</x:v>
      </x:c>
      <x:c r="D15" s="43" t="str">
        <x:v>Synthetic input pack. Preserve source definitions, units, period basis, and sign convention when replacing values.</x:v>
      </x:c>
      <x:c r="E15" s="43" t="str">
        <x:v>Synthetic input pack. Preserve source definitions, units, period basis, and sign convention when replacing values.</x:v>
      </x:c>
      <x:c r="F15" s="44" t="str">
        <x:v>Synthetic input pack. Preserve source definitions, units, period basis, and sign convention when replacing values.</x:v>
      </x:c>
    </x:row>
    <x:row r="16">
      <x:c r="A16" s="45" t="str">
        <x:v>Synthetic input pack. Preserve source definitions, units, period basis, and sign convention when replacing values.</x:v>
      </x:c>
      <x:c r="B16" s="46" t="str">
        <x:v>Synthetic input pack. Preserve source definitions, units, period basis, and sign convention when replacing values.</x:v>
      </x:c>
      <x:c r="C16" s="46" t="str">
        <x:v>Synthetic input pack. Preserve source definitions, units, period basis, and sign convention when replacing values.</x:v>
      </x:c>
      <x:c r="D16" s="46" t="str">
        <x:v>Synthetic input pack. Preserve source definitions, units, period basis, and sign convention when replacing values.</x:v>
      </x:c>
      <x:c r="E16" s="46" t="str">
        <x:v>Synthetic input pack. Preserve source definitions, units, period basis, and sign convention when replacing values.</x:v>
      </x:c>
      <x:c r="F16" s="47" t="str">
        <x:v>Synthetic input pack. Preserve source definitions, units, period basis, and sign convention when replacing values.</x:v>
      </x:c>
    </x:row>
    <x:row r="17">
      <x:c r="A17" s="48" t="str">
        <x:v>Synthetic input pack. Preserve source definitions, units, period basis, and sign convention when replacing values.</x:v>
      </x:c>
      <x:c r="B17" s="49" t="str">
        <x:v>Synthetic input pack. Preserve source definitions, units, period basis, and sign convention when replacing values.</x:v>
      </x:c>
      <x:c r="C17" s="49" t="str">
        <x:v>Synthetic input pack. Preserve source definitions, units, period basis, and sign convention when replacing values.</x:v>
      </x:c>
      <x:c r="D17" s="49" t="str">
        <x:v>Synthetic input pack. Preserve source definitions, units, period basis, and sign convention when replacing values.</x:v>
      </x:c>
      <x:c r="E17" s="49" t="str">
        <x:v>Synthetic input pack. Preserve source definitions, units, period basis, and sign convention when replacing values.</x:v>
      </x:c>
      <x:c r="F17" s="50" t="str">
        <x:v>Synthetic input pack. Preserve source definitions, units, period basis, and sign convention when replacing values.</x:v>
      </x:c>
    </x:row>
    <x:row r="19">
      <x:c r="A19" s="53" t="str">
        <x:v>TDAT Model Library  |  Trust builds the brand. Insight builds the decision.</x:v>
      </x:c>
      <x:c r="B19" s="53" t="str">
        <x:v>TDAT Model Library  |  Trust builds the brand. Insight builds the decision.</x:v>
      </x:c>
      <x:c r="C19" s="53" t="str">
        <x:v>TDAT Model Library  |  Trust builds the brand. Insight builds the decision.</x:v>
      </x:c>
      <x:c r="D19" s="53" t="str">
        <x:v>TDAT Model Library  |  Trust builds the brand. Insight builds the decision.</x:v>
      </x:c>
      <x:c r="E19" s="53" t="str">
        <x:v>TDAT Model Library  |  Trust builds the brand. Insight builds the decision.</x:v>
      </x:c>
      <x:c r="F19" s="53" t="str">
        <x:v>TDAT Model Library  |  Trust builds the brand. Insight builds the decision.</x:v>
      </x:c>
    </x:row>
  </x:sheetData>
  <x:mergeCells>
    <x:mergeCell ref="A1:F1"/>
    <x:mergeCell ref="A2:F2"/>
    <x:mergeCell ref="A15:F17"/>
    <x:mergeCell ref="A19:F1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ECL ENGINE</x:v>
      </x:c>
      <x:c r="B1" s="3" t="str">
        <x:v>ECL ENGINE</x:v>
      </x:c>
      <x:c r="C1" s="3" t="str">
        <x:v>ECL ENGINE</x:v>
      </x:c>
      <x:c r="D1" s="3" t="str">
        <x:v>ECL ENGINE</x:v>
      </x:c>
      <x:c r="E1" s="3" t="str">
        <x:v>ECL ENGINE</x:v>
      </x:c>
      <x:c r="F1" s="3" t="str">
        <x:v>ECL ENGINE</x:v>
      </x:c>
    </x:row>
    <x:row r="2" ht="24" customHeight="1">
      <x:c r="A2" s="6" t="str">
        <x:v>ECL / Credit Stress Lite  |  Formula-driven core mechanics</x:v>
      </x:c>
      <x:c r="B2" s="6" t="str">
        <x:v>ECL / Credit Stress Lite  |  Formula-driven core mechanics</x:v>
      </x:c>
      <x:c r="C2" s="6" t="str">
        <x:v>ECL / Credit Stress Lite  |  Formula-driven core mechanics</x:v>
      </x:c>
      <x:c r="D2" s="6" t="str">
        <x:v>ECL / Credit Stress Lite  |  Formula-driven core mechanics</x:v>
      </x:c>
      <x:c r="E2" s="6" t="str">
        <x:v>ECL / Credit Stress Lite  |  Formula-driven core mechanics</x:v>
      </x:c>
      <x:c r="F2" s="6" t="str">
        <x:v>ECL / Credit Stress Lite  |  Formula-driven core mechanics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Calculation / Period</x:v>
      </x:c>
      <x:c r="B5" s="67" t="str">
        <x:v>Corporate</x:v>
      </x:c>
      <x:c r="C5" s="67" t="str">
        <x:v>SME</x:v>
      </x:c>
      <x:c r="D5" s="67" t="str">
        <x:v>Retail</x:v>
      </x:c>
      <x:c r="E5" s="67" t="str">
        <x:v>Cards</x:v>
      </x:c>
      <x:c r="F5" s="68" t="str">
        <x:v>Mortgage</x:v>
      </x:c>
    </x:row>
    <x:row r="6">
      <x:c r="A6" s="128" t="str">
        <x:v>Exposure at default</x:v>
      </x:c>
      <x:c r="B6" s="129" t="n">
        <x:f>'Portfolio Inputs'!B$6+'Portfolio Inputs'!B$7*'Portfolio Inputs'!B$8</x:f>
        <x:v>474</x:v>
      </x:c>
      <x:c r="C6" s="129" t="n">
        <x:f>'Portfolio Inputs'!C$6+'Portfolio Inputs'!C$7*'Portfolio Inputs'!C$8</x:f>
        <x:v>359.5</x:v>
      </x:c>
      <x:c r="D6" s="129" t="n">
        <x:f>'Portfolio Inputs'!D$6+'Portfolio Inputs'!D$7*'Portfolio Inputs'!D$8</x:f>
        <x:v>264</x:v>
      </x:c>
      <x:c r="E6" s="129" t="n">
        <x:f>'Portfolio Inputs'!E$6+'Portfolio Inputs'!E$7*'Portfolio Inputs'!E$8</x:f>
        <x:v>136</x:v>
      </x:c>
      <x:c r="F6" s="129" t="n">
        <x:f>'Portfolio Inputs'!F$6+'Portfolio Inputs'!F$7*'Portfolio Inputs'!F$8</x:f>
        <x:v>520</x:v>
      </x:c>
    </x:row>
    <x:row r="7">
      <x:c r="A7" s="130" t="str">
        <x:v>Selected PD</x:v>
      </x:c>
      <x:c r="B7" s="131" t="n">
        <x:f>MIN(1,IF('Portfolio Inputs'!B$9=1,'Portfolio Inputs'!B$10,IF('Portfolio Inputs'!B$9=2,'Portfolio Inputs'!B$11,'Assumptions'!$F$8))*'Assumptions'!$F$6)</x:f>
        <x:v>0.015</x:v>
      </x:c>
      <x:c r="C7" s="131" t="n">
        <x:f>MIN(1,IF('Portfolio Inputs'!C$9=1,'Portfolio Inputs'!C$10,IF('Portfolio Inputs'!C$9=2,'Portfolio Inputs'!C$11,'Assumptions'!$F$8))*'Assumptions'!$F$6)</x:f>
        <x:v>0.025</x:v>
      </x:c>
      <x:c r="D7" s="131" t="n">
        <x:f>MIN(1,IF('Portfolio Inputs'!D$9=1,'Portfolio Inputs'!D$10,IF('Portfolio Inputs'!D$9=2,'Portfolio Inputs'!D$11,'Assumptions'!$F$8))*'Assumptions'!$F$6)</x:f>
        <x:v>0.18</x:v>
      </x:c>
      <x:c r="E7" s="131" t="n">
        <x:f>MIN(1,IF('Portfolio Inputs'!E$9=1,'Portfolio Inputs'!E$10,IF('Portfolio Inputs'!E$9=2,'Portfolio Inputs'!E$11,'Assumptions'!$F$8))*'Assumptions'!$F$6)</x:f>
        <x:v>0.28</x:v>
      </x:c>
      <x:c r="F7" s="131" t="n">
        <x:f>MIN(1,IF('Portfolio Inputs'!F$9=1,'Portfolio Inputs'!F$10,IF('Portfolio Inputs'!F$9=2,'Portfolio Inputs'!F$11,'Assumptions'!$F$8))*'Assumptions'!$F$6)</x:f>
        <x:v>0.008</x:v>
      </x:c>
    </x:row>
    <x:row r="8">
      <x:c r="A8" s="130" t="str">
        <x:v>Selected LGD</x:v>
      </x:c>
      <x:c r="B8" s="131" t="n">
        <x:f>MIN(1,'Portfolio Inputs'!B$12*'Assumptions'!$F$7)</x:f>
        <x:v>0.42</x:v>
      </x:c>
      <x:c r="C8" s="131" t="n">
        <x:f>MIN(1,'Portfolio Inputs'!C$12*'Assumptions'!$F$7)</x:f>
        <x:v>0.48</x:v>
      </x:c>
      <x:c r="D8" s="131" t="n">
        <x:f>MIN(1,'Portfolio Inputs'!D$12*'Assumptions'!$F$7)</x:f>
        <x:v>0.55</x:v>
      </x:c>
      <x:c r="E8" s="131" t="n">
        <x:f>MIN(1,'Portfolio Inputs'!E$12*'Assumptions'!$F$7)</x:f>
        <x:v>0.68</x:v>
      </x:c>
      <x:c r="F8" s="131" t="n">
        <x:f>MIN(1,'Portfolio Inputs'!F$12*'Assumptions'!$F$7)</x:f>
        <x:v>0.22</x:v>
      </x:c>
    </x:row>
    <x:row r="9">
      <x:c r="A9" s="130" t="str">
        <x:v>ECL before overlay</x:v>
      </x:c>
      <x:c r="B9" s="132" t="n">
        <x:f>B$6*B$7*B$8*'Portfolio Inputs'!B$13</x:f>
        <x:v>2.8966139999999996</x:v>
      </x:c>
      <x:c r="C9" s="132" t="n">
        <x:f>C$6*C$7*C$8*'Portfolio Inputs'!C$13</x:f>
        <x:v>4.14144</x:v>
      </x:c>
      <x:c r="D9" s="132" t="n">
        <x:f>D$6*D$7*D$8*'Portfolio Inputs'!D$13</x:f>
        <x:v>24.04512</x:v>
      </x:c>
      <x:c r="E9" s="132" t="n">
        <x:f>E$6*E$7*E$8*'Portfolio Inputs'!E$13</x:f>
        <x:v>23.304960000000005</x:v>
      </x:c>
      <x:c r="F9" s="132" t="n">
        <x:f>F$6*F$7*F$8*'Portfolio Inputs'!F$13</x:f>
        <x:v>0.86944</x:v>
      </x:c>
    </x:row>
    <x:row r="10">
      <x:c r="A10" s="130" t="str">
        <x:v>Management overlay</x:v>
      </x:c>
      <x:c r="B10" s="132" t="n">
        <x:f>B$9*'Assumptions'!$F$9</x:f>
        <x:v>0.14483069999999998</x:v>
      </x:c>
      <x:c r="C10" s="132" t="n">
        <x:f>C$9*'Assumptions'!$F$9</x:f>
        <x:v>0.20707200000000003</x:v>
      </x:c>
      <x:c r="D10" s="132" t="n">
        <x:f>D$9*'Assumptions'!$F$9</x:f>
        <x:v>1.2022560000000002</x:v>
      </x:c>
      <x:c r="E10" s="132" t="n">
        <x:f>E$9*'Assumptions'!$F$9</x:f>
        <x:v>1.1652480000000003</x:v>
      </x:c>
      <x:c r="F10" s="132" t="n">
        <x:f>F$9*'Assumptions'!$F$9</x:f>
        <x:v>0.043472000000000004</x:v>
      </x:c>
    </x:row>
    <x:row r="11">
      <x:c r="A11" s="133" t="str">
        <x:v>Expected credit loss</x:v>
      </x:c>
      <x:c r="B11" s="134" t="n">
        <x:f>B$9+B$10</x:f>
        <x:v>3.0414446999999996</x:v>
      </x:c>
      <x:c r="C11" s="134" t="n">
        <x:f>C$9+C$10</x:f>
        <x:v>4.348512</x:v>
      </x:c>
      <x:c r="D11" s="134" t="n">
        <x:f>D$9+D$10</x:f>
        <x:v>25.247376000000003</x:v>
      </x:c>
      <x:c r="E11" s="134" t="n">
        <x:f>E$9+E$10</x:f>
        <x:v>24.470208000000007</x:v>
      </x:c>
      <x:c r="F11" s="134" t="n">
        <x:f>F$9+F$10</x:f>
        <x:v>0.912912</x:v>
      </x:c>
    </x:row>
    <x:row r="12">
      <x:c r="A12" s="130" t="str">
        <x:v>ECL / EAD</x:v>
      </x:c>
      <x:c r="B12" s="135" t="n">
        <x:f>IF(B$6=0,0,B$11/B$6)</x:f>
        <x:v>0.006416549999999999</x:v>
      </x:c>
      <x:c r="C12" s="135" t="n">
        <x:f>IF(C$6=0,0,C$11/C$6)</x:f>
        <x:v>0.012096</x:v>
      </x:c>
      <x:c r="D12" s="135" t="n">
        <x:f>IF(D$6=0,0,D$11/D$6)</x:f>
        <x:v>0.09563400000000001</x:v>
      </x:c>
      <x:c r="E12" s="135" t="n">
        <x:f>IF(E$6=0,0,E$11/E$6)</x:f>
        <x:v>0.17992800000000006</x:v>
      </x:c>
      <x:c r="F12" s="135" t="n">
        <x:f>IF(F$6=0,0,F$11/F$6)</x:f>
        <x:v>0.0017556</x:v>
      </x:c>
    </x:row>
    <x:row r="13">
      <x:c r="A13" s="130" t="str">
        <x:v>EAD component check</x:v>
      </x:c>
      <x:c r="B13" s="132" t="n">
        <x:f>B$6-'Portfolio Inputs'!B$6-'Portfolio Inputs'!B$7*'Portfolio Inputs'!B$8</x:f>
        <x:v>0</x:v>
      </x:c>
      <x:c r="C13" s="132" t="n">
        <x:f>C$6-'Portfolio Inputs'!C$6-'Portfolio Inputs'!C$7*'Portfolio Inputs'!C$8</x:f>
        <x:v>-7.105427357601002e-15</x:v>
      </x:c>
      <x:c r="D13" s="132" t="n">
        <x:f>D$6-'Portfolio Inputs'!D$6-'Portfolio Inputs'!D$7*'Portfolio Inputs'!D$8</x:f>
        <x:v>0</x:v>
      </x:c>
      <x:c r="E13" s="132" t="n">
        <x:f>E$6-'Portfolio Inputs'!E$6-'Portfolio Inputs'!E$7*'Portfolio Inputs'!E$8</x:f>
        <x:v>0</x:v>
      </x:c>
      <x:c r="F13" s="132" t="n">
        <x:f>F$6-'Portfolio Inputs'!F$6-'Portfolio Inputs'!F$7*'Portfolio Inputs'!F$8</x:f>
        <x:v>0</x:v>
      </x:c>
    </x:row>
    <x:row r="14">
      <x:c r="A14" s="136" t="str">
        <x:v>ECL component check</x:v>
      </x:c>
      <x:c r="B14" s="137" t="n">
        <x:f>B$11-B$9-B$10</x:f>
        <x:v>0</x:v>
      </x:c>
      <x:c r="C14" s="137" t="n">
        <x:f>C$11-C$9-C$10</x:f>
        <x:v>1.1102230246251565e-16</x:v>
      </x:c>
      <x:c r="D14" s="137" t="n">
        <x:f>D$11-D$9-D$10</x:f>
        <x:v>1.7763568394002505e-15</x:v>
      </x:c>
      <x:c r="E14" s="137" t="n">
        <x:f>E$11-E$9-E$10</x:f>
        <x:v>1.5543122344752192e-15</x:v>
      </x:c>
      <x:c r="F14" s="137" t="n">
        <x:f>F$11-F$9-F$10</x:f>
        <x:v>-4.85722573273506e-17</x:v>
      </x:c>
    </x:row>
    <x:row r="16">
      <x:c r="A16" s="42" t="str">
        <x:v>Review row definitions, sign convention, period basis, scenario mechanics, and every breakpoint before relying on the output.</x:v>
      </x:c>
      <x:c r="B16" s="43" t="str">
        <x:v>Review row definitions, sign convention, period basis, scenario mechanics, and every breakpoint before relying on the output.</x:v>
      </x:c>
      <x:c r="C16" s="43" t="str">
        <x:v>Review row definitions, sign convention, period basis, scenario mechanics, and every breakpoint before relying on the output.</x:v>
      </x:c>
      <x:c r="D16" s="43" t="str">
        <x:v>Review row definitions, sign convention, period basis, scenario mechanics, and every breakpoint before relying on the output.</x:v>
      </x:c>
      <x:c r="E16" s="43" t="str">
        <x:v>Review row definitions, sign convention, period basis, scenario mechanics, and every breakpoint before relying on the output.</x:v>
      </x:c>
      <x:c r="F16" s="44" t="str">
        <x:v>Review row definitions, sign convention, period basis, scenario mechanics, and every breakpoint before relying on the output.</x:v>
      </x:c>
    </x:row>
    <x:row r="17">
      <x:c r="A17" s="45" t="str">
        <x:v>Review row definitions, sign convention, period basis, scenario mechanics, and every breakpoint before relying on the output.</x:v>
      </x:c>
      <x:c r="B17" s="46" t="str">
        <x:v>Review row definitions, sign convention, period basis, scenario mechanics, and every breakpoint before relying on the output.</x:v>
      </x:c>
      <x:c r="C17" s="46" t="str">
        <x:v>Review row definitions, sign convention, period basis, scenario mechanics, and every breakpoint before relying on the output.</x:v>
      </x:c>
      <x:c r="D17" s="46" t="str">
        <x:v>Review row definitions, sign convention, period basis, scenario mechanics, and every breakpoint before relying on the output.</x:v>
      </x:c>
      <x:c r="E17" s="46" t="str">
        <x:v>Review row definitions, sign convention, period basis, scenario mechanics, and every breakpoint before relying on the output.</x:v>
      </x:c>
      <x:c r="F17" s="47" t="str">
        <x:v>Review row definitions, sign convention, period basis, scenario mechanics, and every breakpoint before relying on the output.</x:v>
      </x:c>
    </x:row>
    <x:row r="18">
      <x:c r="A18" s="48" t="str">
        <x:v>Review row definitions, sign convention, period basis, scenario mechanics, and every breakpoint before relying on the output.</x:v>
      </x:c>
      <x:c r="B18" s="49" t="str">
        <x:v>Review row definitions, sign convention, period basis, scenario mechanics, and every breakpoint before relying on the output.</x:v>
      </x:c>
      <x:c r="C18" s="49" t="str">
        <x:v>Review row definitions, sign convention, period basis, scenario mechanics, and every breakpoint before relying on the output.</x:v>
      </x:c>
      <x:c r="D18" s="49" t="str">
        <x:v>Review row definitions, sign convention, period basis, scenario mechanics, and every breakpoint before relying on the output.</x:v>
      </x:c>
      <x:c r="E18" s="49" t="str">
        <x:v>Review row definitions, sign convention, period basis, scenario mechanics, and every breakpoint before relying on the output.</x:v>
      </x:c>
      <x:c r="F18" s="50" t="str">
        <x:v>Review row definitions, sign convention, period basis, scenario mechanics, and every breakpoint before relying on the output.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</x:row>
  </x:sheetData>
  <x:mergeCells>
    <x:mergeCell ref="A1:F1"/>
    <x:mergeCell ref="A2:F2"/>
    <x:mergeCell ref="A16:F18"/>
    <x:mergeCell ref="A20:F2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ECL / Credit Stress Lite  |  Formula-backed decision range</x:v>
      </x:c>
      <x:c r="B2" s="6" t="str">
        <x:v>ECL / Credit Stress Lite  |  Formula-backed decision range</x:v>
      </x:c>
      <x:c r="C2" s="6" t="str">
        <x:v>ECL / Credit Stress Lite  |  Formula-backed decision range</x:v>
      </x:c>
      <x:c r="D2" s="6" t="str">
        <x:v>ECL / Credit Stress Lite  |  Formula-backed decision range</x:v>
      </x:c>
      <x:c r="E2" s="6" t="str">
        <x:v>ECL / Credit Stress Lite  |  Formula-backed decision range</x:v>
      </x:c>
      <x:c r="F2" s="6" t="str">
        <x:v>ECL / Credit Stress Lite  |  Formula-backed decision range</x:v>
      </x:c>
      <x:c r="G2" s="6" t="str">
        <x:v>ECL / Credit Stress Lite  |  Formula-backed decision range</x:v>
      </x:c>
      <x:c r="H2" s="6" t="str">
        <x:v>ECL / Credit Stress Lite  |  Formula-backed decision range</x:v>
      </x:c>
      <x:c r="I2" s="6" t="str">
        <x:v>ECL / Credit Stress Lite  |  Formula-backed decision range</x:v>
      </x:c>
      <x:c r="J2" s="6" t="str">
        <x:v>ECL / Credit Stress Lite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8" t="str">
        <x:v>Total expected credit loss — PD multiplier by LGD multiplier</x:v>
      </x:c>
      <x:c r="B5" s="138" t="str">
        <x:v>Total expected credit loss — PD multiplier by LGD multiplier</x:v>
      </x:c>
      <x:c r="C5" s="138" t="str">
        <x:v>Total expected credit loss — PD multiplier by LGD multiplier</x:v>
      </x:c>
      <x:c r="D5" s="138" t="str">
        <x:v>Total expected credit loss — PD multiplier by LGD multiplier</x:v>
      </x:c>
      <x:c r="E5" s="138" t="str">
        <x:v>Total expected credit loss — PD multiplier by LGD multiplier</x:v>
      </x:c>
      <x:c r="F5" s="138" t="str">
        <x:v>Total expected credit loss — PD multiplier by LGD multiplier</x:v>
      </x:c>
      <x:c r="G5" s="138" t="str">
        <x:v>Total expected credit loss — PD multiplier by LGD multiplier</x:v>
      </x:c>
      <x:c r="H5" s="138" t="str">
        <x:v>Total expected credit loss — PD multiplier by LGD multiplier</x:v>
      </x:c>
      <x:c r="I5" s="138" t="str">
        <x:v>Total expected credit loss — PD multiplier by LGD multiplier</x:v>
      </x:c>
      <x:c r="J5" s="138" t="str">
        <x:v>Total expected credit loss — PD multiplier by LGD multiplier</x:v>
      </x:c>
    </x:row>
    <x:row r="6">
      <x:c r="A6" t="str">
        <x:v>PD multiplier</x:v>
      </x:c>
      <x:c r="B6" t="str">
        <x:v>LGD multiplier</x:v>
      </x:c>
    </x:row>
    <x:row r="7">
      <x:c r="B7" s="71" t="n">
        <x:v>0.75</x:v>
      </x:c>
      <x:c r="C7" s="71" t="n">
        <x:v>0.9</x:v>
      </x:c>
      <x:c r="D7" s="71" t="n">
        <x:v>1</x:v>
      </x:c>
      <x:c r="E7" s="71" t="n">
        <x:v>1.1</x:v>
      </x:c>
      <x:c r="F7" s="71" t="n">
        <x:v>1.25</x:v>
      </x:c>
    </x:row>
    <x:row r="8">
      <x:c r="A8" s="71" t="n">
        <x:v>0.6</x:v>
      </x:c>
      <x:c r="B8" s="140" t="n">
        <x:f>SUMPRODUCT('ECL Engine'!B6:F6,'ECL Engine'!B7:F7,'ECL Engine'!B8:F8,'Portfolio Inputs'!B13:F13)/'Assumptions'!$F$6/'Assumptions'!$F$7*$A8*B$7*(1+'Assumptions'!$F$9)</x:f>
        <x:v>26.109203715000003</x:v>
      </x:c>
      <x:c r="C8" s="140" t="n">
        <x:f>SUMPRODUCT('ECL Engine'!B6:F6,'ECL Engine'!B7:F7,'ECL Engine'!B8:F8,'Portfolio Inputs'!B13:F13)/'Assumptions'!$F$6/'Assumptions'!$F$7*$A8*C$7*(1+'Assumptions'!$F$9)</x:f>
        <x:v>31.331044458</x:v>
      </x:c>
      <x:c r="D8" s="140" t="n">
        <x:f>SUMPRODUCT('ECL Engine'!B6:F6,'ECL Engine'!B7:F7,'ECL Engine'!B8:F8,'Portfolio Inputs'!B13:F13)/'Assumptions'!$F$6/'Assumptions'!$F$7*$A8*D$7*(1+'Assumptions'!$F$9)</x:f>
        <x:v>34.81227162</x:v>
      </x:c>
      <x:c r="E8" s="140" t="n">
        <x:f>SUMPRODUCT('ECL Engine'!B6:F6,'ECL Engine'!B7:F7,'ECL Engine'!B8:F8,'Portfolio Inputs'!B13:F13)/'Assumptions'!$F$6/'Assumptions'!$F$7*$A8*E$7*(1+'Assumptions'!$F$9)</x:f>
        <x:v>38.29349878200001</x:v>
      </x:c>
      <x:c r="F8" s="140" t="n">
        <x:f>SUMPRODUCT('ECL Engine'!B6:F6,'ECL Engine'!B7:F7,'ECL Engine'!B8:F8,'Portfolio Inputs'!B13:F13)/'Assumptions'!$F$6/'Assumptions'!$F$7*$A8*F$7*(1+'Assumptions'!$F$9)</x:f>
        <x:v>43.515339525</x:v>
      </x:c>
    </x:row>
    <x:row r="9">
      <x:c r="A9" s="71" t="n">
        <x:v>0.8</x:v>
      </x:c>
      <x:c r="B9" s="140" t="n">
        <x:f>SUMPRODUCT('ECL Engine'!B6:F6,'ECL Engine'!B7:F7,'ECL Engine'!B8:F8,'Portfolio Inputs'!B13:F13)/'Assumptions'!$F$6/'Assumptions'!$F$7*$A9*B$7*(1+'Assumptions'!$F$9)</x:f>
        <x:v>34.81227162000001</x:v>
      </x:c>
      <x:c r="C9" s="140" t="n">
        <x:f>SUMPRODUCT('ECL Engine'!B6:F6,'ECL Engine'!B7:F7,'ECL Engine'!B8:F8,'Portfolio Inputs'!B13:F13)/'Assumptions'!$F$6/'Assumptions'!$F$7*$A9*C$7*(1+'Assumptions'!$F$9)</x:f>
        <x:v>41.77472594400001</x:v>
      </x:c>
      <x:c r="D9" s="140" t="n">
        <x:f>SUMPRODUCT('ECL Engine'!B6:F6,'ECL Engine'!B7:F7,'ECL Engine'!B8:F8,'Portfolio Inputs'!B13:F13)/'Assumptions'!$F$6/'Assumptions'!$F$7*$A9*D$7*(1+'Assumptions'!$F$9)</x:f>
        <x:v>46.416362160000006</x:v>
      </x:c>
      <x:c r="E9" s="140" t="n">
        <x:f>SUMPRODUCT('ECL Engine'!B6:F6,'ECL Engine'!B7:F7,'ECL Engine'!B8:F8,'Portfolio Inputs'!B13:F13)/'Assumptions'!$F$6/'Assumptions'!$F$7*$A9*E$7*(1+'Assumptions'!$F$9)</x:f>
        <x:v>51.057998376000015</x:v>
      </x:c>
      <x:c r="F9" s="140" t="n">
        <x:f>SUMPRODUCT('ECL Engine'!B6:F6,'ECL Engine'!B7:F7,'ECL Engine'!B8:F8,'Portfolio Inputs'!B13:F13)/'Assumptions'!$F$6/'Assumptions'!$F$7*$A9*F$7*(1+'Assumptions'!$F$9)</x:f>
        <x:v>58.02045270000001</x:v>
      </x:c>
    </x:row>
    <x:row r="10">
      <x:c r="A10" s="71" t="n">
        <x:v>1</x:v>
      </x:c>
      <x:c r="B10" s="140" t="n">
        <x:f>SUMPRODUCT('ECL Engine'!B6:F6,'ECL Engine'!B7:F7,'ECL Engine'!B8:F8,'Portfolio Inputs'!B13:F13)/'Assumptions'!$F$6/'Assumptions'!$F$7*$A10*B$7*(1+'Assumptions'!$F$9)</x:f>
        <x:v>43.51533952500001</x:v>
      </x:c>
      <x:c r="C10" s="140" t="n">
        <x:f>SUMPRODUCT('ECL Engine'!B6:F6,'ECL Engine'!B7:F7,'ECL Engine'!B8:F8,'Portfolio Inputs'!B13:F13)/'Assumptions'!$F$6/'Assumptions'!$F$7*$A10*C$7*(1+'Assumptions'!$F$9)</x:f>
        <x:v>52.21840743000001</x:v>
      </x:c>
      <x:c r="D10" s="140" t="n">
        <x:f>SUMPRODUCT('ECL Engine'!B6:F6,'ECL Engine'!B7:F7,'ECL Engine'!B8:F8,'Portfolio Inputs'!B13:F13)/'Assumptions'!$F$6/'Assumptions'!$F$7*$A10*D$7*(1+'Assumptions'!$F$9)</x:f>
        <x:v>58.02045270000001</x:v>
      </x:c>
      <x:c r="E10" s="140" t="n">
        <x:f>SUMPRODUCT('ECL Engine'!B6:F6,'ECL Engine'!B7:F7,'ECL Engine'!B8:F8,'Portfolio Inputs'!B13:F13)/'Assumptions'!$F$6/'Assumptions'!$F$7*$A10*E$7*(1+'Assumptions'!$F$9)</x:f>
        <x:v>63.822497970000015</x:v>
      </x:c>
      <x:c r="F10" s="140" t="n">
        <x:f>SUMPRODUCT('ECL Engine'!B6:F6,'ECL Engine'!B7:F7,'ECL Engine'!B8:F8,'Portfolio Inputs'!B13:F13)/'Assumptions'!$F$6/'Assumptions'!$F$7*$A10*F$7*(1+'Assumptions'!$F$9)</x:f>
        <x:v>72.525565875</x:v>
      </x:c>
    </x:row>
    <x:row r="11">
      <x:c r="A11" s="71" t="n">
        <x:v>1.25</x:v>
      </x:c>
      <x:c r="B11" s="140" t="n">
        <x:f>SUMPRODUCT('ECL Engine'!B6:F6,'ECL Engine'!B7:F7,'ECL Engine'!B8:F8,'Portfolio Inputs'!B13:F13)/'Assumptions'!$F$6/'Assumptions'!$F$7*$A11*B$7*(1+'Assumptions'!$F$9)</x:f>
        <x:v>54.39417440625</x:v>
      </x:c>
      <x:c r="C11" s="140" t="n">
        <x:f>SUMPRODUCT('ECL Engine'!B6:F6,'ECL Engine'!B7:F7,'ECL Engine'!B8:F8,'Portfolio Inputs'!B13:F13)/'Assumptions'!$F$6/'Assumptions'!$F$7*$A11*C$7*(1+'Assumptions'!$F$9)</x:f>
        <x:v>65.2730092875</x:v>
      </x:c>
      <x:c r="D11" s="140" t="n">
        <x:f>SUMPRODUCT('ECL Engine'!B6:F6,'ECL Engine'!B7:F7,'ECL Engine'!B8:F8,'Portfolio Inputs'!B13:F13)/'Assumptions'!$F$6/'Assumptions'!$F$7*$A11*D$7*(1+'Assumptions'!$F$9)</x:f>
        <x:v>72.525565875</x:v>
      </x:c>
      <x:c r="E11" s="140" t="n">
        <x:f>SUMPRODUCT('ECL Engine'!B6:F6,'ECL Engine'!B7:F7,'ECL Engine'!B8:F8,'Portfolio Inputs'!B13:F13)/'Assumptions'!$F$6/'Assumptions'!$F$7*$A11*E$7*(1+'Assumptions'!$F$9)</x:f>
        <x:v>79.77812246250001</x:v>
      </x:c>
      <x:c r="F11" s="140" t="n">
        <x:f>SUMPRODUCT('ECL Engine'!B6:F6,'ECL Engine'!B7:F7,'ECL Engine'!B8:F8,'Portfolio Inputs'!B13:F13)/'Assumptions'!$F$6/'Assumptions'!$F$7*$A11*F$7*(1+'Assumptions'!$F$9)</x:f>
        <x:v>90.65695734375001</x:v>
      </x:c>
    </x:row>
    <x:row r="12">
      <x:c r="A12" s="71" t="n">
        <x:v>1.5</x:v>
      </x:c>
      <x:c r="B12" s="140" t="n">
        <x:f>SUMPRODUCT('ECL Engine'!B6:F6,'ECL Engine'!B7:F7,'ECL Engine'!B8:F8,'Portfolio Inputs'!B13:F13)/'Assumptions'!$F$6/'Assumptions'!$F$7*$A12*B$7*(1+'Assumptions'!$F$9)</x:f>
        <x:v>65.2730092875</x:v>
      </x:c>
      <x:c r="C12" s="140" t="n">
        <x:f>SUMPRODUCT('ECL Engine'!B6:F6,'ECL Engine'!B7:F7,'ECL Engine'!B8:F8,'Portfolio Inputs'!B13:F13)/'Assumptions'!$F$6/'Assumptions'!$F$7*$A12*C$7*(1+'Assumptions'!$F$9)</x:f>
        <x:v>78.327611145</x:v>
      </x:c>
      <x:c r="D12" s="140" t="n">
        <x:f>SUMPRODUCT('ECL Engine'!B6:F6,'ECL Engine'!B7:F7,'ECL Engine'!B8:F8,'Portfolio Inputs'!B13:F13)/'Assumptions'!$F$6/'Assumptions'!$F$7*$A12*D$7*(1+'Assumptions'!$F$9)</x:f>
        <x:v>87.03067905000002</x:v>
      </x:c>
      <x:c r="E12" s="140" t="n">
        <x:f>SUMPRODUCT('ECL Engine'!B6:F6,'ECL Engine'!B7:F7,'ECL Engine'!B8:F8,'Portfolio Inputs'!B13:F13)/'Assumptions'!$F$6/'Assumptions'!$F$7*$A12*E$7*(1+'Assumptions'!$F$9)</x:f>
        <x:v>95.73374695500002</x:v>
      </x:c>
      <x:c r="F12" s="140" t="n">
        <x:f>SUMPRODUCT('ECL Engine'!B6:F6,'ECL Engine'!B7:F7,'ECL Engine'!B8:F8,'Portfolio Inputs'!B13:F13)/'Assumptions'!$F$6/'Assumptions'!$F$7*$A12*F$7*(1+'Assumptions'!$F$9)</x:f>
        <x:v>108.78834881250002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50" t="str">
        <x:v>Base</x:v>
      </x:c>
      <x:c r="B18" s="151" t="str">
        <x:v>Most likely operating and finance assumptions.</x:v>
      </x:c>
      <x:c r="C18" s="151" t="str">
        <x:v>Base</x:v>
      </x:c>
      <x:c r="D18" s="152" t="str">
        <x:v>What must be true for the base case to hold?</x:v>
      </x:c>
    </x:row>
    <x:row r="19">
      <x:c r="A19" s="153" t="str">
        <x:v>Upside</x:v>
      </x:c>
      <x:c r="B19" s="154" t="str">
        <x:v>Stronger performance, faster conversion, or lower risk/cost.</x:v>
      </x:c>
      <x:c r="C19" s="154" t="str">
        <x:v>Upside</x:v>
      </x:c>
      <x:c r="D19" s="155" t="str">
        <x:v>Which actions unlock the upside?</x:v>
      </x:c>
    </x:row>
    <x:row r="20">
      <x:c r="A20" s="156" t="str">
        <x:v>Downside</x:v>
      </x:c>
      <x:c r="B20" s="157" t="str">
        <x:v>Slower activity, weaker conversion, or higher risk/cost.</x:v>
      </x:c>
      <x:c r="C20" s="157" t="str">
        <x:v>Downside</x:v>
      </x:c>
      <x:c r="D20" s="158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ECL / Credit Stress Lite  |  Decision outputs, trend, breakpoints, and action prompts</x:v>
      </x:c>
      <x:c r="B2" s="6" t="str">
        <x:v>ECL / Credit Stress Lite  |  Decision outputs, trend, breakpoints, and action prompts</x:v>
      </x:c>
      <x:c r="C2" s="6" t="str">
        <x:v>ECL / Credit Stress Lite  |  Decision outputs, trend, breakpoints, and action prompts</x:v>
      </x:c>
      <x:c r="D2" s="6" t="str">
        <x:v>ECL / Credit Stress Lite  |  Decision outputs, trend, breakpoints, and action prompts</x:v>
      </x:c>
      <x:c r="E2" s="6" t="str">
        <x:v>ECL / Credit Stress Lite  |  Decision outputs, trend, breakpoints, and action prompts</x:v>
      </x:c>
      <x:c r="F2" s="6" t="str">
        <x:v>ECL / Credit Stress Lite  |  Decision outputs, trend, breakpoints, and action prompts</x:v>
      </x:c>
      <x:c r="G2" s="6" t="str">
        <x:v>ECL / Credit Stress Lite  |  Decision outputs, trend, breakpoints, and action prompts</x:v>
      </x:c>
      <x:c r="H2" s="6" t="str">
        <x:v>ECL / Credit Stress Lite  |  Decision outputs, trend, breakpoints, and action prompts</x:v>
      </x:c>
      <x:c r="I2" s="6" t="str">
        <x:v>ECL / Credit Stress Lite  |  Decision outputs, trend, breakpoints, and action prompts</x:v>
      </x:c>
      <x:c r="J2" s="6" t="str">
        <x:v>ECL / Credit Stress Lite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60" t="str">
        <x:v>TOTAL EAD</x:v>
      </x:c>
      <x:c r="B5" s="160" t="str">
        <x:v>TOTAL EAD</x:v>
      </x:c>
      <x:c r="C5" s="160" t="str">
        <x:v>TOTAL EAD</x:v>
      </x:c>
      <x:c r="D5" s="160" t="str">
        <x:v>TOTAL ECL</x:v>
      </x:c>
      <x:c r="E5" s="160" t="str">
        <x:v>TOTAL ECL</x:v>
      </x:c>
      <x:c r="F5" s="160" t="str">
        <x:v>TOTAL ECL</x:v>
      </x:c>
      <x:c r="G5" s="160" t="str">
        <x:v>PORTFOLIO LOSS RATE</x:v>
      </x:c>
      <x:c r="H5" s="160" t="str">
        <x:v>PORTFOLIO LOSS RATE</x:v>
      </x:c>
      <x:c r="I5" s="160" t="str">
        <x:v>PORTFOLIO LOSS RATE</x:v>
      </x:c>
      <x:c r="J5" s="180" t="str">
        <x:v>MODEL STATUS</x:v>
      </x:c>
    </x:row>
    <x:row r="6">
      <x:c r="A6" s="164" t="n">
        <x:f>SUM('ECL Engine'!B6:F6)</x:f>
        <x:v>1753.5</x:v>
      </x:c>
      <x:c r="B6" s="164"/>
      <x:c r="C6" s="164"/>
      <x:c r="D6" s="168" t="n">
        <x:f>SUM('ECL Engine'!B11:F11)</x:f>
        <x:v>58.02045270000001</x:v>
      </x:c>
      <x:c r="E6" s="168"/>
      <x:c r="F6" s="168"/>
      <x:c r="G6" s="172" t="n">
        <x:f>SUM('ECL Engine'!B11:F11)/SUM('ECL Engine'!B6:F6)</x:f>
        <x:v>0.03308836766467066</x:v>
      </x:c>
      <x:c r="H6" s="172"/>
      <x:c r="I6" s="172"/>
      <x:c r="J6" s="184" t="str">
        <x:f>'Checks'!$B$5</x:f>
        <x:v>PASS</x:v>
      </x:c>
    </x:row>
    <x:row r="7">
      <x:c r="A7" s="164"/>
      <x:c r="B7" s="164"/>
      <x:c r="C7" s="164"/>
      <x:c r="D7" s="168"/>
      <x:c r="E7" s="168"/>
      <x:c r="F7" s="168"/>
      <x:c r="G7" s="172"/>
      <x:c r="H7" s="172"/>
      <x:c r="I7" s="172"/>
      <x:c r="J7" s="184"/>
    </x:row>
    <x:row r="9">
      <x:c r="A9" s="160" t="str">
        <x:v>STAGE 2+ EAD</x:v>
      </x:c>
      <x:c r="B9" s="160" t="str">
        <x:v>STAGE 2+ EAD</x:v>
      </x:c>
      <x:c r="C9" s="160" t="str">
        <x:v>STAGE 2+ EAD</x:v>
      </x:c>
      <x:c r="D9" s="160" t="str">
        <x:v>MANAGEMENT OVERLAY</x:v>
      </x:c>
      <x:c r="E9" s="160" t="str">
        <x:v>MANAGEMENT OVERLAY</x:v>
      </x:c>
      <x:c r="F9" s="160" t="str">
        <x:v>MANAGEMENT OVERLAY</x:v>
      </x:c>
      <x:c r="G9" s="160" t="str">
        <x:v>MACRO PD MULTIPLIER</x:v>
      </x:c>
      <x:c r="H9" s="160" t="str">
        <x:v>MACRO PD MULTIPLIER</x:v>
      </x:c>
      <x:c r="I9" s="160" t="str">
        <x:v>MACRO PD MULTIPLIER</x:v>
      </x:c>
      <x:c r="J9" s="180" t="str">
        <x:v>SCENARIO</x:v>
      </x:c>
    </x:row>
    <x:row r="10">
      <x:c r="A10" s="164" t="n">
        <x:f>SUMIF('Portfolio Inputs'!B9:F9,"&gt;=2",'ECL Engine'!B6:F6)</x:f>
        <x:v>400</x:v>
      </x:c>
      <x:c r="B10" s="164"/>
      <x:c r="C10" s="164"/>
      <x:c r="D10" s="164" t="n">
        <x:f>SUM('ECL Engine'!B10:F10)</x:f>
        <x:v>2.7628787000000004</x:v>
      </x:c>
      <x:c r="E10" s="164"/>
      <x:c r="F10" s="164"/>
      <x:c r="G10" s="178" t="n">
        <x:f>'Assumptions'!$F$6</x:f>
        <x:v>1</x:v>
      </x:c>
      <x:c r="H10" s="178"/>
      <x:c r="I10" s="178"/>
      <x:c r="J10" s="187" t="str">
        <x:f>'Assumptions'!$B$3</x:f>
        <x:v>Base</x:v>
      </x:c>
    </x:row>
    <x:row r="11">
      <x:c r="A11" s="164"/>
      <x:c r="B11" s="164"/>
      <x:c r="C11" s="164"/>
      <x:c r="D11" s="164"/>
      <x:c r="E11" s="164"/>
      <x:c r="F11" s="164"/>
      <x:c r="G11" s="178"/>
      <x:c r="H11" s="178"/>
      <x:c r="I11" s="178"/>
      <x:c r="J11" s="187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Exposure at default</x:v>
      </x:c>
      <x:c r="C15" s="68" t="str">
        <x:v>Expected credit loss</x:v>
      </x:c>
    </x:row>
    <x:row r="16">
      <x:c r="A16" t="str">
        <x:v>Corporate</x:v>
      </x:c>
      <x:c r="B16" s="189" t="n">
        <x:f>'ECL Engine'!B$6</x:f>
        <x:v>474</x:v>
      </x:c>
      <x:c r="C16" s="189" t="n">
        <x:f>'ECL Engine'!B$11</x:f>
        <x:v>3.0414446999999996</x:v>
      </x:c>
    </x:row>
    <x:row r="17">
      <x:c r="A17" t="str">
        <x:v>SME</x:v>
      </x:c>
      <x:c r="B17" s="189" t="n">
        <x:f>'ECL Engine'!C$6</x:f>
        <x:v>359.5</x:v>
      </x:c>
      <x:c r="C17" s="189" t="n">
        <x:f>'ECL Engine'!C$11</x:f>
        <x:v>4.348512</x:v>
      </x:c>
    </x:row>
    <x:row r="18">
      <x:c r="A18" t="str">
        <x:v>Retail</x:v>
      </x:c>
      <x:c r="B18" s="189" t="n">
        <x:f>'ECL Engine'!D$6</x:f>
        <x:v>264</x:v>
      </x:c>
      <x:c r="C18" s="189" t="n">
        <x:f>'ECL Engine'!D$11</x:f>
        <x:v>25.247376000000003</x:v>
      </x:c>
    </x:row>
    <x:row r="19">
      <x:c r="A19" t="str">
        <x:v>Cards</x:v>
      </x:c>
      <x:c r="B19" s="189" t="n">
        <x:f>'ECL Engine'!E$6</x:f>
        <x:v>136</x:v>
      </x:c>
      <x:c r="C19" s="189" t="n">
        <x:f>'ECL Engine'!E$11</x:f>
        <x:v>24.470208000000007</x:v>
      </x:c>
    </x:row>
    <x:row r="20">
      <x:c r="A20" t="str">
        <x:v>Mortgage</x:v>
      </x:c>
      <x:c r="B20" s="189" t="n">
        <x:f>'ECL Engine'!F$6</x:f>
        <x:v>520</x:v>
      </x:c>
      <x:c r="C20" s="189" t="n">
        <x:f>'ECL Engine'!F$11</x:f>
        <x:v>0.912912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How do PD, LGD, EAD, staging, and macro scenarios change expected loss?</x:v>
      </x:c>
      <x:c r="C32" s="17" t="str"/>
      <x:c r="D32" s="17" t="str"/>
      <x:c r="E32" s="17" t="str"/>
      <x:c r="F32" s="17" t="str"/>
      <x:c r="G32" s="17" t="str"/>
      <x:c r="H32" s="191" t="str">
        <x:v>Decision owner</x:v>
      </x:c>
      <x:c r="I32" s="191" t="str"/>
      <x:c r="J32" s="191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91" t="str">
        <x:v>Finance / business owner</x:v>
      </x:c>
      <x:c r="I33" s="191" t="str"/>
      <x:c r="J33" s="191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91" t="str">
        <x:v>Finance leader</x:v>
      </x:c>
      <x:c r="I34" s="191" t="str"/>
      <x:c r="J34" s="191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91" t="str">
        <x:v>Model owner</x:v>
      </x:c>
      <x:c r="I35" s="191" t="str"/>
      <x:c r="J35" s="191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91" t="str">
        <x:v>Reviewer</x:v>
      </x:c>
      <x:c r="I36" s="191" t="str"/>
      <x:c r="J36" s="191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91" t="str">
        <x:v>Action owner</x:v>
      </x:c>
      <x:c r="I37" s="191" t="str"/>
      <x:c r="J37" s="191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0b0d6c4a04134c39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ECL / Credit Stress Lite  |  One assertion per row — investigate every FAIL</x:v>
      </x:c>
      <x:c r="B2" s="6" t="str">
        <x:v>ECL / Credit Stress Lite  |  One assertion per row — investigate every FAIL</x:v>
      </x:c>
      <x:c r="C2" s="6" t="str">
        <x:v>ECL / Credit Stress Lite  |  One assertion per row — investigate every FAIL</x:v>
      </x:c>
      <x:c r="D2" s="6" t="str">
        <x:v>ECL / Credit Stress Lite  |  One assertion per row — investigate every FAIL</x:v>
      </x:c>
      <x:c r="E2" s="6" t="str">
        <x:v>ECL / Credit Stress Lite  |  One assertion per row — investigate every FAIL</x:v>
      </x:c>
      <x:c r="F2" s="6" t="str">
        <x:v>ECL / Credit Stress Lite  |  One assertion per row — investigate every FAIL</x:v>
      </x:c>
      <x:c r="G2" s="6" t="str">
        <x:v>ECL / Credit Stress Lite  |  One assertion per row — investigate every FAIL</x:v>
      </x:c>
      <x:c r="H2" s="6" t="str">
        <x:v>ECL / Credit Stress Lite  |  One assertion per row — investigate every FAIL</x:v>
      </x:c>
      <x:c r="I2" s="6" t="str">
        <x:v>ECL / Credit Stress Lite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93" t="str">
        <x:f>IF(COUNTIF(G8:G18,"FAIL")=0,"PASS","FAIL")</x:f>
        <x:v>PASS</x:v>
      </x:c>
      <x:c r="C5" s="193"/>
      <x:c r="D5" s="195" t="str">
        <x:v>Published controls: 11. PASS means the listed calculations tie within tolerance; source and decision readiness remain separate.</x:v>
      </x:c>
      <x:c r="E5" s="195" t="str">
        <x:v>Published controls: 11. PASS means the listed calculations tie within tolerance; source and decision readiness remain separate.</x:v>
      </x:c>
      <x:c r="F5" s="195" t="str">
        <x:v>Published controls: 11. PASS means the listed calculations tie within tolerance; source and decision readiness remain separate.</x:v>
      </x:c>
      <x:c r="G5" s="195" t="str">
        <x:v>Published controls: 11. PASS means the listed calculations tie within tolerance; source and decision readiness remain separate.</x:v>
      </x:c>
      <x:c r="H5" s="195" t="str">
        <x:v>Published controls: 11. PASS means the listed calculations tie within tolerance; source and decision readiness remain separate.</x:v>
      </x:c>
      <x:c r="I5" s="195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02" t="str">
        <x:v>EAD components tie</x:v>
      </x:c>
      <x:c r="B8" s="202" t="str">
        <x:v>Model</x:v>
      </x:c>
      <x:c r="C8" s="203" t="n">
        <x:f>SUM('ECL Engine'!B13:F13)</x:f>
        <x:v>-7.105427357601002e-15</x:v>
      </x:c>
      <x:c r="D8" s="203" t="n">
        <x:v>0</x:v>
      </x:c>
      <x:c r="E8" s="203" t="n">
        <x:f>C8-D8</x:f>
        <x:v>-7.105427357601002e-15</x:v>
      </x:c>
      <x:c r="F8" s="203" t="n">
        <x:v>0.01</x:v>
      </x:c>
      <x:c r="G8" s="204" t="str">
        <x:f>IF(ABS(E8)&lt;=F8,"PASS","FAIL")</x:f>
        <x:v>PASS</x:v>
      </x:c>
      <x:c r="H8" s="205" t="str">
        <x:v>ECL Engine — EAD</x:v>
      </x:c>
      <x:c r="I8" s="205" t="str">
        <x:v>Drawn plus CCF-adjusted undrawn equals EAD.</x:v>
      </x:c>
    </x:row>
    <x:row r="9">
      <x:c r="A9" s="206" t="str">
        <x:v>ECL components tie</x:v>
      </x:c>
      <x:c r="B9" s="206" t="str">
        <x:v>Model</x:v>
      </x:c>
      <x:c r="C9" s="207" t="n">
        <x:f>SUM('ECL Engine'!B14:F14)</x:f>
        <x:v>3.3931191190106347e-15</x:v>
      </x:c>
      <x:c r="D9" s="207" t="n">
        <x:v>0</x:v>
      </x:c>
      <x:c r="E9" s="207" t="n">
        <x:f>C9-D9</x:f>
        <x:v>3.3931191190106347e-15</x:v>
      </x:c>
      <x:c r="F9" s="207" t="n">
        <x:v>0.01</x:v>
      </x:c>
      <x:c r="G9" s="208" t="str">
        <x:f>IF(ABS(E9)&lt;=F9,"PASS","FAIL")</x:f>
        <x:v>PASS</x:v>
      </x:c>
      <x:c r="H9" s="209" t="str">
        <x:v>ECL Engine — ECL</x:v>
      </x:c>
      <x:c r="I9" s="209" t="str">
        <x:v>Pre-overlay ECL plus overlay equals reported ECL.</x:v>
      </x:c>
    </x:row>
    <x:row r="10">
      <x:c r="A10" s="206" t="str">
        <x:v>Stages are limited to 1, 2, or 3</x:v>
      </x:c>
      <x:c r="B10" s="206" t="str">
        <x:v>Model</x:v>
      </x:c>
      <x:c r="C10" s="210" t="n">
        <x:f>COUNTIF('Portfolio Inputs'!B9:F9,"&lt;1")+COUNTIF('Portfolio Inputs'!B9:F9,"&gt;3")</x:f>
        <x:v>0</x:v>
      </x:c>
      <x:c r="D10" s="210" t="n">
        <x:v>0</x:v>
      </x:c>
      <x:c r="E10" s="210" t="n">
        <x:f>C10-D10</x:f>
        <x:v>0</x:v>
      </x:c>
      <x:c r="F10" s="210" t="n">
        <x:v>0</x:v>
      </x:c>
      <x:c r="G10" s="208" t="str">
        <x:f>IF(ABS(E10)&lt;=F10,"PASS","FAIL")</x:f>
        <x:v>PASS</x:v>
      </x:c>
      <x:c r="H10" s="209" t="str">
        <x:v>Portfolio Inputs — stage</x:v>
      </x:c>
      <x:c r="I10" s="209" t="str">
        <x:v>Illustrative stage values must be 1, 2, or 3.</x:v>
      </x:c>
    </x:row>
    <x:row r="11">
      <x:c r="A11" s="206" t="str">
        <x:v>PD, LGD, CCF, and discount factors stay bounded</x:v>
      </x:c>
      <x:c r="B11" s="206" t="str">
        <x:v>Model</x:v>
      </x:c>
      <x:c r="C11" s="210" t="n">
        <x:f>COUNTIF('Portfolio Inputs'!B8:F8,"&lt;0")+COUNTIF('Portfolio Inputs'!B8:F8,"&gt;1")+COUNTIF('Portfolio Inputs'!B10:F13,"&lt;0")+COUNTIF('Portfolio Inputs'!B10:F13,"&gt;1")</x:f>
        <x:v>0</x:v>
      </x:c>
      <x:c r="D11" s="210" t="n">
        <x:v>0</x:v>
      </x:c>
      <x:c r="E11" s="210" t="n">
        <x:f>C11-D11</x:f>
        <x:v>0</x:v>
      </x:c>
      <x:c r="F11" s="210" t="n">
        <x:v>0</x:v>
      </x:c>
      <x:c r="G11" s="208" t="str">
        <x:f>IF(ABS(E11)&lt;=F11,"PASS","FAIL")</x:f>
        <x:v>PASS</x:v>
      </x:c>
      <x:c r="H11" s="209" t="str">
        <x:v>Portfolio Inputs — risk parameters</x:v>
      </x:c>
      <x:c r="I11" s="209" t="str">
        <x:v>Probability and recovery inputs are bounded between zero and one.</x:v>
      </x:c>
    </x:row>
    <x:row r="12">
      <x:c r="A12" s="206" t="str">
        <x:v>Scenario selector is valid</x:v>
      </x:c>
      <x:c r="B12" s="206" t="str">
        <x:v>Current</x:v>
      </x:c>
      <x:c r="C12" s="210" t="n">
        <x:f>COUNTIF('Assumptions'!$C$5:$E$5,'Assumptions'!$B$3)</x:f>
        <x:v>1</x:v>
      </x:c>
      <x:c r="D12" s="210" t="n">
        <x:v>1</x:v>
      </x:c>
      <x:c r="E12" s="210" t="n">
        <x:f>C12-D12</x:f>
        <x:v>0</x:v>
      </x:c>
      <x:c r="F12" s="210" t="n">
        <x:v>0</x:v>
      </x:c>
      <x:c r="G12" s="208" t="str">
        <x:f>IF(ABS(E12)&lt;=F12,"PASS","FAIL")</x:f>
        <x:v>PASS</x:v>
      </x:c>
      <x:c r="H12" s="209" t="str">
        <x:v>Assumptions B3</x:v>
      </x:c>
      <x:c r="I12" s="209" t="str">
        <x:v>Base, Upside, or Downside only.</x:v>
      </x:c>
    </x:row>
    <x:row r="13">
      <x:c r="A13" s="206" t="str">
        <x:v>Period headers are complete</x:v>
      </x:c>
      <x:c r="B13" s="206" t="str">
        <x:v>All periods</x:v>
      </x:c>
      <x:c r="C13" s="210" t="n">
        <x:f>COUNTA('Portfolio Inputs'!B5:F5)</x:f>
        <x:v>5</x:v>
      </x:c>
      <x:c r="D13" s="210" t="n">
        <x:v>5</x:v>
      </x:c>
      <x:c r="E13" s="210" t="n">
        <x:f>C13-D13</x:f>
        <x:v>0</x:v>
      </x:c>
      <x:c r="F13" s="210" t="n">
        <x:v>0</x:v>
      </x:c>
      <x:c r="G13" s="208" t="str">
        <x:f>IF(ABS(E13)&lt;=F13,"PASS","FAIL")</x:f>
        <x:v>PASS</x:v>
      </x:c>
      <x:c r="H13" s="209" t="str">
        <x:v>Portfolio Inputs row 5</x:v>
      </x:c>
      <x:c r="I13" s="209" t="str">
        <x:v>All modeled periods must have a visible header.</x:v>
      </x:c>
    </x:row>
    <x:row r="14">
      <x:c r="A14" s="206" t="str">
        <x:v>Source input grid is complete</x:v>
      </x:c>
      <x:c r="B14" s="206" t="str">
        <x:v>All periods</x:v>
      </x:c>
      <x:c r="C14" s="210" t="n">
        <x:f>COUNTA('Portfolio Inputs'!B6:F13)</x:f>
        <x:v>40</x:v>
      </x:c>
      <x:c r="D14" s="210" t="n">
        <x:v>40</x:v>
      </x:c>
      <x:c r="E14" s="210" t="n">
        <x:f>C14-D14</x:f>
        <x:v>0</x:v>
      </x:c>
      <x:c r="F14" s="210" t="n">
        <x:v>0</x:v>
      </x:c>
      <x:c r="G14" s="208" t="str">
        <x:f>IF(ABS(E14)&lt;=F14,"PASS","FAIL")</x:f>
        <x:v>PASS</x:v>
      </x:c>
      <x:c r="H14" s="209" t="str">
        <x:v>Portfolio Inputs</x:v>
      </x:c>
      <x:c r="I14" s="209" t="str">
        <x:v>Replace blanks with an approved value or an explicitly documented zero.</x:v>
      </x:c>
    </x:row>
    <x:row r="15">
      <x:c r="A15" s="206" t="str">
        <x:v>Selected assumptions are complete</x:v>
      </x:c>
      <x:c r="B15" s="206" t="str">
        <x:v>Current</x:v>
      </x:c>
      <x:c r="C15" s="210" t="n">
        <x:f>COUNT('Assumptions'!F6:F9)</x:f>
        <x:v>4</x:v>
      </x:c>
      <x:c r="D15" s="210" t="n">
        <x:v>4</x:v>
      </x:c>
      <x:c r="E15" s="210" t="n">
        <x:f>C15-D15</x:f>
        <x:v>0</x:v>
      </x:c>
      <x:c r="F15" s="210" t="n">
        <x:v>0</x:v>
      </x:c>
      <x:c r="G15" s="208" t="str">
        <x:f>IF(ABS(E15)&lt;=F15,"PASS","FAIL")</x:f>
        <x:v>PASS</x:v>
      </x:c>
      <x:c r="H15" s="209" t="str">
        <x:v>Assumptions column F</x:v>
      </x:c>
      <x:c r="I15" s="209" t="str">
        <x:v>Every scenario driver must resolve to a numeric selected value.</x:v>
      </x:c>
    </x:row>
    <x:row r="16">
      <x:c r="A16" s="206" t="str">
        <x:v>Core model cells calculate to numbers</x:v>
      </x:c>
      <x:c r="B16" s="206" t="str">
        <x:v>All periods</x:v>
      </x:c>
      <x:c r="C16" s="210" t="n">
        <x:f>COUNT('ECL Engine'!B6:F14)</x:f>
        <x:v>45</x:v>
      </x:c>
      <x:c r="D16" s="210" t="n">
        <x:v>45</x:v>
      </x:c>
      <x:c r="E16" s="210" t="n">
        <x:f>C16-D16</x:f>
        <x:v>0</x:v>
      </x:c>
      <x:c r="F16" s="210" t="n">
        <x:v>0</x:v>
      </x:c>
      <x:c r="G16" s="208" t="str">
        <x:f>IF(ABS(E16)&lt;=F16,"PASS","FAIL")</x:f>
        <x:v>PASS</x:v>
      </x:c>
      <x:c r="H16" s="209" t="str">
        <x:v>ECL Engine</x:v>
      </x:c>
      <x:c r="I16" s="209" t="str">
        <x:v>No blank or text output is permitted inside the calculation block.</x:v>
      </x:c>
    </x:row>
    <x:row r="17">
      <x:c r="A17" s="206" t="str">
        <x:v>Sensitivity base ties the headline output</x:v>
      </x:c>
      <x:c r="B17" s="206" t="str">
        <x:v>Base center</x:v>
      </x:c>
      <x:c r="C17" s="207" t="n">
        <x:f>IF('Assumptions'!$B$3="Base",'Sensitivity'!D10,SUM('ECL Engine'!B11:F11))</x:f>
        <x:v>58.02045270000001</x:v>
      </x:c>
      <x:c r="D17" s="207" t="n">
        <x:f>SUM('ECL Engine'!B11:F11)</x:f>
        <x:v>58.02045270000001</x:v>
      </x:c>
      <x:c r="E17" s="207" t="n">
        <x:f>C17-D17</x:f>
        <x:v>0</x:v>
      </x:c>
      <x:c r="F17" s="207" t="n">
        <x:v>0.1</x:v>
      </x:c>
      <x:c r="G17" s="208" t="str">
        <x:f>IF(ABS(E17)&lt;=F17,"PASS","FAIL")</x:f>
        <x:v>PASS</x:v>
      </x:c>
      <x:c r="H17" s="209" t="str">
        <x:v>Sensitivity / core model</x:v>
      </x:c>
      <x:c r="I17" s="209" t="str">
        <x:v>The center cell must recalculate the Base-case headline output; the assertion is N/A under Upside or Downside.</x:v>
      </x:c>
    </x:row>
    <x:row r="18">
      <x:c r="A18" s="211" t="str">
        <x:v>Headline output is non-negative</x:v>
      </x:c>
      <x:c r="B18" s="211" t="str">
        <x:v>All periods</x:v>
      </x:c>
      <x:c r="C18" s="212" t="n">
        <x:f>MAX(0,-MIN('ECL Engine'!B11:F11))</x:f>
        <x:v>0</x:v>
      </x:c>
      <x:c r="D18" s="212" t="n">
        <x:v>0</x:v>
      </x:c>
      <x:c r="E18" s="212" t="n">
        <x:f>C18-D18</x:f>
        <x:v>0</x:v>
      </x:c>
      <x:c r="F18" s="212" t="n">
        <x:v>0.01</x:v>
      </x:c>
      <x:c r="G18" s="213" t="str">
        <x:f>IF(ABS(E18)&lt;=F18,"PASS","FAIL")</x:f>
        <x:v>PASS</x:v>
      </x:c>
      <x:c r="H18" s="214" t="str">
        <x:v>ECL Engine — ecl</x:v>
      </x:c>
      <x:c r="I18" s="214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ECL / Credit Stress Lite  |  Assumption register, release facts, and distribution controls</x:v>
      </x:c>
      <x:c r="B2" s="6" t="str">
        <x:v>ECL / Credit Stress Lite  |  Assumption register, release facts, and distribution controls</x:v>
      </x:c>
      <x:c r="C2" s="6" t="str">
        <x:v>ECL / Credit Stress Lite  |  Assumption register, release facts, and distribution controls</x:v>
      </x:c>
      <x:c r="D2" s="6" t="str">
        <x:v>ECL / Credit Stress Lite  |  Assumption register, release facts, and distribution controls</x:v>
      </x:c>
      <x:c r="E2" s="6" t="str">
        <x:v>ECL / Credit Stress Lite  |  Assumption register, release facts, and distribution controls</x:v>
      </x:c>
      <x:c r="F2" s="6" t="str">
        <x:v>ECL / Credit Stress Lite  |  Assumption register, release facts, and distribution controls</x:v>
      </x:c>
      <x:c r="G2" s="6" t="str">
        <x:v>ECL / Credit Stress Lite  |  Assumption register, release facts, and distribution controls</x:v>
      </x:c>
      <x:c r="H2" s="6" t="str">
        <x:v>ECL / Credit Stress Lite  |  Assumption register, release facts, and distribution controls</x:v>
      </x:c>
      <x:c r="I2" s="6" t="str">
        <x:v>ECL / Credit Stress Lite  |  Assumption register, release facts, and distribution controls</x:v>
      </x:c>
      <x:c r="J2" s="6" t="str">
        <x:v>ECL / Credit Stress Lite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50" t="str">
        <x:v>Worked example</x:v>
      </x:c>
      <x:c r="B7" s="151" t="str">
        <x:v>Synthetic case values</x:v>
      </x:c>
      <x:c r="C7" s="151" t="str">
        <x:v>LCY millions</x:v>
      </x:c>
      <x:c r="D7" s="151" t="str">
        <x:v>2026-07-13</x:v>
      </x:c>
      <x:c r="E7" s="151" t="str">
        <x:v>Illustrative</x:v>
      </x:c>
      <x:c r="F7" s="151" t="str">
        <x:v>TDAT model build</x:v>
      </x:c>
      <x:c r="G7" s="151" t="str">
        <x:v>SYN-001</x:v>
      </x:c>
      <x:c r="H7" s="151" t="str">
        <x:v>Illustrative</x:v>
      </x:c>
      <x:c r="I7" s="152" t="str">
        <x:v>Replace before use.</x:v>
      </x:c>
    </x:row>
    <x:row r="8">
      <x:c r="A8" s="153" t="str">
        <x:v>Scenario drivers</x:v>
      </x:c>
      <x:c r="B8" s="154" t="str">
        <x:v>Base / Upside / Downside</x:v>
      </x:c>
      <x:c r="C8" s="154" t="str">
        <x:v>Mixed</x:v>
      </x:c>
      <x:c r="D8" s="154" t="str">
        <x:v>Model horizon</x:v>
      </x:c>
      <x:c r="E8" s="154" t="str">
        <x:v>Assumption</x:v>
      </x:c>
      <x:c r="F8" s="154" t="str">
        <x:v>User / finance owner</x:v>
      </x:c>
      <x:c r="G8" s="154" t="str">
        <x:v>ASM-001</x:v>
      </x:c>
      <x:c r="H8" s="154" t="str">
        <x:v>Open</x:v>
      </x:c>
      <x:c r="I8" s="155" t="str">
        <x:v>Confirm rationale and owner.</x:v>
      </x:c>
    </x:row>
    <x:row r="9">
      <x:c r="A9" s="156" t="str">
        <x:v>Method</x:v>
      </x:c>
      <x:c r="B9" s="157" t="str">
        <x:v>ECL Engine</x:v>
      </x:c>
      <x:c r="C9" s="157" t="str">
        <x:v>Method</x:v>
      </x:c>
      <x:c r="D9" s="157" t="str">
        <x:v>Version 1.0.0</x:v>
      </x:c>
      <x:c r="E9" s="157" t="str">
        <x:v>Model method</x:v>
      </x:c>
      <x:c r="F9" s="157" t="str">
        <x:v>Model Guide</x:v>
      </x:c>
      <x:c r="G9" s="157" t="str">
        <x:v>MTH-001</x:v>
      </x:c>
      <x:c r="H9" s="157" t="str">
        <x:v>Template</x:v>
      </x:c>
      <x:c r="I9" s="158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5" t="str">
        <x:v>Owner</x:v>
      </x:c>
      <x:c r="B12" s="151" t="str">
        <x:v>Truong Dinh Anh Tu</x:v>
      </x:c>
      <x:c r="C12" s="217" t="str">
        <x:v>Version</x:v>
      </x:c>
      <x:c r="D12" s="151" t="str">
        <x:v>1.0.0</x:v>
      </x:c>
      <x:c r="E12" s="217" t="str">
        <x:v>Standard</x:v>
      </x:c>
      <x:c r="F12" s="151" t="str">
        <x:v>TDAT Model Standard 1.0</x:v>
      </x:c>
      <x:c r="G12" s="217" t="str">
        <x:v>Last QA</x:v>
      </x:c>
      <x:c r="H12" s="151" t="str">
        <x:v>2026-07-13</x:v>
      </x:c>
      <x:c r="I12" s="217" t="str">
        <x:v>Status</x:v>
      </x:c>
      <x:c r="J12" s="152" t="str">
        <x:v>Available after release gates</x:v>
      </x:c>
    </x:row>
    <x:row r="13">
      <x:c r="A13" s="216" t="str">
        <x:v>Compatibility</x:v>
      </x:c>
      <x:c r="B13" s="157" t="str">
        <x:v>Excel 365</x:v>
      </x:c>
      <x:c r="C13" s="218" t="str">
        <x:v>Macros</x:v>
      </x:c>
      <x:c r="D13" s="157" t="str">
        <x:v>None</x:v>
      </x:c>
      <x:c r="E13" s="218" t="str">
        <x:v>External links</x:v>
      </x:c>
      <x:c r="F13" s="157" t="str">
        <x:v>None</x:v>
      </x:c>
      <x:c r="G13" s="218" t="str">
        <x:v>Circularity</x:v>
      </x:c>
      <x:c r="H13" s="157" t="str">
        <x:v>None</x:v>
      </x:c>
      <x:c r="I13" s="218" t="str">
        <x:v>Evidence</x:v>
      </x:c>
      <x:c r="J13" s="158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22" t="str">
        <x:v>1.0.0</x:v>
      </x:c>
      <x:c r="B17" s="223" t="str">
        <x:v>2026-07-13</x:v>
      </x:c>
      <x:c r="C17" s="223" t="str">
        <x:v>All</x:v>
      </x:c>
      <x:c r="D17" s="223" t="str">
        <x:v>Initial public reusable template</x:v>
      </x:c>
      <x:c r="E17" s="223" t="str">
        <x:v>New model release</x:v>
      </x:c>
      <x:c r="F17" s="223" t="str">
        <x:v>None</x:v>
      </x:c>
      <x:c r="G17" s="223" t="str">
        <x:v>Truong Dinh Anh Tu</x:v>
      </x:c>
      <x:c r="H17" s="223" t="str">
        <x:v>TDAT QA review</x:v>
      </x:c>
      <x:c r="I17" s="224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educational ECL engine only; it is not IFRS 9 compliant and not an accounting or regulatory conclusion. Validate staging, SICR, PD term structures, LGD/EAD methods, discounting, overlays, governance, data lineage, and independent validation.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