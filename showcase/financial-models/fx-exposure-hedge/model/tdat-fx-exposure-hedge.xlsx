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287bcd4eb943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afa00188e7254a2b"/>
    <x:sheet xmlns:r="http://schemas.openxmlformats.org/officeDocument/2006/relationships" name="Guide" sheetId="2" r:id="R23993ecca2774fe6"/>
    <x:sheet xmlns:r="http://schemas.openxmlformats.org/officeDocument/2006/relationships" name="Assumptions" sheetId="3" r:id="R075565e66b1b45a7"/>
    <x:sheet xmlns:r="http://schemas.openxmlformats.org/officeDocument/2006/relationships" name="FX Inputs" sheetId="4" r:id="R81cb7a839b604d5d"/>
    <x:sheet xmlns:r="http://schemas.openxmlformats.org/officeDocument/2006/relationships" name="FX Exposure" sheetId="5" r:id="Re3586ccb15764b76"/>
    <x:sheet xmlns:r="http://schemas.openxmlformats.org/officeDocument/2006/relationships" name="Sensitivity" sheetId="6" r:id="R878ee8e531994ab7"/>
    <x:sheet xmlns:r="http://schemas.openxmlformats.org/officeDocument/2006/relationships" name="Summary" sheetId="7" r:id="Rbae3b44bff5a4a05"/>
    <x:sheet xmlns:r="http://schemas.openxmlformats.org/officeDocument/2006/relationships" name="Checks" sheetId="8" r:id="R98fe318282fc46a2"/>
    <x:sheet xmlns:r="http://schemas.openxmlformats.org/officeDocument/2006/relationships" name="Sources &amp; Version" sheetId="9" r:id="R89859740ec6043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;(0.0%);-"/>
    <x:numFmt numFmtId="201" formatCode="#,##0.0;(#,##0.0);-"/>
    <x:numFmt numFmtId="202" formatCode="0.00;(0.00);-"/>
    <x:numFmt numFmtId="203" formatCode="#,##0;(#,##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5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</x:borders>
  <x:cellStyleXfs count="1">
    <x:xf numFmtId="0" fontId="0" fillId="0" borderId="0"/>
  </x:cellStyleXfs>
  <x:cellXfs count="28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0" fontId="12" fillId="5" borderId="19" xfId="0" applyNumberFormat="1" applyFont="1" applyFill="1" applyBorder="1" applyAlignment="1">
      <x:alignment horizontal="right"/>
    </x:xf>
    <x:xf numFmtId="200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203" fontId="12" fillId="5" borderId="0" xfId="0" applyNumberFormat="1" applyFont="1" applyFill="1" applyBorder="1"/>
    <x:xf numFmtId="203" fontId="12" fillId="5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/>
    <x:xf numFmtId="201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1" fontId="12" fillId="5" borderId="22" xfId="0" applyNumberFormat="1" applyFont="1" applyFill="1" applyBorder="1" applyAlignment="1">
      <x:alignment horizontal="right"/>
    </x:xf>
    <x:xf numFmtId="202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3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0" fontId="16" fillId="0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0" fontId="16" fillId="6" borderId="24" xfId="0" applyNumberFormat="1" applyFont="1" applyFill="1" applyBorder="1" applyAlignment="1">
      <x:alignment horizontal="right"/>
    </x:xf>
    <x:xf numFmtId="201" fontId="16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1" fontId="16" fillId="8" borderId="24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201" fontId="13" fillId="0" borderId="24" xfId="0" applyNumberFormat="1" applyFont="1" applyFill="1" applyBorder="1" applyAlignment="1">
      <x:alignment horizontal="right"/>
    </x:xf>
    <x:xf numFmtId="201" fontId="13" fillId="6" borderId="24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 applyAlignment="1">
      <x:alignment wrapText="1"/>
    </x:xf>
    <x:xf numFmtId="201" fontId="16" fillId="0" borderId="21" xfId="0" applyNumberFormat="1" applyFont="1" applyFill="1" applyBorder="1" applyAlignment="1">
      <x:alignment horizontal="right"/>
    </x:xf>
    <x:xf numFmtId="0" fontId="6" fillId="6" borderId="22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1" fontId="16" fillId="0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1" fontId="16" fillId="8" borderId="22" xfId="0" applyNumberFormat="1" applyFont="1" applyFill="1" applyBorder="1" applyAlignment="1">
      <x:alignment horizontal="right"/>
    </x:xf>
    <x:xf numFmtId="201" fontId="13" fillId="6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0" fontId="16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1" fontId="16" fillId="6" borderId="0" xfId="0" applyNumberFormat="1" applyFont="1" applyFill="1" applyBorder="1" applyAlignment="1">
      <x:alignment horizontal="right"/>
    </x:xf>
    <x:xf numFmtId="201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1" fontId="16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center"/>
    </x:xf>
    <x:xf numFmtId="201" fontId="19" fillId="8" borderId="0" xfId="0" applyNumberFormat="1" applyFont="1" applyFill="1" applyBorder="1" applyAlignment="1">
      <x:alignment horizontal="center" vertical="center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23" fillId="0" borderId="0" xfId="0" applyNumberFormat="1" applyFont="1" applyFill="1" applyBorder="1"/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0" fontId="0" fillId="0" borderId="21" xfId="0" applyNumberFormat="1" applyFont="1" applyFill="1" applyBorder="1"/>
    <x:xf numFmtId="200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1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0" fontId="23" fillId="0" borderId="22" xfId="0" applyNumberFormat="1" applyFont="1" applyFill="1" applyBorder="1"/>
    <x:xf numFmtId="203" fontId="23" fillId="0" borderId="22" xfId="0" applyNumberFormat="1" applyFont="1" applyFill="1" applyBorder="1"/>
    <x:xf numFmtId="0" fontId="0" fillId="0" borderId="23" xfId="0" applyNumberFormat="1" applyFont="1" applyFill="1" applyBorder="1"/>
    <x:xf numFmtId="201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1" fontId="31" fillId="0" borderId="0" xfId="0" applyNumberFormat="1" applyFont="1" applyFill="1" applyBorder="1" applyAlignment="1">
      <x:alignment horizontal="right"/>
    </x:xf>
    <x:xf numFmtId="200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78d7da4db94e45" /><Relationship Type="http://schemas.openxmlformats.org/officeDocument/2006/relationships/theme" Target="/xl/theme/theme1.xml" Id="Re48874a2a0d74d64" /><Relationship Type="http://schemas.openxmlformats.org/officeDocument/2006/relationships/sharedStrings" Target="/xl/sharedStrings.xml" Id="R68e9388f815a4f5f" /><Relationship Type="http://schemas.openxmlformats.org/officeDocument/2006/relationships/worksheet" Target="/xl/worksheets/sheet1.xml" Id="Rafa00188e7254a2b" /><Relationship Type="http://schemas.openxmlformats.org/officeDocument/2006/relationships/worksheet" Target="/xl/worksheets/sheet2.xml" Id="R23993ecca2774fe6" /><Relationship Type="http://schemas.openxmlformats.org/officeDocument/2006/relationships/worksheet" Target="/xl/worksheets/sheet3.xml" Id="R075565e66b1b45a7" /><Relationship Type="http://schemas.openxmlformats.org/officeDocument/2006/relationships/worksheet" Target="/xl/worksheets/sheet4.xml" Id="R81cb7a839b604d5d" /><Relationship Type="http://schemas.openxmlformats.org/officeDocument/2006/relationships/worksheet" Target="/xl/worksheets/sheet5.xml" Id="Re3586ccb15764b76" /><Relationship Type="http://schemas.openxmlformats.org/officeDocument/2006/relationships/worksheet" Target="/xl/worksheets/sheet6.xml" Id="R878ee8e531994ab7" /><Relationship Type="http://schemas.openxmlformats.org/officeDocument/2006/relationships/worksheet" Target="/xl/worksheets/sheet7.xml" Id="Rbae3b44bff5a4a05" /><Relationship Type="http://schemas.openxmlformats.org/officeDocument/2006/relationships/worksheet" Target="/xl/worksheets/sheet8.xml" Id="R98fe318282fc46a2" /><Relationship Type="http://schemas.openxmlformats.org/officeDocument/2006/relationships/worksheet" Target="/xl/worksheets/sheet9.xml" Id="R89859740ec6043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ef2948ff54a439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Unhedged and residual shock impact by currency</a:t>
            </a:r>
          </a:p>
        </c:rich>
      </c:tx>
    </c:title>
    <c:plotArea>
      <c:lineChart>
        <c:grouping val="standard"/>
        <c:ser>
          <c:idx val="0"/>
          <c:order val="0"/>
          <c:tx>
            <c:v>Unhedged shock impact</c:v>
          </c:tx>
          <c:marker>
            <c:symbol val="none"/>
          </c:marker>
          <c:cat>
            <c:strRef>
              <c:f>'Summary'!$A$16:$A$21</c:f>
              <c:strCache>
                <c:ptCount val="0"/>
              </c:strCache>
            </c:strRef>
          </c:cat>
          <c:val>
            <c:numRef>
              <c:f>'Summary'!$B$16:$B$21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Residual shock impact</c:v>
          </c:tx>
          <c:marker>
            <c:symbol val="none"/>
          </c:marker>
          <c:cat>
            <c:strRef>
              <c:f>'Summary'!$A$16:$A$21</c:f>
              <c:strCache>
                <c:ptCount val="0"/>
              </c:strCache>
            </c:strRef>
          </c:cat>
          <c:val>
            <c:numRef>
              <c:f>'Summary'!$C$16:$C$21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f2948ff54a439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ab7e21a52145465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TDAT-FM-TSY-003  |  Built to flex. Built to tie. Built to trust.</x:v>
      </x:c>
      <x:c r="B2" s="6" t="str">
        <x:v>TDAT-FM-TSY-003  |  Built to flex. Built to tie. Built to trust.</x:v>
      </x:c>
      <x:c r="C2" s="6" t="str">
        <x:v>TDAT-FM-TSY-003  |  Built to flex. Built to tie. Built to trust.</x:v>
      </x:c>
      <x:c r="D2" s="6" t="str">
        <x:v>TDAT-FM-TSY-003  |  Built to flex. Built to tie. Built to trust.</x:v>
      </x:c>
      <x:c r="E2" s="6" t="str">
        <x:v>TDAT-FM-TSY-003  |  Built to flex. Built to tie. Built to trust.</x:v>
      </x:c>
      <x:c r="F2" s="6" t="str">
        <x:v>TDAT-FM-TSY-003  |  Built to flex. Built to tie. Built to trust.</x:v>
      </x:c>
      <x:c r="G2" s="6" t="str">
        <x:v>TDAT-FM-TSY-003  |  Built to flex. Built to tie. Built to trust.</x:v>
      </x:c>
      <x:c r="H2" s="6" t="str">
        <x:v>TDAT-FM-TSY-003  |  Built to flex. Built to tie. Built to trust.</x:v>
      </x:c>
      <x:c r="I2" s="6" t="str">
        <x:v>TDAT-FM-TSY-003  |  Built to flex. Built to tie. Built to trust.</x:v>
      </x:c>
      <x:c r="J2" s="6" t="str">
        <x:v>TDAT-FM-TSY-003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19" t="str">
        <x:v>FX Exposure &amp; Hedge</x:v>
      </x:c>
      <x:c r="B5" s="219" t="str">
        <x:v>FX Exposure &amp; Hedge</x:v>
      </x:c>
      <x:c r="C5" s="219" t="str">
        <x:v>FX Exposure &amp; Hedge</x:v>
      </x:c>
      <x:c r="D5" s="219" t="str">
        <x:v>FX Exposure &amp; Hedge</x:v>
      </x:c>
      <x:c r="E5" s="219" t="str">
        <x:v>FX Exposure &amp; Hedge</x:v>
      </x:c>
      <x:c r="F5" s="219" t="str">
        <x:v>FX Exposure &amp; Hedge</x:v>
      </x:c>
      <x:c r="G5" s="134" t="str">
        <x:v>CALCULATION INTEGRITY</x:v>
      </x:c>
      <x:c r="H5" s="134" t="str">
        <x:v>CALCULATION INTEGRITY</x:v>
      </x:c>
      <x:c r="I5" s="134" t="str">
        <x:v>CALCULATION INTEGRITY</x:v>
      </x:c>
      <x:c r="J5" s="134" t="str">
        <x:v>CALCULATION INTEGRITY</x:v>
      </x:c>
    </x:row>
    <x:row r="6">
      <x:c r="A6" s="219" t="str">
        <x:v>FX Exposure &amp; Hedge</x:v>
      </x:c>
      <x:c r="B6" s="219" t="str">
        <x:v>FX Exposure &amp; Hedge</x:v>
      </x:c>
      <x:c r="C6" s="219" t="str">
        <x:v>FX Exposure &amp; Hedge</x:v>
      </x:c>
      <x:c r="D6" s="219" t="str">
        <x:v>FX Exposure &amp; Hedge</x:v>
      </x:c>
      <x:c r="E6" s="219" t="str">
        <x:v>FX Exposure &amp; Hedge</x:v>
      </x:c>
      <x:c r="F6" s="219" t="str">
        <x:v>FX Exposure &amp; Hedge</x:v>
      </x:c>
      <x:c r="G6" s="222" t="str">
        <x:f>'Checks'!$B$5</x:f>
        <x:v>PASS</x:v>
      </x:c>
      <x:c r="H6" s="222"/>
      <x:c r="I6" s="222"/>
      <x:c r="J6" s="222"/>
    </x:row>
    <x:row r="7">
      <x:c r="A7" s="219" t="str">
        <x:v>FX Exposure &amp; Hedge</x:v>
      </x:c>
      <x:c r="B7" s="219" t="str">
        <x:v>FX Exposure &amp; Hedge</x:v>
      </x:c>
      <x:c r="C7" s="219" t="str">
        <x:v>FX Exposure &amp; Hedge</x:v>
      </x:c>
      <x:c r="D7" s="219" t="str">
        <x:v>FX Exposure &amp; Hedge</x:v>
      </x:c>
      <x:c r="E7" s="219" t="str">
        <x:v>FX Exposure &amp; Hedge</x:v>
      </x:c>
      <x:c r="F7" s="219" t="str">
        <x:v>FX Exposure &amp; Hedge</x:v>
      </x:c>
      <x:c r="G7" s="222"/>
      <x:c r="H7" s="222"/>
      <x:c r="I7" s="222"/>
      <x:c r="J7" s="222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26" t="str">
        <x:v>Which currency exposures matter, how much is hedged, and what remains under rate shocks?</x:v>
      </x:c>
      <x:c r="B10" s="226" t="str">
        <x:v>Which currency exposures matter, how much is hedged, and what remains under rate shocks?</x:v>
      </x:c>
      <x:c r="C10" s="226" t="str">
        <x:v>Which currency exposures matter, how much is hedged, and what remains under rate shocks?</x:v>
      </x:c>
      <x:c r="D10" s="226" t="str">
        <x:v>Which currency exposures matter, how much is hedged, and what remains under rate shocks?</x:v>
      </x:c>
      <x:c r="E10" s="226" t="str">
        <x:v>Which currency exposures matter, how much is hedged, and what remains under rate shocks?</x:v>
      </x:c>
      <x:c r="F10" s="226" t="str">
        <x:v>Which currency exposures matter, how much is hedged, and what remains under rate shocks?</x:v>
      </x:c>
      <x:c r="G10" s="226" t="str">
        <x:v>Which currency exposures matter, how much is hedged, and what remains under rate shocks?</x:v>
      </x:c>
      <x:c r="H10" s="226" t="str">
        <x:v>Which currency exposures matter, how much is hedged, and what remains under rate shocks?</x:v>
      </x:c>
      <x:c r="I10" s="226" t="str">
        <x:v>Which currency exposures matter, how much is hedged, and what remains under rate shocks?</x:v>
      </x:c>
      <x:c r="J10" s="226" t="str">
        <x:v>Which currency exposures matter, how much is hedged, and what remains under rate shocks?</x:v>
      </x:c>
    </x:row>
    <x:row r="11">
      <x:c r="A11" s="226" t="str">
        <x:v>Which currency exposures matter, how much is hedged, and what remains under rate shocks?</x:v>
      </x:c>
      <x:c r="B11" s="226" t="str">
        <x:v>Which currency exposures matter, how much is hedged, and what remains under rate shocks?</x:v>
      </x:c>
      <x:c r="C11" s="226" t="str">
        <x:v>Which currency exposures matter, how much is hedged, and what remains under rate shocks?</x:v>
      </x:c>
      <x:c r="D11" s="226" t="str">
        <x:v>Which currency exposures matter, how much is hedged, and what remains under rate shocks?</x:v>
      </x:c>
      <x:c r="E11" s="226" t="str">
        <x:v>Which currency exposures matter, how much is hedged, and what remains under rate shocks?</x:v>
      </x:c>
      <x:c r="F11" s="226" t="str">
        <x:v>Which currency exposures matter, how much is hedged, and what remains under rate shocks?</x:v>
      </x:c>
      <x:c r="G11" s="226" t="str">
        <x:v>Which currency exposures matter, how much is hedged, and what remains under rate shocks?</x:v>
      </x:c>
      <x:c r="H11" s="226" t="str">
        <x:v>Which currency exposures matter, how much is hedged, and what remains under rate shocks?</x:v>
      </x:c>
      <x:c r="I11" s="226" t="str">
        <x:v>Which currency exposures matter, how much is hedged, and what remains under rate shocks?</x:v>
      </x:c>
      <x:c r="J11" s="226" t="str">
        <x:v>Which currency exposures matter, how much is hedged, and what remains under rate shocks?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27" t="str">
        <x:v>Calculation integrity</x:v>
      </x:c>
      <x:c r="B14" s="228" t="str">
        <x:v>Decision readiness</x:v>
      </x:c>
      <x:c r="C14" s="233" t="str">
        <x:f>'Checks'!$B$5</x:f>
        <x:v>PASS</x:v>
      </x:c>
      <x:c r="D14" s="233"/>
      <x:c r="E14" s="233"/>
      <x:c r="F14" s="248" t="str">
        <x:v>TEMPLATE — VALIDATE INPUTS</x:v>
      </x:c>
      <x:c r="G14" s="248" t="str">
        <x:v>TEMPLATE — VALIDATE INPUTS</x:v>
      </x:c>
      <x:c r="H14" s="248" t="str">
        <x:v>TEMPLATE — VALIDATE INPUTS</x:v>
      </x:c>
      <x:c r="I14" s="248" t="str">
        <x:v>TEMPLATE — VALIDATE INPUTS</x:v>
      </x:c>
      <x:c r="J14" s="249" t="str">
        <x:v>TEMPLATE — VALIDATE INPUTS</x:v>
      </x:c>
    </x:row>
    <x:row r="15">
      <x:c r="A15" s="229" t="str">
        <x:v>Published checks</x:v>
      </x:c>
      <x:c r="B15" s="230" t="str">
        <x:v>Template posture</x:v>
      </x:c>
      <x:c r="C15" s="234" t="str">
        <x:f>"10 / 10 PASS"</x:f>
        <x:v>10 / 10 PASS</x:v>
      </x:c>
      <x:c r="D15" s="234"/>
      <x:c r="E15" s="234"/>
      <x:c r="F15" s="250" t="str">
        <x:v>Illustrative, screen-grade worked example</x:v>
      </x:c>
      <x:c r="G15" s="250" t="str">
        <x:v>Illustrative, screen-grade worked example</x:v>
      </x:c>
      <x:c r="H15" s="250" t="str">
        <x:v>Illustrative, screen-grade worked example</x:v>
      </x:c>
      <x:c r="I15" s="250" t="str">
        <x:v>Illustrative, screen-grade worked example</x:v>
      </x:c>
      <x:c r="J15" s="251" t="str">
        <x:v>Illustrative, screen-grade worked example</x:v>
      </x:c>
    </x:row>
    <x:row r="16">
      <x:c r="A16" s="229" t="str">
        <x:v>Scenario</x:v>
      </x:c>
      <x:c r="B16" s="230" t="str">
        <x:v>Evidence</x:v>
      </x:c>
      <x:c r="C16" s="234" t="str">
        <x:f>'Assumptions'!$B$3</x:f>
        <x:v>Base</x:v>
      </x:c>
      <x:c r="D16" s="234"/>
      <x:c r="E16" s="234"/>
      <x:c r="F16" s="250" t="str">
        <x:v>Synthetic / illustrative</x:v>
      </x:c>
      <x:c r="G16" s="250" t="str">
        <x:v>Synthetic / illustrative</x:v>
      </x:c>
      <x:c r="H16" s="250" t="str">
        <x:v>Synthetic / illustrative</x:v>
      </x:c>
      <x:c r="I16" s="250" t="str">
        <x:v>Synthetic / illustrative</x:v>
      </x:c>
      <x:c r="J16" s="251" t="str">
        <x:v>Synthetic / illustrative</x:v>
      </x:c>
    </x:row>
    <x:row r="17">
      <x:c r="A17" s="231" t="str">
        <x:v>Owner</x:v>
      </x:c>
      <x:c r="B17" s="232" t="str">
        <x:v>Use</x:v>
      </x:c>
      <x:c r="C17" s="235" t="str">
        <x:f>'Sources &amp; Version'!$B$12</x:f>
        <x:v>Truong Dinh Anh Tu</x:v>
      </x:c>
      <x:c r="D17" s="235"/>
      <x:c r="E17" s="235"/>
      <x:c r="F17" s="252" t="str">
        <x:v>Treasury · Enterprise Risk · Corporate Finance</x:v>
      </x:c>
      <x:c r="G17" s="252" t="str">
        <x:v>Treasury · Enterprise Risk · Corporate Finance</x:v>
      </x:c>
      <x:c r="H17" s="252" t="str">
        <x:v>Treasury · Enterprise Risk · Corporate Finance</x:v>
      </x:c>
      <x:c r="I17" s="252" t="str">
        <x:v>Treasury · Enterprise Risk · Corporate Finance</x:v>
      </x:c>
      <x:c r="J17" s="253" t="str">
        <x:v>Treasury · Enterprise Risk · Corporate Finance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08" t="str">
        <x:v>Model ID</x:v>
      </x:c>
      <x:c r="B20" s="147" t="str">
        <x:v>TDAT-FM-TSY-003</x:v>
      </x:c>
      <x:c r="C20" s="210" t="str">
        <x:v>Version</x:v>
      </x:c>
      <x:c r="D20" s="147" t="str">
        <x:v>1.0.0</x:v>
      </x:c>
      <x:c r="E20" s="210" t="str">
        <x:v>Last QA</x:v>
      </x:c>
      <x:c r="F20" s="148" t="str">
        <x:v>2026-07-13</x:v>
      </x:c>
      <x:c r="G20" s="257" t="str">
        <x:v>Gross LCY exposure</x:v>
      </x:c>
      <x:c r="H20" s="257" t="str">
        <x:v>Gross LCY exposure</x:v>
      </x:c>
      <x:c r="I20" s="258" t="n">
        <x:f>SUM('FX Exposure'!B9:G9)</x:f>
        <x:v>287.72</x:v>
      </x:c>
      <x:c r="J20" s="258"/>
    </x:row>
    <x:row r="21">
      <x:c r="A21" s="255" t="str">
        <x:v>Domain</x:v>
      </x:c>
      <x:c r="B21" s="150" t="str">
        <x:v>Treasury &amp; Capital</x:v>
      </x:c>
      <x:c r="C21" s="256" t="str">
        <x:v>Compatibility</x:v>
      </x:c>
      <x:c r="D21" s="150" t="str">
        <x:v>Excel 365</x:v>
      </x:c>
      <x:c r="E21" s="256" t="str">
        <x:v>Macros</x:v>
      </x:c>
      <x:c r="F21" s="151" t="str">
        <x:v>None</x:v>
      </x:c>
      <x:c r="G21" s="257" t="str">
        <x:v>Residual shock impact</x:v>
      </x:c>
      <x:c r="H21" s="257" t="str">
        <x:v>Residual shock impact</x:v>
      </x:c>
      <x:c r="I21" s="258" t="n">
        <x:f>SUM('FX Exposure'!B13:G13)</x:f>
        <x:v>-8.631600000000002</x:v>
      </x:c>
      <x:c r="J21" s="258"/>
    </x:row>
    <x:row r="22">
      <x:c r="A22" s="255" t="str">
        <x:v>Horizon</x:v>
      </x:c>
      <x:c r="B22" s="150" t="str">
        <x:v>1–24 months</x:v>
      </x:c>
      <x:c r="C22" s="256" t="str">
        <x:v>Frequency</x:v>
      </x:c>
      <x:c r="D22" s="150" t="str">
        <x:v>Exposure snapshot</x:v>
      </x:c>
      <x:c r="E22" s="256" t="str">
        <x:v>External links</x:v>
      </x:c>
      <x:c r="F22" s="151" t="str">
        <x:v>None</x:v>
      </x:c>
      <x:c r="G22" s="257" t="str">
        <x:v>Net protected impact</x:v>
      </x:c>
      <x:c r="H22" s="257" t="str">
        <x:v>Net protected impact</x:v>
      </x:c>
      <x:c r="I22" s="258" t="n">
        <x:f>SUM('FX Exposure'!B15:G15)</x:f>
        <x:v>-9.63862</x:v>
      </x:c>
      <x:c r="J22" s="258"/>
    </x:row>
    <x:row r="23">
      <x:c r="A23" s="255" t="str">
        <x:v>Currency</x:v>
      </x:c>
      <x:c r="B23" s="150" t="str">
        <x:v>LCY</x:v>
      </x:c>
      <x:c r="C23" s="256" t="str">
        <x:v>Units</x:v>
      </x:c>
      <x:c r="D23" s="150" t="str">
        <x:v>Foreign-currency units / LCY millions</x:v>
      </x:c>
      <x:c r="E23" s="256" t="str">
        <x:v>Scenario</x:v>
      </x:c>
      <x:c r="F23" s="151" t="str">
        <x:v>Base / Upside / Downside</x:v>
      </x:c>
      <x:c r="G23" s="257" t="str">
        <x:v>Weighted hedge coverage</x:v>
      </x:c>
      <x:c r="H23" s="257" t="str">
        <x:v>Weighted hedge coverage</x:v>
      </x:c>
      <x:c r="I23" s="259" t="n">
        <x:f>SUM('FX Exposure'!B10:G10)/SUM('FX Exposure'!B9:G9)</x:f>
        <x:v>0.7066540386486861</x:v>
      </x:c>
      <x:c r="J23" s="259"/>
    </x:row>
    <x:row r="24">
      <x:c r="A24" s="209" t="str">
        <x:v>Owner</x:v>
      </x:c>
      <x:c r="B24" s="153" t="str">
        <x:v>Truong Dinh Anh Tu</x:v>
      </x:c>
      <x:c r="C24" s="211" t="str">
        <x:v>Standard</x:v>
      </x:c>
      <x:c r="D24" s="153" t="str">
        <x:v>TDAT Model Standard 1.0</x:v>
      </x:c>
      <x:c r="E24" s="211" t="str">
        <x:v>Evidence</x:v>
      </x:c>
      <x:c r="F24" s="154" t="str">
        <x:v>Synthetic worked template</x:v>
      </x:c>
      <x:c r="G24" s="257" t="str">
        <x:v>Hedge cost</x:v>
      </x:c>
      <x:c r="H24" s="257" t="str">
        <x:v>Hedge cost</x:v>
      </x:c>
      <x:c r="I24" s="258" t="n">
        <x:f>SUM('FX Exposure'!B14:G14)</x:f>
        <x:v>1.00702</x:v>
      </x:c>
      <x:c r="J24" s="258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79" t="str">
        <x:v>Blue font</x:v>
      </x:c>
      <x:c r="B27" s="271" t="str">
        <x:v>Editable hardcode</x:v>
      </x:c>
      <x:c r="C27" s="280" t="str">
        <x:v>Black font</x:v>
      </x:c>
      <x:c r="D27" s="271" t="str">
        <x:v>In-sheet formula</x:v>
      </x:c>
      <x:c r="E27" s="281" t="str">
        <x:v>Green font</x:v>
      </x:c>
      <x:c r="F27" s="271" t="str">
        <x:v>Cross-sheet formula</x:v>
      </x:c>
      <x:c r="G27" s="282" t="str">
        <x:v>Pale amber</x:v>
      </x:c>
      <x:c r="H27" s="282" t="str">
        <x:v>Scenario / review cue</x:v>
      </x:c>
      <x:c r="I27" s="283" t="str">
        <x:v>Teal</x:v>
      </x:c>
      <x:c r="J27" s="284" t="str">
        <x:v>PASS / trusted output</x:v>
      </x:c>
    </x:row>
    <x:row r="28">
      <x:c r="A28" s="273" t="str">
        <x:v>Actual</x:v>
      </x:c>
      <x:c r="B28" s="274" t="str">
        <x:v>Neutral period band</x:v>
      </x:c>
      <x:c r="C28" s="274" t="str">
        <x:v>Forecast</x:v>
      </x:c>
      <x:c r="D28" s="274" t="str">
        <x:v>Pale-blue period band</x:v>
      </x:c>
      <x:c r="E28" s="274" t="str">
        <x:v>Zero</x:v>
      </x:c>
      <x:c r="F28" s="274" t="str">
        <x:v>Displayed as an en dash</x:v>
      </x:c>
      <x:c r="G28" s="274" t="str">
        <x:v>Rule</x:v>
      </x:c>
      <x:c r="H28" s="274" t="str">
        <x:v>Keep formulas copy-across</x:v>
      </x:c>
      <x:c r="I28" s="274" t="str">
        <x:v>Rule</x:v>
      </x:c>
      <x:c r="J28" s="275" t="str">
        <x:v>Recheck after every change</x:v>
      </x:c>
    </x:row>
    <x:row r="29">
      <x:c r="A29" s="276" t="str">
        <x:v>Status</x:v>
      </x:c>
      <x:c r="B29" s="277" t="str">
        <x:v>PASS means controls tie</x:v>
      </x:c>
      <x:c r="C29" s="277" t="str">
        <x:v>Readiness</x:v>
      </x:c>
      <x:c r="D29" s="277" t="str">
        <x:v>Inputs still require review</x:v>
      </x:c>
      <x:c r="E29" s="277" t="str">
        <x:v>Privacy</x:v>
      </x:c>
      <x:c r="F29" s="277" t="str">
        <x:v>Public-safe example</x:v>
      </x:c>
      <x:c r="G29" s="277" t="str">
        <x:v>Use</x:v>
      </x:c>
      <x:c r="H29" s="277" t="str">
        <x:v>Adapt and validate</x:v>
      </x:c>
      <x:c r="I29" s="277" t="str">
        <x:v>Support</x:v>
      </x:c>
      <x:c r="J29" s="278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10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FX Exposure &amp; Hedge  |  Scope, setup, flexibility, and limitations</x:v>
      </x:c>
      <x:c r="B2" s="6" t="str">
        <x:v>FX Exposure &amp; Hedge  |  Scope, setup, flexibility, and limitations</x:v>
      </x:c>
      <x:c r="C2" s="6" t="str">
        <x:v>FX Exposure &amp; Hedge  |  Scope, setup, flexibility, and limitations</x:v>
      </x:c>
      <x:c r="D2" s="6" t="str">
        <x:v>FX Exposure &amp; Hedge  |  Scope, setup, flexibility, and limitations</x:v>
      </x:c>
      <x:c r="E2" s="6" t="str">
        <x:v>FX Exposure &amp; Hedge  |  Scope, setup, flexibility, and limitations</x:v>
      </x:c>
      <x:c r="F2" s="6" t="str">
        <x:v>FX Exposure &amp; Hedge  |  Scope, setup, flexibility, and limitations</x:v>
      </x:c>
      <x:c r="G2" s="6" t="str">
        <x:v>FX Exposure &amp; Hedge  |  Scope, setup, flexibility, and limitations</x:v>
      </x:c>
      <x:c r="H2" s="6" t="str">
        <x:v>FX Exposure &amp; Hedge  |  Scope, setup, flexibility, and limitations</x:v>
      </x:c>
      <x:c r="I2" s="6" t="str">
        <x:v>FX Exposure &amp; Hedge  |  Scope, setup, flexibility, and limitations</x:v>
      </x:c>
      <x:c r="J2" s="6" t="str">
        <x:v>FX Exposure &amp; Hedge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B6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C6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D6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E6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F6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G6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H6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I6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J6" s="12" t="str">
        <x:v>Transaction exposures, hedge coverage, maturity profile, rate sensitivity, and residual P&amp;L/cash risk.
Primary users: Treasury, Enterprise Risk, Corporate Finance. Typical use: FX exposure, Hedge coverage, Sensitivity.</x:v>
      </x:c>
    </x:row>
    <x:row r="7">
      <x:c r="A7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B7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C7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D7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E7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F7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G7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H7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I7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J7" s="12" t="str">
        <x:v>Transaction exposures, hedge coverage, maturity profile, rate sensitivity, and residual P&amp;L/cash risk.
Primary users: Treasury, Enterprise Risk, Corporate Finance. Typical use: FX exposure, Hedge coverage, Sensitivity.</x:v>
      </x:c>
    </x:row>
    <x:row r="8">
      <x:c r="A8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B8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C8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D8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E8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F8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G8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H8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I8" s="12" t="str">
        <x:v>Transaction exposures, hedge coverage, maturity profile, rate sensitivity, and residual P&amp;L/cash risk.
Primary users: Treasury, Enterprise Risk, Corporate Finance. Typical use: FX exposure, Hedge coverage, Sensitivity.</x:v>
      </x:c>
      <x:c r="J8" s="12" t="str">
        <x:v>Transaction exposures, hedge coverage, maturity profile, rate sensitivity, and residual P&amp;L/cash risk.
Primary users: Treasury, Enterprise Risk, Corporate Finance. Typical use: FX exposure, Hedge coverage, Sensitivity.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Which currency exposures matter, how much is hedged, and what remains under rate shocks?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FX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FX Exposure;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FX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FX Exposure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Adverse spot shock × Hedge ratio recalculation of Residual FX shock impact.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FX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FX Exposure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Illustrative economic-exposure template only; it is not hedge-accounting, tax, legal, trading, or investment advice. Validate currency direction, settlement terms, approved instruments, counterparty limits, accounting designation, policy, and execution with qualified reviewers.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B37" s="43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C37" s="43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D37" s="43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E37" s="43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F37" s="43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G37" s="43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H37" s="43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I37" s="43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J37" s="44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</x:row>
    <x:row r="38">
      <x:c r="A38" s="45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B38" s="46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C38" s="46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D38" s="46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E38" s="46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F38" s="46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G38" s="46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H38" s="46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I38" s="46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J38" s="47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</x:row>
    <x:row r="39">
      <x:c r="A39" s="48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B39" s="49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C39" s="49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D39" s="49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E39" s="49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F39" s="49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G39" s="49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H39" s="49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I39" s="49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  <x:c r="J39" s="50" t="str">
        <x:v>Deliberately excluded in version 1.0.0: hedge-accounting designation; IFRS 9 effectiveness testing; option valuation; counterparty credit; liquidity/funding limits; dealer execution.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FX Exposure &amp; Hedge  |  One controlled selector and visible driver cases</x:v>
      </x:c>
      <x:c r="B2" s="6" t="str">
        <x:v>FX Exposure &amp; Hedge  |  One controlled selector and visible driver cases</x:v>
      </x:c>
      <x:c r="C2" s="6" t="str">
        <x:v>FX Exposure &amp; Hedge  |  One controlled selector and visible driver cases</x:v>
      </x:c>
      <x:c r="D2" s="6" t="str">
        <x:v>FX Exposure &amp; Hedge  |  One controlled selector and visible driver cases</x:v>
      </x:c>
      <x:c r="E2" s="6" t="str">
        <x:v>FX Exposure &amp; Hedge  |  One controlled selector and visible driver cases</x:v>
      </x:c>
      <x:c r="F2" s="6" t="str">
        <x:v>FX Exposure &amp; Hedge  |  One controlled selector and visible driver cases</x:v>
      </x:c>
      <x:c r="G2" s="6" t="str">
        <x:v>FX Exposure &amp; Hedge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76" t="str">
        <x:v>Adverse spot shock</x:v>
      </x:c>
      <x:c r="B6" s="77" t="str">
        <x:v>%</x:v>
      </x:c>
      <x:c r="C6" s="78" t="n">
        <x:v>-0.1</x:v>
      </x:c>
      <x:c r="D6" s="78" t="n">
        <x:v>-0.05</x:v>
      </x:c>
      <x:c r="E6" s="78" t="n">
        <x:v>-0.2</x:v>
      </x:c>
      <x:c r="F6" s="79" t="n">
        <x:f>IF($B$3="Base",C6,IF($B$3="Upside",D6,E6))</x:f>
        <x:v>-0.1</x:v>
      </x:c>
      <x:c r="G6" s="80" t="str">
        <x:v>Replace with an approved, sourced assumption.</x:v>
      </x:c>
    </x:row>
    <x:row r="7">
      <x:c r="A7" s="81" t="str">
        <x:v>Hedge cost / notional</x:v>
      </x:c>
      <x:c r="B7" s="82" t="str">
        <x:v>%</x:v>
      </x:c>
      <x:c r="C7" s="83" t="n">
        <x:v>0.005</x:v>
      </x:c>
      <x:c r="D7" s="83" t="n">
        <x:v>0.003</x:v>
      </x:c>
      <x:c r="E7" s="83" t="n">
        <x:v>0.01</x:v>
      </x:c>
      <x:c r="F7" s="84" t="n">
        <x:f>IF($B$3="Base",C7,IF($B$3="Upside",D7,E7))</x:f>
        <x:v>0.005</x:v>
      </x:c>
      <x:c r="G7" s="85" t="str">
        <x:v>Replace with an approved, sourced assumption.</x:v>
      </x:c>
    </x:row>
    <x:row r="8">
      <x:c r="A8" s="81" t="str">
        <x:v>Target hedge coverage</x:v>
      </x:c>
      <x:c r="B8" s="82" t="str">
        <x:v>%</x:v>
      </x:c>
      <x:c r="C8" s="83" t="n">
        <x:v>0.7</x:v>
      </x:c>
      <x:c r="D8" s="83" t="n">
        <x:v>0.8</x:v>
      </x:c>
      <x:c r="E8" s="83" t="n">
        <x:v>0.5</x:v>
      </x:c>
      <x:c r="F8" s="84" t="n">
        <x:f>IF($B$3="Base",C8,IF($B$3="Upside",D8,E8))</x:f>
        <x:v>0.7</x:v>
      </x:c>
      <x:c r="G8" s="85" t="str">
        <x:v>Replace with an approved, sourced assumption.</x:v>
      </x:c>
    </x:row>
    <x:row r="9">
      <x:c r="A9" s="81" t="str">
        <x:v>Minimum hedge coverage</x:v>
      </x:c>
      <x:c r="B9" s="82" t="str">
        <x:v>%</x:v>
      </x:c>
      <x:c r="C9" s="83" t="n">
        <x:v>0.5</x:v>
      </x:c>
      <x:c r="D9" s="83" t="n">
        <x:v>0.6</x:v>
      </x:c>
      <x:c r="E9" s="83" t="n">
        <x:v>0.35</x:v>
      </x:c>
      <x:c r="F9" s="84" t="n">
        <x:f>IF($B$3="Base",C9,IF($B$3="Upside",D9,E9))</x:f>
        <x:v>0.5</x:v>
      </x:c>
      <x:c r="G9" s="85" t="str">
        <x:v>Replace with an approved, sourced assumption.</x:v>
      </x:c>
    </x:row>
    <x:row r="10">
      <x:c r="A10" s="86" t="str">
        <x:v>Maximum hedge coverage</x:v>
      </x:c>
      <x:c r="B10" s="87" t="str">
        <x:v>%</x:v>
      </x:c>
      <x:c r="C10" s="88" t="n">
        <x:v>1</x:v>
      </x:c>
      <x:c r="D10" s="88" t="n">
        <x:v>1</x:v>
      </x:c>
      <x:c r="E10" s="88" t="n">
        <x:v>0.9</x:v>
      </x:c>
      <x:c r="F10" s="89" t="n">
        <x:f>IF($B$3="Base",C10,IF($B$3="Upside",D10,E10))</x:f>
        <x:v>1</x:v>
      </x:c>
      <x:c r="G10" s="90" t="str">
        <x:v>Replace with an approved, sourced assumption.</x:v>
      </x:c>
    </x:row>
    <x:row r="12">
      <x:c r="A12" s="42" t="str">
        <x:v>Scenario discipline: change a small number of decision-relevant drivers, preserve the core formula architecture, and document what changed, why, who owns it, and what action follows.</x:v>
      </x:c>
      <x:c r="B12" s="43" t="str">
        <x:v>Scenario discipline: change a small number of decision-relevant drivers, preserve the core formula architecture, and document what changed, why, who owns it, and what action follows.</x:v>
      </x:c>
      <x:c r="C12" s="43" t="str">
        <x:v>Scenario discipline: change a small number of decision-relevant drivers, preserve the core formula architecture, and document what changed, why, who owns it, and what action follows.</x:v>
      </x:c>
      <x:c r="D12" s="43" t="str">
        <x:v>Scenario discipline: change a small number of decision-relevant drivers, preserve the core formula architecture, and document what changed, why, who owns it, and what action follows.</x:v>
      </x:c>
      <x:c r="E12" s="43" t="str">
        <x:v>Scenario discipline: change a small number of decision-relevant drivers, preserve the core formula architecture, and document what changed, why, who owns it, and what action follows.</x:v>
      </x:c>
      <x:c r="F12" s="43" t="str">
        <x:v>Scenario discipline: change a small number of decision-relevant drivers, preserve the core formula architecture, and document what changed, why, who owns it, and what action follows.</x:v>
      </x:c>
      <x:c r="G12" s="44" t="str">
        <x:v>Scenario discipline: change a small number of decision-relevant drivers, preserve the core formula architecture, and document what changed, why, who owns it, and what action follows.</x:v>
      </x:c>
    </x:row>
    <x:row r="13">
      <x:c r="A13" s="45" t="str">
        <x:v>Scenario discipline: change a small number of decision-relevant drivers, preserve the core formula architecture, and document what changed, why, who owns it, and what action follows.</x:v>
      </x:c>
      <x:c r="B13" s="46" t="str">
        <x:v>Scenario discipline: change a small number of decision-relevant drivers, preserve the core formula architecture, and document what changed, why, who owns it, and what action follows.</x:v>
      </x:c>
      <x:c r="C13" s="46" t="str">
        <x:v>Scenario discipline: change a small number of decision-relevant drivers, preserve the core formula architecture, and document what changed, why, who owns it, and what action follows.</x:v>
      </x:c>
      <x:c r="D13" s="46" t="str">
        <x:v>Scenario discipline: change a small number of decision-relevant drivers, preserve the core formula architecture, and document what changed, why, who owns it, and what action follows.</x:v>
      </x:c>
      <x:c r="E13" s="46" t="str">
        <x:v>Scenario discipline: change a small number of decision-relevant drivers, preserve the core formula architecture, and document what changed, why, who owns it, and what action follows.</x:v>
      </x:c>
      <x:c r="F13" s="46" t="str">
        <x:v>Scenario discipline: change a small number of decision-relevant drivers, preserve the core formula architecture, and document what changed, why, who owns it, and what action follows.</x:v>
      </x:c>
      <x:c r="G13" s="47" t="str">
        <x:v>Scenario discipline: change a small number of decision-relevant drivers, preserve the core formula architecture, and document what changed, why, who owns it, and what action follows.</x:v>
      </x:c>
    </x:row>
    <x:row r="14">
      <x:c r="A14" s="48" t="str">
        <x:v>Scenario discipline: change a small number of decision-relevant drivers, preserve the core formula architecture, and document what changed, why, who owns it, and what action follows.</x:v>
      </x:c>
      <x:c r="B14" s="49" t="str">
        <x:v>Scenario discipline: change a small number of decision-relevant drivers, preserve the core formula architecture, and document what changed, why, who owns it, and what action follows.</x:v>
      </x:c>
      <x:c r="C14" s="49" t="str">
        <x:v>Scenario discipline: change a small number of decision-relevant drivers, preserve the core formula architecture, and document what changed, why, who owns it, and what action follows.</x:v>
      </x:c>
      <x:c r="D14" s="49" t="str">
        <x:v>Scenario discipline: change a small number of decision-relevant drivers, preserve the core formula architecture, and document what changed, why, who owns it, and what action follows.</x:v>
      </x:c>
      <x:c r="E14" s="49" t="str">
        <x:v>Scenario discipline: change a small number of decision-relevant drivers, preserve the core formula architecture, and document what changed, why, who owns it, and what action follows.</x:v>
      </x:c>
      <x:c r="F14" s="49" t="str">
        <x:v>Scenario discipline: change a small number of decision-relevant drivers, preserve the core formula architecture, and document what changed, why, who owns it, and what action follows.</x:v>
      </x:c>
      <x:c r="G14" s="50" t="str">
        <x:v>Scenario discipline: change a small number of decision-relevant drivers, preserve the core formula architecture, and document what changed, why, who owns it, and what action follows.</x:v>
      </x:c>
    </x:row>
    <x:row r="16">
      <x:c r="A16" s="53" t="str">
        <x:v>TDAT Model Library  |  Trust builds the brand. Insight builds the decision.</x:v>
      </x:c>
      <x:c r="B16" s="53" t="str">
        <x:v>TDAT Model Library  |  Trust builds the brand. Insight builds the decision.</x:v>
      </x:c>
      <x:c r="C16" s="53" t="str">
        <x:v>TDAT Model Library  |  Trust builds the brand. Insight builds the decision.</x:v>
      </x:c>
      <x:c r="D16" s="53" t="str">
        <x:v>TDAT Model Library  |  Trust builds the brand. Insight builds the decision.</x:v>
      </x:c>
      <x:c r="E16" s="53" t="str">
        <x:v>TDAT Model Library  |  Trust builds the brand. Insight builds the decision.</x:v>
      </x:c>
      <x:c r="F16" s="53" t="str">
        <x:v>TDAT Model Library  |  Trust builds the brand. Insight builds the decision.</x:v>
      </x:c>
      <x:c r="G16" s="53" t="str">
        <x:v>TDAT Model Library  |  Trust builds the brand. Insight builds the decision.</x:v>
      </x:c>
    </x:row>
  </x:sheetData>
  <x:mergeCells>
    <x:mergeCell ref="A1:G1"/>
    <x:mergeCell ref="A2:G2"/>
    <x:mergeCell ref="A12:G14"/>
    <x:mergeCell ref="A16:G16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4" customHeight="1">
      <x:c r="A1" s="3" t="str">
        <x:v>FX INPUTS</x:v>
      </x:c>
      <x:c r="B1" s="3" t="str">
        <x:v>FX INPUTS</x:v>
      </x:c>
      <x:c r="C1" s="3" t="str">
        <x:v>FX INPUTS</x:v>
      </x:c>
      <x:c r="D1" s="3" t="str">
        <x:v>FX INPUTS</x:v>
      </x:c>
      <x:c r="E1" s="3" t="str">
        <x:v>FX INPUTS</x:v>
      </x:c>
      <x:c r="F1" s="3" t="str">
        <x:v>FX INPUTS</x:v>
      </x:c>
      <x:c r="G1" s="3" t="str">
        <x:v>FX INPUTS</x:v>
      </x:c>
    </x:row>
    <x:row r="2" ht="24" customHeight="1">
      <x:c r="A2" s="6" t="str">
        <x:v>FX Exposure &amp; Hedge  |  Synthetic worked inputs — replace blue cells</x:v>
      </x:c>
      <x:c r="B2" s="6" t="str">
        <x:v>FX Exposure &amp; Hedge  |  Synthetic worked inputs — replace blue cells</x:v>
      </x:c>
      <x:c r="C2" s="6" t="str">
        <x:v>FX Exposure &amp; Hedge  |  Synthetic worked inputs — replace blue cells</x:v>
      </x:c>
      <x:c r="D2" s="6" t="str">
        <x:v>FX Exposure &amp; Hedge  |  Synthetic worked inputs — replace blue cells</x:v>
      </x:c>
      <x:c r="E2" s="6" t="str">
        <x:v>FX Exposure &amp; Hedge  |  Synthetic worked inputs — replace blue cells</x:v>
      </x:c>
      <x:c r="F2" s="6" t="str">
        <x:v>FX Exposure &amp; Hedge  |  Synthetic worked inputs — replace blue cells</x:v>
      </x:c>
      <x:c r="G2" s="6" t="str">
        <x:v>FX Exposure &amp; Hedge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</x:row>
    <x:row r="5" ht="24" customHeight="1">
      <x:c r="A5" s="66" t="str">
        <x:v>Input / Period</x:v>
      </x:c>
      <x:c r="B5" s="67" t="str">
        <x:v>USD</x:v>
      </x:c>
      <x:c r="C5" s="67" t="str">
        <x:v>EUR</x:v>
      </x:c>
      <x:c r="D5" s="67" t="str">
        <x:v>JPY</x:v>
      </x:c>
      <x:c r="E5" s="67" t="str">
        <x:v>CNY</x:v>
      </x:c>
      <x:c r="F5" s="67" t="str">
        <x:v>GBP</x:v>
      </x:c>
      <x:c r="G5" s="68" t="str">
        <x:v>AUD</x:v>
      </x:c>
    </x:row>
    <x:row r="6">
      <x:c r="A6" s="98" t="str">
        <x:v>Foreign-currency receivables</x:v>
      </x:c>
      <x:c r="B6" s="99" t="n">
        <x:v>120</x:v>
      </x:c>
      <x:c r="C6" s="99" t="n">
        <x:v>90</x:v>
      </x:c>
      <x:c r="D6" s="99" t="n">
        <x:v>8000</x:v>
      </x:c>
      <x:c r="E6" s="99" t="n">
        <x:v>450</x:v>
      </x:c>
      <x:c r="F6" s="99" t="n">
        <x:v>55</x:v>
      </x:c>
      <x:c r="G6" s="99" t="n">
        <x:v>70</x:v>
      </x:c>
    </x:row>
    <x:row r="7">
      <x:c r="A7" s="100" t="str">
        <x:v>Foreign-currency payables</x:v>
      </x:c>
      <x:c r="B7" s="101" t="n">
        <x:v>40</x:v>
      </x:c>
      <x:c r="C7" s="101" t="n">
        <x:v>35</x:v>
      </x:c>
      <x:c r="D7" s="101" t="n">
        <x:v>2600</x:v>
      </x:c>
      <x:c r="E7" s="101" t="n">
        <x:v>180</x:v>
      </x:c>
      <x:c r="F7" s="101" t="n">
        <x:v>20</x:v>
      </x:c>
      <x:c r="G7" s="101" t="n">
        <x:v>25</x:v>
      </x:c>
    </x:row>
    <x:row r="8">
      <x:c r="A8" s="100" t="str">
        <x:v>Spot LCY / FC unit</x:v>
      </x:c>
      <x:c r="B8" s="102" t="n">
        <x:v>1</x:v>
      </x:c>
      <x:c r="C8" s="102" t="n">
        <x:v>1.08</x:v>
      </x:c>
      <x:c r="D8" s="102" t="n">
        <x:v>0.0068</x:v>
      </x:c>
      <x:c r="E8" s="102" t="n">
        <x:v>0.14</x:v>
      </x:c>
      <x:c r="F8" s="102" t="n">
        <x:v>1.26</x:v>
      </x:c>
      <x:c r="G8" s="102" t="n">
        <x:v>0.66</x:v>
      </x:c>
    </x:row>
    <x:row r="9">
      <x:c r="A9" s="100" t="str">
        <x:v>Forward LCY / FC unit</x:v>
      </x:c>
      <x:c r="B9" s="102" t="n">
        <x:v>1.01</x:v>
      </x:c>
      <x:c r="C9" s="102" t="n">
        <x:v>1.09</x:v>
      </x:c>
      <x:c r="D9" s="102" t="n">
        <x:v>0.0069</x:v>
      </x:c>
      <x:c r="E9" s="102" t="n">
        <x:v>0.141</x:v>
      </x:c>
      <x:c r="F9" s="102" t="n">
        <x:v>1.27</x:v>
      </x:c>
      <x:c r="G9" s="102" t="n">
        <x:v>0.665</x:v>
      </x:c>
    </x:row>
    <x:row r="10">
      <x:c r="A10" s="100" t="str">
        <x:v>Hedge notional</x:v>
      </x:c>
      <x:c r="B10" s="101" t="n">
        <x:v>56</x:v>
      </x:c>
      <x:c r="C10" s="101" t="n">
        <x:v>38.5</x:v>
      </x:c>
      <x:c r="D10" s="101" t="n">
        <x:v>3780</x:v>
      </x:c>
      <x:c r="E10" s="101" t="n">
        <x:v>189</x:v>
      </x:c>
      <x:c r="F10" s="101" t="n">
        <x:v>24.5</x:v>
      </x:c>
      <x:c r="G10" s="101" t="n">
        <x:v>31.5</x:v>
      </x:c>
    </x:row>
    <x:row r="11">
      <x:c r="A11" s="103" t="str">
        <x:v>Months to settlement</x:v>
      </x:c>
      <x:c r="B11" s="104" t="n">
        <x:v>3</x:v>
      </x:c>
      <x:c r="C11" s="104" t="n">
        <x:v>4</x:v>
      </x:c>
      <x:c r="D11" s="104" t="n">
        <x:v>2</x:v>
      </x:c>
      <x:c r="E11" s="104" t="n">
        <x:v>5</x:v>
      </x:c>
      <x:c r="F11" s="104" t="n">
        <x:v>6</x:v>
      </x:c>
      <x:c r="G11" s="104" t="n">
        <x:v>3</x:v>
      </x:c>
    </x:row>
    <x:row r="13">
      <x:c r="A13" s="42" t="str">
        <x:v>Synthetic input pack. Preserve source definitions, units, period basis, and sign convention when replacing values.</x:v>
      </x:c>
      <x:c r="B13" s="43" t="str">
        <x:v>Synthetic input pack. Preserve source definitions, units, period basis, and sign convention when replacing values.</x:v>
      </x:c>
      <x:c r="C13" s="43" t="str">
        <x:v>Synthetic input pack. Preserve source definitions, units, period basis, and sign convention when replacing values.</x:v>
      </x:c>
      <x:c r="D13" s="43" t="str">
        <x:v>Synthetic input pack. Preserve source definitions, units, period basis, and sign convention when replacing values.</x:v>
      </x:c>
      <x:c r="E13" s="43" t="str">
        <x:v>Synthetic input pack. Preserve source definitions, units, period basis, and sign convention when replacing values.</x:v>
      </x:c>
      <x:c r="F13" s="43" t="str">
        <x:v>Synthetic input pack. Preserve source definitions, units, period basis, and sign convention when replacing values.</x:v>
      </x:c>
      <x:c r="G13" s="44" t="str">
        <x:v>Synthetic input pack. Preserve source definitions, units, period basis, and sign convention when replacing values.</x:v>
      </x:c>
    </x:row>
    <x:row r="14">
      <x:c r="A14" s="45" t="str">
        <x:v>Synthetic input pack. Preserve source definitions, units, period basis, and sign convention when replacing values.</x:v>
      </x:c>
      <x:c r="B14" s="46" t="str">
        <x:v>Synthetic input pack. Preserve source definitions, units, period basis, and sign convention when replacing values.</x:v>
      </x:c>
      <x:c r="C14" s="46" t="str">
        <x:v>Synthetic input pack. Preserve source definitions, units, period basis, and sign convention when replacing values.</x:v>
      </x:c>
      <x:c r="D14" s="46" t="str">
        <x:v>Synthetic input pack. Preserve source definitions, units, period basis, and sign convention when replacing values.</x:v>
      </x:c>
      <x:c r="E14" s="46" t="str">
        <x:v>Synthetic input pack. Preserve source definitions, units, period basis, and sign convention when replacing values.</x:v>
      </x:c>
      <x:c r="F14" s="46" t="str">
        <x:v>Synthetic input pack. Preserve source definitions, units, period basis, and sign convention when replacing values.</x:v>
      </x:c>
      <x:c r="G14" s="47" t="str">
        <x:v>Synthetic input pack. Preserve source definitions, units, period basis, and sign convention when replacing values.</x:v>
      </x:c>
    </x:row>
    <x:row r="15">
      <x:c r="A15" s="48" t="str">
        <x:v>Synthetic input pack. Preserve source definitions, units, period basis, and sign convention when replacing values.</x:v>
      </x:c>
      <x:c r="B15" s="49" t="str">
        <x:v>Synthetic input pack. Preserve source definitions, units, period basis, and sign convention when replacing values.</x:v>
      </x:c>
      <x:c r="C15" s="49" t="str">
        <x:v>Synthetic input pack. Preserve source definitions, units, period basis, and sign convention when replacing values.</x:v>
      </x:c>
      <x:c r="D15" s="49" t="str">
        <x:v>Synthetic input pack. Preserve source definitions, units, period basis, and sign convention when replacing values.</x:v>
      </x:c>
      <x:c r="E15" s="49" t="str">
        <x:v>Synthetic input pack. Preserve source definitions, units, period basis, and sign convention when replacing values.</x:v>
      </x:c>
      <x:c r="F15" s="49" t="str">
        <x:v>Synthetic input pack. Preserve source definitions, units, period basis, and sign convention when replacing values.</x:v>
      </x:c>
      <x:c r="G15" s="50" t="str">
        <x:v>Synthetic input pack. Preserve source definitions, units, period basis, and sign convention when replacing values.</x:v>
      </x:c>
    </x:row>
    <x:row r="17">
      <x:c r="A17" s="53" t="str">
        <x:v>TDAT Model Library  |  Trust builds the brand. Insight builds the decision.</x:v>
      </x:c>
      <x:c r="B17" s="53" t="str">
        <x:v>TDAT Model Library  |  Trust builds the brand. Insight builds the decision.</x:v>
      </x:c>
      <x:c r="C17" s="53" t="str">
        <x:v>TDAT Model Library  |  Trust builds the brand. Insight builds the decision.</x:v>
      </x:c>
      <x:c r="D17" s="53" t="str">
        <x:v>TDAT Model Library  |  Trust builds the brand. Insight builds the decision.</x:v>
      </x:c>
      <x:c r="E17" s="53" t="str">
        <x:v>TDAT Model Library  |  Trust builds the brand. Insight builds the decision.</x:v>
      </x:c>
      <x:c r="F17" s="53" t="str">
        <x:v>TDAT Model Library  |  Trust builds the brand. Insight builds the decision.</x:v>
      </x:c>
      <x:c r="G17" s="53" t="str">
        <x:v>TDAT Model Library  |  Trust builds the brand. Insight builds the decision.</x:v>
      </x:c>
    </x:row>
  </x:sheetData>
  <x:mergeCells>
    <x:mergeCell ref="A1:G1"/>
    <x:mergeCell ref="A2:G2"/>
    <x:mergeCell ref="A13:G15"/>
    <x:mergeCell ref="A17:G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4" customHeight="1">
      <x:c r="A1" s="3" t="str">
        <x:v>FX EXPOSURE</x:v>
      </x:c>
      <x:c r="B1" s="3" t="str">
        <x:v>FX EXPOSURE</x:v>
      </x:c>
      <x:c r="C1" s="3" t="str">
        <x:v>FX EXPOSURE</x:v>
      </x:c>
      <x:c r="D1" s="3" t="str">
        <x:v>FX EXPOSURE</x:v>
      </x:c>
      <x:c r="E1" s="3" t="str">
        <x:v>FX EXPOSURE</x:v>
      </x:c>
      <x:c r="F1" s="3" t="str">
        <x:v>FX EXPOSURE</x:v>
      </x:c>
      <x:c r="G1" s="3" t="str">
        <x:v>FX EXPOSURE</x:v>
      </x:c>
    </x:row>
    <x:row r="2" ht="24" customHeight="1">
      <x:c r="A2" s="6" t="str">
        <x:v>FX Exposure &amp; Hedge  |  Formula-driven core mechanics</x:v>
      </x:c>
      <x:c r="B2" s="6" t="str">
        <x:v>FX Exposure &amp; Hedge  |  Formula-driven core mechanics</x:v>
      </x:c>
      <x:c r="C2" s="6" t="str">
        <x:v>FX Exposure &amp; Hedge  |  Formula-driven core mechanics</x:v>
      </x:c>
      <x:c r="D2" s="6" t="str">
        <x:v>FX Exposure &amp; Hedge  |  Formula-driven core mechanics</x:v>
      </x:c>
      <x:c r="E2" s="6" t="str">
        <x:v>FX Exposure &amp; Hedge  |  Formula-driven core mechanics</x:v>
      </x:c>
      <x:c r="F2" s="6" t="str">
        <x:v>FX Exposure &amp; Hedge  |  Formula-driven core mechanics</x:v>
      </x:c>
      <x:c r="G2" s="6" t="str">
        <x:v>FX Exposure &amp; Hedge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</x:row>
    <x:row r="5" ht="24" customHeight="1">
      <x:c r="A5" s="66" t="str">
        <x:v>Calculation / Period</x:v>
      </x:c>
      <x:c r="B5" s="67" t="str">
        <x:v>USD</x:v>
      </x:c>
      <x:c r="C5" s="67" t="str">
        <x:v>EUR</x:v>
      </x:c>
      <x:c r="D5" s="67" t="str">
        <x:v>JPY</x:v>
      </x:c>
      <x:c r="E5" s="67" t="str">
        <x:v>CNY</x:v>
      </x:c>
      <x:c r="F5" s="67" t="str">
        <x:v>GBP</x:v>
      </x:c>
      <x:c r="G5" s="68" t="str">
        <x:v>AUD</x:v>
      </x:c>
    </x:row>
    <x:row r="6">
      <x:c r="A6" s="123" t="str">
        <x:v>Net foreign-currency exposure</x:v>
      </x:c>
      <x:c r="B6" s="124" t="n">
        <x:f>'FX Inputs'!B$6-'FX Inputs'!B$7</x:f>
        <x:v>80</x:v>
      </x:c>
      <x:c r="C6" s="124" t="n">
        <x:f>'FX Inputs'!C$6-'FX Inputs'!C$7</x:f>
        <x:v>55</x:v>
      </x:c>
      <x:c r="D6" s="124" t="n">
        <x:f>'FX Inputs'!D$6-'FX Inputs'!D$7</x:f>
        <x:v>5400</x:v>
      </x:c>
      <x:c r="E6" s="124" t="n">
        <x:f>'FX Inputs'!E$6-'FX Inputs'!E$7</x:f>
        <x:v>270</x:v>
      </x:c>
      <x:c r="F6" s="124" t="n">
        <x:f>'FX Inputs'!F$6-'FX Inputs'!F$7</x:f>
        <x:v>35</x:v>
      </x:c>
      <x:c r="G6" s="124" t="n">
        <x:f>'FX Inputs'!G$6-'FX Inputs'!G$7</x:f>
        <x:v>45</x:v>
      </x:c>
    </x:row>
    <x:row r="7">
      <x:c r="A7" s="125" t="str">
        <x:v>Hedge coverage</x:v>
      </x:c>
      <x:c r="B7" s="126" t="n">
        <x:f>IF(ABS(B$6)=0,0,ABS('FX Inputs'!B$10)/ABS(B$6))</x:f>
        <x:v>0.7</x:v>
      </x:c>
      <x:c r="C7" s="126" t="n">
        <x:f>IF(ABS(C$6)=0,0,ABS('FX Inputs'!C$10)/ABS(C$6))</x:f>
        <x:v>0.7</x:v>
      </x:c>
      <x:c r="D7" s="126" t="n">
        <x:f>IF(ABS(D$6)=0,0,ABS('FX Inputs'!D$10)/ABS(D$6))</x:f>
        <x:v>0.7</x:v>
      </x:c>
      <x:c r="E7" s="126" t="n">
        <x:f>IF(ABS(E$6)=0,0,ABS('FX Inputs'!E$10)/ABS(E$6))</x:f>
        <x:v>0.7</x:v>
      </x:c>
      <x:c r="F7" s="126" t="n">
        <x:f>IF(ABS(F$6)=0,0,ABS('FX Inputs'!F$10)/ABS(F$6))</x:f>
        <x:v>0.7</x:v>
      </x:c>
      <x:c r="G7" s="126" t="n">
        <x:f>IF(ABS(G$6)=0,0,ABS('FX Inputs'!G$10)/ABS(G$6))</x:f>
        <x:v>0.7</x:v>
      </x:c>
    </x:row>
    <x:row r="8">
      <x:c r="A8" s="127" t="str">
        <x:v>Residual foreign-currency exposure</x:v>
      </x:c>
      <x:c r="B8" s="128" t="n">
        <x:f>B$6-'FX Inputs'!B$10</x:f>
        <x:v>24</x:v>
      </x:c>
      <x:c r="C8" s="128" t="n">
        <x:f>C$6-'FX Inputs'!C$10</x:f>
        <x:v>16.5</x:v>
      </x:c>
      <x:c r="D8" s="128" t="n">
        <x:f>D$6-'FX Inputs'!D$10</x:f>
        <x:v>1620</x:v>
      </x:c>
      <x:c r="E8" s="128" t="n">
        <x:f>E$6-'FX Inputs'!E$10</x:f>
        <x:v>81</x:v>
      </x:c>
      <x:c r="F8" s="128" t="n">
        <x:f>F$6-'FX Inputs'!F$10</x:f>
        <x:v>10.5</x:v>
      </x:c>
      <x:c r="G8" s="128" t="n">
        <x:f>G$6-'FX Inputs'!G$10</x:f>
        <x:v>13.5</x:v>
      </x:c>
    </x:row>
    <x:row r="9">
      <x:c r="A9" s="127" t="str">
        <x:v>Unhedged exposure in LCY</x:v>
      </x:c>
      <x:c r="B9" s="128" t="n">
        <x:f>B$6*'FX Inputs'!B$8</x:f>
        <x:v>80</x:v>
      </x:c>
      <x:c r="C9" s="128" t="n">
        <x:f>C$6*'FX Inputs'!C$8</x:f>
        <x:v>59.400000000000006</x:v>
      </x:c>
      <x:c r="D9" s="128" t="n">
        <x:f>D$6*'FX Inputs'!D$8</x:f>
        <x:v>36.72</x:v>
      </x:c>
      <x:c r="E9" s="128" t="n">
        <x:f>E$6*'FX Inputs'!E$8</x:f>
        <x:v>37.800000000000004</x:v>
      </x:c>
      <x:c r="F9" s="128" t="n">
        <x:f>F$6*'FX Inputs'!F$8</x:f>
        <x:v>44.1</x:v>
      </x:c>
      <x:c r="G9" s="128" t="n">
        <x:f>G$6*'FX Inputs'!G$8</x:f>
        <x:v>29.700000000000003</x:v>
      </x:c>
    </x:row>
    <x:row r="10">
      <x:c r="A10" s="127" t="str">
        <x:v>Hedged settlement in LCY</x:v>
      </x:c>
      <x:c r="B10" s="128" t="n">
        <x:f>'FX Inputs'!B$10*'FX Inputs'!B$9</x:f>
        <x:v>56.56</x:v>
      </x:c>
      <x:c r="C10" s="128" t="n">
        <x:f>'FX Inputs'!C$10*'FX Inputs'!C$9</x:f>
        <x:v>41.965</x:v>
      </x:c>
      <x:c r="D10" s="128" t="n">
        <x:f>'FX Inputs'!D$10*'FX Inputs'!D$9</x:f>
        <x:v>26.082</x:v>
      </x:c>
      <x:c r="E10" s="128" t="n">
        <x:f>'FX Inputs'!E$10*'FX Inputs'!E$9</x:f>
        <x:v>26.648999999999997</x:v>
      </x:c>
      <x:c r="F10" s="128" t="n">
        <x:f>'FX Inputs'!F$10*'FX Inputs'!F$9</x:f>
        <x:v>31.115000000000002</x:v>
      </x:c>
      <x:c r="G10" s="128" t="n">
        <x:f>'FX Inputs'!G$10*'FX Inputs'!G$9</x:f>
        <x:v>20.9475</x:v>
      </x:c>
    </x:row>
    <x:row r="11">
      <x:c r="A11" s="127" t="str">
        <x:v>Residual settlement in LCY</x:v>
      </x:c>
      <x:c r="B11" s="128" t="n">
        <x:f>B$8*'FX Inputs'!B$8*(1+'Assumptions'!$F$6)</x:f>
        <x:v>21.6</x:v>
      </x:c>
      <x:c r="C11" s="128" t="n">
        <x:f>C$8*'FX Inputs'!C$8*(1+'Assumptions'!$F$6)</x:f>
        <x:v>16.038</x:v>
      </x:c>
      <x:c r="D11" s="128" t="n">
        <x:f>D$8*'FX Inputs'!D$8*(1+'Assumptions'!$F$6)</x:f>
        <x:v>9.9144</x:v>
      </x:c>
      <x:c r="E11" s="128" t="n">
        <x:f>E$8*'FX Inputs'!E$8*(1+'Assumptions'!$F$6)</x:f>
        <x:v>10.206000000000001</x:v>
      </x:c>
      <x:c r="F11" s="128" t="n">
        <x:f>F$8*'FX Inputs'!F$8*(1+'Assumptions'!$F$6)</x:f>
        <x:v>11.907</x:v>
      </x:c>
      <x:c r="G11" s="128" t="n">
        <x:f>G$8*'FX Inputs'!G$8*(1+'Assumptions'!$F$6)</x:f>
        <x:v>8.019</x:v>
      </x:c>
    </x:row>
    <x:row r="12">
      <x:c r="A12" s="127" t="str">
        <x:v>Unhedged shock impact</x:v>
      </x:c>
      <x:c r="B12" s="128" t="n">
        <x:f>B$6*'FX Inputs'!B$8*'Assumptions'!$F$6</x:f>
        <x:v>-8</x:v>
      </x:c>
      <x:c r="C12" s="128" t="n">
        <x:f>C$6*'FX Inputs'!C$8*'Assumptions'!$F$6</x:f>
        <x:v>-5.940000000000001</x:v>
      </x:c>
      <x:c r="D12" s="128" t="n">
        <x:f>D$6*'FX Inputs'!D$8*'Assumptions'!$F$6</x:f>
        <x:v>-3.672</x:v>
      </x:c>
      <x:c r="E12" s="128" t="n">
        <x:f>E$6*'FX Inputs'!E$8*'Assumptions'!$F$6</x:f>
        <x:v>-3.7800000000000007</x:v>
      </x:c>
      <x:c r="F12" s="128" t="n">
        <x:f>F$6*'FX Inputs'!F$8*'Assumptions'!$F$6</x:f>
        <x:v>-4.41</x:v>
      </x:c>
      <x:c r="G12" s="128" t="n">
        <x:f>G$6*'FX Inputs'!G$8*'Assumptions'!$F$6</x:f>
        <x:v>-2.9700000000000006</x:v>
      </x:c>
    </x:row>
    <x:row r="13">
      <x:c r="A13" s="129" t="str">
        <x:v>Residual shock impact</x:v>
      </x:c>
      <x:c r="B13" s="130" t="n">
        <x:f>B$8*'FX Inputs'!B$8*'Assumptions'!$F$6</x:f>
        <x:v>-2.4000000000000004</x:v>
      </x:c>
      <x:c r="C13" s="130" t="n">
        <x:f>C$8*'FX Inputs'!C$8*'Assumptions'!$F$6</x:f>
        <x:v>-1.782</x:v>
      </x:c>
      <x:c r="D13" s="130" t="n">
        <x:f>D$8*'FX Inputs'!D$8*'Assumptions'!$F$6</x:f>
        <x:v>-1.1016000000000001</x:v>
      </x:c>
      <x:c r="E13" s="130" t="n">
        <x:f>E$8*'FX Inputs'!E$8*'Assumptions'!$F$6</x:f>
        <x:v>-1.1340000000000001</x:v>
      </x:c>
      <x:c r="F13" s="130" t="n">
        <x:f>F$8*'FX Inputs'!F$8*'Assumptions'!$F$6</x:f>
        <x:v>-1.3230000000000002</x:v>
      </x:c>
      <x:c r="G13" s="130" t="n">
        <x:f>G$8*'FX Inputs'!G$8*'Assumptions'!$F$6</x:f>
        <x:v>-0.891</x:v>
      </x:c>
    </x:row>
    <x:row r="14">
      <x:c r="A14" s="127" t="str">
        <x:v>Illustrative hedge cost</x:v>
      </x:c>
      <x:c r="B14" s="128" t="n">
        <x:f>ABS('FX Inputs'!B$10)*'FX Inputs'!B$8*'Assumptions'!$F$7</x:f>
        <x:v>0.28</x:v>
      </x:c>
      <x:c r="C14" s="128" t="n">
        <x:f>ABS('FX Inputs'!C$10)*'FX Inputs'!C$8*'Assumptions'!$F$7</x:f>
        <x:v>0.20790000000000003</x:v>
      </x:c>
      <x:c r="D14" s="128" t="n">
        <x:f>ABS('FX Inputs'!D$10)*'FX Inputs'!D$8*'Assumptions'!$F$7</x:f>
        <x:v>0.12852</x:v>
      </x:c>
      <x:c r="E14" s="128" t="n">
        <x:f>ABS('FX Inputs'!E$10)*'FX Inputs'!E$8*'Assumptions'!$F$7</x:f>
        <x:v>0.1323</x:v>
      </x:c>
      <x:c r="F14" s="128" t="n">
        <x:f>ABS('FX Inputs'!F$10)*'FX Inputs'!F$8*'Assumptions'!$F$7</x:f>
        <x:v>0.15435000000000001</x:v>
      </x:c>
      <x:c r="G14" s="128" t="n">
        <x:f>ABS('FX Inputs'!G$10)*'FX Inputs'!G$8*'Assumptions'!$F$7</x:f>
        <x:v>0.10395000000000001</x:v>
      </x:c>
    </x:row>
    <x:row r="15">
      <x:c r="A15" s="125" t="str">
        <x:v>Net protected impact after cost</x:v>
      </x:c>
      <x:c r="B15" s="131" t="n">
        <x:f>B$13-B$14</x:f>
        <x:v>-2.6800000000000006</x:v>
      </x:c>
      <x:c r="C15" s="131" t="n">
        <x:f>C$13-C$14</x:f>
        <x:v>-1.9899</x:v>
      </x:c>
      <x:c r="D15" s="131" t="n">
        <x:f>D$13-D$14</x:f>
        <x:v>-1.23012</x:v>
      </x:c>
      <x:c r="E15" s="131" t="n">
        <x:f>E$13-E$14</x:f>
        <x:v>-1.2663000000000002</x:v>
      </x:c>
      <x:c r="F15" s="131" t="n">
        <x:f>F$13-F$14</x:f>
        <x:v>-1.4773500000000002</x:v>
      </x:c>
      <x:c r="G15" s="131" t="n">
        <x:f>G$13-G$14</x:f>
        <x:v>-0.99495</x:v>
      </x:c>
    </x:row>
    <x:row r="16">
      <x:c r="A16" s="127" t="str">
        <x:v>Over-hedged notional</x:v>
      </x:c>
      <x:c r="B16" s="128" t="n">
        <x:f>MAX(0,ABS('FX Inputs'!B$10)-ABS(B$6))</x:f>
        <x:v>0</x:v>
      </x:c>
      <x:c r="C16" s="128" t="n">
        <x:f>MAX(0,ABS('FX Inputs'!C$10)-ABS(C$6))</x:f>
        <x:v>0</x:v>
      </x:c>
      <x:c r="D16" s="128" t="n">
        <x:f>MAX(0,ABS('FX Inputs'!D$10)-ABS(D$6))</x:f>
        <x:v>0</x:v>
      </x:c>
      <x:c r="E16" s="128" t="n">
        <x:f>MAX(0,ABS('FX Inputs'!E$10)-ABS(E$6))</x:f>
        <x:v>0</x:v>
      </x:c>
      <x:c r="F16" s="128" t="n">
        <x:f>MAX(0,ABS('FX Inputs'!F$10)-ABS(F$6))</x:f>
        <x:v>0</x:v>
      </x:c>
      <x:c r="G16" s="128" t="n">
        <x:f>MAX(0,ABS('FX Inputs'!G$10)-ABS(G$6))</x:f>
        <x:v>0</x:v>
      </x:c>
    </x:row>
    <x:row r="17">
      <x:c r="A17" s="132" t="str">
        <x:v>Coverage gap to target</x:v>
      </x:c>
      <x:c r="B17" s="133" t="n">
        <x:f>'Assumptions'!$F$8-B$7</x:f>
        <x:v>0</x:v>
      </x:c>
      <x:c r="C17" s="133" t="n">
        <x:f>'Assumptions'!$F$8-C$7</x:f>
        <x:v>0</x:v>
      </x:c>
      <x:c r="D17" s="133" t="n">
        <x:f>'Assumptions'!$F$8-D$7</x:f>
        <x:v>0</x:v>
      </x:c>
      <x:c r="E17" s="133" t="n">
        <x:f>'Assumptions'!$F$8-E$7</x:f>
        <x:v>0</x:v>
      </x:c>
      <x:c r="F17" s="133" t="n">
        <x:f>'Assumptions'!$F$8-F$7</x:f>
        <x:v>0</x:v>
      </x:c>
      <x:c r="G17" s="133" t="n">
        <x:f>'Assumptions'!$F$8-G$7</x:f>
        <x:v>0</x:v>
      </x:c>
    </x:row>
    <x:row r="19">
      <x:c r="A19" s="42" t="str">
        <x:v>Review row definitions, sign convention, period basis, scenario mechanics, and every breakpoint before relying on the output.</x:v>
      </x:c>
      <x:c r="B19" s="43" t="str">
        <x:v>Review row definitions, sign convention, period basis, scenario mechanics, and every breakpoint before relying on the output.</x:v>
      </x:c>
      <x:c r="C19" s="43" t="str">
        <x:v>Review row definitions, sign convention, period basis, scenario mechanics, and every breakpoint before relying on the output.</x:v>
      </x:c>
      <x:c r="D19" s="43" t="str">
        <x:v>Review row definitions, sign convention, period basis, scenario mechanics, and every breakpoint before relying on the output.</x:v>
      </x:c>
      <x:c r="E19" s="43" t="str">
        <x:v>Review row definitions, sign convention, period basis, scenario mechanics, and every breakpoint before relying on the output.</x:v>
      </x:c>
      <x:c r="F19" s="43" t="str">
        <x:v>Review row definitions, sign convention, period basis, scenario mechanics, and every breakpoint before relying on the output.</x:v>
      </x:c>
      <x:c r="G19" s="44" t="str">
        <x:v>Review row definitions, sign convention, period basis, scenario mechanics, and every breakpoint before relying on the output.</x:v>
      </x:c>
    </x:row>
    <x:row r="20">
      <x:c r="A20" s="45" t="str">
        <x:v>Review row definitions, sign convention, period basis, scenario mechanics, and every breakpoint before relying on the output.</x:v>
      </x:c>
      <x:c r="B20" s="46" t="str">
        <x:v>Review row definitions, sign convention, period basis, scenario mechanics, and every breakpoint before relying on the output.</x:v>
      </x:c>
      <x:c r="C20" s="46" t="str">
        <x:v>Review row definitions, sign convention, period basis, scenario mechanics, and every breakpoint before relying on the output.</x:v>
      </x:c>
      <x:c r="D20" s="46" t="str">
        <x:v>Review row definitions, sign convention, period basis, scenario mechanics, and every breakpoint before relying on the output.</x:v>
      </x:c>
      <x:c r="E20" s="46" t="str">
        <x:v>Review row definitions, sign convention, period basis, scenario mechanics, and every breakpoint before relying on the output.</x:v>
      </x:c>
      <x:c r="F20" s="46" t="str">
        <x:v>Review row definitions, sign convention, period basis, scenario mechanics, and every breakpoint before relying on the output.</x:v>
      </x:c>
      <x:c r="G20" s="47" t="str">
        <x:v>Review row definitions, sign convention, period basis, scenario mechanics, and every breakpoint before relying on the output.</x:v>
      </x:c>
    </x:row>
    <x:row r="21">
      <x:c r="A21" s="48" t="str">
        <x:v>Review row definitions, sign convention, period basis, scenario mechanics, and every breakpoint before relying on the output.</x:v>
      </x:c>
      <x:c r="B21" s="49" t="str">
        <x:v>Review row definitions, sign convention, period basis, scenario mechanics, and every breakpoint before relying on the output.</x:v>
      </x:c>
      <x:c r="C21" s="49" t="str">
        <x:v>Review row definitions, sign convention, period basis, scenario mechanics, and every breakpoint before relying on the output.</x:v>
      </x:c>
      <x:c r="D21" s="49" t="str">
        <x:v>Review row definitions, sign convention, period basis, scenario mechanics, and every breakpoint before relying on the output.</x:v>
      </x:c>
      <x:c r="E21" s="49" t="str">
        <x:v>Review row definitions, sign convention, period basis, scenario mechanics, and every breakpoint before relying on the output.</x:v>
      </x:c>
      <x:c r="F21" s="49" t="str">
        <x:v>Review row definitions, sign convention, period basis, scenario mechanics, and every breakpoint before relying on the output.</x:v>
      </x:c>
      <x:c r="G21" s="50" t="str">
        <x:v>Review row definitions, sign convention, period basis, scenario mechanics, and every breakpoint before relying on the output.</x:v>
      </x:c>
    </x:row>
    <x:row r="23">
      <x:c r="A23" s="53" t="str">
        <x:v>TDAT Model Library  |  Trust builds the brand. Insight builds the decision.</x:v>
      </x:c>
      <x:c r="B23" s="53" t="str">
        <x:v>TDAT Model Library  |  Trust builds the brand. Insight builds the decision.</x:v>
      </x:c>
      <x:c r="C23" s="53" t="str">
        <x:v>TDAT Model Library  |  Trust builds the brand. Insight builds the decision.</x:v>
      </x:c>
      <x:c r="D23" s="53" t="str">
        <x:v>TDAT Model Library  |  Trust builds the brand. Insight builds the decision.</x:v>
      </x:c>
      <x:c r="E23" s="53" t="str">
        <x:v>TDAT Model Library  |  Trust builds the brand. Insight builds the decision.</x:v>
      </x:c>
      <x:c r="F23" s="53" t="str">
        <x:v>TDAT Model Library  |  Trust builds the brand. Insight builds the decision.</x:v>
      </x:c>
      <x:c r="G23" s="53" t="str">
        <x:v>TDAT Model Library  |  Trust builds the brand. Insight builds the decision.</x:v>
      </x:c>
    </x:row>
  </x:sheetData>
  <x:mergeCells>
    <x:mergeCell ref="A1:G1"/>
    <x:mergeCell ref="A2:G2"/>
    <x:mergeCell ref="A19:G21"/>
    <x:mergeCell ref="A23:G2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FX Exposure &amp; Hedge  |  Formula-backed decision range</x:v>
      </x:c>
      <x:c r="B2" s="6" t="str">
        <x:v>FX Exposure &amp; Hedge  |  Formula-backed decision range</x:v>
      </x:c>
      <x:c r="C2" s="6" t="str">
        <x:v>FX Exposure &amp; Hedge  |  Formula-backed decision range</x:v>
      </x:c>
      <x:c r="D2" s="6" t="str">
        <x:v>FX Exposure &amp; Hedge  |  Formula-backed decision range</x:v>
      </x:c>
      <x:c r="E2" s="6" t="str">
        <x:v>FX Exposure &amp; Hedge  |  Formula-backed decision range</x:v>
      </x:c>
      <x:c r="F2" s="6" t="str">
        <x:v>FX Exposure &amp; Hedge  |  Formula-backed decision range</x:v>
      </x:c>
      <x:c r="G2" s="6" t="str">
        <x:v>FX Exposure &amp; Hedge  |  Formula-backed decision range</x:v>
      </x:c>
      <x:c r="H2" s="6" t="str">
        <x:v>FX Exposure &amp; Hedge  |  Formula-backed decision range</x:v>
      </x:c>
      <x:c r="I2" s="6" t="str">
        <x:v>FX Exposure &amp; Hedge  |  Formula-backed decision range</x:v>
      </x:c>
      <x:c r="J2" s="6" t="str">
        <x:v>FX Exposure &amp; Hedge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34" t="str">
        <x:v>Residual FX shock impact — Adverse spot shock by Hedge ratio</x:v>
      </x:c>
      <x:c r="B5" s="134" t="str">
        <x:v>Residual FX shock impact — Adverse spot shock by Hedge ratio</x:v>
      </x:c>
      <x:c r="C5" s="134" t="str">
        <x:v>Residual FX shock impact — Adverse spot shock by Hedge ratio</x:v>
      </x:c>
      <x:c r="D5" s="134" t="str">
        <x:v>Residual FX shock impact — Adverse spot shock by Hedge ratio</x:v>
      </x:c>
      <x:c r="E5" s="134" t="str">
        <x:v>Residual FX shock impact — Adverse spot shock by Hedge ratio</x:v>
      </x:c>
      <x:c r="F5" s="134" t="str">
        <x:v>Residual FX shock impact — Adverse spot shock by Hedge ratio</x:v>
      </x:c>
      <x:c r="G5" s="134" t="str">
        <x:v>Residual FX shock impact — Adverse spot shock by Hedge ratio</x:v>
      </x:c>
      <x:c r="H5" s="134" t="str">
        <x:v>Residual FX shock impact — Adverse spot shock by Hedge ratio</x:v>
      </x:c>
      <x:c r="I5" s="134" t="str">
        <x:v>Residual FX shock impact — Adverse spot shock by Hedge ratio</x:v>
      </x:c>
      <x:c r="J5" s="134" t="str">
        <x:v>Residual FX shock impact — Adverse spot shock by Hedge ratio</x:v>
      </x:c>
    </x:row>
    <x:row r="6">
      <x:c r="A6" t="str">
        <x:v>Adverse spot shock</x:v>
      </x:c>
      <x:c r="B6" t="str">
        <x:v>Hedge ratio</x:v>
      </x:c>
    </x:row>
    <x:row r="7">
      <x:c r="B7" s="71" t="n">
        <x:v>0.3</x:v>
      </x:c>
      <x:c r="C7" s="71" t="n">
        <x:v>0.5</x:v>
      </x:c>
      <x:c r="D7" s="71" t="n">
        <x:v>0.7</x:v>
      </x:c>
      <x:c r="E7" s="71" t="n">
        <x:v>0.9</x:v>
      </x:c>
      <x:c r="F7" s="71" t="n">
        <x:v>1</x:v>
      </x:c>
    </x:row>
    <x:row r="8">
      <x:c r="A8" s="71" t="n">
        <x:v>-0.2</x:v>
      </x:c>
      <x:c r="B8" s="136" t="n">
        <x:f>SUMPRODUCT('FX Exposure'!B6:G6,'FX Inputs'!B8:G8)*(1-B$7)*$A8</x:f>
        <x:v>-40.2808</x:v>
      </x:c>
      <x:c r="C8" s="136" t="n">
        <x:f>SUMPRODUCT('FX Exposure'!B6:G6,'FX Inputs'!B8:G8)*(1-C$7)*$A8</x:f>
        <x:v>-28.772000000000006</x:v>
      </x:c>
      <x:c r="D8" s="136" t="n">
        <x:f>SUMPRODUCT('FX Exposure'!B6:G6,'FX Inputs'!B8:G8)*(1-D$7)*$A8</x:f>
        <x:v>-17.263200000000005</x:v>
      </x:c>
      <x:c r="E8" s="136" t="n">
        <x:f>SUMPRODUCT('FX Exposure'!B6:G6,'FX Inputs'!B8:G8)*(1-E$7)*$A8</x:f>
        <x:v>-5.7543999999999995</x:v>
      </x:c>
      <x:c r="F8" s="136" t="n">
        <x:f>SUMPRODUCT('FX Exposure'!B6:G6,'FX Inputs'!B8:G8)*(1-F$7)*$A8</x:f>
        <x:v>0</x:v>
      </x:c>
    </x:row>
    <x:row r="9">
      <x:c r="A9" s="71" t="n">
        <x:v>-0.15</x:v>
      </x:c>
      <x:c r="B9" s="136" t="n">
        <x:f>SUMPRODUCT('FX Exposure'!B6:G6,'FX Inputs'!B8:G8)*(1-B$7)*$A9</x:f>
        <x:v>-30.2106</x:v>
      </x:c>
      <x:c r="C9" s="136" t="n">
        <x:f>SUMPRODUCT('FX Exposure'!B6:G6,'FX Inputs'!B8:G8)*(1-C$7)*$A9</x:f>
        <x:v>-21.579</x:v>
      </x:c>
      <x:c r="D9" s="136" t="n">
        <x:f>SUMPRODUCT('FX Exposure'!B6:G6,'FX Inputs'!B8:G8)*(1-D$7)*$A9</x:f>
        <x:v>-12.947400000000002</x:v>
      </x:c>
      <x:c r="E9" s="136" t="n">
        <x:f>SUMPRODUCT('FX Exposure'!B6:G6,'FX Inputs'!B8:G8)*(1-E$7)*$A9</x:f>
        <x:v>-4.315799999999999</x:v>
      </x:c>
      <x:c r="F9" s="136" t="n">
        <x:f>SUMPRODUCT('FX Exposure'!B6:G6,'FX Inputs'!B8:G8)*(1-F$7)*$A9</x:f>
        <x:v>0</x:v>
      </x:c>
    </x:row>
    <x:row r="10">
      <x:c r="A10" s="71" t="n">
        <x:v>-0.1</x:v>
      </x:c>
      <x:c r="B10" s="136" t="n">
        <x:f>SUMPRODUCT('FX Exposure'!B6:G6,'FX Inputs'!B8:G8)*(1-B$7)*$A10</x:f>
        <x:v>-20.1404</x:v>
      </x:c>
      <x:c r="C10" s="136" t="n">
        <x:f>SUMPRODUCT('FX Exposure'!B6:G6,'FX Inputs'!B8:G8)*(1-C$7)*$A10</x:f>
        <x:v>-14.386000000000003</x:v>
      </x:c>
      <x:c r="D10" s="136" t="n">
        <x:f>SUMPRODUCT('FX Exposure'!B6:G6,'FX Inputs'!B8:G8)*(1-D$7)*$A10</x:f>
        <x:v>-8.631600000000002</x:v>
      </x:c>
      <x:c r="E10" s="136" t="n">
        <x:f>SUMPRODUCT('FX Exposure'!B6:G6,'FX Inputs'!B8:G8)*(1-E$7)*$A10</x:f>
        <x:v>-2.8771999999999998</x:v>
      </x:c>
      <x:c r="F10" s="136" t="n">
        <x:f>SUMPRODUCT('FX Exposure'!B6:G6,'FX Inputs'!B8:G8)*(1-F$7)*$A10</x:f>
        <x:v>0</x:v>
      </x:c>
    </x:row>
    <x:row r="11">
      <x:c r="A11" s="71" t="n">
        <x:v>-0.05</x:v>
      </x:c>
      <x:c r="B11" s="136" t="n">
        <x:f>SUMPRODUCT('FX Exposure'!B6:G6,'FX Inputs'!B8:G8)*(1-B$7)*$A11</x:f>
        <x:v>-10.0702</x:v>
      </x:c>
      <x:c r="C11" s="136" t="n">
        <x:f>SUMPRODUCT('FX Exposure'!B6:G6,'FX Inputs'!B8:G8)*(1-C$7)*$A11</x:f>
        <x:v>-7.193000000000001</x:v>
      </x:c>
      <x:c r="D11" s="136" t="n">
        <x:f>SUMPRODUCT('FX Exposure'!B6:G6,'FX Inputs'!B8:G8)*(1-D$7)*$A11</x:f>
        <x:v>-4.315800000000001</x:v>
      </x:c>
      <x:c r="E11" s="136" t="n">
        <x:f>SUMPRODUCT('FX Exposure'!B6:G6,'FX Inputs'!B8:G8)*(1-E$7)*$A11</x:f>
        <x:v>-1.4385999999999999</x:v>
      </x:c>
      <x:c r="F11" s="136" t="n">
        <x:f>SUMPRODUCT('FX Exposure'!B6:G6,'FX Inputs'!B8:G8)*(1-F$7)*$A11</x:f>
        <x:v>0</x:v>
      </x:c>
    </x:row>
    <x:row r="12">
      <x:c r="A12" s="71" t="n">
        <x:v>0</x:v>
      </x:c>
      <x:c r="B12" s="136" t="n">
        <x:f>SUMPRODUCT('FX Exposure'!B6:G6,'FX Inputs'!B8:G8)*(1-B$7)*$A12</x:f>
        <x:v>0</x:v>
      </x:c>
      <x:c r="C12" s="136" t="n">
        <x:f>SUMPRODUCT('FX Exposure'!B6:G6,'FX Inputs'!B8:G8)*(1-C$7)*$A12</x:f>
        <x:v>0</x:v>
      </x:c>
      <x:c r="D12" s="136" t="n">
        <x:f>SUMPRODUCT('FX Exposure'!B6:G6,'FX Inputs'!B8:G8)*(1-D$7)*$A12</x:f>
        <x:v>0</x:v>
      </x:c>
      <x:c r="E12" s="136" t="n">
        <x:f>SUMPRODUCT('FX Exposure'!B6:G6,'FX Inputs'!B8:G8)*(1-E$7)*$A12</x:f>
        <x:v>0</x:v>
      </x:c>
      <x:c r="F12" s="136" t="n">
        <x:f>SUMPRODUCT('FX Exposure'!B6:G6,'FX Inputs'!B8:G8)*(1-F$7)*$A12</x:f>
        <x:v>0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46" t="str">
        <x:v>Base</x:v>
      </x:c>
      <x:c r="B18" s="147" t="str">
        <x:v>Most likely operating and finance assumptions.</x:v>
      </x:c>
      <x:c r="C18" s="147" t="str">
        <x:v>Base</x:v>
      </x:c>
      <x:c r="D18" s="148" t="str">
        <x:v>What must be true for the base case to hold?</x:v>
      </x:c>
    </x:row>
    <x:row r="19">
      <x:c r="A19" s="149" t="str">
        <x:v>Upside</x:v>
      </x:c>
      <x:c r="B19" s="150" t="str">
        <x:v>Stronger performance, faster conversion, or lower risk/cost.</x:v>
      </x:c>
      <x:c r="C19" s="150" t="str">
        <x:v>Upside</x:v>
      </x:c>
      <x:c r="D19" s="151" t="str">
        <x:v>Which actions unlock the upside?</x:v>
      </x:c>
    </x:row>
    <x:row r="20">
      <x:c r="A20" s="152" t="str">
        <x:v>Downside</x:v>
      </x:c>
      <x:c r="B20" s="153" t="str">
        <x:v>Slower activity, weaker conversion, or higher risk/cost.</x:v>
      </x:c>
      <x:c r="C20" s="153" t="str">
        <x:v>Downside</x:v>
      </x:c>
      <x:c r="D20" s="154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FX Exposure &amp; Hedge  |  Decision outputs, trend, breakpoints, and action prompts</x:v>
      </x:c>
      <x:c r="B2" s="6" t="str">
        <x:v>FX Exposure &amp; Hedge  |  Decision outputs, trend, breakpoints, and action prompts</x:v>
      </x:c>
      <x:c r="C2" s="6" t="str">
        <x:v>FX Exposure &amp; Hedge  |  Decision outputs, trend, breakpoints, and action prompts</x:v>
      </x:c>
      <x:c r="D2" s="6" t="str">
        <x:v>FX Exposure &amp; Hedge  |  Decision outputs, trend, breakpoints, and action prompts</x:v>
      </x:c>
      <x:c r="E2" s="6" t="str">
        <x:v>FX Exposure &amp; Hedge  |  Decision outputs, trend, breakpoints, and action prompts</x:v>
      </x:c>
      <x:c r="F2" s="6" t="str">
        <x:v>FX Exposure &amp; Hedge  |  Decision outputs, trend, breakpoints, and action prompts</x:v>
      </x:c>
      <x:c r="G2" s="6" t="str">
        <x:v>FX Exposure &amp; Hedge  |  Decision outputs, trend, breakpoints, and action prompts</x:v>
      </x:c>
      <x:c r="H2" s="6" t="str">
        <x:v>FX Exposure &amp; Hedge  |  Decision outputs, trend, breakpoints, and action prompts</x:v>
      </x:c>
      <x:c r="I2" s="6" t="str">
        <x:v>FX Exposure &amp; Hedge  |  Decision outputs, trend, breakpoints, and action prompts</x:v>
      </x:c>
      <x:c r="J2" s="6" t="str">
        <x:v>FX Exposure &amp; Hedge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56" t="str">
        <x:v>GROSS LCY EXPOSURE</x:v>
      </x:c>
      <x:c r="B5" s="156" t="str">
        <x:v>GROSS LCY EXPOSURE</x:v>
      </x:c>
      <x:c r="C5" s="156" t="str">
        <x:v>GROSS LCY EXPOSURE</x:v>
      </x:c>
      <x:c r="D5" s="156" t="str">
        <x:v>RESIDUAL SHOCK IMPACT</x:v>
      </x:c>
      <x:c r="E5" s="156" t="str">
        <x:v>RESIDUAL SHOCK IMPACT</x:v>
      </x:c>
      <x:c r="F5" s="156" t="str">
        <x:v>RESIDUAL SHOCK IMPACT</x:v>
      </x:c>
      <x:c r="G5" s="156" t="str">
        <x:v>NET PROTECTED IMPACT</x:v>
      </x:c>
      <x:c r="H5" s="156" t="str">
        <x:v>NET PROTECTED IMPACT</x:v>
      </x:c>
      <x:c r="I5" s="156" t="str">
        <x:v>NET PROTECTED IMPACT</x:v>
      </x:c>
      <x:c r="J5" s="170" t="str">
        <x:v>MODEL STATUS</x:v>
      </x:c>
    </x:row>
    <x:row r="6">
      <x:c r="A6" s="160" t="n">
        <x:f>SUM('FX Exposure'!B9:G9)</x:f>
        <x:v>287.72</x:v>
      </x:c>
      <x:c r="B6" s="160"/>
      <x:c r="C6" s="160"/>
      <x:c r="D6" s="164" t="n">
        <x:f>SUM('FX Exposure'!B13:G13)</x:f>
        <x:v>-8.631600000000002</x:v>
      </x:c>
      <x:c r="E6" s="164"/>
      <x:c r="F6" s="164"/>
      <x:c r="G6" s="160" t="n">
        <x:f>SUM('FX Exposure'!B15:G15)</x:f>
        <x:v>-9.63862</x:v>
      </x:c>
      <x:c r="H6" s="160"/>
      <x:c r="I6" s="160"/>
      <x:c r="J6" s="174" t="str">
        <x:f>'Checks'!$B$5</x:f>
        <x:v>PASS</x:v>
      </x:c>
    </x:row>
    <x:row r="7">
      <x:c r="A7" s="160"/>
      <x:c r="B7" s="160"/>
      <x:c r="C7" s="160"/>
      <x:c r="D7" s="164"/>
      <x:c r="E7" s="164"/>
      <x:c r="F7" s="164"/>
      <x:c r="G7" s="160"/>
      <x:c r="H7" s="160"/>
      <x:c r="I7" s="160"/>
      <x:c r="J7" s="174"/>
    </x:row>
    <x:row r="9">
      <x:c r="A9" s="156" t="str">
        <x:v>WEIGHTED HEDGE COVERAGE</x:v>
      </x:c>
      <x:c r="B9" s="156" t="str">
        <x:v>WEIGHTED HEDGE COVERAGE</x:v>
      </x:c>
      <x:c r="C9" s="156" t="str">
        <x:v>WEIGHTED HEDGE COVERAGE</x:v>
      </x:c>
      <x:c r="D9" s="156" t="str">
        <x:v>HEDGE COST</x:v>
      </x:c>
      <x:c r="E9" s="156" t="str">
        <x:v>HEDGE COST</x:v>
      </x:c>
      <x:c r="F9" s="156" t="str">
        <x:v>HEDGE COST</x:v>
      </x:c>
      <x:c r="G9" s="156" t="str">
        <x:v>OVER-HEDGED NOTIONAL</x:v>
      </x:c>
      <x:c r="H9" s="156" t="str">
        <x:v>OVER-HEDGED NOTIONAL</x:v>
      </x:c>
      <x:c r="I9" s="156" t="str">
        <x:v>OVER-HEDGED NOTIONAL</x:v>
      </x:c>
      <x:c r="J9" s="170" t="str">
        <x:v>SCENARIO</x:v>
      </x:c>
    </x:row>
    <x:row r="10">
      <x:c r="A10" s="168" t="n">
        <x:f>SUM('FX Exposure'!B10:G10)/SUM('FX Exposure'!B9:G9)</x:f>
        <x:v>0.7066540386486861</x:v>
      </x:c>
      <x:c r="B10" s="168"/>
      <x:c r="C10" s="168"/>
      <x:c r="D10" s="160" t="n">
        <x:f>SUM('FX Exposure'!B14:G14)</x:f>
        <x:v>1.00702</x:v>
      </x:c>
      <x:c r="E10" s="160"/>
      <x:c r="F10" s="160"/>
      <x:c r="G10" s="160" t="n">
        <x:f>SUM('FX Exposure'!B16:G16)</x:f>
        <x:v>0</x:v>
      </x:c>
      <x:c r="H10" s="160"/>
      <x:c r="I10" s="160"/>
      <x:c r="J10" s="177" t="str">
        <x:f>'Assumptions'!$B$3</x:f>
        <x:v>Base</x:v>
      </x:c>
    </x:row>
    <x:row r="11">
      <x:c r="A11" s="168"/>
      <x:c r="B11" s="168"/>
      <x:c r="C11" s="168"/>
      <x:c r="D11" s="160"/>
      <x:c r="E11" s="160"/>
      <x:c r="F11" s="160"/>
      <x:c r="G11" s="160"/>
      <x:c r="H11" s="160"/>
      <x:c r="I11" s="160"/>
      <x:c r="J11" s="177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Unhedged shock impact</x:v>
      </x:c>
      <x:c r="C15" s="68" t="str">
        <x:v>Residual shock impact</x:v>
      </x:c>
    </x:row>
    <x:row r="16">
      <x:c r="A16" t="str">
        <x:v>USD</x:v>
      </x:c>
      <x:c r="B16" s="179" t="n">
        <x:f>'FX Exposure'!B$12</x:f>
        <x:v>-8</x:v>
      </x:c>
      <x:c r="C16" s="179" t="n">
        <x:f>'FX Exposure'!B$13</x:f>
        <x:v>-2.4000000000000004</x:v>
      </x:c>
    </x:row>
    <x:row r="17">
      <x:c r="A17" t="str">
        <x:v>EUR</x:v>
      </x:c>
      <x:c r="B17" s="179" t="n">
        <x:f>'FX Exposure'!C$12</x:f>
        <x:v>-5.940000000000001</x:v>
      </x:c>
      <x:c r="C17" s="179" t="n">
        <x:f>'FX Exposure'!C$13</x:f>
        <x:v>-1.782</x:v>
      </x:c>
    </x:row>
    <x:row r="18">
      <x:c r="A18" t="str">
        <x:v>JPY</x:v>
      </x:c>
      <x:c r="B18" s="179" t="n">
        <x:f>'FX Exposure'!D$12</x:f>
        <x:v>-3.672</x:v>
      </x:c>
      <x:c r="C18" s="179" t="n">
        <x:f>'FX Exposure'!D$13</x:f>
        <x:v>-1.1016000000000001</x:v>
      </x:c>
    </x:row>
    <x:row r="19">
      <x:c r="A19" t="str">
        <x:v>CNY</x:v>
      </x:c>
      <x:c r="B19" s="179" t="n">
        <x:f>'FX Exposure'!E$12</x:f>
        <x:v>-3.7800000000000007</x:v>
      </x:c>
      <x:c r="C19" s="179" t="n">
        <x:f>'FX Exposure'!E$13</x:f>
        <x:v>-1.1340000000000001</x:v>
      </x:c>
    </x:row>
    <x:row r="20">
      <x:c r="A20" t="str">
        <x:v>GBP</x:v>
      </x:c>
      <x:c r="B20" s="179" t="n">
        <x:f>'FX Exposure'!F$12</x:f>
        <x:v>-4.41</x:v>
      </x:c>
      <x:c r="C20" s="179" t="n">
        <x:f>'FX Exposure'!F$13</x:f>
        <x:v>-1.3230000000000002</x:v>
      </x:c>
    </x:row>
    <x:row r="21">
      <x:c r="A21" t="str">
        <x:v>AUD</x:v>
      </x:c>
      <x:c r="B21" s="179" t="n">
        <x:f>'FX Exposure'!G$12</x:f>
        <x:v>-2.9700000000000006</x:v>
      </x:c>
      <x:c r="C21" s="179" t="n">
        <x:f>'FX Exposure'!G$13</x:f>
        <x:v>-0.891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Which currency exposures matter, how much is hedged, and what remains under rate shocks?</x:v>
      </x:c>
      <x:c r="C32" s="17" t="str"/>
      <x:c r="D32" s="17" t="str"/>
      <x:c r="E32" s="17" t="str"/>
      <x:c r="F32" s="17" t="str"/>
      <x:c r="G32" s="17" t="str"/>
      <x:c r="H32" s="181" t="str">
        <x:v>Decision owner</x:v>
      </x:c>
      <x:c r="I32" s="181" t="str"/>
      <x:c r="J32" s="181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81" t="str">
        <x:v>Finance / business owner</x:v>
      </x:c>
      <x:c r="I33" s="181" t="str"/>
      <x:c r="J33" s="181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81" t="str">
        <x:v>Finance leader</x:v>
      </x:c>
      <x:c r="I34" s="181" t="str"/>
      <x:c r="J34" s="181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81" t="str">
        <x:v>Model owner</x:v>
      </x:c>
      <x:c r="I35" s="181" t="str"/>
      <x:c r="J35" s="181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81" t="str">
        <x:v>Reviewer</x:v>
      </x:c>
      <x:c r="I36" s="181" t="str"/>
      <x:c r="J36" s="181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81" t="str">
        <x:v>Action owner</x:v>
      </x:c>
      <x:c r="I37" s="181" t="str"/>
      <x:c r="J37" s="181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ab7e21a521454651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FX Exposure &amp; Hedge  |  One assertion per row — investigate every FAIL</x:v>
      </x:c>
      <x:c r="B2" s="6" t="str">
        <x:v>FX Exposure &amp; Hedge  |  One assertion per row — investigate every FAIL</x:v>
      </x:c>
      <x:c r="C2" s="6" t="str">
        <x:v>FX Exposure &amp; Hedge  |  One assertion per row — investigate every FAIL</x:v>
      </x:c>
      <x:c r="D2" s="6" t="str">
        <x:v>FX Exposure &amp; Hedge  |  One assertion per row — investigate every FAIL</x:v>
      </x:c>
      <x:c r="E2" s="6" t="str">
        <x:v>FX Exposure &amp; Hedge  |  One assertion per row — investigate every FAIL</x:v>
      </x:c>
      <x:c r="F2" s="6" t="str">
        <x:v>FX Exposure &amp; Hedge  |  One assertion per row — investigate every FAIL</x:v>
      </x:c>
      <x:c r="G2" s="6" t="str">
        <x:v>FX Exposure &amp; Hedge  |  One assertion per row — investigate every FAIL</x:v>
      </x:c>
      <x:c r="H2" s="6" t="str">
        <x:v>FX Exposure &amp; Hedge  |  One assertion per row — investigate every FAIL</x:v>
      </x:c>
      <x:c r="I2" s="6" t="str">
        <x:v>FX Exposure &amp; Hedge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83" t="str">
        <x:f>IF(COUNTIF(G8:G17,"FAIL")=0,"PASS","FAIL")</x:f>
        <x:v>PASS</x:v>
      </x:c>
      <x:c r="C5" s="183"/>
      <x:c r="D5" s="185" t="str">
        <x:v>Published controls: 10. PASS means the listed calculations tie within tolerance; source and decision readiness remain separate.</x:v>
      </x:c>
      <x:c r="E5" s="185" t="str">
        <x:v>Published controls: 10. PASS means the listed calculations tie within tolerance; source and decision readiness remain separate.</x:v>
      </x:c>
      <x:c r="F5" s="185" t="str">
        <x:v>Published controls: 10. PASS means the listed calculations tie within tolerance; source and decision readiness remain separate.</x:v>
      </x:c>
      <x:c r="G5" s="185" t="str">
        <x:v>Published controls: 10. PASS means the listed calculations tie within tolerance; source and decision readiness remain separate.</x:v>
      </x:c>
      <x:c r="H5" s="185" t="str">
        <x:v>Published controls: 10. PASS means the listed calculations tie within tolerance; source and decision readiness remain separate.</x:v>
      </x:c>
      <x:c r="I5" s="185" t="str">
        <x:v>Published controls: 10.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194" t="str">
        <x:v>Hedge coverage stays within 0%–100%</x:v>
      </x:c>
      <x:c r="B8" s="194" t="str">
        <x:v>Model</x:v>
      </x:c>
      <x:c r="C8" s="195" t="n">
        <x:f>MAX(0,-MIN('FX Exposure'!B7:G7))+MAX(0,MAX('FX Exposure'!B7:G7)-1)</x:f>
        <x:v>0</x:v>
      </x:c>
      <x:c r="D8" s="195" t="n">
        <x:v>0</x:v>
      </x:c>
      <x:c r="E8" s="195" t="n">
        <x:f>C8-D8</x:f>
        <x:v>0</x:v>
      </x:c>
      <x:c r="F8" s="195" t="n">
        <x:v>0.0001</x:v>
      </x:c>
      <x:c r="G8" s="196" t="str">
        <x:f>IF(ABS(E8)&lt;=F8,"PASS","FAIL")</x:f>
        <x:v>PASS</x:v>
      </x:c>
      <x:c r="H8" s="197" t="str">
        <x:v>FX Exposure — coverage</x:v>
      </x:c>
      <x:c r="I8" s="197" t="str">
        <x:v>Over-hedges must be explicit rather than hidden in a coverage ratio.</x:v>
      </x:c>
    </x:row>
    <x:row r="9">
      <x:c r="A9" s="198" t="str">
        <x:v>No over-hedged notional</x:v>
      </x:c>
      <x:c r="B9" s="198" t="str">
        <x:v>Model</x:v>
      </x:c>
      <x:c r="C9" s="199" t="n">
        <x:f>SUM('FX Exposure'!B16:G16)</x:f>
        <x:v>0</x:v>
      </x:c>
      <x:c r="D9" s="199" t="n">
        <x:v>0</x:v>
      </x:c>
      <x:c r="E9" s="199" t="n">
        <x:f>C9-D9</x:f>
        <x:v>0</x:v>
      </x:c>
      <x:c r="F9" s="199" t="n">
        <x:v>0.01</x:v>
      </x:c>
      <x:c r="G9" s="200" t="str">
        <x:f>IF(ABS(E9)&lt;=F9,"PASS","FAIL")</x:f>
        <x:v>PASS</x:v>
      </x:c>
      <x:c r="H9" s="201" t="str">
        <x:v>FX Inputs — hedge notional</x:v>
      </x:c>
      <x:c r="I9" s="201" t="str">
        <x:v>Hedge notional is capped by absolute net exposure.</x:v>
      </x:c>
    </x:row>
    <x:row r="10">
      <x:c r="A10" s="198" t="str">
        <x:v>Spot and forward rates are positive</x:v>
      </x:c>
      <x:c r="B10" s="198" t="str">
        <x:v>Model</x:v>
      </x:c>
      <x:c r="C10" s="199" t="n">
        <x:f>MAX(0,0.0001-MIN('FX Inputs'!B8:G9))</x:f>
        <x:v>0</x:v>
      </x:c>
      <x:c r="D10" s="199" t="n">
        <x:v>0</x:v>
      </x:c>
      <x:c r="E10" s="199" t="n">
        <x:f>C10-D10</x:f>
        <x:v>0</x:v>
      </x:c>
      <x:c r="F10" s="199" t="n">
        <x:v>0.0001</x:v>
      </x:c>
      <x:c r="G10" s="200" t="str">
        <x:f>IF(ABS(E10)&lt;=F10,"PASS","FAIL")</x:f>
        <x:v>PASS</x:v>
      </x:c>
      <x:c r="H10" s="201" t="str">
        <x:v>FX Inputs — rates</x:v>
      </x:c>
      <x:c r="I10" s="201" t="str">
        <x:v>Currency conversion rates must be positive.</x:v>
      </x:c>
    </x:row>
    <x:row r="11">
      <x:c r="A11" s="198" t="str">
        <x:v>Synthetic hedge coverage matches Base target</x:v>
      </x:c>
      <x:c r="B11" s="198" t="str">
        <x:v>Model</x:v>
      </x:c>
      <x:c r="C11" s="202" t="n">
        <x:f>IF('Assumptions'!$B$3="Base",MAX(0,ABS(AVERAGE('FX Exposure'!B7:G7)-'Assumptions'!$F$8)),0)</x:f>
        <x:v>1.1102230246251565e-16</x:v>
      </x:c>
      <x:c r="D11" s="202" t="n">
        <x:v>0</x:v>
      </x:c>
      <x:c r="E11" s="202" t="n">
        <x:f>C11-D11</x:f>
        <x:v>1.1102230246251565e-16</x:v>
      </x:c>
      <x:c r="F11" s="202" t="n">
        <x:v>0.0001</x:v>
      </x:c>
      <x:c r="G11" s="200" t="str">
        <x:f>IF(ABS(E11)&lt;=F11,"PASS","FAIL")</x:f>
        <x:v>PASS</x:v>
      </x:c>
      <x:c r="H11" s="201" t="str">
        <x:v>FX Exposure — target coverage</x:v>
      </x:c>
      <x:c r="I11" s="201" t="str">
        <x:v>The worked-example hedge notionals align to the Base target; scenario targets remain decision inputs.</x:v>
      </x:c>
    </x:row>
    <x:row r="12">
      <x:c r="A12" s="198" t="str">
        <x:v>Scenario selector is valid</x:v>
      </x:c>
      <x:c r="B12" s="198" t="str">
        <x:v>Current</x:v>
      </x:c>
      <x:c r="C12" s="203" t="n">
        <x:f>COUNTIF('Assumptions'!$C$5:$E$5,'Assumptions'!$B$3)</x:f>
        <x:v>1</x:v>
      </x:c>
      <x:c r="D12" s="203" t="n">
        <x:v>1</x:v>
      </x:c>
      <x:c r="E12" s="203" t="n">
        <x:f>C12-D12</x:f>
        <x:v>0</x:v>
      </x:c>
      <x:c r="F12" s="203" t="n">
        <x:v>0</x:v>
      </x:c>
      <x:c r="G12" s="200" t="str">
        <x:f>IF(ABS(E12)&lt;=F12,"PASS","FAIL")</x:f>
        <x:v>PASS</x:v>
      </x:c>
      <x:c r="H12" s="201" t="str">
        <x:v>Assumptions B3</x:v>
      </x:c>
      <x:c r="I12" s="201" t="str">
        <x:v>Base, Upside, or Downside only.</x:v>
      </x:c>
    </x:row>
    <x:row r="13">
      <x:c r="A13" s="198" t="str">
        <x:v>Period headers are complete</x:v>
      </x:c>
      <x:c r="B13" s="198" t="str">
        <x:v>All periods</x:v>
      </x:c>
      <x:c r="C13" s="203" t="n">
        <x:f>COUNTA('FX Inputs'!B5:G5)</x:f>
        <x:v>6</x:v>
      </x:c>
      <x:c r="D13" s="203" t="n">
        <x:v>6</x:v>
      </x:c>
      <x:c r="E13" s="203" t="n">
        <x:f>C13-D13</x:f>
        <x:v>0</x:v>
      </x:c>
      <x:c r="F13" s="203" t="n">
        <x:v>0</x:v>
      </x:c>
      <x:c r="G13" s="200" t="str">
        <x:f>IF(ABS(E13)&lt;=F13,"PASS","FAIL")</x:f>
        <x:v>PASS</x:v>
      </x:c>
      <x:c r="H13" s="201" t="str">
        <x:v>FX Inputs row 5</x:v>
      </x:c>
      <x:c r="I13" s="201" t="str">
        <x:v>All modeled periods must have a visible header.</x:v>
      </x:c>
    </x:row>
    <x:row r="14">
      <x:c r="A14" s="198" t="str">
        <x:v>Source input grid is complete</x:v>
      </x:c>
      <x:c r="B14" s="198" t="str">
        <x:v>All periods</x:v>
      </x:c>
      <x:c r="C14" s="203" t="n">
        <x:f>COUNTA('FX Inputs'!B6:G11)</x:f>
        <x:v>36</x:v>
      </x:c>
      <x:c r="D14" s="203" t="n">
        <x:v>36</x:v>
      </x:c>
      <x:c r="E14" s="203" t="n">
        <x:f>C14-D14</x:f>
        <x:v>0</x:v>
      </x:c>
      <x:c r="F14" s="203" t="n">
        <x:v>0</x:v>
      </x:c>
      <x:c r="G14" s="200" t="str">
        <x:f>IF(ABS(E14)&lt;=F14,"PASS","FAIL")</x:f>
        <x:v>PASS</x:v>
      </x:c>
      <x:c r="H14" s="201" t="str">
        <x:v>FX Inputs</x:v>
      </x:c>
      <x:c r="I14" s="201" t="str">
        <x:v>Replace blanks with an approved value or an explicitly documented zero.</x:v>
      </x:c>
    </x:row>
    <x:row r="15">
      <x:c r="A15" s="198" t="str">
        <x:v>Selected assumptions are complete</x:v>
      </x:c>
      <x:c r="B15" s="198" t="str">
        <x:v>Current</x:v>
      </x:c>
      <x:c r="C15" s="203" t="n">
        <x:f>COUNT('Assumptions'!F6:F10)</x:f>
        <x:v>5</x:v>
      </x:c>
      <x:c r="D15" s="203" t="n">
        <x:v>5</x:v>
      </x:c>
      <x:c r="E15" s="203" t="n">
        <x:f>C15-D15</x:f>
        <x:v>0</x:v>
      </x:c>
      <x:c r="F15" s="203" t="n">
        <x:v>0</x:v>
      </x:c>
      <x:c r="G15" s="200" t="str">
        <x:f>IF(ABS(E15)&lt;=F15,"PASS","FAIL")</x:f>
        <x:v>PASS</x:v>
      </x:c>
      <x:c r="H15" s="201" t="str">
        <x:v>Assumptions column F</x:v>
      </x:c>
      <x:c r="I15" s="201" t="str">
        <x:v>Every scenario driver must resolve to a numeric selected value.</x:v>
      </x:c>
    </x:row>
    <x:row r="16">
      <x:c r="A16" s="198" t="str">
        <x:v>Core model cells calculate to numbers</x:v>
      </x:c>
      <x:c r="B16" s="198" t="str">
        <x:v>All periods</x:v>
      </x:c>
      <x:c r="C16" s="203" t="n">
        <x:f>COUNT('FX Exposure'!B6:G17)</x:f>
        <x:v>72</x:v>
      </x:c>
      <x:c r="D16" s="203" t="n">
        <x:v>72</x:v>
      </x:c>
      <x:c r="E16" s="203" t="n">
        <x:f>C16-D16</x:f>
        <x:v>0</x:v>
      </x:c>
      <x:c r="F16" s="203" t="n">
        <x:v>0</x:v>
      </x:c>
      <x:c r="G16" s="200" t="str">
        <x:f>IF(ABS(E16)&lt;=F16,"PASS","FAIL")</x:f>
        <x:v>PASS</x:v>
      </x:c>
      <x:c r="H16" s="201" t="str">
        <x:v>FX Exposure</x:v>
      </x:c>
      <x:c r="I16" s="201" t="str">
        <x:v>No blank or text output is permitted inside the calculation block.</x:v>
      </x:c>
    </x:row>
    <x:row r="17">
      <x:c r="A17" s="204" t="str">
        <x:v>Sensitivity base ties the headline output</x:v>
      </x:c>
      <x:c r="B17" s="204" t="str">
        <x:v>Base center</x:v>
      </x:c>
      <x:c r="C17" s="205" t="n">
        <x:f>IF('Assumptions'!$B$3="Base",'Sensitivity'!D10,SUM('FX Exposure'!B13:G13))</x:f>
        <x:v>-8.631600000000002</x:v>
      </x:c>
      <x:c r="D17" s="205" t="n">
        <x:f>SUM('FX Exposure'!B13:G13)</x:f>
        <x:v>-8.631600000000002</x:v>
      </x:c>
      <x:c r="E17" s="205" t="n">
        <x:f>C17-D17</x:f>
        <x:v>0</x:v>
      </x:c>
      <x:c r="F17" s="205" t="n">
        <x:v>0.1</x:v>
      </x:c>
      <x:c r="G17" s="206" t="str">
        <x:f>IF(ABS(E17)&lt;=F17,"PASS","FAIL")</x:f>
        <x:v>PASS</x:v>
      </x:c>
      <x:c r="H17" s="207" t="str">
        <x:v>Sensitivity / core model</x:v>
      </x:c>
      <x:c r="I17" s="207" t="str">
        <x:v>The center cell must recalculate the Base-case headline output; the assertion is N/A under Upside or Downside.</x:v>
      </x:c>
    </x:row>
    <x:row r="19">
      <x:c r="A19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19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19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0">
      <x:c r="A20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3">
      <x:c r="A23" s="53" t="str">
        <x:v>TDAT Model Library  |  Trust builds the brand. Insight builds the decision.</x:v>
      </x:c>
      <x:c r="B23" s="53" t="str">
        <x:v>TDAT Model Library  |  Trust builds the brand. Insight builds the decision.</x:v>
      </x:c>
      <x:c r="C23" s="53" t="str">
        <x:v>TDAT Model Library  |  Trust builds the brand. Insight builds the decision.</x:v>
      </x:c>
      <x:c r="D23" s="53" t="str">
        <x:v>TDAT Model Library  |  Trust builds the brand. Insight builds the decision.</x:v>
      </x:c>
      <x:c r="E23" s="53" t="str">
        <x:v>TDAT Model Library  |  Trust builds the brand. Insight builds the decision.</x:v>
      </x:c>
      <x:c r="F23" s="53" t="str">
        <x:v>TDAT Model Library  |  Trust builds the brand. Insight builds the decision.</x:v>
      </x:c>
      <x:c r="G23" s="53" t="str">
        <x:v>TDAT Model Library  |  Trust builds the brand. Insight builds the decision.</x:v>
      </x:c>
      <x:c r="H23" s="53" t="str">
        <x:v>TDAT Model Library  |  Trust builds the brand. Insight builds the decision.</x:v>
      </x:c>
      <x:c r="I23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19:I21"/>
    <x:mergeCell ref="A23:I23"/>
  </x:mergeCells>
  <x:conditionalFormatting sqref="G8:G17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FX Exposure &amp; Hedge  |  Assumption register, release facts, and distribution controls</x:v>
      </x:c>
      <x:c r="B2" s="6" t="str">
        <x:v>FX Exposure &amp; Hedge  |  Assumption register, release facts, and distribution controls</x:v>
      </x:c>
      <x:c r="C2" s="6" t="str">
        <x:v>FX Exposure &amp; Hedge  |  Assumption register, release facts, and distribution controls</x:v>
      </x:c>
      <x:c r="D2" s="6" t="str">
        <x:v>FX Exposure &amp; Hedge  |  Assumption register, release facts, and distribution controls</x:v>
      </x:c>
      <x:c r="E2" s="6" t="str">
        <x:v>FX Exposure &amp; Hedge  |  Assumption register, release facts, and distribution controls</x:v>
      </x:c>
      <x:c r="F2" s="6" t="str">
        <x:v>FX Exposure &amp; Hedge  |  Assumption register, release facts, and distribution controls</x:v>
      </x:c>
      <x:c r="G2" s="6" t="str">
        <x:v>FX Exposure &amp; Hedge  |  Assumption register, release facts, and distribution controls</x:v>
      </x:c>
      <x:c r="H2" s="6" t="str">
        <x:v>FX Exposure &amp; Hedge  |  Assumption register, release facts, and distribution controls</x:v>
      </x:c>
      <x:c r="I2" s="6" t="str">
        <x:v>FX Exposure &amp; Hedge  |  Assumption register, release facts, and distribution controls</x:v>
      </x:c>
      <x:c r="J2" s="6" t="str">
        <x:v>FX Exposure &amp; Hedge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46" t="str">
        <x:v>Worked example</x:v>
      </x:c>
      <x:c r="B7" s="147" t="str">
        <x:v>Synthetic case values</x:v>
      </x:c>
      <x:c r="C7" s="147" t="str">
        <x:v>Foreign-currency units / LCY millions</x:v>
      </x:c>
      <x:c r="D7" s="147" t="str">
        <x:v>2026-07-13</x:v>
      </x:c>
      <x:c r="E7" s="147" t="str">
        <x:v>Illustrative</x:v>
      </x:c>
      <x:c r="F7" s="147" t="str">
        <x:v>TDAT model build</x:v>
      </x:c>
      <x:c r="G7" s="147" t="str">
        <x:v>SYN-001</x:v>
      </x:c>
      <x:c r="H7" s="147" t="str">
        <x:v>Illustrative</x:v>
      </x:c>
      <x:c r="I7" s="148" t="str">
        <x:v>Replace before use.</x:v>
      </x:c>
    </x:row>
    <x:row r="8">
      <x:c r="A8" s="149" t="str">
        <x:v>Scenario drivers</x:v>
      </x:c>
      <x:c r="B8" s="150" t="str">
        <x:v>Base / Upside / Downside</x:v>
      </x:c>
      <x:c r="C8" s="150" t="str">
        <x:v>Mixed</x:v>
      </x:c>
      <x:c r="D8" s="150" t="str">
        <x:v>Model horizon</x:v>
      </x:c>
      <x:c r="E8" s="150" t="str">
        <x:v>Assumption</x:v>
      </x:c>
      <x:c r="F8" s="150" t="str">
        <x:v>User / finance owner</x:v>
      </x:c>
      <x:c r="G8" s="150" t="str">
        <x:v>ASM-001</x:v>
      </x:c>
      <x:c r="H8" s="150" t="str">
        <x:v>Open</x:v>
      </x:c>
      <x:c r="I8" s="151" t="str">
        <x:v>Confirm rationale and owner.</x:v>
      </x:c>
    </x:row>
    <x:row r="9">
      <x:c r="A9" s="152" t="str">
        <x:v>Method</x:v>
      </x:c>
      <x:c r="B9" s="153" t="str">
        <x:v>FX Exposure</x:v>
      </x:c>
      <x:c r="C9" s="153" t="str">
        <x:v>Method</x:v>
      </x:c>
      <x:c r="D9" s="153" t="str">
        <x:v>Version 1.0.0</x:v>
      </x:c>
      <x:c r="E9" s="153" t="str">
        <x:v>Model method</x:v>
      </x:c>
      <x:c r="F9" s="153" t="str">
        <x:v>Model Guide</x:v>
      </x:c>
      <x:c r="G9" s="153" t="str">
        <x:v>MTH-001</x:v>
      </x:c>
      <x:c r="H9" s="153" t="str">
        <x:v>Template</x:v>
      </x:c>
      <x:c r="I9" s="154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08" t="str">
        <x:v>Owner</x:v>
      </x:c>
      <x:c r="B12" s="147" t="str">
        <x:v>Truong Dinh Anh Tu</x:v>
      </x:c>
      <x:c r="C12" s="210" t="str">
        <x:v>Version</x:v>
      </x:c>
      <x:c r="D12" s="147" t="str">
        <x:v>1.0.0</x:v>
      </x:c>
      <x:c r="E12" s="210" t="str">
        <x:v>Standard</x:v>
      </x:c>
      <x:c r="F12" s="147" t="str">
        <x:v>TDAT Model Standard 1.0</x:v>
      </x:c>
      <x:c r="G12" s="210" t="str">
        <x:v>Last QA</x:v>
      </x:c>
      <x:c r="H12" s="147" t="str">
        <x:v>2026-07-13</x:v>
      </x:c>
      <x:c r="I12" s="210" t="str">
        <x:v>Status</x:v>
      </x:c>
      <x:c r="J12" s="148" t="str">
        <x:v>Available after release gates</x:v>
      </x:c>
    </x:row>
    <x:row r="13">
      <x:c r="A13" s="209" t="str">
        <x:v>Compatibility</x:v>
      </x:c>
      <x:c r="B13" s="153" t="str">
        <x:v>Excel 365</x:v>
      </x:c>
      <x:c r="C13" s="211" t="str">
        <x:v>Macros</x:v>
      </x:c>
      <x:c r="D13" s="153" t="str">
        <x:v>None</x:v>
      </x:c>
      <x:c r="E13" s="211" t="str">
        <x:v>External links</x:v>
      </x:c>
      <x:c r="F13" s="153" t="str">
        <x:v>None</x:v>
      </x:c>
      <x:c r="G13" s="211" t="str">
        <x:v>Circularity</x:v>
      </x:c>
      <x:c r="H13" s="153" t="str">
        <x:v>None</x:v>
      </x:c>
      <x:c r="I13" s="211" t="str">
        <x:v>Evidence</x:v>
      </x:c>
      <x:c r="J13" s="154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15" t="str">
        <x:v>1.0.0</x:v>
      </x:c>
      <x:c r="B17" s="216" t="str">
        <x:v>2026-07-13</x:v>
      </x:c>
      <x:c r="C17" s="216" t="str">
        <x:v>All</x:v>
      </x:c>
      <x:c r="D17" s="216" t="str">
        <x:v>Initial public reusable template</x:v>
      </x:c>
      <x:c r="E17" s="216" t="str">
        <x:v>New model release</x:v>
      </x:c>
      <x:c r="F17" s="216" t="str">
        <x:v>None</x:v>
      </x:c>
      <x:c r="G17" s="216" t="str">
        <x:v>Truong Dinh Anh Tu</x:v>
      </x:c>
      <x:c r="H17" s="216" t="str">
        <x:v>TDAT QA review</x:v>
      </x:c>
      <x:c r="I17" s="217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Illustrative economic-exposure template only; it is not hedge-accounting, tax, legal, trading, or investment advice. Validate currency direction, settlement terms, approved instruments, counterparty limits, accounting designation, policy, and execution with qualified reviewers.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