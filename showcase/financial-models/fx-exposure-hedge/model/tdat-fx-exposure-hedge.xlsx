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50501e708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ca528a085d14ef4"/>
    <x:sheet xmlns:r="http://schemas.openxmlformats.org/officeDocument/2006/relationships" name="Inputs" sheetId="2" r:id="R65572aa064e44b7d"/>
    <x:sheet xmlns:r="http://schemas.openxmlformats.org/officeDocument/2006/relationships" name="Model" sheetId="3" r:id="R57b67bf6c7214986"/>
    <x:sheet xmlns:r="http://schemas.openxmlformats.org/officeDocument/2006/relationships" name="Results" sheetId="4" r:id="R1a4d268e43f44322"/>
    <x:sheet xmlns:r="http://schemas.openxmlformats.org/officeDocument/2006/relationships" name="Checks" sheetId="5" r:id="R8c52498115fb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;[Red](0.00);-"/>
    <x:numFmt numFmtId="202" formatCode="0.0%;[Red](0.0%);-"/>
    <x:numFmt numFmtId="203" formatCode="#,##0.0;[Red](#,##0.0);-"/>
  </x:numFmts>
  <x:fonts count="13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008000"/>
      <x:name val="Carlito"/>
    </x:font>
    <x:font>
      <x:b/>
      <x:sz val="11"/>
      <x:color rgb="FFB5883A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30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bottom style="thin">
        <x:color rgb="FFB5883A"/>
      </x:bottom>
    </x:border>
    <x:border>
      <x:left style="thin">
        <x:color rgb="FFD7DBE0"/>
      </x:lef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horizontal="right" vertical="center"/>
    </x:xf>
    <x:xf numFmtId="201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right"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2" fillId="6" borderId="16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0" fontId="8" fillId="8" borderId="3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vertical="center"/>
    </x:xf>
    <x:xf numFmtId="0" fontId="8" fillId="8" borderId="4" xfId="0" applyNumberFormat="1" applyFont="1" applyFill="1" applyBorder="1" applyAlignment="1">
      <x:alignment vertical="center"/>
    </x:xf>
    <x:xf numFmtId="0" fontId="8" fillId="8" borderId="6" xfId="0" applyNumberFormat="1" applyFont="1" applyFill="1" applyBorder="1" applyAlignment="1">
      <x:alignment vertical="center"/>
    </x:xf>
    <x:xf numFmtId="203" fontId="8" fillId="8" borderId="1" xfId="0" applyNumberFormat="1" applyFont="1" applyFill="1" applyBorder="1" applyAlignment="1">
      <x:alignment vertical="center"/>
    </x:xf>
    <x:xf numFmtId="203" fontId="8" fillId="8" borderId="3" xfId="0" applyNumberFormat="1" applyFont="1" applyFill="1" applyBorder="1" applyAlignment="1">
      <x:alignment vertical="center"/>
    </x:xf>
    <x:xf numFmtId="203" fontId="8" fillId="8" borderId="20" xfId="0" applyNumberFormat="1" applyFont="1" applyFill="1" applyBorder="1" applyAlignment="1">
      <x:alignment vertical="center"/>
    </x:xf>
    <x:xf numFmtId="203" fontId="8" fillId="8" borderId="21" xfId="0" applyNumberFormat="1" applyFont="1" applyFill="1" applyBorder="1" applyAlignment="1">
      <x:alignment vertical="center"/>
    </x:xf>
    <x:xf numFmtId="203" fontId="8" fillId="8" borderId="4" xfId="0" applyNumberFormat="1" applyFont="1" applyFill="1" applyBorder="1" applyAlignment="1">
      <x:alignment vertical="center"/>
    </x:xf>
    <x:xf numFmtId="203" fontId="8" fillId="8" borderId="6" xfId="0" applyNumberFormat="1" applyFont="1" applyFill="1" applyBorder="1" applyAlignment="1">
      <x:alignment vertical="center"/>
    </x:xf>
    <x:xf numFmtId="203" fontId="8" fillId="8" borderId="1" xfId="0" applyNumberFormat="1" applyFont="1" applyFill="1" applyBorder="1" applyAlignment="1">
      <x:alignment horizontal="center" vertical="center"/>
    </x:xf>
    <x:xf numFmtId="203" fontId="8" fillId="8" borderId="3" xfId="0" applyNumberFormat="1" applyFont="1" applyFill="1" applyBorder="1" applyAlignment="1">
      <x:alignment horizontal="center" vertical="center"/>
    </x:xf>
    <x:xf numFmtId="203" fontId="8" fillId="8" borderId="20" xfId="0" applyNumberFormat="1" applyFont="1" applyFill="1" applyBorder="1" applyAlignment="1">
      <x:alignment horizontal="center" vertical="center"/>
    </x:xf>
    <x:xf numFmtId="203" fontId="8" fillId="8" borderId="21" xfId="0" applyNumberFormat="1" applyFont="1" applyFill="1" applyBorder="1" applyAlignment="1">
      <x:alignment horizontal="center" vertical="center"/>
    </x:xf>
    <x:xf numFmtId="203" fontId="8" fillId="8" borderId="4" xfId="0" applyNumberFormat="1" applyFont="1" applyFill="1" applyBorder="1" applyAlignment="1">
      <x:alignment horizontal="center" vertical="center"/>
    </x:xf>
    <x:xf numFmtId="203" fontId="8" fillId="8" borderId="6" xfId="0" applyNumberFormat="1" applyFont="1" applyFill="1" applyBorder="1" applyAlignment="1">
      <x:alignment horizontal="center" vertical="center"/>
    </x:xf>
    <x:xf numFmtId="0" fontId="2" fillId="6" borderId="16" xfId="0" applyNumberFormat="1" applyFont="1" applyFill="1" applyBorder="1" applyAlignment="1">
      <x:alignment horizontal="right"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horizontal="right"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horizontal="right"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202" fontId="3" fillId="5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horizontal="right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22" xfId="0" applyNumberFormat="1" applyFont="1" applyFill="1" applyBorder="1" applyAlignment="1">
      <x:alignment vertical="center"/>
    </x:xf>
    <x:xf numFmtId="0" fontId="8" fillId="5" borderId="23" xfId="0" applyNumberFormat="1" applyFont="1" applyFill="1" applyBorder="1" applyAlignment="1">
      <x:alignment vertical="center"/>
    </x:xf>
    <x:xf numFmtId="0" fontId="8" fillId="5" borderId="24" xfId="0" applyNumberFormat="1" applyFont="1" applyFill="1" applyBorder="1" applyAlignment="1">
      <x:alignment vertical="center"/>
    </x:xf>
    <x:xf numFmtId="0" fontId="8" fillId="5" borderId="25" xfId="0" applyNumberFormat="1" applyFont="1" applyFill="1" applyBorder="1" applyAlignment="1">
      <x:alignment vertical="center"/>
    </x:xf>
    <x:xf numFmtId="0" fontId="8" fillId="5" borderId="16" xfId="0" applyNumberFormat="1" applyFont="1" applyFill="1" applyBorder="1" applyAlignment="1">
      <x:alignment vertical="center"/>
    </x:xf>
    <x:xf numFmtId="0" fontId="8" fillId="5" borderId="26" xfId="0" applyNumberFormat="1" applyFont="1" applyFill="1" applyBorder="1" applyAlignment="1">
      <x:alignment vertical="center"/>
    </x:xf>
    <x:xf numFmtId="0" fontId="8" fillId="5" borderId="22" xfId="0" applyNumberFormat="1" applyFont="1" applyFill="1" applyBorder="1" applyAlignment="1">
      <x:alignment vertical="center" wrapText="1"/>
    </x:xf>
    <x:xf numFmtId="0" fontId="8" fillId="5" borderId="23" xfId="0" applyNumberFormat="1" applyFont="1" applyFill="1" applyBorder="1" applyAlignment="1">
      <x:alignment vertical="center" wrapText="1"/>
    </x:xf>
    <x:xf numFmtId="0" fontId="8" fillId="5" borderId="24" xfId="0" applyNumberFormat="1" applyFont="1" applyFill="1" applyBorder="1" applyAlignment="1">
      <x:alignment vertical="center" wrapText="1"/>
    </x:xf>
    <x:xf numFmtId="0" fontId="8" fillId="5" borderId="25" xfId="0" applyNumberFormat="1" applyFont="1" applyFill="1" applyBorder="1" applyAlignment="1">
      <x:alignment vertical="center" wrapText="1"/>
    </x:xf>
    <x:xf numFmtId="0" fontId="8" fillId="5" borderId="16" xfId="0" applyNumberFormat="1" applyFont="1" applyFill="1" applyBorder="1" applyAlignment="1">
      <x:alignment vertical="center" wrapText="1"/>
    </x:xf>
    <x:xf numFmtId="0" fontId="8" fillId="5" borderId="26" xfId="0" applyNumberFormat="1" applyFont="1" applyFill="1" applyBorder="1" applyAlignment="1">
      <x:alignment vertical="center" wrapText="1"/>
    </x:xf>
    <x:xf numFmtId="0" fontId="8" fillId="5" borderId="22" xfId="0" applyNumberFormat="1" applyFont="1" applyFill="1" applyBorder="1" applyAlignment="1">
      <x:alignment horizontal="center" vertical="center" wrapText="1"/>
    </x:xf>
    <x:xf numFmtId="0" fontId="8" fillId="5" borderId="23" xfId="0" applyNumberFormat="1" applyFont="1" applyFill="1" applyBorder="1" applyAlignment="1">
      <x:alignment horizontal="center" vertical="center" wrapText="1"/>
    </x:xf>
    <x:xf numFmtId="0" fontId="8" fillId="5" borderId="24" xfId="0" applyNumberFormat="1" applyFont="1" applyFill="1" applyBorder="1" applyAlignment="1">
      <x:alignment horizontal="center" vertical="center" wrapText="1"/>
    </x:xf>
    <x:xf numFmtId="0" fontId="8" fillId="5" borderId="25" xfId="0" applyNumberFormat="1" applyFont="1" applyFill="1" applyBorder="1" applyAlignment="1">
      <x:alignment horizontal="center" vertical="center" wrapText="1"/>
    </x:xf>
    <x:xf numFmtId="0" fontId="8" fillId="5" borderId="16" xfId="0" applyNumberFormat="1" applyFont="1" applyFill="1" applyBorder="1" applyAlignment="1">
      <x:alignment horizontal="center" vertical="center" wrapText="1"/>
    </x:xf>
    <x:xf numFmtId="0" fontId="8" fillId="5" borderId="26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27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vertical="center"/>
    </x:xf>
    <x:xf numFmtId="0" fontId="10" fillId="8" borderId="27" xfId="0" applyNumberFormat="1" applyFont="1" applyFill="1" applyBorder="1" applyAlignment="1">
      <x:alignment horizontal="center"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 wrapText="1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7" xfId="0" applyNumberFormat="1" applyFont="1" applyFill="1" applyBorder="1" applyAlignment="1">
      <x:alignment horizontal="center" vertical="center" wrapText="1"/>
    </x:xf>
    <x:xf numFmtId="0" fontId="11" fillId="9" borderId="28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7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1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8" fillId="5" borderId="27" xfId="0" applyNumberFormat="1" applyFont="1" applyFill="1" applyBorder="1" applyAlignment="1">
      <x:alignment vertical="center"/>
    </x:xf>
    <x:xf numFmtId="0" fontId="8" fillId="5" borderId="28" xfId="0" applyNumberFormat="1" applyFont="1" applyFill="1" applyBorder="1" applyAlignment="1">
      <x:alignment vertical="center"/>
    </x:xf>
    <x:xf numFmtId="0" fontId="8" fillId="5" borderId="27" xfId="0" applyNumberFormat="1" applyFont="1" applyFill="1" applyBorder="1" applyAlignment="1">
      <x:alignment horizontal="center" vertical="center"/>
    </x:xf>
    <x:xf numFmtId="0" fontId="8" fillId="5" borderId="28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dd8d866db4814" /><Relationship Type="http://schemas.openxmlformats.org/officeDocument/2006/relationships/theme" Target="/xl/theme/theme1.xml" Id="R21c1f13da8e04c9e" /><Relationship Type="http://schemas.openxmlformats.org/officeDocument/2006/relationships/sharedStrings" Target="/xl/sharedStrings.xml" Id="Re57d14593b3245f7" /><Relationship Type="http://schemas.openxmlformats.org/officeDocument/2006/relationships/worksheet" Target="/xl/worksheets/sheet1.xml" Id="R3ca528a085d14ef4" /><Relationship Type="http://schemas.openxmlformats.org/officeDocument/2006/relationships/worksheet" Target="/xl/worksheets/sheet2.xml" Id="R65572aa064e44b7d" /><Relationship Type="http://schemas.openxmlformats.org/officeDocument/2006/relationships/worksheet" Target="/xl/worksheets/sheet3.xml" Id="R57b67bf6c7214986" /><Relationship Type="http://schemas.openxmlformats.org/officeDocument/2006/relationships/worksheet" Target="/xl/worksheets/sheet4.xml" Id="R1a4d268e43f44322" /><Relationship Type="http://schemas.openxmlformats.org/officeDocument/2006/relationships/worksheet" Target="/xl/worksheets/sheet5.xml" Id="R8c52498115fb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TDAT-FM-TSY-003 · Five spot scenarios / one settlement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07" t="str">
        <x:v>FX Exposure &amp; Hedge</x:v>
      </x:c>
      <x:c r="B5" s="208"/>
      <x:c r="C5" s="208"/>
      <x:c r="D5" s="208"/>
      <x:c r="E5" s="208"/>
      <x:c r="F5" s="209"/>
      <x:c r="G5" s="60" t="str">
        <x:v>MODEL STATUS</x:v>
      </x:c>
      <x:c r="H5" s="60"/>
    </x:row>
    <x:row r="6" ht="20" customHeight="1">
      <x:c r="A6" s="210"/>
      <x:c r="B6" s="211"/>
      <x:c r="C6" s="211"/>
      <x:c r="D6" s="211"/>
      <x:c r="E6" s="211"/>
      <x:c r="F6" s="212"/>
      <x:c r="G6" s="220" t="str">
        <x:f>'Checks'!B4</x:f>
        <x:v>PASS</x:v>
      </x:c>
      <x:c r="H6" s="221"/>
    </x:row>
    <x:row r="7" ht="20" customHeight="1">
      <x:c r="A7" s="213"/>
      <x:c r="B7" s="214"/>
      <x:c r="C7" s="214"/>
      <x:c r="D7" s="214"/>
      <x:c r="E7" s="214"/>
      <x:c r="F7" s="215"/>
      <x:c r="G7" s="222"/>
      <x:c r="H7" s="223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59" t="str">
        <x:v>How much FX loss remains after one forward hedge?</x:v>
      </x:c>
      <x:c r="B10" s="160"/>
      <x:c r="C10" s="160"/>
      <x:c r="D10" s="160"/>
      <x:c r="E10" s="160"/>
      <x:c r="F10" s="160"/>
      <x:c r="G10" s="160"/>
      <x:c r="H10" s="161"/>
    </x:row>
    <x:row r="11" ht="20" customHeight="1">
      <x:c r="A11" s="162"/>
      <x:c r="B11" s="163"/>
      <x:c r="C11" s="163"/>
      <x:c r="D11" s="163"/>
      <x:c r="E11" s="163"/>
      <x:c r="F11" s="163"/>
      <x:c r="G11" s="163"/>
      <x:c r="H11" s="164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26" t="str">
        <x:v>1 · INPUTS</x:v>
      </x:c>
      <x:c r="B14" s="227"/>
      <x:c r="C14" s="226" t="str">
        <x:v>2 · MODEL</x:v>
      </x:c>
      <x:c r="D14" s="227"/>
      <x:c r="E14" s="226" t="str">
        <x:v>3 · RESULTS</x:v>
      </x:c>
      <x:c r="F14" s="227"/>
      <x:c r="G14" s="226" t="str">
        <x:v>4 · CHECKS</x:v>
      </x:c>
      <x:c r="H14" s="227"/>
    </x:row>
    <x:row r="15" ht="20" customHeight="1">
      <x:c r="A15" s="228" t="str">
        <x:v>Edit only blue cells</x:v>
      </x:c>
      <x:c r="B15" s="229"/>
      <x:c r="C15" s="228" t="str">
        <x:v>Trace schedules and formulas</x:v>
      </x:c>
      <x:c r="D15" s="229"/>
      <x:c r="E15" s="228" t="str">
        <x:v>Read the linked decision view</x:v>
      </x:c>
      <x:c r="F15" s="229"/>
      <x:c r="G15" s="228" t="str">
        <x:v>Resolve every FAIL</x:v>
      </x:c>
      <x:c r="H15" s="229"/>
    </x:row>
    <x:row r="16" ht="20" customHeight="1">
      <x:c r="A16" s="230"/>
      <x:c r="B16" s="231"/>
      <x:c r="C16" s="230"/>
      <x:c r="D16" s="231"/>
      <x:c r="E16" s="230"/>
      <x:c r="F16" s="231"/>
      <x:c r="G16" s="230"/>
      <x:c r="H16" s="231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38" t="str">
        <x:v>Forecast</x:v>
      </x:c>
      <x:c r="B19" s="138"/>
      <x:c r="C19" s="152" t="str">
        <x:v>Five spot scenarios / one settlement</x:v>
      </x:c>
      <x:c r="D19" s="152"/>
      <x:c r="E19" s="152"/>
      <x:c r="F19" s="152"/>
      <x:c r="G19" s="152"/>
      <x:c r="H19" s="152"/>
    </x:row>
    <x:row r="20" ht="20" customHeight="1">
      <x:c r="A20" s="138" t="str">
        <x:v>Editable inputs</x:v>
      </x:c>
      <x:c r="B20" s="138"/>
      <x:c r="C20" s="152" t="str">
        <x:v>6</x:v>
      </x:c>
      <x:c r="D20" s="152"/>
      <x:c r="E20" s="152"/>
      <x:c r="F20" s="152"/>
      <x:c r="G20" s="152"/>
      <x:c r="H20" s="152"/>
    </x:row>
    <x:row r="21" ht="20" customHeight="1">
      <x:c r="A21" s="138" t="str">
        <x:v>Visible sheets</x:v>
      </x:c>
      <x:c r="B21" s="138"/>
      <x:c r="C21" s="152" t="str">
        <x:v>5</x:v>
      </x:c>
      <x:c r="D21" s="152"/>
      <x:c r="E21" s="152"/>
      <x:c r="F21" s="152"/>
      <x:c r="G21" s="152"/>
      <x:c r="H21" s="152"/>
    </x:row>
    <x:row r="22" ht="20" customHeight="1">
      <x:c r="A22" s="138" t="str">
        <x:v>Setup</x:v>
      </x:c>
      <x:c r="B22" s="138"/>
      <x:c r="C22" s="152" t="str">
        <x:v>10–15 minutes</x:v>
      </x:c>
      <x:c r="D22" s="152"/>
      <x:c r="E22" s="152"/>
      <x:c r="F22" s="152"/>
      <x:c r="G22" s="152"/>
      <x:c r="H22" s="15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73" t="str">
        <x:v>Included: One net foreign-currency exposure · One forward hedge and five visible spot scenarios · Selected-case bridge plus loss and protection attribution</x:v>
      </x:c>
      <x:c r="B25" s="174"/>
      <x:c r="C25" s="174"/>
      <x:c r="D25" s="174"/>
      <x:c r="E25" s="174"/>
      <x:c r="F25" s="174"/>
      <x:c r="G25" s="174"/>
      <x:c r="H25" s="175"/>
    </x:row>
    <x:row r="26" ht="20" customHeight="1">
      <x:c r="A26" s="179"/>
      <x:c r="B26" s="180"/>
      <x:c r="C26" s="180"/>
      <x:c r="D26" s="180"/>
      <x:c r="E26" s="180"/>
      <x:c r="F26" s="180"/>
      <x:c r="G26" s="180"/>
      <x:c r="H26" s="181"/>
    </x:row>
    <x:row r="27" ht="20" customHeight="1">
      <x:c r="A27" s="238" t="str">
        <x:v>Scope boundary: Multiple currencies, maturity ladders, hedge accounting, options, and custom sensitivity grids.</x:v>
      </x:c>
      <x:c r="B27" s="239"/>
      <x:c r="C27" s="239"/>
      <x:c r="D27" s="239"/>
      <x:c r="E27" s="239"/>
      <x:c r="F27" s="239"/>
      <x:c r="G27" s="239"/>
      <x:c r="H27" s="240"/>
    </x:row>
    <x:row r="28" ht="20" customHeight="1">
      <x:c r="A28" s="241"/>
      <x:c r="B28" s="242"/>
      <x:c r="C28" s="242"/>
      <x:c r="D28" s="242"/>
      <x:c r="E28" s="242"/>
      <x:c r="F28" s="242"/>
      <x:c r="G28" s="242"/>
      <x:c r="H28" s="243"/>
    </x:row>
    <x:row r="29" ht="20" customHeight="1">
      <x:c r="A29" s="245" t="str">
        <x:v>Synthetic demonstration only · Tested 2026-08-17 · Excel 365 · Macro-free · No external links</x:v>
      </x:c>
      <x:c r="B29" s="245"/>
      <x:c r="C29" s="245"/>
      <x:c r="D29" s="245"/>
      <x:c r="E29" s="245"/>
      <x:c r="F29" s="245"/>
      <x:c r="G29" s="245"/>
      <x:c r="H29" s="24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FX Exposure &amp; Hedge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FX Exposure &amp; Hedge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Net foreign amount</x:v>
      </x:c>
      <x:c r="B10" s="39" t="n">
        <x:v>60000</x:v>
      </x:c>
      <x:c r="C10" s="3" t="str">
        <x:v>FC</x:v>
      </x:c>
      <x:c r="D10" s="37" t="str">
        <x:v>Positive = receivable; negative = payable</x:v>
      </x:c>
      <x:c r="E10" s="38"/>
      <x:c r="F10" s="38"/>
      <x:c r="G10" s="38"/>
      <x:c r="H10" s="38"/>
    </x:row>
    <x:row r="11" ht="20" customHeight="1">
      <x:c r="A11" s="3" t="str">
        <x:v>Spot rate</x:v>
      </x:c>
      <x:c r="B11" s="42" t="n">
        <x:v>1.08</x:v>
      </x:c>
      <x:c r="C11" s="3" t="str">
        <x:v>LCY / FC</x:v>
      </x:c>
      <x:c r="D11" s="37" t="str">
        <x:v>Current local-currency rate</x:v>
      </x:c>
      <x:c r="E11" s="38"/>
      <x:c r="F11" s="38"/>
      <x:c r="G11" s="38"/>
      <x:c r="H11" s="38"/>
    </x:row>
    <x:row r="12" ht="20" customHeight="1">
      <x:c r="A12" s="3" t="str">
        <x:v>Hedge coverage</x:v>
      </x:c>
      <x:c r="B12" s="45" t="n">
        <x:v>0.7</x:v>
      </x:c>
      <x:c r="C12" s="3" t="str">
        <x:v>%</x:v>
      </x:c>
      <x:c r="D12" s="37" t="str">
        <x:v>Share of the net exposure hedged</x:v>
      </x:c>
      <x:c r="E12" s="38"/>
      <x:c r="F12" s="38"/>
      <x:c r="G12" s="38"/>
      <x:c r="H12" s="38"/>
    </x:row>
    <x:row r="13" ht="20" customHeight="1">
      <x:c r="A13" s="3" t="str">
        <x:v>Forward rate</x:v>
      </x:c>
      <x:c r="B13" s="42" t="n">
        <x:v>1.09</x:v>
      </x:c>
      <x:c r="C13" s="3" t="str">
        <x:v>LCY / FC</x:v>
      </x:c>
      <x:c r="D13" s="37" t="str">
        <x:v>Agreed hedge settlement rate</x:v>
      </x:c>
      <x:c r="E13" s="38"/>
      <x:c r="F13" s="38"/>
      <x:c r="G13" s="38"/>
      <x:c r="H13" s="38"/>
    </x:row>
    <x:row r="14" ht="20" customHeight="1">
      <x:c r="A14" s="3" t="str">
        <x:v>Adverse spot change</x:v>
      </x:c>
      <x:c r="B14" s="45" t="n">
        <x:v>-0.1</x:v>
      </x:c>
      <x:c r="C14" s="3" t="str">
        <x:v>%</x:v>
      </x:c>
      <x:c r="D14" s="37" t="str">
        <x:v>Use a negative move for a receivable</x:v>
      </x:c>
      <x:c r="E14" s="38"/>
      <x:c r="F14" s="38"/>
      <x:c r="G14" s="38"/>
      <x:c r="H14" s="38"/>
    </x:row>
    <x:row r="15" ht="20" customHeight="1">
      <x:c r="A15" s="3" t="str">
        <x:v>Hedge fee</x:v>
      </x:c>
      <x:c r="B15" s="45" t="n">
        <x:v>0.005</x:v>
      </x:c>
      <x:c r="C15" s="3" t="str">
        <x:v>% hedged LCY</x:v>
      </x:c>
      <x:c r="D15" s="37" t="str">
        <x:v>Illustrative transaction cost</x:v>
      </x:c>
      <x:c r="E15" s="38"/>
      <x:c r="F15" s="38"/>
      <x:c r="G15" s="38"/>
      <x:c r="H15" s="38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4" t="str">
        <x:v>Synthetic example. Replace only the blue values, trace the calculation on Model, then review Results and Checks.</x:v>
      </x:c>
      <x:c r="B17" s="55"/>
      <x:c r="C17" s="55"/>
      <x:c r="D17" s="55"/>
      <x:c r="E17" s="55"/>
      <x:c r="F17" s="55"/>
      <x:c r="G17" s="55"/>
      <x:c r="H17" s="56"/>
    </x:row>
    <x:row r="18" ht="20" customHeight="1">
      <x:c r="A18" s="57"/>
      <x:c r="B18" s="58"/>
      <x:c r="C18" s="58"/>
      <x:c r="D18" s="58"/>
      <x:c r="E18" s="58"/>
      <x:c r="F18" s="58"/>
      <x:c r="G18" s="58"/>
      <x:c r="H18" s="59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0" t="str">
        <x:v>FX Exposure &amp; Hedge · 6 editable assumptions · v1.4.0</x:v>
      </x:c>
      <x:c r="B24" s="60"/>
      <x:c r="C24" s="60"/>
      <x:c r="D24" s="60"/>
      <x:c r="E24" s="60"/>
      <x:c r="F24" s="60"/>
      <x:c r="G24" s="60"/>
      <x:c r="H24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A17:H18"/>
    <x:mergeCell ref="A24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FX Exposure &amp; Hedge · Five-scenario one-settlement hedge test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86" t="str">
        <x:v>EXPOSURE VALUE</x:v>
      </x:c>
      <x:c r="B5" s="87"/>
      <x:c r="C5" s="86" t="str">
        <x:v>LOSS · NO HEDGE</x:v>
      </x:c>
      <x:c r="D5" s="87"/>
      <x:c r="E5" s="86" t="str">
        <x:v>LOSS · AFTER HEDGE</x:v>
      </x:c>
      <x:c r="F5" s="87"/>
      <x:c r="G5" s="86" t="str">
        <x:v>PROTECTION</x:v>
      </x:c>
      <x:c r="H5" s="87"/>
    </x:row>
    <x:row r="6" ht="20" customHeight="1">
      <x:c r="A6" s="101" t="n">
        <x:f>ABS(B12)</x:f>
        <x:v>64800.00000000001</x:v>
      </x:c>
      <x:c r="B6" s="102"/>
      <x:c r="C6" s="101" t="n">
        <x:f>MAX(0,-B15)</x:f>
        <x:v>6479.999999999999</x:v>
      </x:c>
      <x:c r="D6" s="102"/>
      <x:c r="E6" s="101" t="n">
        <x:f>MAX(0,-B18)</x:f>
        <x:v>1750.799999999999</x:v>
      </x:c>
      <x:c r="F6" s="102"/>
      <x:c r="G6" s="101" t="n">
        <x:f>MAX(0,B19)</x:f>
        <x:v>4729.2</x:v>
      </x:c>
      <x:c r="H6" s="102"/>
    </x:row>
    <x:row r="7" ht="20" customHeight="1">
      <x:c r="A7" s="103"/>
      <x:c r="B7" s="104"/>
      <x:c r="C7" s="103"/>
      <x:c r="D7" s="104"/>
      <x:c r="E7" s="103"/>
      <x:c r="F7" s="104"/>
      <x:c r="G7" s="103"/>
      <x:c r="H7" s="104"/>
    </x:row>
    <x:row r="8" ht="20" customHeight="1">
      <x:c r="A8" s="105"/>
      <x:c r="B8" s="106"/>
      <x:c r="C8" s="105"/>
      <x:c r="D8" s="106"/>
      <x:c r="E8" s="105"/>
      <x:c r="F8" s="106"/>
      <x:c r="G8" s="105"/>
      <x:c r="H8" s="106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2" t="str">
        <x:v>HEDGE BRIDGE</x:v>
      </x:c>
      <x:c r="B10" s="62"/>
      <x:c r="C10" s="62"/>
      <x:c r="D10" s="62"/>
      <x:c r="E10" s="62"/>
      <x:c r="F10" s="62"/>
      <x:c r="G10" s="62"/>
      <x:c r="H10" s="62"/>
    </x:row>
    <x:row r="11" ht="20" customHeight="1">
      <x:c r="A11" s="82" t="str">
        <x:v>Metric</x:v>
      </x:c>
      <x:c r="B11" s="82" t="str">
        <x:v>Value</x:v>
      </x:c>
      <x:c r="C11" s="82" t="str">
        <x:v>Unit</x:v>
      </x:c>
      <x:c r="D11" s="83" t="str">
        <x:v>Notes</x:v>
      </x:c>
      <x:c r="E11" s="82"/>
      <x:c r="F11" s="82"/>
      <x:c r="G11" s="82"/>
      <x:c r="H11" s="82"/>
    </x:row>
    <x:row r="12" ht="20" customHeight="1">
      <x:c r="A12" s="29" t="str">
        <x:v>Current exposure</x:v>
      </x:c>
      <x:c r="B12" s="67" t="n">
        <x:f>'Inputs'!$B$10*'Inputs'!$B$11</x:f>
        <x:v>64800.00000000001</x:v>
      </x:c>
      <x:c r="C12" s="29" t="str">
        <x:v>LCY</x:v>
      </x:c>
      <x:c r="D12" s="37" t="str">
        <x:v>Net foreign amount at today's spot</x:v>
      </x:c>
      <x:c r="E12" s="38"/>
      <x:c r="F12" s="38"/>
      <x:c r="G12" s="38"/>
      <x:c r="H12" s="38"/>
    </x:row>
    <x:row r="13" ht="20" customHeight="1">
      <x:c r="A13" s="29" t="str">
        <x:v>Hedge amount</x:v>
      </x:c>
      <x:c r="B13" s="67" t="n">
        <x:f>'Inputs'!$B$10*'Inputs'!$B$12</x:f>
        <x:v>42000</x:v>
      </x:c>
      <x:c r="C13" s="29" t="str">
        <x:v>FC</x:v>
      </x:c>
      <x:c r="D13" s="37" t="str">
        <x:v>Net exposure multiplied by coverage</x:v>
      </x:c>
      <x:c r="E13" s="38"/>
      <x:c r="F13" s="38"/>
      <x:c r="G13" s="38"/>
      <x:c r="H13" s="38"/>
    </x:row>
    <x:row r="14" ht="20" customHeight="1">
      <x:c r="A14" s="29" t="str">
        <x:v>Stressed spot</x:v>
      </x:c>
      <x:c r="B14" s="69" t="n">
        <x:f>'Inputs'!$B$11*(1+'Inputs'!$B$14)</x:f>
        <x:v>0.9720000000000001</x:v>
      </x:c>
      <x:c r="C14" s="29" t="str">
        <x:v>LCY / FC</x:v>
      </x:c>
      <x:c r="D14" s="37" t="str">
        <x:v>Spot after the selected adverse move</x:v>
      </x:c>
      <x:c r="E14" s="38"/>
      <x:c r="F14" s="38"/>
      <x:c r="G14" s="38"/>
      <x:c r="H14" s="38"/>
    </x:row>
    <x:row r="15" ht="20" customHeight="1">
      <x:c r="A15" s="29" t="str">
        <x:v>Impact without hedge</x:v>
      </x:c>
      <x:c r="B15" s="67" t="n">
        <x:f>'Inputs'!$B$10*(B14-'Inputs'!$B$11)</x:f>
        <x:v>-6479.999999999999</x:v>
      </x:c>
      <x:c r="C15" s="29" t="str">
        <x:v>LCY</x:v>
      </x:c>
      <x:c r="D15" s="37" t="str">
        <x:v>Change in exposure value</x:v>
      </x:c>
      <x:c r="E15" s="38"/>
      <x:c r="F15" s="38"/>
      <x:c r="G15" s="38"/>
      <x:c r="H15" s="38"/>
    </x:row>
    <x:row r="16" ht="20" customHeight="1">
      <x:c r="A16" s="29" t="str">
        <x:v>Forward hedge benefit</x:v>
      </x:c>
      <x:c r="B16" s="67" t="n">
        <x:f>B13*('Inputs'!$B$13-B14)</x:f>
        <x:v>4956</x:v>
      </x:c>
      <x:c r="C16" s="29" t="str">
        <x:v>LCY</x:v>
      </x:c>
      <x:c r="D16" s="37" t="str">
        <x:v>Forward value versus stressed spot</x:v>
      </x:c>
      <x:c r="E16" s="38"/>
      <x:c r="F16" s="38"/>
      <x:c r="G16" s="38"/>
      <x:c r="H16" s="38"/>
    </x:row>
    <x:row r="17" ht="20" customHeight="1">
      <x:c r="A17" s="29" t="str">
        <x:v>Hedge fee</x:v>
      </x:c>
      <x:c r="B17" s="67" t="n">
        <x:f>ABS(B13)*'Inputs'!$B$11*'Inputs'!$B$15</x:f>
        <x:v>226.8</x:v>
      </x:c>
      <x:c r="C17" s="29" t="str">
        <x:v>LCY</x:v>
      </x:c>
      <x:c r="D17" s="37" t="str">
        <x:v>Illustrative fee</x:v>
      </x:c>
      <x:c r="E17" s="38"/>
      <x:c r="F17" s="38"/>
      <x:c r="G17" s="38"/>
      <x:c r="H17" s="38"/>
    </x:row>
    <x:row r="18" ht="20" customHeight="1">
      <x:c r="A18" s="11" t="str">
        <x:v>Impact after hedge</x:v>
      </x:c>
      <x:c r="B18" s="71" t="n">
        <x:f>B15+B16-B17</x:f>
        <x:v>-1750.799999999999</x:v>
      </x:c>
      <x:c r="C18" s="11" t="str">
        <x:v>LCY</x:v>
      </x:c>
      <x:c r="D18" s="75" t="str">
        <x:v>Unhedged impact plus hedge benefit less fee</x:v>
      </x:c>
      <x:c r="E18" s="76"/>
      <x:c r="F18" s="76"/>
      <x:c r="G18" s="76"/>
      <x:c r="H18" s="76"/>
    </x:row>
    <x:row r="19" ht="20" customHeight="1">
      <x:c r="A19" s="11" t="str">
        <x:v>Protection value</x:v>
      </x:c>
      <x:c r="B19" s="71" t="n">
        <x:f>B18-B15</x:f>
        <x:v>4729.2</x:v>
      </x:c>
      <x:c r="C19" s="11" t="str">
        <x:v>LCY</x:v>
      </x:c>
      <x:c r="D19" s="75" t="str">
        <x:v>Improvement versus remaining unhedged</x:v>
      </x:c>
      <x:c r="E19" s="76"/>
      <x:c r="F19" s="76"/>
      <x:c r="G19" s="76"/>
      <x:c r="H19" s="76"/>
    </x:row>
    <x:row r="20" ht="20" customHeight="1">
      <x:c r="A20" s="29" t="str">
        <x:v>Residual foreign amount</x:v>
      </x:c>
      <x:c r="B20" s="67" t="n">
        <x:f>'Inputs'!$B$10-B13</x:f>
        <x:v>18000</x:v>
      </x:c>
      <x:c r="C20" s="29" t="str">
        <x:v>FC</x:v>
      </x:c>
      <x:c r="D20" s="37" t="str">
        <x:v>Exposure left after the hedge</x:v>
      </x:c>
      <x:c r="E20" s="38"/>
      <x:c r="F20" s="38"/>
      <x:c r="G20" s="38"/>
      <x:c r="H20" s="38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2" t="str">
        <x:v>FIVE-SPOT SCENARIO PATH</x:v>
      </x:c>
      <x:c r="B23" s="62"/>
      <x:c r="C23" s="62"/>
      <x:c r="D23" s="62"/>
      <x:c r="E23" s="62"/>
      <x:c r="F23" s="62"/>
      <x:c r="G23" s="62"/>
      <x:c r="H23" s="62"/>
    </x:row>
    <x:row r="24" ht="20" customHeight="1">
      <x:c r="A24" s="62" t="str">
        <x:v>Scenario</x:v>
      </x:c>
      <x:c r="B24" s="107" t="str">
        <x:v>Spot shock</x:v>
      </x:c>
      <x:c r="C24" s="107" t="str">
        <x:v>Stressed spot</x:v>
      </x:c>
      <x:c r="D24" s="107" t="str">
        <x:v>No-hedge impact</x:v>
      </x:c>
      <x:c r="E24" s="107" t="str">
        <x:v>Forward benefit</x:v>
      </x:c>
      <x:c r="F24" s="107" t="str">
        <x:v>Hedge fee</x:v>
      </x:c>
      <x:c r="G24" s="107" t="str">
        <x:v>After hedge</x:v>
      </x:c>
      <x:c r="H24" s="107" t="str">
        <x:v>Protection</x:v>
      </x:c>
    </x:row>
    <x:row r="25" ht="20" customHeight="1">
      <x:c r="A25" s="29" t="str">
        <x:v>Current spot</x:v>
      </x:c>
      <x:c r="B25" s="109" t="n">
        <x:f>0</x:f>
        <x:v>0</x:v>
      </x:c>
      <x:c r="C25" s="111" t="n">
        <x:f>'Inputs'!$B$11*(1+B25)</x:f>
        <x:v>1.08</x:v>
      </x:c>
      <x:c r="D25" s="113" t="n">
        <x:f>'Inputs'!$B$10*(C25-'Inputs'!$B$11)</x:f>
        <x:v>0</x:v>
      </x:c>
      <x:c r="E25" s="113" t="n">
        <x:f>'Inputs'!$B$10*'Inputs'!$B$12*('Inputs'!$B$13-C25)</x:f>
        <x:v>420.0000000000004</x:v>
      </x:c>
      <x:c r="F25" s="113" t="n">
        <x:f>ABS('Inputs'!$B$10*'Inputs'!$B$12)*'Inputs'!$B$11*'Inputs'!$B$15</x:f>
        <x:v>226.8</x:v>
      </x:c>
      <x:c r="G25" s="113" t="n">
        <x:f>D25+E25-F25</x:f>
        <x:v>193.2000000000004</x:v>
      </x:c>
      <x:c r="H25" s="113" t="n">
        <x:f>G25-D25</x:f>
        <x:v>193.2000000000004</x:v>
      </x:c>
    </x:row>
    <x:row r="26" ht="20" customHeight="1">
      <x:c r="A26" s="29" t="str">
        <x:v>Half selected shock</x:v>
      </x:c>
      <x:c r="B26" s="109" t="n">
        <x:f>'Inputs'!$B$14*0.5</x:f>
        <x:v>-0.05</x:v>
      </x:c>
      <x:c r="C26" s="111" t="n">
        <x:f>'Inputs'!$B$11*(1+B26)</x:f>
        <x:v>1.026</x:v>
      </x:c>
      <x:c r="D26" s="113" t="n">
        <x:f>'Inputs'!$B$10*(C26-'Inputs'!$B$11)</x:f>
        <x:v>-3240.0000000000027</x:v>
      </x:c>
      <x:c r="E26" s="113" t="n">
        <x:f>'Inputs'!$B$10*'Inputs'!$B$12*('Inputs'!$B$13-C26)</x:f>
        <x:v>2688.0000000000023</x:v>
      </x:c>
      <x:c r="F26" s="113" t="n">
        <x:f>ABS('Inputs'!$B$10*'Inputs'!$B$12)*'Inputs'!$B$11*'Inputs'!$B$15</x:f>
        <x:v>226.8</x:v>
      </x:c>
      <x:c r="G26" s="113" t="n">
        <x:f>D26+E26-F26</x:f>
        <x:v>-778.8000000000004</x:v>
      </x:c>
      <x:c r="H26" s="113" t="n">
        <x:f>G26-D26</x:f>
        <x:v>2461.2000000000025</x:v>
      </x:c>
    </x:row>
    <x:row r="27" ht="20" customHeight="1">
      <x:c r="A27" s="11" t="str">
        <x:v>Selected shock</x:v>
      </x:c>
      <x:c r="B27" s="117" t="n">
        <x:f>'Inputs'!$B$14*1</x:f>
        <x:v>-0.1</x:v>
      </x:c>
      <x:c r="C27" s="118" t="n">
        <x:f>'Inputs'!$B$11*(1+B27)</x:f>
        <x:v>0.9720000000000001</x:v>
      </x:c>
      <x:c r="D27" s="71" t="n">
        <x:f>'Inputs'!$B$10*(C27-'Inputs'!$B$11)</x:f>
        <x:v>-6479.999999999999</x:v>
      </x:c>
      <x:c r="E27" s="71" t="n">
        <x:f>'Inputs'!$B$10*'Inputs'!$B$12*('Inputs'!$B$13-C27)</x:f>
        <x:v>4956</x:v>
      </x:c>
      <x:c r="F27" s="71" t="n">
        <x:f>ABS('Inputs'!$B$10*'Inputs'!$B$12)*'Inputs'!$B$11*'Inputs'!$B$15</x:f>
        <x:v>226.8</x:v>
      </x:c>
      <x:c r="G27" s="71" t="n">
        <x:f>D27+E27-F27</x:f>
        <x:v>-1750.799999999999</x:v>
      </x:c>
      <x:c r="H27" s="71" t="n">
        <x:f>G27-D27</x:f>
        <x:v>4729.2</x:v>
      </x:c>
    </x:row>
    <x:row r="28" ht="20" customHeight="1">
      <x:c r="A28" s="29" t="str">
        <x:v>1.25× selected shock</x:v>
      </x:c>
      <x:c r="B28" s="109" t="n">
        <x:f>'Inputs'!$B$14*1.25</x:f>
        <x:v>-0.125</x:v>
      </x:c>
      <x:c r="C28" s="111" t="n">
        <x:f>'Inputs'!$B$11*(1+B28)</x:f>
        <x:v>0.9450000000000001</x:v>
      </x:c>
      <x:c r="D28" s="113" t="n">
        <x:f>'Inputs'!$B$10*(C28-'Inputs'!$B$11)</x:f>
        <x:v>-8100.000000000001</x:v>
      </x:c>
      <x:c r="E28" s="113" t="n">
        <x:f>'Inputs'!$B$10*'Inputs'!$B$12*('Inputs'!$B$13-C28)</x:f>
        <x:v>6090.000000000001</x:v>
      </x:c>
      <x:c r="F28" s="113" t="n">
        <x:f>ABS('Inputs'!$B$10*'Inputs'!$B$12)*'Inputs'!$B$11*'Inputs'!$B$15</x:f>
        <x:v>226.8</x:v>
      </x:c>
      <x:c r="G28" s="113" t="n">
        <x:f>D28+E28-F28</x:f>
        <x:v>-2236.8</x:v>
      </x:c>
      <x:c r="H28" s="113" t="n">
        <x:f>G28-D28</x:f>
        <x:v>5863.200000000001</x:v>
      </x:c>
    </x:row>
    <x:row r="29" ht="20" customHeight="1">
      <x:c r="A29" s="29" t="str">
        <x:v>1.50× selected shock</x:v>
      </x:c>
      <x:c r="B29" s="109" t="n">
        <x:f>'Inputs'!$B$14*1.5</x:f>
        <x:v>-0.15000000000000002</x:v>
      </x:c>
      <x:c r="C29" s="111" t="n">
        <x:f>'Inputs'!$B$11*(1+B29)</x:f>
        <x:v>0.918</x:v>
      </x:c>
      <x:c r="D29" s="113" t="n">
        <x:f>'Inputs'!$B$10*(C29-'Inputs'!$B$11)</x:f>
        <x:v>-9720.000000000002</x:v>
      </x:c>
      <x:c r="E29" s="113" t="n">
        <x:f>'Inputs'!$B$10*'Inputs'!$B$12*('Inputs'!$B$13-C29)</x:f>
        <x:v>7224.000000000002</x:v>
      </x:c>
      <x:c r="F29" s="113" t="n">
        <x:f>ABS('Inputs'!$B$10*'Inputs'!$B$12)*'Inputs'!$B$11*'Inputs'!$B$15</x:f>
        <x:v>226.8</x:v>
      </x:c>
      <x:c r="G29" s="113" t="n">
        <x:f>D29+E29-F29</x:f>
        <x:v>-2722.8</x:v>
      </x:c>
      <x:c r="H29" s="113" t="n">
        <x:f>G29-D29</x:f>
        <x:v>6997.200000000002</x:v>
      </x:c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</x:row>
    <x:row r="32" ht="20" customHeight="1">
      <x:c r="A32" s="132" t="str">
        <x:f>IF(B18&gt;=B15,"Hedge reduces this selected downside","Hedge does not reduce this selected move")</x:f>
        <x:v>Hedge reduces this selected downside</x:v>
      </x:c>
      <x:c r="B32" s="133"/>
      <x:c r="C32" s="133"/>
      <x:c r="D32" s="133"/>
      <x:c r="E32" s="133"/>
      <x:c r="F32" s="133"/>
      <x:c r="G32" s="133"/>
      <x:c r="H32" s="134"/>
    </x:row>
    <x:row r="33" ht="20" customHeight="1">
      <x:c r="A33" s="135"/>
      <x:c r="B33" s="136"/>
      <x:c r="C33" s="136"/>
      <x:c r="D33" s="136"/>
      <x:c r="E33" s="136"/>
      <x:c r="F33" s="136"/>
      <x:c r="G33" s="136"/>
      <x:c r="H33" s="137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60" t="str">
        <x:v>FX Exposure &amp; Hedge · Five visible spot cases · One-exposure economic scope</x:v>
      </x:c>
      <x:c r="B38" s="60"/>
      <x:c r="C38" s="60"/>
      <x:c r="D38" s="60"/>
      <x:c r="E38" s="60"/>
      <x:c r="F38" s="60"/>
      <x:c r="G38" s="60"/>
      <x:c r="H38" s="60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A5:B5"/>
    <x:mergeCell ref="A6:B8"/>
    <x:mergeCell ref="C5:D5"/>
    <x:mergeCell ref="C6:D8"/>
    <x:mergeCell ref="E5:F5"/>
    <x:mergeCell ref="E6:F8"/>
    <x:mergeCell ref="G5:H5"/>
    <x:mergeCell ref="G6:H8"/>
    <x:mergeCell ref="A23:H23"/>
    <x:mergeCell ref="A32:H33"/>
    <x:mergeCell ref="A38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FX Exposure &amp; Hedge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86" t="str">
        <x:v>EXPOSURE VALUE</x:v>
      </x:c>
      <x:c r="B5" s="87"/>
      <x:c r="C5" s="86" t="str">
        <x:v>LOSS · NO HEDGE</x:v>
      </x:c>
      <x:c r="D5" s="87"/>
      <x:c r="E5" s="86" t="str">
        <x:v>LOSS · AFTER HEDGE</x:v>
      </x:c>
      <x:c r="F5" s="87"/>
      <x:c r="G5" s="86" t="str">
        <x:v>PROTECTION</x:v>
      </x:c>
      <x:c r="H5" s="87"/>
    </x:row>
    <x:row r="6" ht="20" customHeight="1">
      <x:c r="A6" s="101" t="n">
        <x:f>'Model'!A6</x:f>
        <x:v>64800.00000000001</x:v>
      </x:c>
      <x:c r="B6" s="102"/>
      <x:c r="C6" s="101" t="n">
        <x:f>'Model'!C6</x:f>
        <x:v>6479.999999999999</x:v>
      </x:c>
      <x:c r="D6" s="102"/>
      <x:c r="E6" s="101" t="n">
        <x:f>'Model'!E6</x:f>
        <x:v>1750.799999999999</x:v>
      </x:c>
      <x:c r="F6" s="102"/>
      <x:c r="G6" s="101" t="n">
        <x:f>'Model'!G6</x:f>
        <x:v>4729.2</x:v>
      </x:c>
      <x:c r="H6" s="102"/>
    </x:row>
    <x:row r="7" ht="20" customHeight="1">
      <x:c r="A7" s="103"/>
      <x:c r="B7" s="104"/>
      <x:c r="C7" s="103"/>
      <x:c r="D7" s="104"/>
      <x:c r="E7" s="103"/>
      <x:c r="F7" s="104"/>
      <x:c r="G7" s="103"/>
      <x:c r="H7" s="104"/>
    </x:row>
    <x:row r="8" ht="20" customHeight="1">
      <x:c r="A8" s="105"/>
      <x:c r="B8" s="106"/>
      <x:c r="C8" s="105"/>
      <x:c r="D8" s="106"/>
      <x:c r="E8" s="105"/>
      <x:c r="F8" s="106"/>
      <x:c r="G8" s="105"/>
      <x:c r="H8" s="106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39" t="str">
        <x:v>CALCULATION STATUS</x:v>
      </x:c>
      <x:c r="B11" s="139"/>
      <x:c r="C11" s="143" t="str">
        <x:f>'Checks'!B4</x:f>
        <x:v>PASS</x:v>
      </x:c>
      <x:c r="D11" s="144"/>
      <x:c r="E11" s="139" t="str">
        <x:v>HEDGE OUTCOME</x:v>
      </x:c>
      <x:c r="F11" s="139"/>
      <x:c r="G11" s="150" t="str">
        <x:f>'Model'!A32</x:f>
        <x:v>Hedge reduces this selected downside</x:v>
      </x:c>
      <x:c r="H11" s="151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59" t="str">
        <x:v>How much FX loss remains after one forward hedge?</x:v>
      </x:c>
      <x:c r="B14" s="160"/>
      <x:c r="C14" s="160"/>
      <x:c r="D14" s="160"/>
      <x:c r="E14" s="160"/>
      <x:c r="F14" s="160"/>
      <x:c r="G14" s="160"/>
      <x:c r="H14" s="161"/>
    </x:row>
    <x:row r="15" ht="20" customHeight="1">
      <x:c r="A15" s="162"/>
      <x:c r="B15" s="163"/>
      <x:c r="C15" s="163"/>
      <x:c r="D15" s="163"/>
      <x:c r="E15" s="163"/>
      <x:c r="F15" s="163"/>
      <x:c r="G15" s="163"/>
      <x:c r="H15" s="164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38" t="str">
        <x:v>Forecast</x:v>
      </x:c>
      <x:c r="B18" s="138"/>
      <x:c r="C18" s="152" t="str">
        <x:v>Five spot scenarios / one settlement</x:v>
      </x:c>
      <x:c r="D18" s="152"/>
      <x:c r="E18" s="152"/>
      <x:c r="F18" s="152"/>
      <x:c r="G18" s="152"/>
      <x:c r="H18" s="152"/>
    </x:row>
    <x:row r="19" ht="20" customHeight="1">
      <x:c r="A19" s="138" t="str">
        <x:v>Editable inputs</x:v>
      </x:c>
      <x:c r="B19" s="138"/>
      <x:c r="C19" s="152" t="str">
        <x:v>6</x:v>
      </x:c>
      <x:c r="D19" s="152"/>
      <x:c r="E19" s="152"/>
      <x:c r="F19" s="152"/>
      <x:c r="G19" s="152"/>
      <x:c r="H19" s="152"/>
    </x:row>
    <x:row r="20" ht="20" customHeight="1">
      <x:c r="A20" s="138" t="str">
        <x:v>Calculation detail</x:v>
      </x:c>
      <x:c r="B20" s="138"/>
      <x:c r="C20" s="152" t="str">
        <x:v>Visible formulas, schedules, roll-forwards, and bridges</x:v>
      </x:c>
      <x:c r="D20" s="152"/>
      <x:c r="E20" s="152"/>
      <x:c r="F20" s="152"/>
      <x:c r="G20" s="152"/>
      <x:c r="H20" s="152"/>
    </x:row>
    <x:row r="21" ht="20" customHeight="1">
      <x:c r="A21" s="138" t="str">
        <x:v>Workbook flow</x:v>
      </x:c>
      <x:c r="B21" s="138"/>
      <x:c r="C21" s="152" t="str">
        <x:v>Start → Inputs → Model → Results → Checks</x:v>
      </x:c>
      <x:c r="D21" s="152"/>
      <x:c r="E21" s="152"/>
      <x:c r="F21" s="152"/>
      <x:c r="G21" s="152"/>
      <x:c r="H21" s="152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73" t="str">
        <x:v>Included: One net foreign-currency exposure · One forward hedge and five visible spot scenarios · Selected-case bridge plus loss and protection attribution</x:v>
      </x:c>
      <x:c r="B24" s="174"/>
      <x:c r="C24" s="174"/>
      <x:c r="D24" s="174"/>
      <x:c r="E24" s="174"/>
      <x:c r="F24" s="174"/>
      <x:c r="G24" s="174"/>
      <x:c r="H24" s="175"/>
    </x:row>
    <x:row r="25" ht="20" customHeight="1">
      <x:c r="A25" s="176"/>
      <x:c r="B25" s="177"/>
      <x:c r="C25" s="177"/>
      <x:c r="D25" s="177"/>
      <x:c r="E25" s="177"/>
      <x:c r="F25" s="177"/>
      <x:c r="G25" s="177"/>
      <x:c r="H25" s="178"/>
    </x:row>
    <x:row r="26" ht="20" customHeight="1">
      <x:c r="A26" s="179"/>
      <x:c r="B26" s="180"/>
      <x:c r="C26" s="180"/>
      <x:c r="D26" s="180"/>
      <x:c r="E26" s="180"/>
      <x:c r="F26" s="180"/>
      <x:c r="G26" s="180"/>
      <x:c r="H26" s="181"/>
    </x:row>
    <x:row r="27" ht="20" customHeight="1">
      <x:c r="A27" s="54" t="str">
        <x:v>Outside this model: Multiple currencies, maturity ladders, hedge accounting, options, and custom sensitivity grids.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185" t="str">
        <x:v>Five visible tabs · No hidden calculations · Calculation status and business outcome are reported separately.</x:v>
      </x:c>
      <x:c r="B29" s="186"/>
      <x:c r="C29" s="186"/>
      <x:c r="D29" s="186"/>
      <x:c r="E29" s="186"/>
      <x:c r="F29" s="186"/>
      <x:c r="G29" s="186"/>
      <x:c r="H29" s="18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FX Exposure &amp; Hedge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FX Exposure &amp; Hedge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188" t="str">
        <x:f>IF(COUNTIF(F9:F18,"PASS")=10,"PASS","FAIL")</x:f>
        <x:v>PASS</x:v>
      </x:c>
      <x:c r="C4" s="188"/>
      <x:c r="D4" s="188"/>
      <x:c r="E4" s="188"/>
      <x:c r="F4" s="188"/>
      <x:c r="G4" s="188"/>
      <x:c r="H4" s="188"/>
    </x:row>
    <x:row r="5" ht="20" customHeight="1">
      <x:c r="A5" s="60" t="str">
        <x:v>MODEL STATUS</x:v>
      </x:c>
      <x:c r="B5" s="60"/>
      <x:c r="C5" s="143" t="str">
        <x:f>B4</x:f>
        <x:v>PASS</x:v>
      </x:c>
      <x:c r="D5" s="190"/>
      <x:c r="E5" s="190"/>
      <x:c r="F5" s="190"/>
      <x:c r="G5" s="190"/>
      <x:c r="H5" s="14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77" t="str">
        <x:v>All editable inputs are numeric</x:v>
      </x:c>
      <x:c r="B9" s="193" t="n">
        <x:f>ROUND(COUNT('Inputs'!B10,'Inputs'!B11,'Inputs'!B12,'Inputs'!B13,'Inputs'!B14,'Inputs'!B15),6)</x:f>
        <x:v>6</x:v>
      </x:c>
      <x:c r="C9" s="193" t="n">
        <x:f>6</x:f>
        <x:v>6</x:v>
      </x:c>
      <x:c r="D9" s="193" t="n">
        <x:f>ROUND(B9-C9,6)</x:f>
        <x:v>0</x:v>
      </x:c>
      <x:c r="E9" s="193" t="n">
        <x:f>0</x:f>
        <x:v>0</x:v>
      </x:c>
      <x:c r="F9" s="194" t="str">
        <x:f>IF(ABS(ROUND(D9,6))&lt;=E9,"PASS","FAIL")</x:f>
        <x:v>PASS</x:v>
      </x:c>
      <x:c r="G9" s="177" t="str">
        <x:v>Complete the blue cells on Inputs</x:v>
      </x:c>
      <x:c r="H9" s="177"/>
    </x:row>
    <x:row r="10" ht="26" customHeight="1">
      <x:c r="A10" s="177" t="str">
        <x:v>Results headline KPIs reconcile to Model</x:v>
      </x:c>
      <x:c r="B10" s="196" t="n">
        <x:f>ROUND(IFERROR(SUM(ABS('Results'!A6-'Model'!A6),ABS('Results'!C6-'Model'!C6),ABS('Results'!E6-'Model'!E6),ABS('Results'!G6-'Model'!G6)),1E+99),6)</x:f>
        <x:v>0</x:v>
      </x:c>
      <x:c r="C10" s="196" t="n">
        <x:f>0</x:f>
        <x:v>0</x:v>
      </x:c>
      <x:c r="D10" s="196" t="n">
        <x:f>ROUND(B10-C10,6)</x:f>
        <x:v>0</x:v>
      </x:c>
      <x:c r="E10" s="196" t="n">
        <x:f>0.0001</x:f>
        <x:v>0.0001</x:v>
      </x:c>
      <x:c r="F10" s="194" t="str">
        <x:f>IF(ABS(ROUND(D10,6))&lt;=E10,"PASS","FAIL")</x:f>
        <x:v>PASS</x:v>
      </x:c>
      <x:c r="G10" s="177" t="str">
        <x:v>Review Results-to-Model links</x:v>
      </x:c>
      <x:c r="H10" s="177"/>
    </x:row>
    <x:row r="11" ht="26" customHeight="1">
      <x:c r="A11" s="177" t="str">
        <x:v>Hedge inputs are valid</x:v>
      </x:c>
      <x:c r="B11" s="196" t="n">
        <x:f>ROUND(IF(AND('Inputs'!$B$11&gt;0,'Inputs'!$B$13&gt;0,'Inputs'!$B$12&gt;=0,'Inputs'!$B$12&lt;=1,'Inputs'!$B$14&gt;-1,'Inputs'!$B$15&gt;=0),1,0),6)</x:f>
        <x:v>1</x:v>
      </x:c>
      <x:c r="C11" s="196" t="n">
        <x:f>1</x:f>
        <x:v>1</x:v>
      </x:c>
      <x:c r="D11" s="196" t="n">
        <x:f>ROUND(B11-C11,6)</x:f>
        <x:v>0</x:v>
      </x:c>
      <x:c r="E11" s="196" t="n">
        <x:f>0.0001</x:f>
        <x:v>0.0001</x:v>
      </x:c>
      <x:c r="F11" s="194" t="str">
        <x:f>IF(ABS(ROUND(D11,6))&lt;=E11,"PASS","FAIL")</x:f>
        <x:v>PASS</x:v>
      </x:c>
      <x:c r="G11" s="177" t="str">
        <x:v>Inputs: rates and percentages</x:v>
      </x:c>
      <x:c r="H11" s="177"/>
    </x:row>
    <x:row r="12" ht="26" customHeight="1">
      <x:c r="A12" s="177" t="str">
        <x:v>Hedge does not exceed the exposure</x:v>
      </x:c>
      <x:c r="B12" s="196" t="n">
        <x:f>ROUND(IF(ABS('Model'!B13)&lt;=ABS('Inputs'!$B$10)+0.0001,1,0),6)</x:f>
        <x:v>1</x:v>
      </x:c>
      <x:c r="C12" s="196" t="n">
        <x:f>1</x:f>
        <x:v>1</x:v>
      </x:c>
      <x:c r="D12" s="196" t="n">
        <x:f>ROUND(B12-C12,6)</x:f>
        <x:v>0</x:v>
      </x:c>
      <x:c r="E12" s="196" t="n">
        <x:f>0.0001</x:f>
        <x:v>0.0001</x:v>
      </x:c>
      <x:c r="F12" s="194" t="str">
        <x:f>IF(ABS(ROUND(D12,6))&lt;=E12,"PASS","FAIL")</x:f>
        <x:v>PASS</x:v>
      </x:c>
      <x:c r="G12" s="177" t="str">
        <x:v>Inputs: hedge coverage</x:v>
      </x:c>
      <x:c r="H12" s="177"/>
    </x:row>
    <x:row r="13" ht="26" customHeight="1">
      <x:c r="A13" s="177" t="str">
        <x:v>Hedge impact bridge ties</x:v>
      </x:c>
      <x:c r="B13" s="198" t="n">
        <x:f>ROUND('Model'!B18-'Model'!B15-'Model'!B16+'Model'!B17,6)</x:f>
        <x:v>0</x:v>
      </x:c>
      <x:c r="C13" s="198" t="n">
        <x:f>0</x:f>
        <x:v>0</x:v>
      </x:c>
      <x:c r="D13" s="198" t="n">
        <x:f>ROUND(B13-C13,6)</x:f>
        <x:v>0</x:v>
      </x:c>
      <x:c r="E13" s="198" t="n">
        <x:f>0.0001</x:f>
        <x:v>0.0001</x:v>
      </x:c>
      <x:c r="F13" s="194" t="str">
        <x:f>IF(ABS(ROUND(D13,6))&lt;=E13,"PASS","FAIL")</x:f>
        <x:v>PASS</x:v>
      </x:c>
      <x:c r="G13" s="177" t="str">
        <x:v>Model: hedge bridge</x:v>
      </x:c>
      <x:c r="H13" s="177"/>
    </x:row>
    <x:row r="14" ht="26" customHeight="1">
      <x:c r="A14" s="177" t="str">
        <x:v>Selected stressed spot traces to the shock</x:v>
      </x:c>
      <x:c r="B14" s="198" t="n">
        <x:f>ROUND(ABS('Model'!B14-'Inputs'!$B$11*(1+'Inputs'!$B$14))+MAX(0,-'Model'!B14),6)</x:f>
        <x:v>0</x:v>
      </x:c>
      <x:c r="C14" s="198" t="n">
        <x:f>0</x:f>
        <x:v>0</x:v>
      </x:c>
      <x:c r="D14" s="198" t="n">
        <x:f>ROUND(B14-C14,6)</x:f>
        <x:v>0</x:v>
      </x:c>
      <x:c r="E14" s="198" t="n">
        <x:f>0.0001</x:f>
        <x:v>0.0001</x:v>
      </x:c>
      <x:c r="F14" s="194" t="str">
        <x:f>IF(ABS(ROUND(D14,6))&lt;=E14,"PASS","FAIL")</x:f>
        <x:v>PASS</x:v>
      </x:c>
      <x:c r="G14" s="177" t="str">
        <x:v>Model: selected spot scenario</x:v>
      </x:c>
      <x:c r="H14" s="177"/>
    </x:row>
    <x:row r="15" ht="26" customHeight="1">
      <x:c r="A15" s="177" t="str">
        <x:v>Hedge amount traces to coverage</x:v>
      </x:c>
      <x:c r="B15" s="198" t="n">
        <x:f>ROUND('Model'!B13-'Inputs'!$B$10*'Inputs'!$B$12,6)</x:f>
        <x:v>0</x:v>
      </x:c>
      <x:c r="C15" s="198" t="n">
        <x:f>0</x:f>
        <x:v>0</x:v>
      </x:c>
      <x:c r="D15" s="198" t="n">
        <x:f>ROUND(B15-C15,6)</x:f>
        <x:v>0</x:v>
      </x:c>
      <x:c r="E15" s="198" t="n">
        <x:f>0.0001</x:f>
        <x:v>0.0001</x:v>
      </x:c>
      <x:c r="F15" s="194" t="str">
        <x:f>IF(ABS(ROUND(D15,6))&lt;=E15,"PASS","FAIL")</x:f>
        <x:v>PASS</x:v>
      </x:c>
      <x:c r="G15" s="177" t="str">
        <x:v>Model: hedge amount</x:v>
      </x:c>
      <x:c r="H15" s="177"/>
    </x:row>
    <x:row r="16" ht="26" customHeight="1">
      <x:c r="A16" s="177" t="str">
        <x:v>Hedge fee traces to the covered amount</x:v>
      </x:c>
      <x:c r="B16" s="198" t="n">
        <x:f>ROUND('Model'!B17-ABS('Model'!B13)*'Inputs'!$B$11*'Inputs'!$B$15,6)</x:f>
        <x:v>0</x:v>
      </x:c>
      <x:c r="C16" s="198" t="n">
        <x:f>0</x:f>
        <x:v>0</x:v>
      </x:c>
      <x:c r="D16" s="198" t="n">
        <x:f>ROUND(B16-C16,6)</x:f>
        <x:v>0</x:v>
      </x:c>
      <x:c r="E16" s="198" t="n">
        <x:f>0.0001</x:f>
        <x:v>0.0001</x:v>
      </x:c>
      <x:c r="F16" s="194" t="str">
        <x:f>IF(ABS(ROUND(D16,6))&lt;=E16,"PASS","FAIL")</x:f>
        <x:v>PASS</x:v>
      </x:c>
      <x:c r="G16" s="177" t="str">
        <x:v>Model: hedge fee</x:v>
      </x:c>
      <x:c r="H16" s="177"/>
    </x:row>
    <x:row r="17" ht="26" customHeight="1">
      <x:c r="A17" s="177" t="str">
        <x:v>Residual exposure roll-forward ties</x:v>
      </x:c>
      <x:c r="B17" s="198" t="n">
        <x:f>ROUND('Model'!B20+'Model'!B13-'Inputs'!$B$10,6)</x:f>
        <x:v>0</x:v>
      </x:c>
      <x:c r="C17" s="198" t="n">
        <x:f>0</x:f>
        <x:v>0</x:v>
      </x:c>
      <x:c r="D17" s="198" t="n">
        <x:f>ROUND(B17-C17,6)</x:f>
        <x:v>0</x:v>
      </x:c>
      <x:c r="E17" s="198" t="n">
        <x:f>0.0001</x:f>
        <x:v>0.0001</x:v>
      </x:c>
      <x:c r="F17" s="194" t="str">
        <x:f>IF(ABS(ROUND(D17,6))&lt;=E17,"PASS","FAIL")</x:f>
        <x:v>PASS</x:v>
      </x:c>
      <x:c r="G17" s="177" t="str">
        <x:v>Model: residual exposure</x:v>
      </x:c>
      <x:c r="H17" s="177"/>
    </x:row>
    <x:row r="18" ht="26" customHeight="1">
      <x:c r="A18" s="177" t="str">
        <x:v>Selected scenario row ties to the hedge bridge</x:v>
      </x:c>
      <x:c r="B18" s="198" t="n">
        <x:f>ROUND(SUM(ABS('Model'!C27-'Model'!B14),ABS('Model'!D27-'Model'!B15),ABS('Model'!E27-'Model'!B16),ABS('Model'!F27-'Model'!B17),ABS('Model'!G27-'Model'!B18),ABS('Model'!H27-'Model'!B19)),6)</x:f>
        <x:v>0</x:v>
      </x:c>
      <x:c r="C18" s="198" t="n">
        <x:f>0</x:f>
        <x:v>0</x:v>
      </x:c>
      <x:c r="D18" s="198" t="n">
        <x:f>ROUND(B18-C18,6)</x:f>
        <x:v>0</x:v>
      </x:c>
      <x:c r="E18" s="198" t="n">
        <x:f>0.0001</x:f>
        <x:v>0.0001</x:v>
      </x:c>
      <x:c r="F18" s="194" t="str">
        <x:f>IF(ABS(ROUND(D18,6))&lt;=E18,"PASS","FAIL")</x:f>
        <x:v>PASS</x:v>
      </x:c>
      <x:c r="G18" s="177" t="str">
        <x:v>Model: selected scenario row</x:v>
      </x:c>
      <x:c r="H18" s="177"/>
    </x:row>
    <x:row r="19" ht="20" customHeight="1">
      <x:c r="A19" s="202" t="str">
        <x:v>A warning business outcome can still pass these controls; review Model and Results before making a decision.</x:v>
      </x:c>
      <x:c r="B19" s="203"/>
      <x:c r="C19" s="203"/>
      <x:c r="D19" s="203"/>
      <x:c r="E19" s="203"/>
      <x:c r="F19" s="203"/>
      <x:c r="G19" s="203"/>
      <x:c r="H19" s="204"/>
    </x:row>
    <x:row r="20" ht="20" customHeight="1">
      <x:c r="A20" s="60" t="str">
        <x:v>FX Exposure &amp; Hedge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