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67891ab7e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8a4042a2ac8a4aa7"/>
    <x:sheet xmlns:r="http://schemas.openxmlformats.org/officeDocument/2006/relationships" name="Inputs" sheetId="2" r:id="Ra6a6295839664486"/>
    <x:sheet xmlns:r="http://schemas.openxmlformats.org/officeDocument/2006/relationships" name="Model" sheetId="3" r:id="Rf0c60086d5364ec1"/>
    <x:sheet xmlns:r="http://schemas.openxmlformats.org/officeDocument/2006/relationships" name="Results" sheetId="4" r:id="R91fed98d5a994ed0"/>
    <x:sheet xmlns:r="http://schemas.openxmlformats.org/officeDocument/2006/relationships" name="Checks" sheetId="5" r:id="R1aed48bfac5b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#,##0.0;[Red](#,##0.0);-"/>
    <x:numFmt numFmtId="202" formatCode="0.0%;[Red](0.0%);-"/>
    <x:numFmt numFmtId="203" formatCode="0.00;[Red](0.00);-"/>
  </x:numFmts>
  <x:fonts count="15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008000"/>
      <x:name val="Carlito"/>
    </x:font>
    <x:font>
      <x:b/>
      <x:sz val="11"/>
      <x:color rgb="FFB5883A"/>
      <x:name val="Carlito"/>
    </x:font>
    <x:font>
      <x:b/>
      <x:sz val="11"/>
      <x:color rgb="FF805C19"/>
      <x:name val="Carlito"/>
    </x:font>
    <x:font>
      <x:b/>
      <x:sz val="11"/>
      <x:color rgb="FF68717C"/>
      <x:name val="Carlito"/>
    </x:font>
    <x:font>
      <x:b/>
      <x:sz val="11"/>
      <x:color rgb="FF247252"/>
      <x:name val="Carlito"/>
    </x:font>
    <x:font>
      <x:sz val="11"/>
      <x:color rgb="FFF5F6F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</x:fills>
  <x:borders count="29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F2D58A"/>
      </x:left>
      <x:top style="thin">
        <x:color rgb="FFF2D58A"/>
      </x:top>
    </x:border>
    <x:border>
      <x:top style="thin">
        <x:color rgb="FFF2D58A"/>
      </x:top>
    </x:border>
    <x:border>
      <x:right style="thin">
        <x:color rgb="FFF2D58A"/>
      </x:right>
      <x:top style="thin">
        <x:color rgb="FFF2D58A"/>
      </x:top>
    </x:border>
    <x:border>
      <x:left style="thin">
        <x:color rgb="FFF2D58A"/>
      </x:left>
      <x:bottom style="thin">
        <x:color rgb="FFF2D58A"/>
      </x:bottom>
    </x:border>
    <x:border>
      <x:bottom style="thin">
        <x:color rgb="FFF2D58A"/>
      </x:bottom>
    </x:border>
    <x:border>
      <x:right style="thin">
        <x:color rgb="FFF2D58A"/>
      </x:right>
      <x:bottom style="thin">
        <x:color rgb="FFF2D58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horizontal="right" vertical="center"/>
    </x:xf>
    <x:xf numFmtId="0" fontId="8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horizontal="right" vertical="center"/>
    </x:xf>
    <x:xf numFmtId="203" fontId="7" fillId="8" borderId="0" xfId="0" applyNumberFormat="1" applyFont="1" applyFill="1" applyBorder="1" applyAlignment="1">
      <x:alignment horizontal="right" vertical="center"/>
    </x:xf>
    <x:xf numFmtId="203" fontId="8" fillId="8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right" vertical="center"/>
    </x:xf>
    <x:xf numFmtId="203" fontId="3" fillId="5" borderId="0" xfId="0" applyNumberFormat="1" applyFont="1" applyFill="1" applyBorder="1" applyAlignment="1">
      <x:alignment horizontal="right" vertical="center"/>
    </x:xf>
    <x:xf numFmtId="201" fontId="7" fillId="2" borderId="0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horizontal="right" vertical="center"/>
    </x:xf>
    <x:xf numFmtId="201" fontId="7" fillId="8" borderId="0" xfId="0" applyNumberFormat="1" applyFont="1" applyFill="1" applyBorder="1" applyAlignment="1">
      <x:alignment horizontal="right" vertical="center"/>
    </x:xf>
    <x:xf numFmtId="201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horizontal="right" vertical="center"/>
    </x:xf>
    <x:xf numFmtId="201" fontId="8" fillId="8" borderId="0" xfId="0" applyNumberFormat="1" applyFont="1" applyFill="1" applyBorder="1" applyAlignment="1">
      <x:alignment horizontal="right" vertical="center"/>
    </x:xf>
    <x:xf numFmtId="201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1" fontId="3" fillId="5" borderId="0" xfId="0" applyNumberFormat="1" applyFont="1" applyFill="1" applyBorder="1" applyAlignment="1">
      <x:alignment horizontal="right" vertical="center"/>
    </x:xf>
    <x:xf numFmtId="20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horizontal="right" vertical="center"/>
    </x:xf>
    <x:xf numFmtId="200" fontId="7" fillId="8" borderId="0" xfId="0" applyNumberFormat="1" applyFont="1" applyFill="1" applyBorder="1" applyAlignment="1">
      <x:alignment horizontal="righ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201" fontId="9" fillId="5" borderId="0" xfId="0" applyNumberFormat="1" applyFont="1" applyFill="1" applyBorder="1" applyAlignment="1">
      <x:alignment vertical="center"/>
    </x:xf>
    <x:xf numFmtId="201" fontId="9" fillId="5" borderId="0" xfId="0" applyNumberFormat="1" applyFont="1" applyFill="1" applyBorder="1" applyAlignment="1">
      <x:alignment horizontal="right" vertical="center"/>
    </x:xf>
    <x:xf numFmtId="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3" fontId="8" fillId="8" borderId="0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vertical="center"/>
    </x:xf>
    <x:xf numFmtId="200" fontId="10" fillId="8" borderId="3" xfId="0" applyNumberFormat="1" applyFont="1" applyFill="1" applyBorder="1" applyAlignment="1">
      <x:alignment vertical="center"/>
    </x:xf>
    <x:xf numFmtId="200" fontId="10" fillId="8" borderId="18" xfId="0" applyNumberFormat="1" applyFont="1" applyFill="1" applyBorder="1" applyAlignment="1">
      <x:alignment vertical="center"/>
    </x:xf>
    <x:xf numFmtId="200" fontId="10" fillId="8" borderId="19" xfId="0" applyNumberFormat="1" applyFont="1" applyFill="1" applyBorder="1" applyAlignment="1">
      <x:alignment vertical="center"/>
    </x:xf>
    <x:xf numFmtId="200" fontId="10" fillId="8" borderId="4" xfId="0" applyNumberFormat="1" applyFont="1" applyFill="1" applyBorder="1" applyAlignment="1">
      <x:alignment vertical="center"/>
    </x:xf>
    <x:xf numFmtId="20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18" xfId="0" applyNumberFormat="1" applyFont="1" applyFill="1" applyBorder="1" applyAlignment="1">
      <x:alignment horizontal="center" vertical="center"/>
    </x:xf>
    <x:xf numFmtId="200" fontId="10" fillId="8" borderId="19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1" fontId="10" fillId="8" borderId="1" xfId="0" applyNumberFormat="1" applyFont="1" applyFill="1" applyBorder="1" applyAlignment="1">
      <x:alignment vertical="center"/>
    </x:xf>
    <x:xf numFmtId="201" fontId="10" fillId="8" borderId="3" xfId="0" applyNumberFormat="1" applyFont="1" applyFill="1" applyBorder="1" applyAlignment="1">
      <x:alignment vertical="center"/>
    </x:xf>
    <x:xf numFmtId="201" fontId="10" fillId="8" borderId="18" xfId="0" applyNumberFormat="1" applyFont="1" applyFill="1" applyBorder="1" applyAlignment="1">
      <x:alignment vertical="center"/>
    </x:xf>
    <x:xf numFmtId="201" fontId="10" fillId="8" borderId="19" xfId="0" applyNumberFormat="1" applyFont="1" applyFill="1" applyBorder="1" applyAlignment="1">
      <x:alignment vertical="center"/>
    </x:xf>
    <x:xf numFmtId="201" fontId="10" fillId="8" borderId="4" xfId="0" applyNumberFormat="1" applyFont="1" applyFill="1" applyBorder="1" applyAlignment="1">
      <x:alignment vertical="center"/>
    </x:xf>
    <x:xf numFmtId="201" fontId="10" fillId="8" borderId="6" xfId="0" applyNumberFormat="1" applyFont="1" applyFill="1" applyBorder="1" applyAlignment="1">
      <x:alignment vertical="center"/>
    </x:xf>
    <x:xf numFmtId="201" fontId="10" fillId="8" borderId="1" xfId="0" applyNumberFormat="1" applyFont="1" applyFill="1" applyBorder="1" applyAlignment="1">
      <x:alignment horizontal="center" vertical="center"/>
    </x:xf>
    <x:xf numFmtId="201" fontId="10" fillId="8" borderId="3" xfId="0" applyNumberFormat="1" applyFont="1" applyFill="1" applyBorder="1" applyAlignment="1">
      <x:alignment horizontal="center" vertical="center"/>
    </x:xf>
    <x:xf numFmtId="201" fontId="10" fillId="8" borderId="18" xfId="0" applyNumberFormat="1" applyFont="1" applyFill="1" applyBorder="1" applyAlignment="1">
      <x:alignment horizontal="center" vertical="center"/>
    </x:xf>
    <x:xf numFmtId="201" fontId="10" fillId="8" borderId="19" xfId="0" applyNumberFormat="1" applyFont="1" applyFill="1" applyBorder="1" applyAlignment="1">
      <x:alignment horizontal="center" vertical="center"/>
    </x:xf>
    <x:xf numFmtId="201" fontId="10" fillId="8" borderId="4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0" xfId="0" applyNumberFormat="1" applyFont="1" applyFill="1" applyBorder="1" applyAlignment="1">
      <x:alignment vertical="center"/>
    </x:xf>
    <x:xf numFmtId="0" fontId="11" fillId="9" borderId="21" xfId="0" applyNumberFormat="1" applyFont="1" applyFill="1" applyBorder="1" applyAlignment="1">
      <x:alignment vertical="center"/>
    </x:xf>
    <x:xf numFmtId="0" fontId="11" fillId="9" borderId="22" xfId="0" applyNumberFormat="1" applyFont="1" applyFill="1" applyBorder="1" applyAlignment="1">
      <x:alignment vertical="center"/>
    </x:xf>
    <x:xf numFmtId="0" fontId="11" fillId="9" borderId="23" xfId="0" applyNumberFormat="1" applyFont="1" applyFill="1" applyBorder="1" applyAlignment="1">
      <x:alignment vertical="center"/>
    </x:xf>
    <x:xf numFmtId="0" fontId="11" fillId="9" borderId="24" xfId="0" applyNumberFormat="1" applyFont="1" applyFill="1" applyBorder="1" applyAlignment="1">
      <x:alignment vertical="center"/>
    </x:xf>
    <x:xf numFmtId="0" fontId="11" fillId="9" borderId="25" xfId="0" applyNumberFormat="1" applyFont="1" applyFill="1" applyBorder="1" applyAlignment="1">
      <x:alignment vertical="center"/>
    </x:xf>
    <x:xf numFmtId="0" fontId="11" fillId="9" borderId="20" xfId="0" applyNumberFormat="1" applyFont="1" applyFill="1" applyBorder="1" applyAlignment="1">
      <x:alignment vertical="center" wrapText="1"/>
    </x:xf>
    <x:xf numFmtId="0" fontId="11" fillId="9" borderId="21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23" xfId="0" applyNumberFormat="1" applyFont="1" applyFill="1" applyBorder="1" applyAlignment="1">
      <x:alignment vertical="center" wrapText="1"/>
    </x:xf>
    <x:xf numFmtId="0" fontId="11" fillId="9" borderId="24" xfId="0" applyNumberFormat="1" applyFont="1" applyFill="1" applyBorder="1" applyAlignment="1">
      <x:alignment vertical="center" wrapText="1"/>
    </x:xf>
    <x:xf numFmtId="0" fontId="11" fillId="9" borderId="25" xfId="0" applyNumberFormat="1" applyFont="1" applyFill="1" applyBorder="1" applyAlignment="1">
      <x:alignment vertical="center" wrapText="1"/>
    </x:xf>
    <x:xf numFmtId="0" fontId="11" fillId="9" borderId="20" xfId="0" applyNumberFormat="1" applyFont="1" applyFill="1" applyBorder="1" applyAlignment="1">
      <x:alignment horizontal="center" vertical="center" wrapText="1"/>
    </x:xf>
    <x:xf numFmtId="0" fontId="11" fillId="9" borderId="21" xfId="0" applyNumberFormat="1" applyFont="1" applyFill="1" applyBorder="1" applyAlignment="1">
      <x:alignment horizontal="center" vertical="center" wrapText="1"/>
    </x:xf>
    <x:xf numFmtId="0" fontId="11" fillId="9" borderId="22" xfId="0" applyNumberFormat="1" applyFont="1" applyFill="1" applyBorder="1" applyAlignment="1">
      <x:alignment horizontal="center" vertical="center" wrapText="1"/>
    </x:xf>
    <x:xf numFmtId="0" fontId="11" fillId="9" borderId="23" xfId="0" applyNumberFormat="1" applyFont="1" applyFill="1" applyBorder="1" applyAlignment="1">
      <x:alignment horizontal="center" vertical="center" wrapText="1"/>
    </x:xf>
    <x:xf numFmtId="0" fontId="11" fillId="9" borderId="24" xfId="0" applyNumberFormat="1" applyFont="1" applyFill="1" applyBorder="1" applyAlignment="1">
      <x:alignment horizontal="center" vertical="center" wrapText="1"/>
    </x:xf>
    <x:xf numFmtId="0" fontId="11" fillId="9" borderId="25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3" fillId="8" borderId="0" xfId="0" applyNumberFormat="1" applyFont="1" applyFill="1" applyBorder="1" applyAlignment="1">
      <x:alignment vertical="center"/>
    </x:xf>
    <x:xf numFmtId="0" fontId="13" fillId="8" borderId="26" xfId="0" applyNumberFormat="1" applyFont="1" applyFill="1" applyBorder="1" applyAlignment="1">
      <x:alignment vertical="center"/>
    </x:xf>
    <x:xf numFmtId="0" fontId="13" fillId="8" borderId="27" xfId="0" applyNumberFormat="1" applyFont="1" applyFill="1" applyBorder="1" applyAlignment="1">
      <x:alignment vertical="center"/>
    </x:xf>
    <x:xf numFmtId="0" fontId="13" fillId="8" borderId="26" xfId="0" applyNumberFormat="1" applyFont="1" applyFill="1" applyBorder="1" applyAlignment="1">
      <x:alignment horizontal="center" vertical="center"/>
    </x:xf>
    <x:xf numFmtId="0" fontId="13" fillId="8" borderId="27" xfId="0" applyNumberFormat="1" applyFont="1" applyFill="1" applyBorder="1" applyAlignment="1">
      <x:alignment horizontal="center" vertical="center"/>
    </x:xf>
    <x:xf numFmtId="0" fontId="11" fillId="9" borderId="26" xfId="0" applyNumberFormat="1" applyFont="1" applyFill="1" applyBorder="1" applyAlignment="1">
      <x:alignment vertical="center"/>
    </x:xf>
    <x:xf numFmtId="0" fontId="11" fillId="9" borderId="27" xfId="0" applyNumberFormat="1" applyFont="1" applyFill="1" applyBorder="1" applyAlignment="1">
      <x:alignment vertical="center"/>
    </x:xf>
    <x:xf numFmtId="0" fontId="11" fillId="9" borderId="26" xfId="0" applyNumberFormat="1" applyFont="1" applyFill="1" applyBorder="1" applyAlignment="1">
      <x:alignment vertical="center" wrapText="1"/>
    </x:xf>
    <x:xf numFmtId="0" fontId="11" fillId="9" borderId="27" xfId="0" applyNumberFormat="1" applyFont="1" applyFill="1" applyBorder="1" applyAlignment="1">
      <x:alignment vertical="center" wrapText="1"/>
    </x:xf>
    <x:xf numFmtId="0" fontId="11" fillId="9" borderId="26" xfId="0" applyNumberFormat="1" applyFont="1" applyFill="1" applyBorder="1" applyAlignment="1">
      <x:alignment horizontal="center" vertical="center" wrapText="1"/>
    </x:xf>
    <x:xf numFmtId="0" fontId="11" fillId="9" borderId="27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6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vertical="center"/>
    </x:xf>
    <x:xf numFmtId="0" fontId="3" fillId="5" borderId="26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vertical="center"/>
    </x:xf>
    <x:xf numFmtId="0" fontId="13" fillId="8" borderId="28" xfId="0" applyNumberFormat="1" applyFont="1" applyFill="1" applyBorder="1" applyAlignment="1">
      <x:alignment vertical="center"/>
    </x:xf>
    <x:xf numFmtId="0" fontId="13" fillId="8" borderId="28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 wrapText="1"/>
    </x:xf>
    <x:xf numFmtId="0" fontId="6" fillId="9" borderId="26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vertical="center"/>
    </x:xf>
    <x:xf numFmtId="0" fontId="6" fillId="9" borderId="26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3" fillId="8" borderId="1" xfId="0" applyNumberFormat="1" applyFont="1" applyFill="1" applyBorder="1" applyAlignment="1">
      <x:alignment vertical="center"/>
    </x:xf>
    <x:xf numFmtId="0" fontId="13" fillId="8" borderId="3" xfId="0" applyNumberFormat="1" applyFont="1" applyFill="1" applyBorder="1" applyAlignment="1">
      <x:alignment vertical="center"/>
    </x:xf>
    <x:xf numFmtId="0" fontId="13" fillId="8" borderId="4" xfId="0" applyNumberFormat="1" applyFont="1" applyFill="1" applyBorder="1" applyAlignment="1">
      <x:alignment vertical="center"/>
    </x:xf>
    <x:xf numFmtId="0" fontId="13" fillId="8" borderId="6" xfId="0" applyNumberFormat="1" applyFont="1" applyFill="1" applyBorder="1" applyAlignment="1">
      <x:alignment vertical="center"/>
    </x:xf>
    <x:xf numFmtId="0" fontId="13" fillId="8" borderId="1" xfId="0" applyNumberFormat="1" applyFont="1" applyFill="1" applyBorder="1" applyAlignment="1">
      <x:alignment horizontal="center" vertical="center"/>
    </x:xf>
    <x:xf numFmtId="0" fontId="13" fillId="8" borderId="3" xfId="0" applyNumberFormat="1" applyFont="1" applyFill="1" applyBorder="1" applyAlignment="1">
      <x:alignment horizontal="center" vertical="center"/>
    </x:xf>
    <x:xf numFmtId="0" fontId="13" fillId="8" borderId="4" xfId="0" applyNumberFormat="1" applyFont="1" applyFill="1" applyBorder="1" applyAlignment="1">
      <x:alignment horizontal="center" vertical="center"/>
    </x:xf>
    <x:xf numFmtId="0" fontId="13" fillId="8" borderId="6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vertical="center"/>
    </x:xf>
    <x:xf numFmtId="0" fontId="10" fillId="5" borderId="27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horizontal="center" vertical="center"/>
    </x:xf>
    <x:xf numFmtId="0" fontId="10" fillId="5" borderId="27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7f7a7a636406d" /><Relationship Type="http://schemas.openxmlformats.org/officeDocument/2006/relationships/theme" Target="/xl/theme/theme1.xml" Id="R5cfda5764b4a4568" /><Relationship Type="http://schemas.openxmlformats.org/officeDocument/2006/relationships/sharedStrings" Target="/xl/sharedStrings.xml" Id="R099cf198e0204f41" /><Relationship Type="http://schemas.openxmlformats.org/officeDocument/2006/relationships/worksheet" Target="/xl/worksheets/sheet1.xml" Id="R8a4042a2ac8a4aa7" /><Relationship Type="http://schemas.openxmlformats.org/officeDocument/2006/relationships/worksheet" Target="/xl/worksheets/sheet2.xml" Id="Ra6a6295839664486" /><Relationship Type="http://schemas.openxmlformats.org/officeDocument/2006/relationships/worksheet" Target="/xl/worksheets/sheet3.xml" Id="Rf0c60086d5364ec1" /><Relationship Type="http://schemas.openxmlformats.org/officeDocument/2006/relationships/worksheet" Target="/xl/worksheets/sheet4.xml" Id="R91fed98d5a994ed0" /><Relationship Type="http://schemas.openxmlformats.org/officeDocument/2006/relationships/worksheet" Target="/xl/worksheets/sheet5.xml" Id="R1aed48bfac5b4d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TDAT-FM-FPA-004 · One-year plan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28" t="str">
        <x:v>Headcount &amp; Compensation Plan</x:v>
      </x:c>
      <x:c r="B5" s="229"/>
      <x:c r="C5" s="229"/>
      <x:c r="D5" s="229"/>
      <x:c r="E5" s="229"/>
      <x:c r="F5" s="230"/>
      <x:c r="G5" s="60" t="str">
        <x:v>MODEL STATUS</x:v>
      </x:c>
      <x:c r="H5" s="60"/>
    </x:row>
    <x:row r="6" ht="20" customHeight="1">
      <x:c r="A6" s="231"/>
      <x:c r="B6" s="232"/>
      <x:c r="C6" s="232"/>
      <x:c r="D6" s="232"/>
      <x:c r="E6" s="232"/>
      <x:c r="F6" s="233"/>
      <x:c r="G6" s="241" t="str">
        <x:f>'Checks'!B4</x:f>
        <x:v>PASS</x:v>
      </x:c>
      <x:c r="H6" s="242"/>
    </x:row>
    <x:row r="7" ht="20" customHeight="1">
      <x:c r="A7" s="234"/>
      <x:c r="B7" s="235"/>
      <x:c r="C7" s="235"/>
      <x:c r="D7" s="235"/>
      <x:c r="E7" s="235"/>
      <x:c r="F7" s="236"/>
      <x:c r="G7" s="243"/>
      <x:c r="H7" s="244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1" t="str">
        <x:v>WHAT THIS MODEL IS FOR</x:v>
      </x:c>
      <x:c r="B9" s="61"/>
      <x:c r="C9" s="61"/>
      <x:c r="D9" s="61"/>
      <x:c r="E9" s="61"/>
      <x:c r="F9" s="61"/>
      <x:c r="G9" s="61"/>
      <x:c r="H9" s="61"/>
    </x:row>
    <x:row r="10" ht="20" customHeight="1">
      <x:c r="A10" s="178" t="str">
        <x:v>What will the hiring plan cost, and is it within budget?</x:v>
      </x:c>
      <x:c r="B10" s="179"/>
      <x:c r="C10" s="179"/>
      <x:c r="D10" s="179"/>
      <x:c r="E10" s="179"/>
      <x:c r="F10" s="179"/>
      <x:c r="G10" s="179"/>
      <x:c r="H10" s="180"/>
    </x:row>
    <x:row r="11" ht="20" customHeight="1">
      <x:c r="A11" s="181"/>
      <x:c r="B11" s="182"/>
      <x:c r="C11" s="182"/>
      <x:c r="D11" s="182"/>
      <x:c r="E11" s="182"/>
      <x:c r="F11" s="182"/>
      <x:c r="G11" s="182"/>
      <x:c r="H11" s="18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USE IT IN FOUR STEPS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248" t="str">
        <x:v>1 · INPUTS</x:v>
      </x:c>
      <x:c r="B14" s="249"/>
      <x:c r="C14" s="248" t="str">
        <x:v>2 · MODEL</x:v>
      </x:c>
      <x:c r="D14" s="249"/>
      <x:c r="E14" s="248" t="str">
        <x:v>3 · RESULTS</x:v>
      </x:c>
      <x:c r="F14" s="249"/>
      <x:c r="G14" s="248" t="str">
        <x:v>4 · CHECKS</x:v>
      </x:c>
      <x:c r="H14" s="249"/>
    </x:row>
    <x:row r="15" ht="20" customHeight="1">
      <x:c r="A15" s="250" t="str">
        <x:v>Edit only blue cells</x:v>
      </x:c>
      <x:c r="B15" s="251"/>
      <x:c r="C15" s="250" t="str">
        <x:v>Trace schedules and formulas</x:v>
      </x:c>
      <x:c r="D15" s="251"/>
      <x:c r="E15" s="250" t="str">
        <x:v>Read the linked decision view</x:v>
      </x:c>
      <x:c r="F15" s="251"/>
      <x:c r="G15" s="250" t="str">
        <x:v>Resolve every FAIL</x:v>
      </x:c>
      <x:c r="H15" s="251"/>
    </x:row>
    <x:row r="16" ht="20" customHeight="1">
      <x:c r="A16" s="252"/>
      <x:c r="B16" s="253"/>
      <x:c r="C16" s="252"/>
      <x:c r="D16" s="253"/>
      <x:c r="E16" s="252"/>
      <x:c r="F16" s="253"/>
      <x:c r="G16" s="252"/>
      <x:c r="H16" s="253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1" t="str">
        <x:v>DEPTH WITHOUT EXTRA TABS</x:v>
      </x:c>
      <x:c r="B18" s="61"/>
      <x:c r="C18" s="61"/>
      <x:c r="D18" s="61"/>
      <x:c r="E18" s="61"/>
      <x:c r="F18" s="61"/>
      <x:c r="G18" s="61"/>
      <x:c r="H18" s="61"/>
    </x:row>
    <x:row r="19" ht="20" customHeight="1">
      <x:c r="A19" s="158" t="str">
        <x:v>Forecast</x:v>
      </x:c>
      <x:c r="B19" s="158"/>
      <x:c r="C19" s="171" t="str">
        <x:v>One-year plan</x:v>
      </x:c>
      <x:c r="D19" s="171"/>
      <x:c r="E19" s="171"/>
      <x:c r="F19" s="171"/>
      <x:c r="G19" s="171"/>
      <x:c r="H19" s="171"/>
    </x:row>
    <x:row r="20" ht="20" customHeight="1">
      <x:c r="A20" s="158" t="str">
        <x:v>Editable inputs</x:v>
      </x:c>
      <x:c r="B20" s="158"/>
      <x:c r="C20" s="171" t="str">
        <x:v>10</x:v>
      </x:c>
      <x:c r="D20" s="171"/>
      <x:c r="E20" s="171"/>
      <x:c r="F20" s="171"/>
      <x:c r="G20" s="171"/>
      <x:c r="H20" s="171"/>
    </x:row>
    <x:row r="21" ht="20" customHeight="1">
      <x:c r="A21" s="158" t="str">
        <x:v>Visible sheets</x:v>
      </x:c>
      <x:c r="B21" s="158"/>
      <x:c r="C21" s="171" t="str">
        <x:v>5</x:v>
      </x:c>
      <x:c r="D21" s="171"/>
      <x:c r="E21" s="171"/>
      <x:c r="F21" s="171"/>
      <x:c r="G21" s="171"/>
      <x:c r="H21" s="171"/>
    </x:row>
    <x:row r="22" ht="20" customHeight="1">
      <x:c r="A22" s="158" t="str">
        <x:v>Setup</x:v>
      </x:c>
      <x:c r="B22" s="158"/>
      <x:c r="C22" s="171" t="str">
        <x:v>15–20 minutes</x:v>
      </x:c>
      <x:c r="D22" s="171"/>
      <x:c r="E22" s="171"/>
      <x:c r="F22" s="171"/>
      <x:c r="G22" s="171"/>
      <x:c r="H22" s="171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1" t="str">
        <x:v>FIT &amp; SCOPE</x:v>
      </x:c>
      <x:c r="B24" s="61"/>
      <x:c r="C24" s="61"/>
      <x:c r="D24" s="61"/>
      <x:c r="E24" s="61"/>
      <x:c r="F24" s="61"/>
      <x:c r="G24" s="61"/>
      <x:c r="H24" s="61"/>
    </x:row>
    <x:row r="25" ht="20" customHeight="1">
      <x:c r="A25" s="192" t="str">
        <x:v>Included: Twelve-month headcount roll-forward · Monthly salary, benefit, bonus, and payroll-tax build · Cumulative personnel cost, budget variance, and capacity</x:v>
      </x:c>
      <x:c r="B25" s="193"/>
      <x:c r="C25" s="193"/>
      <x:c r="D25" s="193"/>
      <x:c r="E25" s="193"/>
      <x:c r="F25" s="193"/>
      <x:c r="G25" s="193"/>
      <x:c r="H25" s="194"/>
    </x:row>
    <x:row r="26" ht="20" customHeight="1">
      <x:c r="A26" s="198"/>
      <x:c r="B26" s="199"/>
      <x:c r="C26" s="199"/>
      <x:c r="D26" s="199"/>
      <x:c r="E26" s="199"/>
      <x:c r="F26" s="199"/>
      <x:c r="G26" s="199"/>
      <x:c r="H26" s="200"/>
    </x:row>
    <x:row r="27" ht="20" customHeight="1">
      <x:c r="A27" s="260" t="str">
        <x:v>Scope boundary: Employee-level records, exact start dates, countries, HRIS integrations, equity compensation, and multiple scenarios.</x:v>
      </x:c>
      <x:c r="B27" s="261"/>
      <x:c r="C27" s="261"/>
      <x:c r="D27" s="261"/>
      <x:c r="E27" s="261"/>
      <x:c r="F27" s="261"/>
      <x:c r="G27" s="261"/>
      <x:c r="H27" s="262"/>
    </x:row>
    <x:row r="28" ht="20" customHeight="1">
      <x:c r="A28" s="263"/>
      <x:c r="B28" s="264"/>
      <x:c r="C28" s="264"/>
      <x:c r="D28" s="264"/>
      <x:c r="E28" s="264"/>
      <x:c r="F28" s="264"/>
      <x:c r="G28" s="264"/>
      <x:c r="H28" s="265"/>
    </x:row>
    <x:row r="29" ht="20" customHeight="1">
      <x:c r="A29" s="267" t="str">
        <x:v>Synthetic demonstration only · Tested 2026-08-17 · Excel 365 · Macro-free · No external links</x:v>
      </x:c>
      <x:c r="B29" s="267"/>
      <x:c r="C29" s="267"/>
      <x:c r="D29" s="267"/>
      <x:c r="E29" s="267"/>
      <x:c r="F29" s="267"/>
      <x:c r="G29" s="267"/>
      <x:c r="H29" s="267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Headcount &amp; Compensation Plan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Headcount &amp; Compensation Plan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WORKFORCE PLAN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Opening headcount</x:v>
      </x:c>
      <x:c r="B10" s="39" t="n">
        <x:v>120</x:v>
      </x:c>
      <x:c r="C10" s="3" t="str">
        <x:v>FTE</x:v>
      </x:c>
      <x:c r="D10" s="37" t="str">
        <x:v>FTE at plan start</x:v>
      </x:c>
      <x:c r="E10" s="38"/>
      <x:c r="F10" s="38"/>
      <x:c r="G10" s="38"/>
      <x:c r="H10" s="38"/>
    </x:row>
    <x:row r="11" ht="20" customHeight="1">
      <x:c r="A11" s="3" t="str">
        <x:v>Planned hires</x:v>
      </x:c>
      <x:c r="B11" s="39" t="n">
        <x:v>45</x:v>
      </x:c>
      <x:c r="C11" s="3" t="str">
        <x:v>FTE</x:v>
      </x:c>
      <x:c r="D11" s="37" t="str">
        <x:v>Total hires spread evenly over the year</x:v>
      </x:c>
      <x:c r="E11" s="38"/>
      <x:c r="F11" s="38"/>
      <x:c r="G11" s="38"/>
      <x:c r="H11" s="38"/>
    </x:row>
    <x:row r="12" ht="20" customHeight="1">
      <x:c r="A12" s="3" t="str">
        <x:v>Planned exits</x:v>
      </x:c>
      <x:c r="B12" s="39" t="n">
        <x:v>27</x:v>
      </x:c>
      <x:c r="C12" s="3" t="str">
        <x:v>FTE</x:v>
      </x:c>
      <x:c r="D12" s="37" t="str">
        <x:v>Total exits spread evenly over the year</x:v>
      </x:c>
      <x:c r="E12" s="38"/>
      <x:c r="F12" s="38"/>
      <x:c r="G12" s="38"/>
      <x:c r="H12" s="38"/>
    </x:row>
    <x:row r="13" ht="20" customHeight="1">
      <x:c r="A13" s="26" t="str">
        <x:v>COMPENSATION</x:v>
      </x:c>
      <x:c r="B13" s="26"/>
      <x:c r="C13" s="26"/>
      <x:c r="D13" s="26"/>
      <x:c r="E13" s="26"/>
      <x:c r="F13" s="26"/>
      <x:c r="G13" s="26"/>
      <x:c r="H13" s="26"/>
    </x:row>
    <x:row r="14" ht="20" customHeight="1">
      <x:c r="A14" s="28" t="str">
        <x:v>Input</x:v>
      </x:c>
      <x:c r="B14" s="28" t="str">
        <x:v>Value</x:v>
      </x:c>
      <x:c r="C14" s="28" t="str">
        <x:v>Unit</x:v>
      </x:c>
      <x:c r="D14" s="28" t="str">
        <x:v>Purpose</x:v>
      </x:c>
      <x:c r="E14" s="28"/>
      <x:c r="F14" s="28"/>
      <x:c r="G14" s="28"/>
      <x:c r="H14" s="28"/>
    </x:row>
    <x:row r="15" ht="20" customHeight="1">
      <x:c r="A15" s="3" t="str">
        <x:v>Annual salary / FTE</x:v>
      </x:c>
      <x:c r="B15" s="42" t="n">
        <x:v>36</x:v>
      </x:c>
      <x:c r="C15" s="3" t="str">
        <x:v>LCY000</x:v>
      </x:c>
      <x:c r="D15" s="37" t="str">
        <x:v>Average annual base salary</x:v>
      </x:c>
      <x:c r="E15" s="38"/>
      <x:c r="F15" s="38"/>
      <x:c r="G15" s="38"/>
      <x:c r="H15" s="38"/>
    </x:row>
    <x:row r="16" ht="20" customHeight="1">
      <x:c r="A16" s="3" t="str">
        <x:v>Merit increase</x:v>
      </x:c>
      <x:c r="B16" s="45" t="n">
        <x:v>0.05</x:v>
      </x:c>
      <x:c r="C16" s="3" t="str">
        <x:v>%</x:v>
      </x:c>
      <x:c r="D16" s="37" t="str">
        <x:v>Applied from plan start</x:v>
      </x:c>
      <x:c r="E16" s="38"/>
      <x:c r="F16" s="38"/>
      <x:c r="G16" s="38"/>
      <x:c r="H16" s="38"/>
    </x:row>
    <x:row r="17" ht="20" customHeight="1">
      <x:c r="A17" s="3" t="str">
        <x:v>Benefits / base pay</x:v>
      </x:c>
      <x:c r="B17" s="45" t="n">
        <x:v>0.18</x:v>
      </x:c>
      <x:c r="C17" s="3" t="str">
        <x:v>%</x:v>
      </x:c>
      <x:c r="D17" s="37" t="str">
        <x:v>Benefits load</x:v>
      </x:c>
      <x:c r="E17" s="38"/>
      <x:c r="F17" s="38"/>
      <x:c r="G17" s="38"/>
      <x:c r="H17" s="38"/>
    </x:row>
    <x:row r="18" ht="20" customHeight="1">
      <x:c r="A18" s="3" t="str">
        <x:v>Bonus / base pay</x:v>
      </x:c>
      <x:c r="B18" s="45" t="n">
        <x:v>0.1</x:v>
      </x:c>
      <x:c r="C18" s="3" t="str">
        <x:v>%</x:v>
      </x:c>
      <x:c r="D18" s="37" t="str">
        <x:v>Target bonus load</x:v>
      </x:c>
      <x:c r="E18" s="38"/>
      <x:c r="F18" s="38"/>
      <x:c r="G18" s="38"/>
      <x:c r="H18" s="38"/>
    </x:row>
    <x:row r="19" ht="20" customHeight="1">
      <x:c r="A19" s="3" t="str">
        <x:v>Payroll tax / base pay</x:v>
      </x:c>
      <x:c r="B19" s="45" t="n">
        <x:v>0.08</x:v>
      </x:c>
      <x:c r="C19" s="3" t="str">
        <x:v>%</x:v>
      </x:c>
      <x:c r="D19" s="37" t="str">
        <x:v>Employer payroll tax</x:v>
      </x:c>
      <x:c r="E19" s="38"/>
      <x:c r="F19" s="38"/>
      <x:c r="G19" s="38"/>
      <x:c r="H19" s="38"/>
    </x:row>
    <x:row r="20" ht="20" customHeight="1">
      <x:c r="A20" s="26" t="str">
        <x:v>BUDGET &amp; CAPACITY</x:v>
      </x:c>
      <x:c r="B20" s="26"/>
      <x:c r="C20" s="26"/>
      <x:c r="D20" s="26"/>
      <x:c r="E20" s="26"/>
      <x:c r="F20" s="26"/>
      <x:c r="G20" s="26"/>
      <x:c r="H20" s="26"/>
    </x:row>
    <x:row r="21" ht="20" customHeight="1">
      <x:c r="A21" s="28" t="str">
        <x:v>Input</x:v>
      </x:c>
      <x:c r="B21" s="28" t="str">
        <x:v>Value</x:v>
      </x:c>
      <x:c r="C21" s="28" t="str">
        <x:v>Unit</x:v>
      </x:c>
      <x:c r="D21" s="28" t="str">
        <x:v>Purpose</x:v>
      </x:c>
      <x:c r="E21" s="28"/>
      <x:c r="F21" s="28"/>
      <x:c r="G21" s="28"/>
      <x:c r="H21" s="28"/>
    </x:row>
    <x:row r="22" ht="20" customHeight="1">
      <x:c r="A22" s="3" t="str">
        <x:v>Capacity / FTE / month</x:v>
      </x:c>
      <x:c r="B22" s="39" t="n">
        <x:v>100</x:v>
      </x:c>
      <x:c r="C22" s="3" t="str">
        <x:v>Units</x:v>
      </x:c>
      <x:c r="D22" s="37" t="str">
        <x:v>Simple productivity assumption</x:v>
      </x:c>
      <x:c r="E22" s="38"/>
      <x:c r="F22" s="38"/>
      <x:c r="G22" s="38"/>
      <x:c r="H22" s="38"/>
    </x:row>
    <x:row r="23" ht="20" customHeight="1">
      <x:c r="A23" s="3" t="str">
        <x:v>Personnel cost budget</x:v>
      </x:c>
      <x:c r="B23" s="42" t="n">
        <x:v>6500</x:v>
      </x:c>
      <x:c r="C23" s="3" t="str">
        <x:v>LCY000</x:v>
      </x:c>
      <x:c r="D23" s="37" t="str">
        <x:v>Approved annual budget</x:v>
      </x:c>
      <x:c r="E23" s="38"/>
      <x:c r="F23" s="38"/>
      <x:c r="G23" s="38"/>
      <x:c r="H23" s="38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54" t="str">
        <x:v>Synthetic example. Replace only the blue values, trace the calculation on Model, then review Results and Checks.</x:v>
      </x:c>
      <x:c r="B25" s="55"/>
      <x:c r="C25" s="55"/>
      <x:c r="D25" s="55"/>
      <x:c r="E25" s="55"/>
      <x:c r="F25" s="55"/>
      <x:c r="G25" s="55"/>
      <x:c r="H25" s="56"/>
    </x:row>
    <x:row r="26" ht="20" customHeight="1">
      <x:c r="A26" s="57"/>
      <x:c r="B26" s="58"/>
      <x:c r="C26" s="58"/>
      <x:c r="D26" s="58"/>
      <x:c r="E26" s="58"/>
      <x:c r="F26" s="58"/>
      <x:c r="G26" s="58"/>
      <x:c r="H26" s="59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</x:row>
    <x:row r="30" ht="20" customHeight="1">
      <x:c r="A30" s="60" t="str">
        <x:v>Headcount &amp; Compensation Plan · 10 editable assumptions · v1.4.0</x:v>
      </x:c>
      <x:c r="B30" s="60"/>
      <x:c r="C30" s="60"/>
      <x:c r="D30" s="60"/>
      <x:c r="E30" s="60"/>
      <x:c r="F30" s="60"/>
      <x:c r="G30" s="60"/>
      <x:c r="H30" s="60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A13:H13"/>
    <x:mergeCell ref="D14:H14"/>
    <x:mergeCell ref="D15:H15"/>
    <x:mergeCell ref="D16:H16"/>
    <x:mergeCell ref="D17:H17"/>
    <x:mergeCell ref="D18:H18"/>
    <x:mergeCell ref="D19:H19"/>
    <x:mergeCell ref="A20:H20"/>
    <x:mergeCell ref="D21:H21"/>
    <x:mergeCell ref="D22:H22"/>
    <x:mergeCell ref="D23:H23"/>
    <x:mergeCell ref="A25:H26"/>
    <x:mergeCell ref="A30:H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7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0" customHeight="1">
      <x:c r="A3" s="9" t="str">
        <x:v>Headcount &amp; Compensation Plan · Twelve-month workforce and compensation plan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2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0" customHeight="1">
      <x:c r="A5" s="106" t="str">
        <x:v>CLOSING HEADCOUNT</x:v>
      </x:c>
      <x:c r="B5" s="107"/>
      <x:c r="C5" s="106" t="str">
        <x:v>PERSONNEL COST</x:v>
      </x:c>
      <x:c r="D5" s="107"/>
      <x:c r="E5" s="106" t="str">
        <x:v>BUDGET VARIANCE</x:v>
      </x:c>
      <x:c r="F5" s="107"/>
      <x:c r="G5" s="106" t="str">
        <x:v>MONTHLY CAPACITY</x:v>
      </x:c>
      <x:c r="H5" s="107"/>
      <x:c r="I5" s="3"/>
      <x:c r="J5" s="3"/>
      <x:c r="K5" s="3"/>
      <x:c r="L5" s="3"/>
      <x:c r="M5" s="3"/>
    </x:row>
    <x:row r="6" ht="20" customHeight="1">
      <x:c r="A6" s="121" t="n">
        <x:f>B31</x:f>
        <x:v>138</x:v>
      </x:c>
      <x:c r="B6" s="122"/>
      <x:c r="C6" s="133" t="n">
        <x:f>B32</x:f>
        <x:v>6631.632000000001</x:v>
      </x:c>
      <x:c r="D6" s="134"/>
      <x:c r="E6" s="133" t="n">
        <x:f>B33</x:f>
        <x:v>-131.63200000000143</x:v>
      </x:c>
      <x:c r="F6" s="134"/>
      <x:c r="G6" s="121" t="n">
        <x:f>B34</x:f>
        <x:v>13800</x:v>
      </x:c>
      <x:c r="H6" s="122"/>
      <x:c r="I6" s="3"/>
      <x:c r="J6" s="3"/>
      <x:c r="K6" s="3"/>
      <x:c r="L6" s="3"/>
      <x:c r="M6" s="3"/>
    </x:row>
    <x:row r="7" ht="20" customHeight="1">
      <x:c r="A7" s="123"/>
      <x:c r="B7" s="124"/>
      <x:c r="C7" s="135"/>
      <x:c r="D7" s="136"/>
      <x:c r="E7" s="135"/>
      <x:c r="F7" s="136"/>
      <x:c r="G7" s="123"/>
      <x:c r="H7" s="124"/>
      <x:c r="I7" s="3"/>
      <x:c r="J7" s="3"/>
      <x:c r="K7" s="3"/>
      <x:c r="L7" s="3"/>
      <x:c r="M7" s="3"/>
    </x:row>
    <x:row r="8" ht="20" customHeight="1">
      <x:c r="A8" s="125"/>
      <x:c r="B8" s="126"/>
      <x:c r="C8" s="137"/>
      <x:c r="D8" s="138"/>
      <x:c r="E8" s="137"/>
      <x:c r="F8" s="138"/>
      <x:c r="G8" s="125"/>
      <x:c r="H8" s="126"/>
      <x:c r="I8" s="3"/>
      <x:c r="J8" s="3"/>
      <x:c r="K8" s="3"/>
      <x:c r="L8" s="3"/>
      <x:c r="M8" s="3"/>
    </x:row>
    <x:row r="9" ht="2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20" customHeight="1">
      <x:c r="A10" s="61" t="str">
        <x:v>MONTHLY HEADCOUNT, COST, AND CAPACITY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</x:row>
    <x:row r="11" ht="20" customHeight="1">
      <x:c r="A11" s="63" t="str">
        <x:v>Metric</x:v>
      </x:c>
      <x:c r="B11" s="62" t="str">
        <x:v>Jan</x:v>
      </x:c>
      <x:c r="C11" s="62" t="str">
        <x:v>Feb</x:v>
      </x:c>
      <x:c r="D11" s="62" t="str">
        <x:v>Mar</x:v>
      </x:c>
      <x:c r="E11" s="62" t="str">
        <x:v>Apr</x:v>
      </x:c>
      <x:c r="F11" s="62" t="str">
        <x:v>May</x:v>
      </x:c>
      <x:c r="G11" s="62" t="str">
        <x:v>Jun</x:v>
      </x:c>
      <x:c r="H11" s="62" t="str">
        <x:v>Jul</x:v>
      </x:c>
      <x:c r="I11" s="62" t="str">
        <x:v>Aug</x:v>
      </x:c>
      <x:c r="J11" s="62" t="str">
        <x:v>Sep</x:v>
      </x:c>
      <x:c r="K11" s="62" t="str">
        <x:v>Oct</x:v>
      </x:c>
      <x:c r="L11" s="62" t="str">
        <x:v>Nov</x:v>
      </x:c>
      <x:c r="M11" s="62" t="str">
        <x:v>Dec</x:v>
      </x:c>
    </x:row>
    <x:row r="12" ht="20" customHeight="1">
      <x:c r="A12" s="29" t="str">
        <x:v>Opening headcount</x:v>
      </x:c>
      <x:c r="B12" s="70" t="n">
        <x:f>'Inputs'!$B$10</x:f>
        <x:v>120</x:v>
      </x:c>
      <x:c r="C12" s="71" t="n">
        <x:f>B15</x:f>
        <x:v>121.5</x:v>
      </x:c>
      <x:c r="D12" s="71" t="n">
        <x:f>C15</x:f>
        <x:v>123</x:v>
      </x:c>
      <x:c r="E12" s="71" t="n">
        <x:f>D15</x:f>
        <x:v>124.5</x:v>
      </x:c>
      <x:c r="F12" s="71" t="n">
        <x:f>E15</x:f>
        <x:v>126</x:v>
      </x:c>
      <x:c r="G12" s="71" t="n">
        <x:f>F15</x:f>
        <x:v>127.5</x:v>
      </x:c>
      <x:c r="H12" s="71" t="n">
        <x:f>G15</x:f>
        <x:v>129</x:v>
      </x:c>
      <x:c r="I12" s="71" t="n">
        <x:f>H15</x:f>
        <x:v>130.5</x:v>
      </x:c>
      <x:c r="J12" s="71" t="n">
        <x:f>I15</x:f>
        <x:v>132</x:v>
      </x:c>
      <x:c r="K12" s="71" t="n">
        <x:f>J15</x:f>
        <x:v>133.5</x:v>
      </x:c>
      <x:c r="L12" s="71" t="n">
        <x:f>K15</x:f>
        <x:v>135</x:v>
      </x:c>
      <x:c r="M12" s="71" t="n">
        <x:f>L15</x:f>
        <x:v>136.5</x:v>
      </x:c>
    </x:row>
    <x:row r="13" ht="20" customHeight="1">
      <x:c r="A13" s="29" t="str">
        <x:v>Planned hires</x:v>
      </x:c>
      <x:c r="B13" s="70" t="n">
        <x:f>'Inputs'!$B$11/12</x:f>
        <x:v>3.75</x:v>
      </x:c>
      <x:c r="C13" s="70" t="n">
        <x:f>'Inputs'!$B$11/12</x:f>
        <x:v>3.75</x:v>
      </x:c>
      <x:c r="D13" s="70" t="n">
        <x:f>'Inputs'!$B$11/12</x:f>
        <x:v>3.75</x:v>
      </x:c>
      <x:c r="E13" s="70" t="n">
        <x:f>'Inputs'!$B$11/12</x:f>
        <x:v>3.75</x:v>
      </x:c>
      <x:c r="F13" s="70" t="n">
        <x:f>'Inputs'!$B$11/12</x:f>
        <x:v>3.75</x:v>
      </x:c>
      <x:c r="G13" s="70" t="n">
        <x:f>'Inputs'!$B$11/12</x:f>
        <x:v>3.75</x:v>
      </x:c>
      <x:c r="H13" s="70" t="n">
        <x:f>'Inputs'!$B$11/12</x:f>
        <x:v>3.75</x:v>
      </x:c>
      <x:c r="I13" s="70" t="n">
        <x:f>'Inputs'!$B$11/12</x:f>
        <x:v>3.75</x:v>
      </x:c>
      <x:c r="J13" s="70" t="n">
        <x:f>'Inputs'!$B$11/12</x:f>
        <x:v>3.75</x:v>
      </x:c>
      <x:c r="K13" s="70" t="n">
        <x:f>'Inputs'!$B$11/12</x:f>
        <x:v>3.75</x:v>
      </x:c>
      <x:c r="L13" s="70" t="n">
        <x:f>'Inputs'!$B$11/12</x:f>
        <x:v>3.75</x:v>
      </x:c>
      <x:c r="M13" s="70" t="n">
        <x:f>'Inputs'!$B$11/12</x:f>
        <x:v>3.75</x:v>
      </x:c>
    </x:row>
    <x:row r="14" ht="20" customHeight="1">
      <x:c r="A14" s="29" t="str">
        <x:v>Planned exits</x:v>
      </x:c>
      <x:c r="B14" s="70" t="n">
        <x:f>-MIN(B12+B13,'Inputs'!$B$12/12)</x:f>
        <x:v>-2.25</x:v>
      </x:c>
      <x:c r="C14" s="70" t="n">
        <x:f>-MIN(C12+C13,'Inputs'!$B$12/12)</x:f>
        <x:v>-2.25</x:v>
      </x:c>
      <x:c r="D14" s="70" t="n">
        <x:f>-MIN(D12+D13,'Inputs'!$B$12/12)</x:f>
        <x:v>-2.25</x:v>
      </x:c>
      <x:c r="E14" s="70" t="n">
        <x:f>-MIN(E12+E13,'Inputs'!$B$12/12)</x:f>
        <x:v>-2.25</x:v>
      </x:c>
      <x:c r="F14" s="70" t="n">
        <x:f>-MIN(F12+F13,'Inputs'!$B$12/12)</x:f>
        <x:v>-2.25</x:v>
      </x:c>
      <x:c r="G14" s="70" t="n">
        <x:f>-MIN(G12+G13,'Inputs'!$B$12/12)</x:f>
        <x:v>-2.25</x:v>
      </x:c>
      <x:c r="H14" s="70" t="n">
        <x:f>-MIN(H12+H13,'Inputs'!$B$12/12)</x:f>
        <x:v>-2.25</x:v>
      </x:c>
      <x:c r="I14" s="70" t="n">
        <x:f>-MIN(I12+I13,'Inputs'!$B$12/12)</x:f>
        <x:v>-2.25</x:v>
      </x:c>
      <x:c r="J14" s="70" t="n">
        <x:f>-MIN(J12+J13,'Inputs'!$B$12/12)</x:f>
        <x:v>-2.25</x:v>
      </x:c>
      <x:c r="K14" s="70" t="n">
        <x:f>-MIN(K12+K13,'Inputs'!$B$12/12)</x:f>
        <x:v>-2.25</x:v>
      </x:c>
      <x:c r="L14" s="70" t="n">
        <x:f>-MIN(L12+L13,'Inputs'!$B$12/12)</x:f>
        <x:v>-2.25</x:v>
      </x:c>
      <x:c r="M14" s="70" t="n">
        <x:f>-MIN(M12+M13,'Inputs'!$B$12/12)</x:f>
        <x:v>-2.25</x:v>
      </x:c>
    </x:row>
    <x:row r="15" ht="20" customHeight="1">
      <x:c r="A15" s="11" t="str">
        <x:v>Closing headcount</x:v>
      </x:c>
      <x:c r="B15" s="75" t="n">
        <x:f>SUM(B12:B14)</x:f>
        <x:v>121.5</x:v>
      </x:c>
      <x:c r="C15" s="75" t="n">
        <x:f>SUM(C12:C14)</x:f>
        <x:v>123</x:v>
      </x:c>
      <x:c r="D15" s="75" t="n">
        <x:f>SUM(D12:D14)</x:f>
        <x:v>124.5</x:v>
      </x:c>
      <x:c r="E15" s="75" t="n">
        <x:f>SUM(E12:E14)</x:f>
        <x:v>126</x:v>
      </x:c>
      <x:c r="F15" s="75" t="n">
        <x:f>SUM(F12:F14)</x:f>
        <x:v>127.5</x:v>
      </x:c>
      <x:c r="G15" s="75" t="n">
        <x:f>SUM(G12:G14)</x:f>
        <x:v>129</x:v>
      </x:c>
      <x:c r="H15" s="75" t="n">
        <x:f>SUM(H12:H14)</x:f>
        <x:v>130.5</x:v>
      </x:c>
      <x:c r="I15" s="75" t="n">
        <x:f>SUM(I12:I14)</x:f>
        <x:v>132</x:v>
      </x:c>
      <x:c r="J15" s="75" t="n">
        <x:f>SUM(J12:J14)</x:f>
        <x:v>133.5</x:v>
      </x:c>
      <x:c r="K15" s="75" t="n">
        <x:f>SUM(K12:K14)</x:f>
        <x:v>135</x:v>
      </x:c>
      <x:c r="L15" s="75" t="n">
        <x:f>SUM(L12:L14)</x:f>
        <x:v>136.5</x:v>
      </x:c>
      <x:c r="M15" s="75" t="n">
        <x:f>SUM(M12:M14)</x:f>
        <x:v>138</x:v>
      </x:c>
    </x:row>
    <x:row r="16" ht="20" customHeight="1">
      <x:c r="A16" s="29" t="str">
        <x:v>Average headcount</x:v>
      </x:c>
      <x:c r="B16" s="71" t="n">
        <x:f>AVERAGE(B12,B15)</x:f>
        <x:v>120.75</x:v>
      </x:c>
      <x:c r="C16" s="71" t="n">
        <x:f>AVERAGE(C12,C15)</x:f>
        <x:v>122.25</x:v>
      </x:c>
      <x:c r="D16" s="71" t="n">
        <x:f>AVERAGE(D12,D15)</x:f>
        <x:v>123.75</x:v>
      </x:c>
      <x:c r="E16" s="71" t="n">
        <x:f>AVERAGE(E12,E15)</x:f>
        <x:v>125.25</x:v>
      </x:c>
      <x:c r="F16" s="71" t="n">
        <x:f>AVERAGE(F12,F15)</x:f>
        <x:v>126.75</x:v>
      </x:c>
      <x:c r="G16" s="71" t="n">
        <x:f>AVERAGE(G12,G15)</x:f>
        <x:v>128.25</x:v>
      </x:c>
      <x:c r="H16" s="71" t="n">
        <x:f>AVERAGE(H12,H15)</x:f>
        <x:v>129.75</x:v>
      </x:c>
      <x:c r="I16" s="71" t="n">
        <x:f>AVERAGE(I12,I15)</x:f>
        <x:v>131.25</x:v>
      </x:c>
      <x:c r="J16" s="71" t="n">
        <x:f>AVERAGE(J12,J15)</x:f>
        <x:v>132.75</x:v>
      </x:c>
      <x:c r="K16" s="71" t="n">
        <x:f>AVERAGE(K12,K15)</x:f>
        <x:v>134.25</x:v>
      </x:c>
      <x:c r="L16" s="71" t="n">
        <x:f>AVERAGE(L12,L15)</x:f>
        <x:v>135.75</x:v>
      </x:c>
      <x:c r="M16" s="71" t="n">
        <x:f>AVERAGE(M12,M15)</x:f>
        <x:v>137.25</x:v>
      </x:c>
    </x:row>
    <x:row r="17" ht="20" customHeight="1">
      <x:c r="A17" s="29" t="str">
        <x:v>Monthly salary / FTE</x:v>
      </x:c>
      <x:c r="B17" s="78" t="n">
        <x:f>'Inputs'!$B$15*(1+'Inputs'!$B$16)/12</x:f>
        <x:v>3.1500000000000004</x:v>
      </x:c>
      <x:c r="C17" s="78" t="n">
        <x:f>'Inputs'!$B$15*(1+'Inputs'!$B$16)/12</x:f>
        <x:v>3.1500000000000004</x:v>
      </x:c>
      <x:c r="D17" s="78" t="n">
        <x:f>'Inputs'!$B$15*(1+'Inputs'!$B$16)/12</x:f>
        <x:v>3.1500000000000004</x:v>
      </x:c>
      <x:c r="E17" s="78" t="n">
        <x:f>'Inputs'!$B$15*(1+'Inputs'!$B$16)/12</x:f>
        <x:v>3.1500000000000004</x:v>
      </x:c>
      <x:c r="F17" s="78" t="n">
        <x:f>'Inputs'!$B$15*(1+'Inputs'!$B$16)/12</x:f>
        <x:v>3.1500000000000004</x:v>
      </x:c>
      <x:c r="G17" s="78" t="n">
        <x:f>'Inputs'!$B$15*(1+'Inputs'!$B$16)/12</x:f>
        <x:v>3.1500000000000004</x:v>
      </x:c>
      <x:c r="H17" s="78" t="n">
        <x:f>'Inputs'!$B$15*(1+'Inputs'!$B$16)/12</x:f>
        <x:v>3.1500000000000004</x:v>
      </x:c>
      <x:c r="I17" s="78" t="n">
        <x:f>'Inputs'!$B$15*(1+'Inputs'!$B$16)/12</x:f>
        <x:v>3.1500000000000004</x:v>
      </x:c>
      <x:c r="J17" s="78" t="n">
        <x:f>'Inputs'!$B$15*(1+'Inputs'!$B$16)/12</x:f>
        <x:v>3.1500000000000004</x:v>
      </x:c>
      <x:c r="K17" s="78" t="n">
        <x:f>'Inputs'!$B$15*(1+'Inputs'!$B$16)/12</x:f>
        <x:v>3.1500000000000004</x:v>
      </x:c>
      <x:c r="L17" s="78" t="n">
        <x:f>'Inputs'!$B$15*(1+'Inputs'!$B$16)/12</x:f>
        <x:v>3.1500000000000004</x:v>
      </x:c>
      <x:c r="M17" s="78" t="n">
        <x:f>'Inputs'!$B$15*(1+'Inputs'!$B$16)/12</x:f>
        <x:v>3.1500000000000004</x:v>
      </x:c>
    </x:row>
    <x:row r="18" ht="20" customHeight="1">
      <x:c r="A18" s="29" t="str">
        <x:v>Base pay</x:v>
      </x:c>
      <x:c r="B18" s="81" t="n">
        <x:f>B16*B17</x:f>
        <x:v>380.36250000000007</x:v>
      </x:c>
      <x:c r="C18" s="81" t="n">
        <x:f>C16*C17</x:f>
        <x:v>385.08750000000003</x:v>
      </x:c>
      <x:c r="D18" s="81" t="n">
        <x:f>D16*D17</x:f>
        <x:v>389.81250000000006</x:v>
      </x:c>
      <x:c r="E18" s="81" t="n">
        <x:f>E16*E17</x:f>
        <x:v>394.5375</x:v>
      </x:c>
      <x:c r="F18" s="81" t="n">
        <x:f>F16*F17</x:f>
        <x:v>399.26250000000005</x:v>
      </x:c>
      <x:c r="G18" s="81" t="n">
        <x:f>G16*G17</x:f>
        <x:v>403.98750000000007</x:v>
      </x:c>
      <x:c r="H18" s="81" t="n">
        <x:f>H16*H17</x:f>
        <x:v>408.71250000000003</x:v>
      </x:c>
      <x:c r="I18" s="81" t="n">
        <x:f>I16*I17</x:f>
        <x:v>413.43750000000006</x:v>
      </x:c>
      <x:c r="J18" s="81" t="n">
        <x:f>J16*J17</x:f>
        <x:v>418.1625</x:v>
      </x:c>
      <x:c r="K18" s="81" t="n">
        <x:f>K16*K17</x:f>
        <x:v>422.88750000000005</x:v>
      </x:c>
      <x:c r="L18" s="81" t="n">
        <x:f>L16*L17</x:f>
        <x:v>427.61250000000007</x:v>
      </x:c>
      <x:c r="M18" s="81" t="n">
        <x:f>M16*M17</x:f>
        <x:v>432.33750000000003</x:v>
      </x:c>
    </x:row>
    <x:row r="19" ht="20" customHeight="1">
      <x:c r="A19" s="29" t="str">
        <x:v>Benefits</x:v>
      </x:c>
      <x:c r="B19" s="78" t="n">
        <x:f>B18*'Inputs'!$B$17</x:f>
        <x:v>68.46525000000001</x:v>
      </x:c>
      <x:c r="C19" s="78" t="n">
        <x:f>C18*'Inputs'!$B$17</x:f>
        <x:v>69.31575000000001</x:v>
      </x:c>
      <x:c r="D19" s="78" t="n">
        <x:f>D18*'Inputs'!$B$17</x:f>
        <x:v>70.16625</x:v>
      </x:c>
      <x:c r="E19" s="78" t="n">
        <x:f>E18*'Inputs'!$B$17</x:f>
        <x:v>71.01675</x:v>
      </x:c>
      <x:c r="F19" s="78" t="n">
        <x:f>F18*'Inputs'!$B$17</x:f>
        <x:v>71.86725</x:v>
      </x:c>
      <x:c r="G19" s="78" t="n">
        <x:f>G18*'Inputs'!$B$17</x:f>
        <x:v>72.71775000000001</x:v>
      </x:c>
      <x:c r="H19" s="78" t="n">
        <x:f>H18*'Inputs'!$B$17</x:f>
        <x:v>73.56825</x:v>
      </x:c>
      <x:c r="I19" s="78" t="n">
        <x:f>I18*'Inputs'!$B$17</x:f>
        <x:v>74.41875</x:v>
      </x:c>
      <x:c r="J19" s="78" t="n">
        <x:f>J18*'Inputs'!$B$17</x:f>
        <x:v>75.26925</x:v>
      </x:c>
      <x:c r="K19" s="78" t="n">
        <x:f>K18*'Inputs'!$B$17</x:f>
        <x:v>76.11975000000001</x:v>
      </x:c>
      <x:c r="L19" s="78" t="n">
        <x:f>L18*'Inputs'!$B$17</x:f>
        <x:v>76.97025000000001</x:v>
      </x:c>
      <x:c r="M19" s="78" t="n">
        <x:f>M18*'Inputs'!$B$17</x:f>
        <x:v>77.82075</x:v>
      </x:c>
    </x:row>
    <x:row r="20" ht="20" customHeight="1">
      <x:c r="A20" s="29" t="str">
        <x:v>Bonus</x:v>
      </x:c>
      <x:c r="B20" s="78" t="n">
        <x:f>B18*'Inputs'!$B$18</x:f>
        <x:v>38.03625000000001</x:v>
      </x:c>
      <x:c r="C20" s="78" t="n">
        <x:f>C18*'Inputs'!$B$18</x:f>
        <x:v>38.508750000000006</x:v>
      </x:c>
      <x:c r="D20" s="78" t="n">
        <x:f>D18*'Inputs'!$B$18</x:f>
        <x:v>38.98125000000001</x:v>
      </x:c>
      <x:c r="E20" s="78" t="n">
        <x:f>E18*'Inputs'!$B$18</x:f>
        <x:v>39.45375000000001</x:v>
      </x:c>
      <x:c r="F20" s="78" t="n">
        <x:f>F18*'Inputs'!$B$18</x:f>
        <x:v>39.92625000000001</x:v>
      </x:c>
      <x:c r="G20" s="78" t="n">
        <x:f>G18*'Inputs'!$B$18</x:f>
        <x:v>40.39875000000001</x:v>
      </x:c>
      <x:c r="H20" s="78" t="n">
        <x:f>H18*'Inputs'!$B$18</x:f>
        <x:v>40.87125</x:v>
      </x:c>
      <x:c r="I20" s="78" t="n">
        <x:f>I18*'Inputs'!$B$18</x:f>
        <x:v>41.34375000000001</x:v>
      </x:c>
      <x:c r="J20" s="78" t="n">
        <x:f>J18*'Inputs'!$B$18</x:f>
        <x:v>41.816250000000004</x:v>
      </x:c>
      <x:c r="K20" s="78" t="n">
        <x:f>K18*'Inputs'!$B$18</x:f>
        <x:v>42.28875000000001</x:v>
      </x:c>
      <x:c r="L20" s="78" t="n">
        <x:f>L18*'Inputs'!$B$18</x:f>
        <x:v>42.76125000000001</x:v>
      </x:c>
      <x:c r="M20" s="78" t="n">
        <x:f>M18*'Inputs'!$B$18</x:f>
        <x:v>43.23375000000001</x:v>
      </x:c>
    </x:row>
    <x:row r="21" ht="20" customHeight="1">
      <x:c r="A21" s="29" t="str">
        <x:v>Payroll tax</x:v>
      </x:c>
      <x:c r="B21" s="78" t="n">
        <x:f>B18*'Inputs'!$B$19</x:f>
        <x:v>30.429000000000006</x:v>
      </x:c>
      <x:c r="C21" s="78" t="n">
        <x:f>C18*'Inputs'!$B$19</x:f>
        <x:v>30.807000000000002</x:v>
      </x:c>
      <x:c r="D21" s="78" t="n">
        <x:f>D18*'Inputs'!$B$19</x:f>
        <x:v>31.185000000000006</x:v>
      </x:c>
      <x:c r="E21" s="78" t="n">
        <x:f>E18*'Inputs'!$B$19</x:f>
        <x:v>31.563000000000002</x:v>
      </x:c>
      <x:c r="F21" s="78" t="n">
        <x:f>F18*'Inputs'!$B$19</x:f>
        <x:v>31.941000000000006</x:v>
      </x:c>
      <x:c r="G21" s="78" t="n">
        <x:f>G18*'Inputs'!$B$19</x:f>
        <x:v>32.319</x:v>
      </x:c>
      <x:c r="H21" s="78" t="n">
        <x:f>H18*'Inputs'!$B$19</x:f>
        <x:v>32.697</x:v>
      </x:c>
      <x:c r="I21" s="78" t="n">
        <x:f>I18*'Inputs'!$B$19</x:f>
        <x:v>33.075</x:v>
      </x:c>
      <x:c r="J21" s="78" t="n">
        <x:f>J18*'Inputs'!$B$19</x:f>
        <x:v>33.453</x:v>
      </x:c>
      <x:c r="K21" s="78" t="n">
        <x:f>K18*'Inputs'!$B$19</x:f>
        <x:v>33.831</x:v>
      </x:c>
      <x:c r="L21" s="78" t="n">
        <x:f>L18*'Inputs'!$B$19</x:f>
        <x:v>34.209</x:v>
      </x:c>
      <x:c r="M21" s="78" t="n">
        <x:f>M18*'Inputs'!$B$19</x:f>
        <x:v>34.587</x:v>
      </x:c>
    </x:row>
    <x:row r="22" ht="20" customHeight="1">
      <x:c r="A22" s="11" t="str">
        <x:v>Total personnel cost</x:v>
      </x:c>
      <x:c r="B22" s="84" t="n">
        <x:f>SUM(B18:B21)</x:f>
        <x:v>517.2930000000001</x:v>
      </x:c>
      <x:c r="C22" s="84" t="n">
        <x:f>SUM(C18:C21)</x:f>
        <x:v>523.719</x:v>
      </x:c>
      <x:c r="D22" s="84" t="n">
        <x:f>SUM(D18:D21)</x:f>
        <x:v>530.1450000000001</x:v>
      </x:c>
      <x:c r="E22" s="84" t="n">
        <x:f>SUM(E18:E21)</x:f>
        <x:v>536.571</x:v>
      </x:c>
      <x:c r="F22" s="84" t="n">
        <x:f>SUM(F18:F21)</x:f>
        <x:v>542.9970000000001</x:v>
      </x:c>
      <x:c r="G22" s="84" t="n">
        <x:f>SUM(G18:G21)</x:f>
        <x:v>549.423</x:v>
      </x:c>
      <x:c r="H22" s="84" t="n">
        <x:f>SUM(H18:H21)</x:f>
        <x:v>555.849</x:v>
      </x:c>
      <x:c r="I22" s="84" t="n">
        <x:f>SUM(I18:I21)</x:f>
        <x:v>562.2750000000001</x:v>
      </x:c>
      <x:c r="J22" s="84" t="n">
        <x:f>SUM(J18:J21)</x:f>
        <x:v>568.701</x:v>
      </x:c>
      <x:c r="K22" s="84" t="n">
        <x:f>SUM(K18:K21)</x:f>
        <x:v>575.1270000000001</x:v>
      </x:c>
      <x:c r="L22" s="84" t="n">
        <x:f>SUM(L18:L21)</x:f>
        <x:v>581.5530000000001</x:v>
      </x:c>
      <x:c r="M22" s="84" t="n">
        <x:f>SUM(M18:M21)</x:f>
        <x:v>587.979</x:v>
      </x:c>
    </x:row>
    <x:row r="23" ht="20" customHeight="1">
      <x:c r="A23" s="29" t="str">
        <x:v>Monthly cost budget</x:v>
      </x:c>
      <x:c r="B23" s="78" t="n">
        <x:f>'Inputs'!$B$23/12</x:f>
        <x:v>541.6666666666666</x:v>
      </x:c>
      <x:c r="C23" s="78" t="n">
        <x:f>'Inputs'!$B$23/12</x:f>
        <x:v>541.6666666666666</x:v>
      </x:c>
      <x:c r="D23" s="78" t="n">
        <x:f>'Inputs'!$B$23/12</x:f>
        <x:v>541.6666666666666</x:v>
      </x:c>
      <x:c r="E23" s="78" t="n">
        <x:f>'Inputs'!$B$23/12</x:f>
        <x:v>541.6666666666666</x:v>
      </x:c>
      <x:c r="F23" s="78" t="n">
        <x:f>'Inputs'!$B$23/12</x:f>
        <x:v>541.6666666666666</x:v>
      </x:c>
      <x:c r="G23" s="78" t="n">
        <x:f>'Inputs'!$B$23/12</x:f>
        <x:v>541.6666666666666</x:v>
      </x:c>
      <x:c r="H23" s="78" t="n">
        <x:f>'Inputs'!$B$23/12</x:f>
        <x:v>541.6666666666666</x:v>
      </x:c>
      <x:c r="I23" s="78" t="n">
        <x:f>'Inputs'!$B$23/12</x:f>
        <x:v>541.6666666666666</x:v>
      </x:c>
      <x:c r="J23" s="78" t="n">
        <x:f>'Inputs'!$B$23/12</x:f>
        <x:v>541.6666666666666</x:v>
      </x:c>
      <x:c r="K23" s="78" t="n">
        <x:f>'Inputs'!$B$23/12</x:f>
        <x:v>541.6666666666666</x:v>
      </x:c>
      <x:c r="L23" s="78" t="n">
        <x:f>'Inputs'!$B$23/12</x:f>
        <x:v>541.6666666666666</x:v>
      </x:c>
      <x:c r="M23" s="78" t="n">
        <x:f>'Inputs'!$B$23/12</x:f>
        <x:v>541.6666666666666</x:v>
      </x:c>
    </x:row>
    <x:row r="24" ht="20" customHeight="1">
      <x:c r="A24" s="11" t="str">
        <x:v>Budget variance</x:v>
      </x:c>
      <x:c r="B24" s="84" t="n">
        <x:f>B23-B22</x:f>
        <x:v>24.37366666666651</x:v>
      </x:c>
      <x:c r="C24" s="84" t="n">
        <x:f>C23-C22</x:f>
        <x:v>17.947666666666578</x:v>
      </x:c>
      <x:c r="D24" s="84" t="n">
        <x:f>D23-D22</x:f>
        <x:v>11.521666666666533</x:v>
      </x:c>
      <x:c r="E24" s="84" t="n">
        <x:f>E23-E22</x:f>
        <x:v>5.095666666666602</x:v>
      </x:c>
      <x:c r="F24" s="84" t="n">
        <x:f>F23-F22</x:f>
        <x:v>-1.3303333333334422</x:v>
      </x:c>
      <x:c r="G24" s="84" t="n">
        <x:f>G23-G22</x:f>
        <x:v>-7.756333333333373</x:v>
      </x:c>
      <x:c r="H24" s="84" t="n">
        <x:f>H23-H22</x:f>
        <x:v>-14.182333333333418</x:v>
      </x:c>
      <x:c r="I24" s="84" t="n">
        <x:f>I23-I22</x:f>
        <x:v>-20.608333333333462</x:v>
      </x:c>
      <x:c r="J24" s="84" t="n">
        <x:f>J23-J22</x:f>
        <x:v>-27.034333333333393</x:v>
      </x:c>
      <x:c r="K24" s="84" t="n">
        <x:f>K23-K22</x:f>
        <x:v>-33.46033333333344</x:v>
      </x:c>
      <x:c r="L24" s="84" t="n">
        <x:f>L23-L22</x:f>
        <x:v>-39.88633333333348</x:v>
      </x:c>
      <x:c r="M24" s="84" t="n">
        <x:f>M23-M22</x:f>
        <x:v>-46.31233333333341</x:v>
      </x:c>
    </x:row>
    <x:row r="25" ht="20" customHeight="1">
      <x:c r="A25" s="29" t="str">
        <x:v>Monthly capacity</x:v>
      </x:c>
      <x:c r="B25" s="87" t="n">
        <x:f>MAX(0,B15)*'Inputs'!$B$22</x:f>
        <x:v>12150</x:v>
      </x:c>
      <x:c r="C25" s="87" t="n">
        <x:f>MAX(0,C15)*'Inputs'!$B$22</x:f>
        <x:v>12300</x:v>
      </x:c>
      <x:c r="D25" s="87" t="n">
        <x:f>MAX(0,D15)*'Inputs'!$B$22</x:f>
        <x:v>12450</x:v>
      </x:c>
      <x:c r="E25" s="87" t="n">
        <x:f>MAX(0,E15)*'Inputs'!$B$22</x:f>
        <x:v>12600</x:v>
      </x:c>
      <x:c r="F25" s="87" t="n">
        <x:f>MAX(0,F15)*'Inputs'!$B$22</x:f>
        <x:v>12750</x:v>
      </x:c>
      <x:c r="G25" s="87" t="n">
        <x:f>MAX(0,G15)*'Inputs'!$B$22</x:f>
        <x:v>12900</x:v>
      </x:c>
      <x:c r="H25" s="87" t="n">
        <x:f>MAX(0,H15)*'Inputs'!$B$22</x:f>
        <x:v>13050</x:v>
      </x:c>
      <x:c r="I25" s="87" t="n">
        <x:f>MAX(0,I15)*'Inputs'!$B$22</x:f>
        <x:v>13200</x:v>
      </x:c>
      <x:c r="J25" s="87" t="n">
        <x:f>MAX(0,J15)*'Inputs'!$B$22</x:f>
        <x:v>13350</x:v>
      </x:c>
      <x:c r="K25" s="87" t="n">
        <x:f>MAX(0,K15)*'Inputs'!$B$22</x:f>
        <x:v>13500</x:v>
      </x:c>
      <x:c r="L25" s="87" t="n">
        <x:f>MAX(0,L15)*'Inputs'!$B$22</x:f>
        <x:v>13650</x:v>
      </x:c>
      <x:c r="M25" s="87" t="n">
        <x:f>MAX(0,M15)*'Inputs'!$B$22</x:f>
        <x:v>13800</x:v>
      </x:c>
    </x:row>
    <x:row r="26" ht="20" customHeight="1">
      <x:c r="A26" s="11" t="str">
        <x:v>Cumulative personnel cost</x:v>
      </x:c>
      <x:c r="B26" s="84" t="n">
        <x:f>B22</x:f>
        <x:v>517.2930000000001</x:v>
      </x:c>
      <x:c r="C26" s="84" t="n">
        <x:f>B26+C22</x:f>
        <x:v>1041.0120000000002</x:v>
      </x:c>
      <x:c r="D26" s="84" t="n">
        <x:f>C26+D22</x:f>
        <x:v>1571.1570000000002</x:v>
      </x:c>
      <x:c r="E26" s="84" t="n">
        <x:f>D26+E22</x:f>
        <x:v>2107.728</x:v>
      </x:c>
      <x:c r="F26" s="84" t="n">
        <x:f>E26+F22</x:f>
        <x:v>2650.7250000000004</x:v>
      </x:c>
      <x:c r="G26" s="84" t="n">
        <x:f>F26+G22</x:f>
        <x:v>3200.148</x:v>
      </x:c>
      <x:c r="H26" s="84" t="n">
        <x:f>G26+H22</x:f>
        <x:v>3755.9970000000003</x:v>
      </x:c>
      <x:c r="I26" s="84" t="n">
        <x:f>H26+I22</x:f>
        <x:v>4318.272000000001</x:v>
      </x:c>
      <x:c r="J26" s="84" t="n">
        <x:f>I26+J22</x:f>
        <x:v>4886.973000000001</x:v>
      </x:c>
      <x:c r="K26" s="84" t="n">
        <x:f>J26+K22</x:f>
        <x:v>5462.100000000001</x:v>
      </x:c>
      <x:c r="L26" s="84" t="n">
        <x:f>K26+L22</x:f>
        <x:v>6043.653000000001</x:v>
      </x:c>
      <x:c r="M26" s="84" t="n">
        <x:f>L26+M22</x:f>
        <x:v>6631.632000000001</x:v>
      </x:c>
    </x:row>
    <x:row r="27" ht="2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20" customHeight="1">
      <x:c r="A29" s="61" t="str">
        <x:v>ANNUAL SUMMARY</x:v>
      </x:c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</x:row>
    <x:row r="30" ht="20" customHeight="1">
      <x:c r="A30" s="28" t="str">
        <x:v>Metric</x:v>
      </x:c>
      <x:c r="B30" s="28" t="str">
        <x:v>Value</x:v>
      </x:c>
      <x:c r="C30" s="28" t="str">
        <x:v>Unit</x:v>
      </x:c>
      <x:c r="D30" s="88" t="str">
        <x:v>Notes</x:v>
      </x:c>
      <x:c r="E30" s="89"/>
      <x:c r="F30" s="89"/>
      <x:c r="G30" s="89"/>
      <x:c r="H30" s="89"/>
      <x:c r="I30" s="3"/>
      <x:c r="J30" s="3"/>
      <x:c r="K30" s="3"/>
      <x:c r="L30" s="3"/>
      <x:c r="M30" s="3"/>
    </x:row>
    <x:row r="31" ht="20" customHeight="1">
      <x:c r="A31" s="11" t="str">
        <x:v>Closing headcount</x:v>
      </x:c>
      <x:c r="B31" s="75" t="n">
        <x:f>M15</x:f>
        <x:v>138</x:v>
      </x:c>
      <x:c r="C31" s="11" t="str">
        <x:v>FTE</x:v>
      </x:c>
      <x:c r="D31" s="94" t="str">
        <x:v>December closing FTE</x:v>
      </x:c>
      <x:c r="E31" s="95"/>
      <x:c r="F31" s="95"/>
      <x:c r="G31" s="95"/>
      <x:c r="H31" s="95"/>
      <x:c r="I31" s="3"/>
      <x:c r="J31" s="3"/>
      <x:c r="K31" s="3"/>
      <x:c r="L31" s="3"/>
      <x:c r="M31" s="3"/>
    </x:row>
    <x:row r="32" ht="20" customHeight="1">
      <x:c r="A32" s="11" t="str">
        <x:v>Total personnel cost</x:v>
      </x:c>
      <x:c r="B32" s="84" t="n">
        <x:f>SUM(B22:M22)</x:f>
        <x:v>6631.632000000001</x:v>
      </x:c>
      <x:c r="C32" s="11" t="str">
        <x:v>LCY000</x:v>
      </x:c>
      <x:c r="D32" s="94" t="str">
        <x:v>Sum of monthly cost</x:v>
      </x:c>
      <x:c r="E32" s="95"/>
      <x:c r="F32" s="95"/>
      <x:c r="G32" s="95"/>
      <x:c r="H32" s="95"/>
      <x:c r="I32" s="3"/>
      <x:c r="J32" s="3"/>
      <x:c r="K32" s="3"/>
      <x:c r="L32" s="3"/>
      <x:c r="M32" s="3"/>
    </x:row>
    <x:row r="33" ht="20" customHeight="1">
      <x:c r="A33" s="11" t="str">
        <x:v>Annual budget variance</x:v>
      </x:c>
      <x:c r="B33" s="99" t="n">
        <x:f>'Inputs'!$B$23-B32</x:f>
        <x:v>-131.63200000000143</x:v>
      </x:c>
      <x:c r="C33" s="11" t="str">
        <x:v>LCY000</x:v>
      </x:c>
      <x:c r="D33" s="94" t="str">
        <x:v>Positive is favorable</x:v>
      </x:c>
      <x:c r="E33" s="95"/>
      <x:c r="F33" s="95"/>
      <x:c r="G33" s="95"/>
      <x:c r="H33" s="95"/>
      <x:c r="I33" s="3"/>
      <x:c r="J33" s="3"/>
      <x:c r="K33" s="3"/>
      <x:c r="L33" s="3"/>
      <x:c r="M33" s="3"/>
    </x:row>
    <x:row r="34" ht="20" customHeight="1">
      <x:c r="A34" s="29" t="str">
        <x:v>Ending monthly capacity</x:v>
      </x:c>
      <x:c r="B34" s="102" t="n">
        <x:f>M25</x:f>
        <x:v>13800</x:v>
      </x:c>
      <x:c r="C34" s="29" t="str">
        <x:v>Units</x:v>
      </x:c>
      <x:c r="D34" s="37" t="str">
        <x:v>December closing FTE × capacity</x:v>
      </x:c>
      <x:c r="E34" s="38"/>
      <x:c r="F34" s="38"/>
      <x:c r="G34" s="38"/>
      <x:c r="H34" s="38"/>
      <x:c r="I34" s="3"/>
      <x:c r="J34" s="3"/>
      <x:c r="K34" s="3"/>
      <x:c r="L34" s="3"/>
      <x:c r="M34" s="3"/>
    </x:row>
    <x:row r="35" ht="20" customHeight="1">
      <x:c r="A35" s="29" t="str">
        <x:v>Planned hires deployed</x:v>
      </x:c>
      <x:c r="B35" s="71" t="n">
        <x:f>SUM(B13:M13)</x:f>
        <x:v>45</x:v>
      </x:c>
      <x:c r="C35" s="29" t="str">
        <x:v>FTE</x:v>
      </x:c>
      <x:c r="D35" s="37" t="str">
        <x:v>Twelve monthly hire allocations</x:v>
      </x:c>
      <x:c r="E35" s="38"/>
      <x:c r="F35" s="38"/>
      <x:c r="G35" s="38"/>
      <x:c r="H35" s="38"/>
      <x:c r="I35" s="3"/>
      <x:c r="J35" s="3"/>
      <x:c r="K35" s="3"/>
      <x:c r="L35" s="3"/>
      <x:c r="M35" s="3"/>
    </x:row>
    <x:row r="36" ht="20" customHeight="1">
      <x:c r="A36" s="29" t="str">
        <x:v>Planned exits deployed</x:v>
      </x:c>
      <x:c r="B36" s="71" t="n">
        <x:f>-SUM(B14:M14)</x:f>
        <x:v>27</x:v>
      </x:c>
      <x:c r="C36" s="29" t="str">
        <x:v>FTE</x:v>
      </x:c>
      <x:c r="D36" s="37" t="str">
        <x:v>Twelve monthly exit allocations</x:v>
      </x:c>
      <x:c r="E36" s="38"/>
      <x:c r="F36" s="38"/>
      <x:c r="G36" s="38"/>
      <x:c r="H36" s="38"/>
      <x:c r="I36" s="3"/>
      <x:c r="J36" s="3"/>
      <x:c r="K36" s="3"/>
      <x:c r="L36" s="3"/>
      <x:c r="M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20" customHeight="1">
      <x:c r="A38" s="152" t="str">
        <x:f>IF(B31&lt;0,"OUTCOME: Exits exceed available headcount.",IF(B33&gt;=0,"OUTCOME: The plan is within budget.","OUTCOME: The plan is over budget."))</x:f>
        <x:v>OUTCOME: The plan is over budget.</x:v>
      </x:c>
      <x:c r="B38" s="153"/>
      <x:c r="C38" s="153"/>
      <x:c r="D38" s="153"/>
      <x:c r="E38" s="153"/>
      <x:c r="F38" s="153"/>
      <x:c r="G38" s="153"/>
      <x:c r="H38" s="153"/>
      <x:c r="I38" s="153"/>
      <x:c r="J38" s="153"/>
      <x:c r="K38" s="153"/>
      <x:c r="L38" s="153"/>
      <x:c r="M38" s="154"/>
    </x:row>
    <x:row r="39" ht="20" customHeight="1">
      <x:c r="A39" s="155"/>
      <x:c r="B39" s="156"/>
      <x:c r="C39" s="156"/>
      <x:c r="D39" s="156"/>
      <x:c r="E39" s="156"/>
      <x:c r="F39" s="156"/>
      <x:c r="G39" s="156"/>
      <x:c r="H39" s="156"/>
      <x:c r="I39" s="156"/>
      <x:c r="J39" s="156"/>
      <x:c r="K39" s="156"/>
      <x:c r="L39" s="156"/>
      <x:c r="M39" s="157"/>
    </x:row>
    <x:row r="40" ht="20" customHeight="1">
      <x:c r="A40" s="60" t="str">
        <x:v>Headcount &amp; Compensation Plan · v1.4.0</x:v>
      </x:c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</x:row>
  </x:sheetData>
  <x:mergeCells>
    <x:mergeCell ref="A1:M2"/>
    <x:mergeCell ref="A3:M3"/>
    <x:mergeCell ref="A10:M10"/>
    <x:mergeCell ref="A29:M29"/>
    <x:mergeCell ref="D30:H30"/>
    <x:mergeCell ref="D31:H31"/>
    <x:mergeCell ref="D32:H32"/>
    <x:mergeCell ref="D33:H33"/>
    <x:mergeCell ref="D34:H34"/>
    <x:mergeCell ref="D35:H35"/>
    <x:mergeCell ref="D36:H36"/>
    <x:mergeCell ref="A5:B5"/>
    <x:mergeCell ref="A6:B8"/>
    <x:mergeCell ref="C5:D5"/>
    <x:mergeCell ref="C6:D8"/>
    <x:mergeCell ref="E5:F5"/>
    <x:mergeCell ref="E6:F8"/>
    <x:mergeCell ref="G5:H5"/>
    <x:mergeCell ref="G6:H8"/>
    <x:mergeCell ref="A38:M39"/>
    <x:mergeCell ref="A40:M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Headcount &amp; Compensation Plan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6" t="str">
        <x:v>CLOSING HEADCOUNT</x:v>
      </x:c>
      <x:c r="B5" s="107"/>
      <x:c r="C5" s="106" t="str">
        <x:v>PERSONNEL COST</x:v>
      </x:c>
      <x:c r="D5" s="107"/>
      <x:c r="E5" s="106" t="str">
        <x:v>BUDGET VARIANCE</x:v>
      </x:c>
      <x:c r="F5" s="107"/>
      <x:c r="G5" s="106" t="str">
        <x:v>MONTHLY CAPACITY</x:v>
      </x:c>
      <x:c r="H5" s="107"/>
    </x:row>
    <x:row r="6" ht="20" customHeight="1">
      <x:c r="A6" s="121" t="n">
        <x:f>'Model'!A6</x:f>
        <x:v>138</x:v>
      </x:c>
      <x:c r="B6" s="122"/>
      <x:c r="C6" s="133" t="n">
        <x:f>'Model'!C6</x:f>
        <x:v>6631.632000000001</x:v>
      </x:c>
      <x:c r="D6" s="134"/>
      <x:c r="E6" s="133" t="n">
        <x:f>'Model'!E6</x:f>
        <x:v>-131.63200000000143</x:v>
      </x:c>
      <x:c r="F6" s="134"/>
      <x:c r="G6" s="121" t="n">
        <x:f>'Model'!G6</x:f>
        <x:v>13800</x:v>
      </x:c>
      <x:c r="H6" s="122"/>
    </x:row>
    <x:row r="7" ht="20" customHeight="1">
      <x:c r="A7" s="123"/>
      <x:c r="B7" s="124"/>
      <x:c r="C7" s="135"/>
      <x:c r="D7" s="136"/>
      <x:c r="E7" s="135"/>
      <x:c r="F7" s="136"/>
      <x:c r="G7" s="123"/>
      <x:c r="H7" s="124"/>
    </x:row>
    <x:row r="8" ht="20" customHeight="1">
      <x:c r="A8" s="125"/>
      <x:c r="B8" s="126"/>
      <x:c r="C8" s="137"/>
      <x:c r="D8" s="138"/>
      <x:c r="E8" s="137"/>
      <x:c r="F8" s="138"/>
      <x:c r="G8" s="125"/>
      <x:c r="H8" s="126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DECISION VIEW</x:v>
      </x:c>
      <x:c r="B10" s="61"/>
      <x:c r="C10" s="61"/>
      <x:c r="D10" s="61"/>
      <x:c r="E10" s="61"/>
      <x:c r="F10" s="61"/>
      <x:c r="G10" s="61"/>
      <x:c r="H10" s="61"/>
    </x:row>
    <x:row r="11" ht="34" customHeight="1">
      <x:c r="A11" s="159" t="str">
        <x:v>CALCULATION STATUS</x:v>
      </x:c>
      <x:c r="B11" s="159"/>
      <x:c r="C11" s="163" t="str">
        <x:f>'Checks'!B4</x:f>
        <x:v>PASS</x:v>
      </x:c>
      <x:c r="D11" s="164"/>
      <x:c r="E11" s="159" t="str">
        <x:v>WORKFORCE OUTCOME</x:v>
      </x:c>
      <x:c r="F11" s="159"/>
      <x:c r="G11" s="169" t="str">
        <x:f>'Model'!A38</x:f>
        <x:v>OUTCOME: The plan is over budget.</x:v>
      </x:c>
      <x:c r="H11" s="170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WHAT IT ANSWERS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178" t="str">
        <x:v>What will the hiring plan cost, and is it within budget?</x:v>
      </x:c>
      <x:c r="B14" s="179"/>
      <x:c r="C14" s="179"/>
      <x:c r="D14" s="179"/>
      <x:c r="E14" s="179"/>
      <x:c r="F14" s="179"/>
      <x:c r="G14" s="179"/>
      <x:c r="H14" s="180"/>
    </x:row>
    <x:row r="15" ht="20" customHeight="1">
      <x:c r="A15" s="181"/>
      <x:c r="B15" s="182"/>
      <x:c r="C15" s="182"/>
      <x:c r="D15" s="182"/>
      <x:c r="E15" s="182"/>
      <x:c r="F15" s="182"/>
      <x:c r="G15" s="182"/>
      <x:c r="H15" s="18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1" t="str">
        <x:v>MODEL DEPTH</x:v>
      </x:c>
      <x:c r="B17" s="61"/>
      <x:c r="C17" s="61"/>
      <x:c r="D17" s="61"/>
      <x:c r="E17" s="61"/>
      <x:c r="F17" s="61"/>
      <x:c r="G17" s="61"/>
      <x:c r="H17" s="61"/>
    </x:row>
    <x:row r="18" ht="20" customHeight="1">
      <x:c r="A18" s="158" t="str">
        <x:v>Forecast</x:v>
      </x:c>
      <x:c r="B18" s="158"/>
      <x:c r="C18" s="171" t="str">
        <x:v>One-year plan</x:v>
      </x:c>
      <x:c r="D18" s="171"/>
      <x:c r="E18" s="171"/>
      <x:c r="F18" s="171"/>
      <x:c r="G18" s="171"/>
      <x:c r="H18" s="171"/>
    </x:row>
    <x:row r="19" ht="20" customHeight="1">
      <x:c r="A19" s="158" t="str">
        <x:v>Editable inputs</x:v>
      </x:c>
      <x:c r="B19" s="158"/>
      <x:c r="C19" s="171" t="str">
        <x:v>10</x:v>
      </x:c>
      <x:c r="D19" s="171"/>
      <x:c r="E19" s="171"/>
      <x:c r="F19" s="171"/>
      <x:c r="G19" s="171"/>
      <x:c r="H19" s="171"/>
    </x:row>
    <x:row r="20" ht="20" customHeight="1">
      <x:c r="A20" s="158" t="str">
        <x:v>Calculation detail</x:v>
      </x:c>
      <x:c r="B20" s="158"/>
      <x:c r="C20" s="171" t="str">
        <x:v>Visible formulas, schedules, roll-forwards, and bridges</x:v>
      </x:c>
      <x:c r="D20" s="171"/>
      <x:c r="E20" s="171"/>
      <x:c r="F20" s="171"/>
      <x:c r="G20" s="171"/>
      <x:c r="H20" s="171"/>
    </x:row>
    <x:row r="21" ht="20" customHeight="1">
      <x:c r="A21" s="158" t="str">
        <x:v>Workbook flow</x:v>
      </x:c>
      <x:c r="B21" s="158"/>
      <x:c r="C21" s="171" t="str">
        <x:v>Start → Inputs → Model → Results → Checks</x:v>
      </x:c>
      <x:c r="D21" s="171"/>
      <x:c r="E21" s="171"/>
      <x:c r="F21" s="171"/>
      <x:c r="G21" s="171"/>
      <x:c r="H21" s="171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1" t="str">
        <x:v>SCOPE</x:v>
      </x:c>
      <x:c r="B23" s="61"/>
      <x:c r="C23" s="61"/>
      <x:c r="D23" s="61"/>
      <x:c r="E23" s="61"/>
      <x:c r="F23" s="61"/>
      <x:c r="G23" s="61"/>
      <x:c r="H23" s="61"/>
    </x:row>
    <x:row r="24" ht="20" customHeight="1">
      <x:c r="A24" s="192" t="str">
        <x:v>Included: Twelve-month headcount roll-forward · Monthly salary, benefit, bonus, and payroll-tax build · Cumulative personnel cost, budget variance, and capacity</x:v>
      </x:c>
      <x:c r="B24" s="193"/>
      <x:c r="C24" s="193"/>
      <x:c r="D24" s="193"/>
      <x:c r="E24" s="193"/>
      <x:c r="F24" s="193"/>
      <x:c r="G24" s="193"/>
      <x:c r="H24" s="194"/>
    </x:row>
    <x:row r="25" ht="20" customHeight="1">
      <x:c r="A25" s="195"/>
      <x:c r="B25" s="196"/>
      <x:c r="C25" s="196"/>
      <x:c r="D25" s="196"/>
      <x:c r="E25" s="196"/>
      <x:c r="F25" s="196"/>
      <x:c r="G25" s="196"/>
      <x:c r="H25" s="197"/>
    </x:row>
    <x:row r="26" ht="20" customHeight="1">
      <x:c r="A26" s="198"/>
      <x:c r="B26" s="199"/>
      <x:c r="C26" s="199"/>
      <x:c r="D26" s="199"/>
      <x:c r="E26" s="199"/>
      <x:c r="F26" s="199"/>
      <x:c r="G26" s="199"/>
      <x:c r="H26" s="200"/>
    </x:row>
    <x:row r="27" ht="20" customHeight="1">
      <x:c r="A27" s="54" t="str">
        <x:v>Outside this model: Employee-level records, exact start dates, countries, HRIS integrations, equity compensation, and multiple scenarios.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204" t="str">
        <x:v>Five visible tabs · No hidden calculations · Calculation status and business outcome are reported separately.</x:v>
      </x:c>
      <x:c r="B29" s="205"/>
      <x:c r="C29" s="205"/>
      <x:c r="D29" s="205"/>
      <x:c r="E29" s="205"/>
      <x:c r="F29" s="205"/>
      <x:c r="G29" s="205"/>
      <x:c r="H29" s="206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Headcount &amp; Compensation Plan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Headcount &amp; Compensation Plan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07" t="str">
        <x:f>IF(COUNTIF(F9:F18,"PASS")=10,"PASS","FAIL")</x:f>
        <x:v>PASS</x:v>
      </x:c>
      <x:c r="C4" s="207"/>
      <x:c r="D4" s="207"/>
      <x:c r="E4" s="207"/>
      <x:c r="F4" s="207"/>
      <x:c r="G4" s="207"/>
      <x:c r="H4" s="207"/>
    </x:row>
    <x:row r="5" ht="20" customHeight="1">
      <x:c r="A5" s="60" t="str">
        <x:v>MODEL STATUS</x:v>
      </x:c>
      <x:c r="B5" s="60"/>
      <x:c r="C5" s="163" t="str">
        <x:f>B4</x:f>
        <x:v>PASS</x:v>
      </x:c>
      <x:c r="D5" s="209"/>
      <x:c r="E5" s="209"/>
      <x:c r="F5" s="209"/>
      <x:c r="G5" s="209"/>
      <x:c r="H5" s="164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1" t="str">
        <x:v>10 CALCULATION CONTROLS</x:v>
      </x:c>
      <x:c r="B7" s="61"/>
      <x:c r="C7" s="61"/>
      <x:c r="D7" s="61"/>
      <x:c r="E7" s="61"/>
      <x:c r="F7" s="61"/>
      <x:c r="G7" s="61"/>
      <x:c r="H7" s="61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96" t="str">
        <x:v>All editable inputs are numeric</x:v>
      </x:c>
      <x:c r="B9" s="212" t="n">
        <x:f>ROUND(COUNT('Inputs'!B10,'Inputs'!B11,'Inputs'!B12,'Inputs'!B15,'Inputs'!B16,'Inputs'!B17,'Inputs'!B18,'Inputs'!B19,'Inputs'!B22,'Inputs'!B23),6)</x:f>
        <x:v>10</x:v>
      </x:c>
      <x:c r="C9" s="212" t="n">
        <x:f>10</x:f>
        <x:v>10</x:v>
      </x:c>
      <x:c r="D9" s="212" t="n">
        <x:f>ROUND(B9-C9,6)</x:f>
        <x:v>0</x:v>
      </x:c>
      <x:c r="E9" s="212" t="n">
        <x:f>0</x:f>
        <x:v>0</x:v>
      </x:c>
      <x:c r="F9" s="213" t="str">
        <x:f>IF(ABS(ROUND(D9,6))&lt;=E9,"PASS","FAIL")</x:f>
        <x:v>PASS</x:v>
      </x:c>
      <x:c r="G9" s="196" t="str">
        <x:v>Complete the blue cells on Inputs</x:v>
      </x:c>
      <x:c r="H9" s="196"/>
    </x:row>
    <x:row r="10" ht="26" customHeight="1">
      <x:c r="A10" s="196" t="str">
        <x:v>Results headline KPIs reconcile to Model</x:v>
      </x:c>
      <x:c r="B10" s="216" t="n">
        <x:f>ROUND(IFERROR(SUM(ABS('Results'!A6-'Model'!A6),ABS('Results'!C6-'Model'!C6),ABS('Results'!E6-'Model'!E6),ABS('Results'!G6-'Model'!G6)),1E+99),6)</x:f>
        <x:v>0</x:v>
      </x:c>
      <x:c r="C10" s="216" t="n">
        <x:f>0</x:f>
        <x:v>0</x:v>
      </x:c>
      <x:c r="D10" s="216" t="n">
        <x:f>ROUND(B10-C10,6)</x:f>
        <x:v>0</x:v>
      </x:c>
      <x:c r="E10" s="216" t="n">
        <x:f>0.0001</x:f>
        <x:v>0.0001</x:v>
      </x:c>
      <x:c r="F10" s="213" t="str">
        <x:f>IF(ABS(ROUND(D10,6))&lt;=E10,"PASS","FAIL")</x:f>
        <x:v>PASS</x:v>
      </x:c>
      <x:c r="G10" s="196" t="str">
        <x:v>Review Results-to-Model links</x:v>
      </x:c>
      <x:c r="H10" s="196"/>
    </x:row>
    <x:row r="11" ht="26" customHeight="1">
      <x:c r="A11" s="196" t="str">
        <x:v>Inputs and rates are valid</x:v>
      </x:c>
      <x:c r="B11" s="216" t="n">
        <x:f>ROUND(IF(AND('Inputs'!$B$10&gt;=0,'Inputs'!$B$11&gt;=0,'Inputs'!$B$12&gt;=0,'Inputs'!$B$12&lt;='Inputs'!$B$10+'Inputs'!$B$11,'Inputs'!$B$15&gt;=0,'Inputs'!$B$16&gt;=0,'Inputs'!$B$16&lt;=1,'Inputs'!$B$17&gt;=0,'Inputs'!$B$17&lt;=1,'Inputs'!$B$18&gt;=0,'Inputs'!$B$18&lt;=1,'Inputs'!$B$19&gt;=0,'Inputs'!$B$19&lt;=1,'Inputs'!$B$22&gt;=0,'Inputs'!$B$23&gt;=0),1,0),6)</x:f>
        <x:v>1</x:v>
      </x:c>
      <x:c r="C11" s="216" t="n">
        <x:f>1</x:f>
        <x:v>1</x:v>
      </x:c>
      <x:c r="D11" s="216" t="n">
        <x:f>ROUND(B11-C11,6)</x:f>
        <x:v>0</x:v>
      </x:c>
      <x:c r="E11" s="216" t="n">
        <x:f>0.0001</x:f>
        <x:v>0.0001</x:v>
      </x:c>
      <x:c r="F11" s="213" t="str">
        <x:f>IF(ABS(ROUND(D11,6))&lt;=E11,"PASS","FAIL")</x:f>
        <x:v>PASS</x:v>
      </x:c>
      <x:c r="G11" s="196" t="str">
        <x:v>Inputs: workforce, compensation, and budget</x:v>
      </x:c>
      <x:c r="H11" s="196"/>
    </x:row>
    <x:row r="12" ht="26" customHeight="1">
      <x:c r="A12" s="196" t="str">
        <x:v>Monthly headcount roll-forward ties</x:v>
      </x:c>
      <x:c r="B12" s="216" t="n">
        <x:f>ROUND(MAX(ABS('Model'!B15-SUM('Model'!B12,'Model'!B13,'Model'!B14)),ABS('Model'!C15-SUM('Model'!C12,'Model'!C13,'Model'!C14)),ABS('Model'!D15-SUM('Model'!D12,'Model'!D13,'Model'!D14)),ABS('Model'!E15-SUM('Model'!E12,'Model'!E13,'Model'!E14)),ABS('Model'!F15-SUM('Model'!F12,'Model'!F13,'Model'!F14)),ABS('Model'!G15-SUM('Model'!G12,'Model'!G13,'Model'!G14)),ABS('Model'!H15-SUM('Model'!H12,'Model'!H13,'Model'!H14)),ABS('Model'!I15-SUM('Model'!I12,'Model'!I13,'Model'!I14)),ABS('Model'!J15-SUM('Model'!J12,'Model'!J13,'Model'!J14)),ABS('Model'!K15-SUM('Model'!K12,'Model'!K13,'Model'!K14)),ABS('Model'!L15-SUM('Model'!L12,'Model'!L13,'Model'!L14)),ABS('Model'!M15-SUM('Model'!M12,'Model'!M13,'Model'!M14))),6)</x:f>
        <x:v>0</x:v>
      </x:c>
      <x:c r="C12" s="216" t="n">
        <x:f>0</x:f>
        <x:v>0</x:v>
      </x:c>
      <x:c r="D12" s="216" t="n">
        <x:f>ROUND(B12-C12,6)</x:f>
        <x:v>0</x:v>
      </x:c>
      <x:c r="E12" s="216" t="n">
        <x:f>0.0001</x:f>
        <x:v>0.0001</x:v>
      </x:c>
      <x:c r="F12" s="213" t="str">
        <x:f>IF(ABS(ROUND(D12,6))&lt;=E12,"PASS","FAIL")</x:f>
        <x:v>PASS</x:v>
      </x:c>
      <x:c r="G12" s="196" t="str">
        <x:v>Model: headcount roll-forward</x:v>
      </x:c>
      <x:c r="H12" s="196"/>
    </x:row>
    <x:row r="13" ht="26" customHeight="1">
      <x:c r="A13" s="196" t="str">
        <x:v>Annual hires and exits tie</x:v>
      </x:c>
      <x:c r="B13" s="216" t="n">
        <x:f>ROUND(ABS('Model'!B35-'Inputs'!$B$11)+ABS('Model'!B36-'Inputs'!$B$12),6)</x:f>
        <x:v>0</x:v>
      </x:c>
      <x:c r="C13" s="216" t="n">
        <x:f>0</x:f>
        <x:v>0</x:v>
      </x:c>
      <x:c r="D13" s="216" t="n">
        <x:f>ROUND(B13-C13,6)</x:f>
        <x:v>0</x:v>
      </x:c>
      <x:c r="E13" s="216" t="n">
        <x:f>0.0001</x:f>
        <x:v>0.0001</x:v>
      </x:c>
      <x:c r="F13" s="213" t="str">
        <x:f>IF(ABS(ROUND(D13,6))&lt;=E13,"PASS","FAIL")</x:f>
        <x:v>PASS</x:v>
      </x:c>
      <x:c r="G13" s="196" t="str">
        <x:v>Model: monthly hiring allocation</x:v>
      </x:c>
      <x:c r="H13" s="196"/>
    </x:row>
    <x:row r="14" ht="26" customHeight="1">
      <x:c r="A14" s="196" t="str">
        <x:v>Average headcount is correct</x:v>
      </x:c>
      <x:c r="B14" s="216" t="n">
        <x:f>ROUND(MAX(ABS('Model'!B16-AVERAGE('Model'!B12,'Model'!B15)),ABS('Model'!C16-AVERAGE('Model'!C12,'Model'!C15)),ABS('Model'!D16-AVERAGE('Model'!D12,'Model'!D15)),ABS('Model'!E16-AVERAGE('Model'!E12,'Model'!E15)),ABS('Model'!F16-AVERAGE('Model'!F12,'Model'!F15)),ABS('Model'!G16-AVERAGE('Model'!G12,'Model'!G15)),ABS('Model'!H16-AVERAGE('Model'!H12,'Model'!H15)),ABS('Model'!I16-AVERAGE('Model'!I12,'Model'!I15)),ABS('Model'!J16-AVERAGE('Model'!J12,'Model'!J15)),ABS('Model'!K16-AVERAGE('Model'!K12,'Model'!K15)),ABS('Model'!L16-AVERAGE('Model'!L12,'Model'!L15)),ABS('Model'!M16-AVERAGE('Model'!M12,'Model'!M15))),6)</x:f>
        <x:v>0</x:v>
      </x:c>
      <x:c r="C14" s="216" t="n">
        <x:f>0</x:f>
        <x:v>0</x:v>
      </x:c>
      <x:c r="D14" s="216" t="n">
        <x:f>ROUND(B14-C14,6)</x:f>
        <x:v>0</x:v>
      </x:c>
      <x:c r="E14" s="216" t="n">
        <x:f>0.0001</x:f>
        <x:v>0.0001</x:v>
      </x:c>
      <x:c r="F14" s="213" t="str">
        <x:f>IF(ABS(ROUND(D14,6))&lt;=E14,"PASS","FAIL")</x:f>
        <x:v>PASS</x:v>
      </x:c>
      <x:c r="G14" s="196" t="str">
        <x:v>Model: average headcount</x:v>
      </x:c>
      <x:c r="H14" s="196"/>
    </x:row>
    <x:row r="15" ht="26" customHeight="1">
      <x:c r="A15" s="196" t="str">
        <x:v>Monthly base pay ties</x:v>
      </x:c>
      <x:c r="B15" s="219" t="n">
        <x:f>ROUND(MAX(ABS('Model'!B18-'Model'!B16*'Model'!B17),ABS('Model'!C18-'Model'!C16*'Model'!C17),ABS('Model'!D18-'Model'!D16*'Model'!D17),ABS('Model'!E18-'Model'!E16*'Model'!E17),ABS('Model'!F18-'Model'!F16*'Model'!F17),ABS('Model'!G18-'Model'!G16*'Model'!G17),ABS('Model'!H18-'Model'!H16*'Model'!H17),ABS('Model'!I18-'Model'!I16*'Model'!I17),ABS('Model'!J18-'Model'!J16*'Model'!J17),ABS('Model'!K18-'Model'!K16*'Model'!K17),ABS('Model'!L18-'Model'!L16*'Model'!L17),ABS('Model'!M18-'Model'!M16*'Model'!M17)),6)</x:f>
        <x:v>0</x:v>
      </x:c>
      <x:c r="C15" s="219" t="n">
        <x:f>0</x:f>
        <x:v>0</x:v>
      </x:c>
      <x:c r="D15" s="219" t="n">
        <x:f>ROUND(B15-C15,6)</x:f>
        <x:v>0</x:v>
      </x:c>
      <x:c r="E15" s="219" t="n">
        <x:f>0.0001</x:f>
        <x:v>0.0001</x:v>
      </x:c>
      <x:c r="F15" s="213" t="str">
        <x:f>IF(ABS(ROUND(D15,6))&lt;=E15,"PASS","FAIL")</x:f>
        <x:v>PASS</x:v>
      </x:c>
      <x:c r="G15" s="196" t="str">
        <x:v>Model: base pay</x:v>
      </x:c>
      <x:c r="H15" s="196"/>
    </x:row>
    <x:row r="16" ht="26" customHeight="1">
      <x:c r="A16" s="196" t="str">
        <x:v>Compensation loads tie</x:v>
      </x:c>
      <x:c r="B16" s="219" t="n">
        <x:f>ROUND(MAX(ABS('Model'!B19-'Model'!B18*'Inputs'!$B$17)+ABS('Model'!B20-'Model'!B18*'Inputs'!$B$18)+ABS('Model'!B21-'Model'!B18*'Inputs'!$B$19),ABS('Model'!C19-'Model'!C18*'Inputs'!$B$17)+ABS('Model'!C20-'Model'!C18*'Inputs'!$B$18)+ABS('Model'!C21-'Model'!C18*'Inputs'!$B$19),ABS('Model'!D19-'Model'!D18*'Inputs'!$B$17)+ABS('Model'!D20-'Model'!D18*'Inputs'!$B$18)+ABS('Model'!D21-'Model'!D18*'Inputs'!$B$19),ABS('Model'!E19-'Model'!E18*'Inputs'!$B$17)+ABS('Model'!E20-'Model'!E18*'Inputs'!$B$18)+ABS('Model'!E21-'Model'!E18*'Inputs'!$B$19),ABS('Model'!F19-'Model'!F18*'Inputs'!$B$17)+ABS('Model'!F20-'Model'!F18*'Inputs'!$B$18)+ABS('Model'!F21-'Model'!F18*'Inputs'!$B$19),ABS('Model'!G19-'Model'!G18*'Inputs'!$B$17)+ABS('Model'!G20-'Model'!G18*'Inputs'!$B$18)+ABS('Model'!G21-'Model'!G18*'Inputs'!$B$19),ABS('Model'!H19-'Model'!H18*'Inputs'!$B$17)+ABS('Model'!H20-'Model'!H18*'Inputs'!$B$18)+ABS('Model'!H21-'Model'!H18*'Inputs'!$B$19),ABS('Model'!I19-'Model'!I18*'Inputs'!$B$17)+ABS('Model'!I20-'Model'!I18*'Inputs'!$B$18)+ABS('Model'!I21-'Model'!I18*'Inputs'!$B$19),ABS('Model'!J19-'Model'!J18*'Inputs'!$B$17)+ABS('Model'!J20-'Model'!J18*'Inputs'!$B$18)+ABS('Model'!J21-'Model'!J18*'Inputs'!$B$19),ABS('Model'!K19-'Model'!K18*'Inputs'!$B$17)+ABS('Model'!K20-'Model'!K18*'Inputs'!$B$18)+ABS('Model'!K21-'Model'!K18*'Inputs'!$B$19),ABS('Model'!L19-'Model'!L18*'Inputs'!$B$17)+ABS('Model'!L20-'Model'!L18*'Inputs'!$B$18)+ABS('Model'!L21-'Model'!L18*'Inputs'!$B$19),ABS('Model'!M19-'Model'!M18*'Inputs'!$B$17)+ABS('Model'!M20-'Model'!M18*'Inputs'!$B$18)+ABS('Model'!M21-'Model'!M18*'Inputs'!$B$19)),6)</x:f>
        <x:v>0</x:v>
      </x:c>
      <x:c r="C16" s="219" t="n">
        <x:f>0</x:f>
        <x:v>0</x:v>
      </x:c>
      <x:c r="D16" s="219" t="n">
        <x:f>ROUND(B16-C16,6)</x:f>
        <x:v>0</x:v>
      </x:c>
      <x:c r="E16" s="219" t="n">
        <x:f>0.0001</x:f>
        <x:v>0.0001</x:v>
      </x:c>
      <x:c r="F16" s="213" t="str">
        <x:f>IF(ABS(ROUND(D16,6))&lt;=E16,"PASS","FAIL")</x:f>
        <x:v>PASS</x:v>
      </x:c>
      <x:c r="G16" s="196" t="str">
        <x:v>Model: benefit, bonus, and payroll tax</x:v>
      </x:c>
      <x:c r="H16" s="196"/>
    </x:row>
    <x:row r="17" ht="26" customHeight="1">
      <x:c r="A17" s="196" t="str">
        <x:v>Monthly personnel cost ties</x:v>
      </x:c>
      <x:c r="B17" s="219" t="n">
        <x:f>ROUND(MAX(ABS('Model'!B22-SUM('Model'!B18,'Model'!B19,'Model'!B20,'Model'!B21)),ABS('Model'!C22-SUM('Model'!C18,'Model'!C19,'Model'!C20,'Model'!C21)),ABS('Model'!D22-SUM('Model'!D18,'Model'!D19,'Model'!D20,'Model'!D21)),ABS('Model'!E22-SUM('Model'!E18,'Model'!E19,'Model'!E20,'Model'!E21)),ABS('Model'!F22-SUM('Model'!F18,'Model'!F19,'Model'!F20,'Model'!F21)),ABS('Model'!G22-SUM('Model'!G18,'Model'!G19,'Model'!G20,'Model'!G21)),ABS('Model'!H22-SUM('Model'!H18,'Model'!H19,'Model'!H20,'Model'!H21)),ABS('Model'!I22-SUM('Model'!I18,'Model'!I19,'Model'!I20,'Model'!I21)),ABS('Model'!J22-SUM('Model'!J18,'Model'!J19,'Model'!J20,'Model'!J21)),ABS('Model'!K22-SUM('Model'!K18,'Model'!K19,'Model'!K20,'Model'!K21)),ABS('Model'!L22-SUM('Model'!L18,'Model'!L19,'Model'!L20,'Model'!L21)),ABS('Model'!M22-SUM('Model'!M18,'Model'!M19,'Model'!M20,'Model'!M21))),6)</x:f>
        <x:v>0</x:v>
      </x:c>
      <x:c r="C17" s="219" t="n">
        <x:f>0</x:f>
        <x:v>0</x:v>
      </x:c>
      <x:c r="D17" s="219" t="n">
        <x:f>ROUND(B17-C17,6)</x:f>
        <x:v>0</x:v>
      </x:c>
      <x:c r="E17" s="219" t="n">
        <x:f>0.0001</x:f>
        <x:v>0.0001</x:v>
      </x:c>
      <x:c r="F17" s="213" t="str">
        <x:f>IF(ABS(ROUND(D17,6))&lt;=E17,"PASS","FAIL")</x:f>
        <x:v>PASS</x:v>
      </x:c>
      <x:c r="G17" s="196" t="str">
        <x:v>Model: monthly personnel cost</x:v>
      </x:c>
      <x:c r="H17" s="196"/>
    </x:row>
    <x:row r="18" ht="26" customHeight="1">
      <x:c r="A18" s="196" t="str">
        <x:v>Annual cost and budget bridge tie</x:v>
      </x:c>
      <x:c r="B18" s="219" t="n">
        <x:f>ROUND(ABS('Model'!B32-SUM('Model'!B22:M22))+ABS('Model'!B33-('Inputs'!$B$23-'Model'!B32)),6)</x:f>
        <x:v>0</x:v>
      </x:c>
      <x:c r="C18" s="219" t="n">
        <x:f>0</x:f>
        <x:v>0</x:v>
      </x:c>
      <x:c r="D18" s="219" t="n">
        <x:f>ROUND(B18-C18,6)</x:f>
        <x:v>0</x:v>
      </x:c>
      <x:c r="E18" s="219" t="n">
        <x:f>0.0001</x:f>
        <x:v>0.0001</x:v>
      </x:c>
      <x:c r="F18" s="213" t="str">
        <x:f>IF(ABS(ROUND(D18,6))&lt;=E18,"PASS","FAIL")</x:f>
        <x:v>PASS</x:v>
      </x:c>
      <x:c r="G18" s="196" t="str">
        <x:v>Model: annual summary</x:v>
      </x:c>
      <x:c r="H18" s="196"/>
    </x:row>
    <x:row r="19" ht="20" customHeight="1">
      <x:c r="A19" s="223" t="str">
        <x:v>A warning business outcome can still pass these controls; review Model and Results before making a decision.</x:v>
      </x:c>
      <x:c r="B19" s="224"/>
      <x:c r="C19" s="224"/>
      <x:c r="D19" s="224"/>
      <x:c r="E19" s="224"/>
      <x:c r="F19" s="224"/>
      <x:c r="G19" s="224"/>
      <x:c r="H19" s="225"/>
    </x:row>
    <x:row r="20" ht="20" customHeight="1">
      <x:c r="A20" s="60" t="str">
        <x:v>Headcount &amp; Compensation Plan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