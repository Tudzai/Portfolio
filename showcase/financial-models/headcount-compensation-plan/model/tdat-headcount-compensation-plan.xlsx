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33ca4d61bb42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961bd3ff73e4069"/>
    <x:sheet xmlns:r="http://schemas.openxmlformats.org/officeDocument/2006/relationships" name="Guide" sheetId="2" r:id="Ra754b808caf846fc"/>
    <x:sheet xmlns:r="http://schemas.openxmlformats.org/officeDocument/2006/relationships" name="Assumptions" sheetId="3" r:id="Rf1db490848c6425c"/>
    <x:sheet xmlns:r="http://schemas.openxmlformats.org/officeDocument/2006/relationships" name="Workforce Inputs" sheetId="4" r:id="R29a51384d3264ae5"/>
    <x:sheet xmlns:r="http://schemas.openxmlformats.org/officeDocument/2006/relationships" name="Headcount Plan" sheetId="5" r:id="Rc98c10e8c3d142e9"/>
    <x:sheet xmlns:r="http://schemas.openxmlformats.org/officeDocument/2006/relationships" name="Sensitivity" sheetId="6" r:id="R374198dace344bd4"/>
    <x:sheet xmlns:r="http://schemas.openxmlformats.org/officeDocument/2006/relationships" name="Summary" sheetId="7" r:id="R1c2ae8e21bf845ea"/>
    <x:sheet xmlns:r="http://schemas.openxmlformats.org/officeDocument/2006/relationships" name="Checks" sheetId="8" r:id="Rd953067fcac04170"/>
    <x:sheet xmlns:r="http://schemas.openxmlformats.org/officeDocument/2006/relationships" name="Sources &amp; Version" sheetId="9" r:id="R642a49e09e6042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;(0.0%);-"/>
    <x:numFmt numFmtId="201" formatCode="0.00;(0.00);-"/>
    <x:numFmt numFmtId="202" formatCode="#,##0;(#,##0);-"/>
    <x:numFmt numFmtId="203" formatCode="#,##0.0;(#,##0.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5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</x:borders>
  <x:cellStyleXfs count="1">
    <x:xf numFmtId="0" fontId="0" fillId="0" borderId="0"/>
  </x:cellStyleXfs>
  <x:cellXfs count="2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1" fontId="12" fillId="5" borderId="19" xfId="0" applyNumberFormat="1" applyFont="1" applyFill="1" applyBorder="1" applyAlignment="1">
      <x:alignment horizontal="right"/>
    </x:xf>
    <x:xf numFmtId="201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/>
    <x:xf numFmtId="203" fontId="12" fillId="5" borderId="0" xfId="0" applyNumberFormat="1" applyFont="1" applyFill="1" applyBorder="1"/>
    <x:xf numFmtId="203" fontId="12" fillId="5" borderId="0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/>
    <x:xf numFmtId="202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2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3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2" fontId="16" fillId="0" borderId="0" xfId="0" applyNumberFormat="1" applyFont="1" applyFill="1" applyBorder="1"/>
    <x:xf numFmtId="202" fontId="16" fillId="0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2" fontId="13" fillId="0" borderId="0" xfId="0" applyNumberFormat="1" applyFont="1" applyFill="1" applyBorder="1"/>
    <x:xf numFmtId="202" fontId="13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2" fontId="13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2" fontId="13" fillId="8" borderId="24" xfId="0" applyNumberFormat="1" applyFont="1" applyFill="1" applyBorder="1" applyAlignment="1">
      <x:alignment horizontal="right"/>
    </x:xf>
    <x:xf numFmtId="203" fontId="16" fillId="0" borderId="0" xfId="0" applyNumberFormat="1" applyFont="1" applyFill="1" applyBorder="1"/>
    <x:xf numFmtId="203" fontId="16" fillId="0" borderId="0" xfId="0" applyNumberFormat="1" applyFont="1" applyFill="1" applyBorder="1" applyAlignment="1">
      <x:alignment horizontal="right"/>
    </x:xf>
    <x:xf numFmtId="203" fontId="13" fillId="0" borderId="0" xfId="0" applyNumberFormat="1" applyFont="1" applyFill="1" applyBorder="1"/>
    <x:xf numFmtId="203" fontId="13" fillId="0" borderId="0" xfId="0" applyNumberFormat="1" applyFont="1" applyFill="1" applyBorder="1" applyAlignment="1">
      <x:alignment horizontal="right"/>
    </x:xf>
    <x:xf numFmtId="203" fontId="13" fillId="0" borderId="24" xfId="0" applyNumberFormat="1" applyFont="1" applyFill="1" applyBorder="1" applyAlignment="1">
      <x:alignment horizontal="right"/>
    </x:xf>
    <x:xf numFmtId="203" fontId="13" fillId="8" borderId="24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 applyAlignment="1">
      <x:alignment wrapText="1"/>
    </x:xf>
    <x:xf numFmtId="202" fontId="16" fillId="0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2" fontId="16" fillId="0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2" fontId="13" fillId="8" borderId="22" xfId="0" applyNumberFormat="1" applyFont="1" applyFill="1" applyBorder="1" applyAlignment="1">
      <x:alignment horizontal="right"/>
    </x:xf>
    <x:xf numFmtId="202" fontId="13" fillId="0" borderId="22" xfId="0" applyNumberFormat="1" applyFont="1" applyFill="1" applyBorder="1" applyAlignment="1">
      <x:alignment horizontal="right"/>
    </x:xf>
    <x:xf numFmtId="203" fontId="16" fillId="0" borderId="22" xfId="0" applyNumberFormat="1" applyFont="1" applyFill="1" applyBorder="1" applyAlignment="1">
      <x:alignment horizontal="right"/>
    </x:xf>
    <x:xf numFmtId="203" fontId="13" fillId="0" borderId="22" xfId="0" applyNumberFormat="1" applyFont="1" applyFill="1" applyBorder="1" applyAlignment="1">
      <x:alignment horizontal="right"/>
    </x:xf>
    <x:xf numFmtId="203" fontId="13" fillId="8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3" fontId="13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3" fontId="16" fillId="6" borderId="0" xfId="0" applyNumberFormat="1" applyFont="1" applyFill="1" applyBorder="1" applyAlignment="1">
      <x:alignment horizontal="right"/>
    </x:xf>
    <x:xf numFmtId="203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2" fontId="16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center"/>
    </x:xf>
    <x:xf numFmtId="202" fontId="18" fillId="5" borderId="0" xfId="0" applyNumberFormat="1" applyFont="1" applyFill="1" applyBorder="1" applyAlignment="1">
      <x:alignment horizontal="center" vertical="center"/>
    </x:xf>
    <x:xf numFmtId="203" fontId="16" fillId="8" borderId="0" xfId="0" applyNumberFormat="1" applyFont="1" applyFill="1" applyBorder="1" applyAlignment="1">
      <x:alignment horizontal="right"/>
    </x:xf>
    <x:xf numFmtId="203" fontId="19" fillId="8" borderId="0" xfId="0" applyNumberFormat="1" applyFont="1" applyFill="1" applyBorder="1" applyAlignment="1">
      <x:alignment horizontal="right"/>
    </x:xf>
    <x:xf numFmtId="203" fontId="19" fillId="8" borderId="0" xfId="0" applyNumberFormat="1" applyFont="1" applyFill="1" applyBorder="1" applyAlignment="1">
      <x:alignment horizontal="center"/>
    </x:xf>
    <x:xf numFmtId="203" fontId="19" fillId="8" borderId="0" xfId="0" applyNumberFormat="1" applyFont="1" applyFill="1" applyBorder="1" applyAlignment="1">
      <x:alignment horizontal="center" vertical="center"/>
    </x:xf>
    <x:xf numFmtId="203" fontId="16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center"/>
    </x:xf>
    <x:xf numFmtId="203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0" fontId="0" fillId="0" borderId="21" xfId="0" applyNumberFormat="1" applyFont="1" applyFill="1" applyBorder="1"/>
    <x:xf numFmtId="202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2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3" fontId="23" fillId="0" borderId="22" xfId="0" applyNumberFormat="1" applyFont="1" applyFill="1" applyBorder="1"/>
    <x:xf numFmtId="0" fontId="0" fillId="0" borderId="23" xfId="0" applyNumberFormat="1" applyFont="1" applyFill="1" applyBorder="1"/>
    <x:xf numFmtId="202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2" fontId="31" fillId="0" borderId="0" xfId="0" applyNumberFormat="1" applyFont="1" applyFill="1" applyBorder="1" applyAlignment="1">
      <x:alignment horizontal="right"/>
    </x:xf>
    <x:xf numFmtId="203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23b66fe59646e7" /><Relationship Type="http://schemas.openxmlformats.org/officeDocument/2006/relationships/theme" Target="/xl/theme/theme1.xml" Id="Rba1368bb3a494954" /><Relationship Type="http://schemas.openxmlformats.org/officeDocument/2006/relationships/sharedStrings" Target="/xl/sharedStrings.xml" Id="R24e72dfd25dc4432" /><Relationship Type="http://schemas.openxmlformats.org/officeDocument/2006/relationships/worksheet" Target="/xl/worksheets/sheet1.xml" Id="R0961bd3ff73e4069" /><Relationship Type="http://schemas.openxmlformats.org/officeDocument/2006/relationships/worksheet" Target="/xl/worksheets/sheet2.xml" Id="Ra754b808caf846fc" /><Relationship Type="http://schemas.openxmlformats.org/officeDocument/2006/relationships/worksheet" Target="/xl/worksheets/sheet3.xml" Id="Rf1db490848c6425c" /><Relationship Type="http://schemas.openxmlformats.org/officeDocument/2006/relationships/worksheet" Target="/xl/worksheets/sheet4.xml" Id="R29a51384d3264ae5" /><Relationship Type="http://schemas.openxmlformats.org/officeDocument/2006/relationships/worksheet" Target="/xl/worksheets/sheet5.xml" Id="Rc98c10e8c3d142e9" /><Relationship Type="http://schemas.openxmlformats.org/officeDocument/2006/relationships/worksheet" Target="/xl/worksheets/sheet6.xml" Id="R374198dace344bd4" /><Relationship Type="http://schemas.openxmlformats.org/officeDocument/2006/relationships/worksheet" Target="/xl/worksheets/sheet7.xml" Id="R1c2ae8e21bf845ea" /><Relationship Type="http://schemas.openxmlformats.org/officeDocument/2006/relationships/worksheet" Target="/xl/worksheets/sheet8.xml" Id="Rd953067fcac04170" /><Relationship Type="http://schemas.openxmlformats.org/officeDocument/2006/relationships/worksheet" Target="/xl/worksheets/sheet9.xml" Id="R642a49e09e6042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a5bc190a2b4aa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Opening and closing headcount</a:t>
            </a:r>
          </a:p>
        </c:rich>
      </c:tx>
    </c:title>
    <c:plotArea>
      <c:lineChart>
        <c:grouping val="standard"/>
        <c:ser>
          <c:idx val="0"/>
          <c:order val="0"/>
          <c:tx>
            <c:v>Opening headcount</c:v>
          </c:tx>
          <c:marker>
            <c:symbol val="none"/>
          </c:marker>
          <c:cat>
            <c:strRef>
              <c:f>'Summary'!$A$16:$A$27</c:f>
              <c:strCache>
                <c:ptCount val="0"/>
              </c:strCache>
            </c:strRef>
          </c:cat>
          <c:val>
            <c:numRef>
              <c:f>'Summary'!$B$16:$B$27</c:f>
              <c:numCache>
                <c:formatCode>#,##0;(#,##0);-</c:formatCode>
                <c:ptCount val="0"/>
              </c:numCache>
            </c:numRef>
          </c:val>
        </c:ser>
        <c:ser>
          <c:idx val="1"/>
          <c:order val="1"/>
          <c:tx>
            <c:v>Closing headcount</c:v>
          </c:tx>
          <c:marker>
            <c:symbol val="none"/>
          </c:marker>
          <c:cat>
            <c:strRef>
              <c:f>'Summary'!$A$16:$A$27</c:f>
              <c:strCache>
                <c:ptCount val="0"/>
              </c:strCache>
            </c:strRef>
          </c:cat>
          <c:val>
            <c:numRef>
              <c:f>'Summary'!$C$16:$C$27</c:f>
              <c:numCache>
                <c:formatCode>#,##0;(#,##0);-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;(#,##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a5bc190a2b4aa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4bbbaf117315485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TDAT-FM-FPA-004  |  Built to flex. Built to tie. Built to trust.</x:v>
      </x:c>
      <x:c r="B2" s="6" t="str">
        <x:v>TDAT-FM-FPA-004  |  Built to flex. Built to tie. Built to trust.</x:v>
      </x:c>
      <x:c r="C2" s="6" t="str">
        <x:v>TDAT-FM-FPA-004  |  Built to flex. Built to tie. Built to trust.</x:v>
      </x:c>
      <x:c r="D2" s="6" t="str">
        <x:v>TDAT-FM-FPA-004  |  Built to flex. Built to tie. Built to trust.</x:v>
      </x:c>
      <x:c r="E2" s="6" t="str">
        <x:v>TDAT-FM-FPA-004  |  Built to flex. Built to tie. Built to trust.</x:v>
      </x:c>
      <x:c r="F2" s="6" t="str">
        <x:v>TDAT-FM-FPA-004  |  Built to flex. Built to tie. Built to trust.</x:v>
      </x:c>
      <x:c r="G2" s="6" t="str">
        <x:v>TDAT-FM-FPA-004  |  Built to flex. Built to tie. Built to trust.</x:v>
      </x:c>
      <x:c r="H2" s="6" t="str">
        <x:v>TDAT-FM-FPA-004  |  Built to flex. Built to tie. Built to trust.</x:v>
      </x:c>
      <x:c r="I2" s="6" t="str">
        <x:v>TDAT-FM-FPA-004  |  Built to flex. Built to tie. Built to trust.</x:v>
      </x:c>
      <x:c r="J2" s="6" t="str">
        <x:v>TDAT-FM-FPA-004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17" t="str">
        <x:v>Headcount &amp; Compensation Plan</x:v>
      </x:c>
      <x:c r="B5" s="217" t="str">
        <x:v>Headcount &amp; Compensation Plan</x:v>
      </x:c>
      <x:c r="C5" s="217" t="str">
        <x:v>Headcount &amp; Compensation Plan</x:v>
      </x:c>
      <x:c r="D5" s="217" t="str">
        <x:v>Headcount &amp; Compensation Plan</x:v>
      </x:c>
      <x:c r="E5" s="217" t="str">
        <x:v>Headcount &amp; Compensation Plan</x:v>
      </x:c>
      <x:c r="F5" s="217" t="str">
        <x:v>Headcount &amp; Compensation Plan</x:v>
      </x:c>
      <x:c r="G5" s="135" t="str">
        <x:v>CALCULATION INTEGRITY</x:v>
      </x:c>
      <x:c r="H5" s="135" t="str">
        <x:v>CALCULATION INTEGRITY</x:v>
      </x:c>
      <x:c r="I5" s="135" t="str">
        <x:v>CALCULATION INTEGRITY</x:v>
      </x:c>
      <x:c r="J5" s="135" t="str">
        <x:v>CALCULATION INTEGRITY</x:v>
      </x:c>
    </x:row>
    <x:row r="6">
      <x:c r="A6" s="217" t="str">
        <x:v>Headcount &amp; Compensation Plan</x:v>
      </x:c>
      <x:c r="B6" s="217" t="str">
        <x:v>Headcount &amp; Compensation Plan</x:v>
      </x:c>
      <x:c r="C6" s="217" t="str">
        <x:v>Headcount &amp; Compensation Plan</x:v>
      </x:c>
      <x:c r="D6" s="217" t="str">
        <x:v>Headcount &amp; Compensation Plan</x:v>
      </x:c>
      <x:c r="E6" s="217" t="str">
        <x:v>Headcount &amp; Compensation Plan</x:v>
      </x:c>
      <x:c r="F6" s="217" t="str">
        <x:v>Headcount &amp; Compensation Plan</x:v>
      </x:c>
      <x:c r="G6" s="220" t="str">
        <x:f>'Checks'!$B$5</x:f>
        <x:v>PASS</x:v>
      </x:c>
      <x:c r="H6" s="220"/>
      <x:c r="I6" s="220"/>
      <x:c r="J6" s="220"/>
    </x:row>
    <x:row r="7">
      <x:c r="A7" s="217" t="str">
        <x:v>Headcount &amp; Compensation Plan</x:v>
      </x:c>
      <x:c r="B7" s="217" t="str">
        <x:v>Headcount &amp; Compensation Plan</x:v>
      </x:c>
      <x:c r="C7" s="217" t="str">
        <x:v>Headcount &amp; Compensation Plan</x:v>
      </x:c>
      <x:c r="D7" s="217" t="str">
        <x:v>Headcount &amp; Compensation Plan</x:v>
      </x:c>
      <x:c r="E7" s="217" t="str">
        <x:v>Headcount &amp; Compensation Plan</x:v>
      </x:c>
      <x:c r="F7" s="217" t="str">
        <x:v>Headcount &amp; Compensation Plan</x:v>
      </x:c>
      <x:c r="G7" s="220"/>
      <x:c r="H7" s="220"/>
      <x:c r="I7" s="220"/>
      <x:c r="J7" s="220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24" t="str">
        <x:v>What hiring plan balances capacity, cost, timing, and productivity?</x:v>
      </x:c>
      <x:c r="B10" s="224" t="str">
        <x:v>What hiring plan balances capacity, cost, timing, and productivity?</x:v>
      </x:c>
      <x:c r="C10" s="224" t="str">
        <x:v>What hiring plan balances capacity, cost, timing, and productivity?</x:v>
      </x:c>
      <x:c r="D10" s="224" t="str">
        <x:v>What hiring plan balances capacity, cost, timing, and productivity?</x:v>
      </x:c>
      <x:c r="E10" s="224" t="str">
        <x:v>What hiring plan balances capacity, cost, timing, and productivity?</x:v>
      </x:c>
      <x:c r="F10" s="224" t="str">
        <x:v>What hiring plan balances capacity, cost, timing, and productivity?</x:v>
      </x:c>
      <x:c r="G10" s="224" t="str">
        <x:v>What hiring plan balances capacity, cost, timing, and productivity?</x:v>
      </x:c>
      <x:c r="H10" s="224" t="str">
        <x:v>What hiring plan balances capacity, cost, timing, and productivity?</x:v>
      </x:c>
      <x:c r="I10" s="224" t="str">
        <x:v>What hiring plan balances capacity, cost, timing, and productivity?</x:v>
      </x:c>
      <x:c r="J10" s="224" t="str">
        <x:v>What hiring plan balances capacity, cost, timing, and productivity?</x:v>
      </x:c>
    </x:row>
    <x:row r="11">
      <x:c r="A11" s="224" t="str">
        <x:v>What hiring plan balances capacity, cost, timing, and productivity?</x:v>
      </x:c>
      <x:c r="B11" s="224" t="str">
        <x:v>What hiring plan balances capacity, cost, timing, and productivity?</x:v>
      </x:c>
      <x:c r="C11" s="224" t="str">
        <x:v>What hiring plan balances capacity, cost, timing, and productivity?</x:v>
      </x:c>
      <x:c r="D11" s="224" t="str">
        <x:v>What hiring plan balances capacity, cost, timing, and productivity?</x:v>
      </x:c>
      <x:c r="E11" s="224" t="str">
        <x:v>What hiring plan balances capacity, cost, timing, and productivity?</x:v>
      </x:c>
      <x:c r="F11" s="224" t="str">
        <x:v>What hiring plan balances capacity, cost, timing, and productivity?</x:v>
      </x:c>
      <x:c r="G11" s="224" t="str">
        <x:v>What hiring plan balances capacity, cost, timing, and productivity?</x:v>
      </x:c>
      <x:c r="H11" s="224" t="str">
        <x:v>What hiring plan balances capacity, cost, timing, and productivity?</x:v>
      </x:c>
      <x:c r="I11" s="224" t="str">
        <x:v>What hiring plan balances capacity, cost, timing, and productivity?</x:v>
      </x:c>
      <x:c r="J11" s="224" t="str">
        <x:v>What hiring plan balances capacity, cost, timing, and productivity?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25" t="str">
        <x:v>Calculation integrity</x:v>
      </x:c>
      <x:c r="B14" s="226" t="str">
        <x:v>Decision readiness</x:v>
      </x:c>
      <x:c r="C14" s="231" t="str">
        <x:f>'Checks'!$B$5</x:f>
        <x:v>PASS</x:v>
      </x:c>
      <x:c r="D14" s="231"/>
      <x:c r="E14" s="231"/>
      <x:c r="F14" s="246" t="str">
        <x:v>TEMPLATE — VALIDATE INPUTS</x:v>
      </x:c>
      <x:c r="G14" s="246" t="str">
        <x:v>TEMPLATE — VALIDATE INPUTS</x:v>
      </x:c>
      <x:c r="H14" s="246" t="str">
        <x:v>TEMPLATE — VALIDATE INPUTS</x:v>
      </x:c>
      <x:c r="I14" s="246" t="str">
        <x:v>TEMPLATE — VALIDATE INPUTS</x:v>
      </x:c>
      <x:c r="J14" s="247" t="str">
        <x:v>TEMPLATE — VALIDATE INPUTS</x:v>
      </x:c>
    </x:row>
    <x:row r="15">
      <x:c r="A15" s="227" t="str">
        <x:v>Published checks</x:v>
      </x:c>
      <x:c r="B15" s="228" t="str">
        <x:v>Template posture</x:v>
      </x:c>
      <x:c r="C15" s="232" t="str">
        <x:f>"9 / 9 PASS"</x:f>
        <x:v>9 / 9 PASS</x:v>
      </x:c>
      <x:c r="D15" s="232"/>
      <x:c r="E15" s="232"/>
      <x:c r="F15" s="248" t="str">
        <x:v>Illustrative, screen-grade worked example</x:v>
      </x:c>
      <x:c r="G15" s="248" t="str">
        <x:v>Illustrative, screen-grade worked example</x:v>
      </x:c>
      <x:c r="H15" s="248" t="str">
        <x:v>Illustrative, screen-grade worked example</x:v>
      </x:c>
      <x:c r="I15" s="248" t="str">
        <x:v>Illustrative, screen-grade worked example</x:v>
      </x:c>
      <x:c r="J15" s="249" t="str">
        <x:v>Illustrative, screen-grade worked example</x:v>
      </x:c>
    </x:row>
    <x:row r="16">
      <x:c r="A16" s="227" t="str">
        <x:v>Scenario</x:v>
      </x:c>
      <x:c r="B16" s="228" t="str">
        <x:v>Evidence</x:v>
      </x:c>
      <x:c r="C16" s="232" t="str">
        <x:f>'Assumptions'!$B$3</x:f>
        <x:v>Base</x:v>
      </x:c>
      <x:c r="D16" s="232"/>
      <x:c r="E16" s="232"/>
      <x:c r="F16" s="248" t="str">
        <x:v>Synthetic / illustrative</x:v>
      </x:c>
      <x:c r="G16" s="248" t="str">
        <x:v>Synthetic / illustrative</x:v>
      </x:c>
      <x:c r="H16" s="248" t="str">
        <x:v>Synthetic / illustrative</x:v>
      </x:c>
      <x:c r="I16" s="248" t="str">
        <x:v>Synthetic / illustrative</x:v>
      </x:c>
      <x:c r="J16" s="249" t="str">
        <x:v>Synthetic / illustrative</x:v>
      </x:c>
    </x:row>
    <x:row r="17">
      <x:c r="A17" s="229" t="str">
        <x:v>Owner</x:v>
      </x:c>
      <x:c r="B17" s="230" t="str">
        <x:v>Use</x:v>
      </x:c>
      <x:c r="C17" s="233" t="str">
        <x:f>'Sources &amp; Version'!$B$12</x:f>
        <x:v>Truong Dinh Anh Tu</x:v>
      </x:c>
      <x:c r="D17" s="233"/>
      <x:c r="E17" s="233"/>
      <x:c r="F17" s="250" t="str">
        <x:v>FP&amp;A · HR Finance · Finance Business Partner</x:v>
      </x:c>
      <x:c r="G17" s="250" t="str">
        <x:v>FP&amp;A · HR Finance · Finance Business Partner</x:v>
      </x:c>
      <x:c r="H17" s="250" t="str">
        <x:v>FP&amp;A · HR Finance · Finance Business Partner</x:v>
      </x:c>
      <x:c r="I17" s="250" t="str">
        <x:v>FP&amp;A · HR Finance · Finance Business Partner</x:v>
      </x:c>
      <x:c r="J17" s="251" t="str">
        <x:v>FP&amp;A · HR Finance · Finance Business Partner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06" t="str">
        <x:v>Model ID</x:v>
      </x:c>
      <x:c r="B20" s="148" t="str">
        <x:v>TDAT-FM-FPA-004</x:v>
      </x:c>
      <x:c r="C20" s="208" t="str">
        <x:v>Version</x:v>
      </x:c>
      <x:c r="D20" s="148" t="str">
        <x:v>1.0.0</x:v>
      </x:c>
      <x:c r="E20" s="208" t="str">
        <x:v>Last QA</x:v>
      </x:c>
      <x:c r="F20" s="149" t="str">
        <x:v>2026-07-13</x:v>
      </x:c>
      <x:c r="G20" s="255" t="str">
        <x:v>Closing headcount</x:v>
      </x:c>
      <x:c r="H20" s="255" t="str">
        <x:v>Closing headcount</x:v>
      </x:c>
      <x:c r="I20" s="256" t="n">
        <x:f>'Headcount Plan'!M$9</x:f>
        <x:v>138</x:v>
      </x:c>
      <x:c r="J20" s="256"/>
    </x:row>
    <x:row r="21">
      <x:c r="A21" s="253" t="str">
        <x:v>Domain</x:v>
      </x:c>
      <x:c r="B21" s="151" t="str">
        <x:v>Planning &amp; Performance</x:v>
      </x:c>
      <x:c r="C21" s="254" t="str">
        <x:v>Compatibility</x:v>
      </x:c>
      <x:c r="D21" s="151" t="str">
        <x:v>Excel 365</x:v>
      </x:c>
      <x:c r="E21" s="254" t="str">
        <x:v>Macros</x:v>
      </x:c>
      <x:c r="F21" s="152" t="str">
        <x:v>None</x:v>
      </x:c>
      <x:c r="G21" s="255" t="str">
        <x:v>Annual personnel cost</x:v>
      </x:c>
      <x:c r="H21" s="255" t="str">
        <x:v>Annual personnel cost</x:v>
      </x:c>
      <x:c r="I21" s="257" t="n">
        <x:f>-SUM('Headcount Plan'!B16:M16)</x:f>
        <x:v>6513.335497847551</x:v>
      </x:c>
      <x:c r="J21" s="257"/>
    </x:row>
    <x:row r="22">
      <x:c r="A22" s="253" t="str">
        <x:v>Horizon</x:v>
      </x:c>
      <x:c r="B22" s="151" t="str">
        <x:v>12–36 months</x:v>
      </x:c>
      <x:c r="C22" s="254" t="str">
        <x:v>Frequency</x:v>
      </x:c>
      <x:c r="D22" s="151" t="str">
        <x:v>Monthly</x:v>
      </x:c>
      <x:c r="E22" s="254" t="str">
        <x:v>External links</x:v>
      </x:c>
      <x:c r="F22" s="152" t="str">
        <x:v>None</x:v>
      </x:c>
      <x:c r="G22" s="255" t="str">
        <x:v>Monthly cost / FTE</x:v>
      </x:c>
      <x:c r="H22" s="255" t="str">
        <x:v>Monthly cost / FTE</x:v>
      </x:c>
      <x:c r="I22" s="257" t="n">
        <x:f>'Headcount Plan'!M$17</x:f>
        <x:v>4.266617273091972</x:v>
      </x:c>
      <x:c r="J22" s="257"/>
    </x:row>
    <x:row r="23">
      <x:c r="A23" s="253" t="str">
        <x:v>Currency</x:v>
      </x:c>
      <x:c r="B23" s="151" t="str">
        <x:v>LCY</x:v>
      </x:c>
      <x:c r="C23" s="254" t="str">
        <x:v>Units</x:v>
      </x:c>
      <x:c r="D23" s="151" t="str">
        <x:v>FTE / LCY thousands</x:v>
      </x:c>
      <x:c r="E23" s="254" t="str">
        <x:v>Scenario</x:v>
      </x:c>
      <x:c r="F23" s="152" t="str">
        <x:v>Base / Upside / Downside</x:v>
      </x:c>
      <x:c r="G23" s="255" t="str">
        <x:v>Total hires</x:v>
      </x:c>
      <x:c r="H23" s="255" t="str">
        <x:v>Total hires</x:v>
      </x:c>
      <x:c r="I23" s="256" t="n">
        <x:f>SUM('Headcount Plan'!B7:M7)</x:f>
        <x:v>45</x:v>
      </x:c>
      <x:c r="J23" s="256"/>
    </x:row>
    <x:row r="24">
      <x:c r="A24" s="207" t="str">
        <x:v>Owner</x:v>
      </x:c>
      <x:c r="B24" s="154" t="str">
        <x:v>Truong Dinh Anh Tu</x:v>
      </x:c>
      <x:c r="C24" s="209" t="str">
        <x:v>Standard</x:v>
      </x:c>
      <x:c r="D24" s="154" t="str">
        <x:v>TDAT Model Standard 1.0</x:v>
      </x:c>
      <x:c r="E24" s="209" t="str">
        <x:v>Evidence</x:v>
      </x:c>
      <x:c r="F24" s="155" t="str">
        <x:v>Synthetic worked template</x:v>
      </x:c>
      <x:c r="G24" s="255" t="str">
        <x:v>Total exits</x:v>
      </x:c>
      <x:c r="H24" s="255" t="str">
        <x:v>Total exits</x:v>
      </x:c>
      <x:c r="I24" s="256" t="n">
        <x:f>SUM('Headcount Plan'!B8:M8)</x:f>
        <x:v>27</x:v>
      </x:c>
      <x:c r="J24" s="256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77" t="str">
        <x:v>Blue font</x:v>
      </x:c>
      <x:c r="B27" s="269" t="str">
        <x:v>Editable hardcode</x:v>
      </x:c>
      <x:c r="C27" s="278" t="str">
        <x:v>Black font</x:v>
      </x:c>
      <x:c r="D27" s="269" t="str">
        <x:v>In-sheet formula</x:v>
      </x:c>
      <x:c r="E27" s="279" t="str">
        <x:v>Green font</x:v>
      </x:c>
      <x:c r="F27" s="269" t="str">
        <x:v>Cross-sheet formula</x:v>
      </x:c>
      <x:c r="G27" s="280" t="str">
        <x:v>Pale amber</x:v>
      </x:c>
      <x:c r="H27" s="280" t="str">
        <x:v>Scenario / review cue</x:v>
      </x:c>
      <x:c r="I27" s="281" t="str">
        <x:v>Teal</x:v>
      </x:c>
      <x:c r="J27" s="282" t="str">
        <x:v>PASS / trusted output</x:v>
      </x:c>
    </x:row>
    <x:row r="28">
      <x:c r="A28" s="271" t="str">
        <x:v>Actual</x:v>
      </x:c>
      <x:c r="B28" s="272" t="str">
        <x:v>Neutral period band</x:v>
      </x:c>
      <x:c r="C28" s="272" t="str">
        <x:v>Forecast</x:v>
      </x:c>
      <x:c r="D28" s="272" t="str">
        <x:v>Pale-blue period band</x:v>
      </x:c>
      <x:c r="E28" s="272" t="str">
        <x:v>Zero</x:v>
      </x:c>
      <x:c r="F28" s="272" t="str">
        <x:v>Displayed as an en dash</x:v>
      </x:c>
      <x:c r="G28" s="272" t="str">
        <x:v>Rule</x:v>
      </x:c>
      <x:c r="H28" s="272" t="str">
        <x:v>Keep formulas copy-across</x:v>
      </x:c>
      <x:c r="I28" s="272" t="str">
        <x:v>Rule</x:v>
      </x:c>
      <x:c r="J28" s="273" t="str">
        <x:v>Recheck after every change</x:v>
      </x:c>
    </x:row>
    <x:row r="29">
      <x:c r="A29" s="274" t="str">
        <x:v>Status</x:v>
      </x:c>
      <x:c r="B29" s="275" t="str">
        <x:v>PASS means controls tie</x:v>
      </x:c>
      <x:c r="C29" s="275" t="str">
        <x:v>Readiness</x:v>
      </x:c>
      <x:c r="D29" s="275" t="str">
        <x:v>Inputs still require review</x:v>
      </x:c>
      <x:c r="E29" s="275" t="str">
        <x:v>Privacy</x:v>
      </x:c>
      <x:c r="F29" s="275" t="str">
        <x:v>Public-safe example</x:v>
      </x:c>
      <x:c r="G29" s="275" t="str">
        <x:v>Use</x:v>
      </x:c>
      <x:c r="H29" s="275" t="str">
        <x:v>Adapt and validate</x:v>
      </x:c>
      <x:c r="I29" s="275" t="str">
        <x:v>Support</x:v>
      </x:c>
      <x:c r="J29" s="276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9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Headcount &amp; Compensation Plan  |  Scope, setup, flexibility, and limitations</x:v>
      </x:c>
      <x:c r="B2" s="6" t="str">
        <x:v>Headcount &amp; Compensation Plan  |  Scope, setup, flexibility, and limitations</x:v>
      </x:c>
      <x:c r="C2" s="6" t="str">
        <x:v>Headcount &amp; Compensation Plan  |  Scope, setup, flexibility, and limitations</x:v>
      </x:c>
      <x:c r="D2" s="6" t="str">
        <x:v>Headcount &amp; Compensation Plan  |  Scope, setup, flexibility, and limitations</x:v>
      </x:c>
      <x:c r="E2" s="6" t="str">
        <x:v>Headcount &amp; Compensation Plan  |  Scope, setup, flexibility, and limitations</x:v>
      </x:c>
      <x:c r="F2" s="6" t="str">
        <x:v>Headcount &amp; Compensation Plan  |  Scope, setup, flexibility, and limitations</x:v>
      </x:c>
      <x:c r="G2" s="6" t="str">
        <x:v>Headcount &amp; Compensation Plan  |  Scope, setup, flexibility, and limitations</x:v>
      </x:c>
      <x:c r="H2" s="6" t="str">
        <x:v>Headcount &amp; Compensation Plan  |  Scope, setup, flexibility, and limitations</x:v>
      </x:c>
      <x:c r="I2" s="6" t="str">
        <x:v>Headcount &amp; Compensation Plan  |  Scope, setup, flexibility, and limitations</x:v>
      </x:c>
      <x:c r="J2" s="6" t="str">
        <x:v>Headcount &amp; Compensation Plan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B6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C6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D6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E6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F6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G6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H6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I6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J6" s="12" t="str">
        <x:v>Opening headcount, hires, exits, start dates, compensation, benefits, vacancies, and scenario controls.
Primary users: FP&amp;A, HR Finance, Finance Business Partner. Typical use: Workforce plan, Personnel cost, Capacity.</x:v>
      </x:c>
    </x:row>
    <x:row r="7">
      <x:c r="A7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B7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C7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D7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E7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F7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G7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H7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I7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J7" s="12" t="str">
        <x:v>Opening headcount, hires, exits, start dates, compensation, benefits, vacancies, and scenario controls.
Primary users: FP&amp;A, HR Finance, Finance Business Partner. Typical use: Workforce plan, Personnel cost, Capacity.</x:v>
      </x:c>
    </x:row>
    <x:row r="8">
      <x:c r="A8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B8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C8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D8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E8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F8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G8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H8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I8" s="12" t="str">
        <x:v>Opening headcount, hires, exits, start dates, compensation, benefits, vacancies, and scenario controls.
Primary users: FP&amp;A, HR Finance, Finance Business Partner. Typical use: Workforce plan, Personnel cost, Capacity.</x:v>
      </x:c>
      <x:c r="J8" s="12" t="str">
        <x:v>Opening headcount, hires, exits, start dates, compensation, benefits, vacancies, and scenario controls.
Primary users: FP&amp;A, HR Finance, Finance Business Partner. Typical use: Workforce plan, Personnel cost, Capacity.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What hiring plan balances capacity, cost, timing, and productivity?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Workforce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Headcount Plan;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Workforce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Headcount Plan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Hiring realization × Annual merit recalculation of Annual personnel cost.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Workforce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Headcount Plan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No. It is an educational analytical template; obtain appropriate finance, accounting, tax, legal, regulatory, credit, actuarial, or investment review for real decisions.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B37" s="43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C37" s="43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D37" s="43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E37" s="43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F37" s="43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G37" s="43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H37" s="43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I37" s="43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J37" s="44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</x:row>
    <x:row r="38">
      <x:c r="A38" s="45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B38" s="46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C38" s="46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D38" s="46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E38" s="46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F38" s="46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G38" s="46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H38" s="46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I38" s="46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J38" s="47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</x:row>
    <x:row r="39">
      <x:c r="A39" s="48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B39" s="49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C39" s="49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D39" s="49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E39" s="49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F39" s="49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G39" s="49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H39" s="49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I39" s="49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  <x:c r="J39" s="50" t="str">
        <x:v>Deliberately excluded in version 1.0.0: employee-level payroll; country tax tables; equity compensation valuation; HRIS connection; personally identifiable employee data.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Headcount &amp; Compensation Plan  |  One controlled selector and visible driver cases</x:v>
      </x:c>
      <x:c r="B2" s="6" t="str">
        <x:v>Headcount &amp; Compensation Plan  |  One controlled selector and visible driver cases</x:v>
      </x:c>
      <x:c r="C2" s="6" t="str">
        <x:v>Headcount &amp; Compensation Plan  |  One controlled selector and visible driver cases</x:v>
      </x:c>
      <x:c r="D2" s="6" t="str">
        <x:v>Headcount &amp; Compensation Plan  |  One controlled selector and visible driver cases</x:v>
      </x:c>
      <x:c r="E2" s="6" t="str">
        <x:v>Headcount &amp; Compensation Plan  |  One controlled selector and visible driver cases</x:v>
      </x:c>
      <x:c r="F2" s="6" t="str">
        <x:v>Headcount &amp; Compensation Plan  |  One controlled selector and visible driver cases</x:v>
      </x:c>
      <x:c r="G2" s="6" t="str">
        <x:v>Headcount &amp; Compensation Plan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0" t="str">
        <x:v>Hiring plan realization</x:v>
      </x:c>
      <x:c r="B6" s="81" t="str">
        <x:v>%</x:v>
      </x:c>
      <x:c r="C6" s="82" t="n">
        <x:v>1</x:v>
      </x:c>
      <x:c r="D6" s="82" t="n">
        <x:v>1.15</x:v>
      </x:c>
      <x:c r="E6" s="82" t="n">
        <x:v>0.6</x:v>
      </x:c>
      <x:c r="F6" s="83" t="n">
        <x:f>IF($B$3="Base",C6,IF($B$3="Upside",D6,E6))</x:f>
        <x:v>1</x:v>
      </x:c>
      <x:c r="G6" s="84" t="str">
        <x:v>Replace with an approved, sourced assumption.</x:v>
      </x:c>
    </x:row>
    <x:row r="7">
      <x:c r="A7" s="85" t="str">
        <x:v>Annual merit increase</x:v>
      </x:c>
      <x:c r="B7" s="86" t="str">
        <x:v>%</x:v>
      </x:c>
      <x:c r="C7" s="87" t="n">
        <x:v>0.05</x:v>
      </x:c>
      <x:c r="D7" s="87" t="n">
        <x:v>0.06</x:v>
      </x:c>
      <x:c r="E7" s="87" t="n">
        <x:v>0.03</x:v>
      </x:c>
      <x:c r="F7" s="88" t="n">
        <x:f>IF($B$3="Base",C7,IF($B$3="Upside",D7,E7))</x:f>
        <x:v>0.05</x:v>
      </x:c>
      <x:c r="G7" s="89" t="str">
        <x:v>Replace with an approved, sourced assumption.</x:v>
      </x:c>
    </x:row>
    <x:row r="8">
      <x:c r="A8" s="85" t="str">
        <x:v>Benefits / base pay</x:v>
      </x:c>
      <x:c r="B8" s="86" t="str">
        <x:v>%</x:v>
      </x:c>
      <x:c r="C8" s="87" t="n">
        <x:v>0.18</x:v>
      </x:c>
      <x:c r="D8" s="87" t="n">
        <x:v>0.18</x:v>
      </x:c>
      <x:c r="E8" s="87" t="n">
        <x:v>0.16</x:v>
      </x:c>
      <x:c r="F8" s="88" t="n">
        <x:f>IF($B$3="Base",C8,IF($B$3="Upside",D8,E8))</x:f>
        <x:v>0.18</x:v>
      </x:c>
      <x:c r="G8" s="89" t="str">
        <x:v>Replace with an approved, sourced assumption.</x:v>
      </x:c>
    </x:row>
    <x:row r="9">
      <x:c r="A9" s="85" t="str">
        <x:v>Target bonus / base pay</x:v>
      </x:c>
      <x:c r="B9" s="86" t="str">
        <x:v>%</x:v>
      </x:c>
      <x:c r="C9" s="87" t="n">
        <x:v>0.1</x:v>
      </x:c>
      <x:c r="D9" s="87" t="n">
        <x:v>0.12</x:v>
      </x:c>
      <x:c r="E9" s="87" t="n">
        <x:v>0.08</x:v>
      </x:c>
      <x:c r="F9" s="88" t="n">
        <x:f>IF($B$3="Base",C9,IF($B$3="Upside",D9,E9))</x:f>
        <x:v>0.1</x:v>
      </x:c>
      <x:c r="G9" s="89" t="str">
        <x:v>Replace with an approved, sourced assumption.</x:v>
      </x:c>
    </x:row>
    <x:row r="10">
      <x:c r="A10" s="85" t="str">
        <x:v>Payroll tax / base pay</x:v>
      </x:c>
      <x:c r="B10" s="86" t="str">
        <x:v>%</x:v>
      </x:c>
      <x:c r="C10" s="87" t="n">
        <x:v>0.08</x:v>
      </x:c>
      <x:c r="D10" s="87" t="n">
        <x:v>0.08</x:v>
      </x:c>
      <x:c r="E10" s="87" t="n">
        <x:v>0.08</x:v>
      </x:c>
      <x:c r="F10" s="88" t="n">
        <x:f>IF($B$3="Base",C10,IF($B$3="Upside",D10,E10))</x:f>
        <x:v>0.08</x:v>
      </x:c>
      <x:c r="G10" s="89" t="str">
        <x:v>Replace with an approved, sourced assumption.</x:v>
      </x:c>
    </x:row>
    <x:row r="11">
      <x:c r="A11" s="90" t="str">
        <x:v>Capacity units / FTE / month</x:v>
      </x:c>
      <x:c r="B11" s="91" t="str">
        <x:v>units</x:v>
      </x:c>
      <x:c r="C11" s="92" t="n">
        <x:v>100</x:v>
      </x:c>
      <x:c r="D11" s="92" t="n">
        <x:v>105</x:v>
      </x:c>
      <x:c r="E11" s="92" t="n">
        <x:v>92</x:v>
      </x:c>
      <x:c r="F11" s="93" t="n">
        <x:f>IF($B$3="Base",C11,IF($B$3="Upside",D11,E11))</x:f>
        <x:v>100</x:v>
      </x:c>
      <x:c r="G11" s="94" t="str">
        <x:v>Replace with an approved, sourced assumption.</x:v>
      </x:c>
    </x:row>
    <x:row r="13">
      <x:c r="A13" s="42" t="str">
        <x:v>Scenario discipline: change a small number of decision-relevant drivers, preserve the core formula architecture, and document what changed, why, who owns it, and what action follows.</x:v>
      </x:c>
      <x:c r="B13" s="43" t="str">
        <x:v>Scenario discipline: change a small number of decision-relevant drivers, preserve the core formula architecture, and document what changed, why, who owns it, and what action follows.</x:v>
      </x:c>
      <x:c r="C13" s="43" t="str">
        <x:v>Scenario discipline: change a small number of decision-relevant drivers, preserve the core formula architecture, and document what changed, why, who owns it, and what action follows.</x:v>
      </x:c>
      <x:c r="D13" s="43" t="str">
        <x:v>Scenario discipline: change a small number of decision-relevant drivers, preserve the core formula architecture, and document what changed, why, who owns it, and what action follows.</x:v>
      </x:c>
      <x:c r="E13" s="43" t="str">
        <x:v>Scenario discipline: change a small number of decision-relevant drivers, preserve the core formula architecture, and document what changed, why, who owns it, and what action follows.</x:v>
      </x:c>
      <x:c r="F13" s="43" t="str">
        <x:v>Scenario discipline: change a small number of decision-relevant drivers, preserve the core formula architecture, and document what changed, why, who owns it, and what action follows.</x:v>
      </x:c>
      <x:c r="G13" s="44" t="str">
        <x:v>Scenario discipline: change a small number of decision-relevant drivers, preserve the core formula architecture, and document what changed, why, who owns it, and what action follows.</x:v>
      </x:c>
    </x:row>
    <x:row r="14">
      <x:c r="A14" s="45" t="str">
        <x:v>Scenario discipline: change a small number of decision-relevant drivers, preserve the core formula architecture, and document what changed, why, who owns it, and what action follows.</x:v>
      </x:c>
      <x:c r="B14" s="46" t="str">
        <x:v>Scenario discipline: change a small number of decision-relevant drivers, preserve the core formula architecture, and document what changed, why, who owns it, and what action follows.</x:v>
      </x:c>
      <x:c r="C14" s="46" t="str">
        <x:v>Scenario discipline: change a small number of decision-relevant drivers, preserve the core formula architecture, and document what changed, why, who owns it, and what action follows.</x:v>
      </x:c>
      <x:c r="D14" s="46" t="str">
        <x:v>Scenario discipline: change a small number of decision-relevant drivers, preserve the core formula architecture, and document what changed, why, who owns it, and what action follows.</x:v>
      </x:c>
      <x:c r="E14" s="46" t="str">
        <x:v>Scenario discipline: change a small number of decision-relevant drivers, preserve the core formula architecture, and document what changed, why, who owns it, and what action follows.</x:v>
      </x:c>
      <x:c r="F14" s="46" t="str">
        <x:v>Scenario discipline: change a small number of decision-relevant drivers, preserve the core formula architecture, and document what changed, why, who owns it, and what action follows.</x:v>
      </x:c>
      <x:c r="G14" s="47" t="str">
        <x:v>Scenario discipline: change a small number of decision-relevant drivers, preserve the core formula architecture, and document what changed, why, who owns it, and what action follows.</x:v>
      </x:c>
    </x:row>
    <x:row r="15">
      <x:c r="A15" s="48" t="str">
        <x:v>Scenario discipline: change a small number of decision-relevant drivers, preserve the core formula architecture, and document what changed, why, who owns it, and what action follows.</x:v>
      </x:c>
      <x:c r="B15" s="49" t="str">
        <x:v>Scenario discipline: change a small number of decision-relevant drivers, preserve the core formula architecture, and document what changed, why, who owns it, and what action follows.</x:v>
      </x:c>
      <x:c r="C15" s="49" t="str">
        <x:v>Scenario discipline: change a small number of decision-relevant drivers, preserve the core formula architecture, and document what changed, why, who owns it, and what action follows.</x:v>
      </x:c>
      <x:c r="D15" s="49" t="str">
        <x:v>Scenario discipline: change a small number of decision-relevant drivers, preserve the core formula architecture, and document what changed, why, who owns it, and what action follows.</x:v>
      </x:c>
      <x:c r="E15" s="49" t="str">
        <x:v>Scenario discipline: change a small number of decision-relevant drivers, preserve the core formula architecture, and document what changed, why, who owns it, and what action follows.</x:v>
      </x:c>
      <x:c r="F15" s="49" t="str">
        <x:v>Scenario discipline: change a small number of decision-relevant drivers, preserve the core formula architecture, and document what changed, why, who owns it, and what action follows.</x:v>
      </x:c>
      <x:c r="G15" s="50" t="str">
        <x:v>Scenario discipline: change a small number of decision-relevant drivers, preserve the core formula architecture, and document what changed, why, who owns it, and what action follows.</x:v>
      </x:c>
    </x:row>
    <x:row r="17">
      <x:c r="A17" s="53" t="str">
        <x:v>TDAT Model Library  |  Trust builds the brand. Insight builds the decision.</x:v>
      </x:c>
      <x:c r="B17" s="53" t="str">
        <x:v>TDAT Model Library  |  Trust builds the brand. Insight builds the decision.</x:v>
      </x:c>
      <x:c r="C17" s="53" t="str">
        <x:v>TDAT Model Library  |  Trust builds the brand. Insight builds the decision.</x:v>
      </x:c>
      <x:c r="D17" s="53" t="str">
        <x:v>TDAT Model Library  |  Trust builds the brand. Insight builds the decision.</x:v>
      </x:c>
      <x:c r="E17" s="53" t="str">
        <x:v>TDAT Model Library  |  Trust builds the brand. Insight builds the decision.</x:v>
      </x:c>
      <x:c r="F17" s="53" t="str">
        <x:v>TDAT Model Library  |  Trust builds the brand. Insight builds the decision.</x:v>
      </x:c>
      <x:c r="G17" s="53" t="str">
        <x:v>TDAT Model Library  |  Trust builds the brand. Insight builds the decision.</x:v>
      </x:c>
    </x:row>
  </x:sheetData>
  <x:mergeCells>
    <x:mergeCell ref="A1:G1"/>
    <x:mergeCell ref="A2:G2"/>
    <x:mergeCell ref="A13:G15"/>
    <x:mergeCell ref="A17:G17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4" customHeight="1">
      <x:c r="A1" s="3" t="str">
        <x:v>WORKFORCE INPUTS</x:v>
      </x:c>
      <x:c r="B1" s="3" t="str">
        <x:v>WORKFORCE INPUTS</x:v>
      </x:c>
      <x:c r="C1" s="3" t="str">
        <x:v>WORKFORCE INPUTS</x:v>
      </x:c>
      <x:c r="D1" s="3" t="str">
        <x:v>WORKFORCE INPUTS</x:v>
      </x:c>
      <x:c r="E1" s="3" t="str">
        <x:v>WORKFORCE INPUTS</x:v>
      </x:c>
      <x:c r="F1" s="3" t="str">
        <x:v>WORKFORCE INPUTS</x:v>
      </x:c>
      <x:c r="G1" s="3" t="str">
        <x:v>WORKFORCE INPUTS</x:v>
      </x:c>
      <x:c r="H1" s="3" t="str">
        <x:v>WORKFORCE INPUTS</x:v>
      </x:c>
      <x:c r="I1" s="3" t="str">
        <x:v>WORKFORCE INPUTS</x:v>
      </x:c>
      <x:c r="J1" s="3" t="str">
        <x:v>WORKFORCE INPUTS</x:v>
      </x:c>
      <x:c r="K1" s="3" t="str">
        <x:v>WORKFORCE INPUTS</x:v>
      </x:c>
      <x:c r="L1" s="3" t="str">
        <x:v>WORKFORCE INPUTS</x:v>
      </x:c>
      <x:c r="M1" s="3" t="str">
        <x:v>WORKFORCE INPUTS</x:v>
      </x:c>
    </x:row>
    <x:row r="2" ht="24" customHeight="1">
      <x:c r="A2" s="6" t="str">
        <x:v>Headcount &amp; Compensation Plan  |  Synthetic worked inputs — replace blue cells</x:v>
      </x:c>
      <x:c r="B2" s="6" t="str">
        <x:v>Headcount &amp; Compensation Plan  |  Synthetic worked inputs — replace blue cells</x:v>
      </x:c>
      <x:c r="C2" s="6" t="str">
        <x:v>Headcount &amp; Compensation Plan  |  Synthetic worked inputs — replace blue cells</x:v>
      </x:c>
      <x:c r="D2" s="6" t="str">
        <x:v>Headcount &amp; Compensation Plan  |  Synthetic worked inputs — replace blue cells</x:v>
      </x:c>
      <x:c r="E2" s="6" t="str">
        <x:v>Headcount &amp; Compensation Plan  |  Synthetic worked inputs — replace blue cells</x:v>
      </x:c>
      <x:c r="F2" s="6" t="str">
        <x:v>Headcount &amp; Compensation Plan  |  Synthetic worked inputs — replace blue cells</x:v>
      </x:c>
      <x:c r="G2" s="6" t="str">
        <x:v>Headcount &amp; Compensation Plan  |  Synthetic worked inputs — replace blue cells</x:v>
      </x:c>
      <x:c r="H2" s="6" t="str">
        <x:v>Headcount &amp; Compensation Plan  |  Synthetic worked inputs — replace blue cells</x:v>
      </x:c>
      <x:c r="I2" s="6" t="str">
        <x:v>Headcount &amp; Compensation Plan  |  Synthetic worked inputs — replace blue cells</x:v>
      </x:c>
      <x:c r="J2" s="6" t="str">
        <x:v>Headcount &amp; Compensation Plan  |  Synthetic worked inputs — replace blue cells</x:v>
      </x:c>
      <x:c r="K2" s="6" t="str">
        <x:v>Headcount &amp; Compensation Plan  |  Synthetic worked inputs — replace blue cells</x:v>
      </x:c>
      <x:c r="L2" s="6" t="str">
        <x:v>Headcount &amp; Compensation Plan  |  Synthetic worked inputs — replace blue cells</x:v>
      </x:c>
      <x:c r="M2" s="6" t="str">
        <x:v>Headcount &amp; Compensation Plan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5" ht="24" customHeight="1">
      <x:c r="A5" s="66" t="str">
        <x:v>Input / Period</x:v>
      </x:c>
      <x:c r="B5" s="67" t="str">
        <x:v>Jan</x:v>
      </x:c>
      <x:c r="C5" s="67" t="str">
        <x:v>Feb</x:v>
      </x:c>
      <x:c r="D5" s="67" t="str">
        <x:v>Mar</x:v>
      </x:c>
      <x:c r="E5" s="67" t="str">
        <x:v>Apr</x:v>
      </x:c>
      <x:c r="F5" s="67" t="str">
        <x:v>May</x:v>
      </x:c>
      <x:c r="G5" s="67" t="str">
        <x:v>Jun</x:v>
      </x:c>
      <x:c r="H5" s="67" t="str">
        <x:v>Jul</x:v>
      </x:c>
      <x:c r="I5" s="67" t="str">
        <x:v>Aug</x:v>
      </x:c>
      <x:c r="J5" s="67" t="str">
        <x:v>Sep</x:v>
      </x:c>
      <x:c r="K5" s="67" t="str">
        <x:v>Oct</x:v>
      </x:c>
      <x:c r="L5" s="67" t="str">
        <x:v>Nov</x:v>
      </x:c>
      <x:c r="M5" s="68" t="str">
        <x:v>Dec</x:v>
      </x:c>
    </x:row>
    <x:row r="6">
      <x:c r="A6" s="100" t="str">
        <x:v>Opening headcount</x:v>
      </x:c>
      <x:c r="B6" s="101" t="n">
        <x:v>120</x:v>
      </x:c>
      <x:c r="C6" s="101" t="n">
        <x:v>0</x:v>
      </x:c>
      <x:c r="D6" s="101" t="n">
        <x:v>0</x:v>
      </x:c>
      <x:c r="E6" s="101" t="n">
        <x:v>0</x:v>
      </x:c>
      <x:c r="F6" s="101" t="n">
        <x:v>0</x:v>
      </x:c>
      <x:c r="G6" s="101" t="n">
        <x:v>0</x:v>
      </x:c>
      <x:c r="H6" s="101" t="n">
        <x:v>0</x:v>
      </x:c>
      <x:c r="I6" s="101" t="n">
        <x:v>0</x:v>
      </x:c>
      <x:c r="J6" s="101" t="n">
        <x:v>0</x:v>
      </x:c>
      <x:c r="K6" s="101" t="n">
        <x:v>0</x:v>
      </x:c>
      <x:c r="L6" s="101" t="n">
        <x:v>0</x:v>
      </x:c>
      <x:c r="M6" s="101" t="n">
        <x:v>0</x:v>
      </x:c>
    </x:row>
    <x:row r="7">
      <x:c r="A7" s="102" t="str">
        <x:v>Planned hires</x:v>
      </x:c>
      <x:c r="B7" s="103" t="n">
        <x:v>4</x:v>
      </x:c>
      <x:c r="C7" s="103" t="n">
        <x:v>3</x:v>
      </x:c>
      <x:c r="D7" s="103" t="n">
        <x:v>5</x:v>
      </x:c>
      <x:c r="E7" s="103" t="n">
        <x:v>4</x:v>
      </x:c>
      <x:c r="F7" s="103" t="n">
        <x:v>3</x:v>
      </x:c>
      <x:c r="G7" s="103" t="n">
        <x:v>5</x:v>
      </x:c>
      <x:c r="H7" s="103" t="n">
        <x:v>4</x:v>
      </x:c>
      <x:c r="I7" s="103" t="n">
        <x:v>4</x:v>
      </x:c>
      <x:c r="J7" s="103" t="n">
        <x:v>3</x:v>
      </x:c>
      <x:c r="K7" s="103" t="n">
        <x:v>5</x:v>
      </x:c>
      <x:c r="L7" s="103" t="n">
        <x:v>3</x:v>
      </x:c>
      <x:c r="M7" s="103" t="n">
        <x:v>2</x:v>
      </x:c>
    </x:row>
    <x:row r="8">
      <x:c r="A8" s="102" t="str">
        <x:v>Planned exits</x:v>
      </x:c>
      <x:c r="B8" s="103" t="n">
        <x:v>2</x:v>
      </x:c>
      <x:c r="C8" s="103" t="n">
        <x:v>2</x:v>
      </x:c>
      <x:c r="D8" s="103" t="n">
        <x:v>3</x:v>
      </x:c>
      <x:c r="E8" s="103" t="n">
        <x:v>2</x:v>
      </x:c>
      <x:c r="F8" s="103" t="n">
        <x:v>2</x:v>
      </x:c>
      <x:c r="G8" s="103" t="n">
        <x:v>3</x:v>
      </x:c>
      <x:c r="H8" s="103" t="n">
        <x:v>2</x:v>
      </x:c>
      <x:c r="I8" s="103" t="n">
        <x:v>2</x:v>
      </x:c>
      <x:c r="J8" s="103" t="n">
        <x:v>2</x:v>
      </x:c>
      <x:c r="K8" s="103" t="n">
        <x:v>3</x:v>
      </x:c>
      <x:c r="L8" s="103" t="n">
        <x:v>2</x:v>
      </x:c>
      <x:c r="M8" s="103" t="n">
        <x:v>2</x:v>
      </x:c>
    </x:row>
    <x:row r="9">
      <x:c r="A9" s="104" t="str">
        <x:v>Average annual base salary / FTE</x:v>
      </x:c>
      <x:c r="B9" s="105" t="n">
        <x:v>36</x:v>
      </x:c>
      <x:c r="C9" s="105" t="n">
        <x:v>36</x:v>
      </x:c>
      <x:c r="D9" s="105" t="n">
        <x:v>36</x:v>
      </x:c>
      <x:c r="E9" s="105" t="n">
        <x:v>36</x:v>
      </x:c>
      <x:c r="F9" s="105" t="n">
        <x:v>36</x:v>
      </x:c>
      <x:c r="G9" s="105" t="n">
        <x:v>36</x:v>
      </x:c>
      <x:c r="H9" s="105" t="n">
        <x:v>36</x:v>
      </x:c>
      <x:c r="I9" s="105" t="n">
        <x:v>36</x:v>
      </x:c>
      <x:c r="J9" s="105" t="n">
        <x:v>36</x:v>
      </x:c>
      <x:c r="K9" s="105" t="n">
        <x:v>36</x:v>
      </x:c>
      <x:c r="L9" s="105" t="n">
        <x:v>36</x:v>
      </x:c>
      <x:c r="M9" s="105" t="n">
        <x:v>36</x:v>
      </x:c>
    </x:row>
    <x:row r="11">
      <x:c r="A11" s="42" t="str">
        <x:v>Synthetic input pack. Preserve source definitions, units, period basis, and sign convention when replacing values.</x:v>
      </x:c>
      <x:c r="B11" s="43" t="str">
        <x:v>Synthetic input pack. Preserve source definitions, units, period basis, and sign convention when replacing values.</x:v>
      </x:c>
      <x:c r="C11" s="43" t="str">
        <x:v>Synthetic input pack. Preserve source definitions, units, period basis, and sign convention when replacing values.</x:v>
      </x:c>
      <x:c r="D11" s="43" t="str">
        <x:v>Synthetic input pack. Preserve source definitions, units, period basis, and sign convention when replacing values.</x:v>
      </x:c>
      <x:c r="E11" s="43" t="str">
        <x:v>Synthetic input pack. Preserve source definitions, units, period basis, and sign convention when replacing values.</x:v>
      </x:c>
      <x:c r="F11" s="43" t="str">
        <x:v>Synthetic input pack. Preserve source definitions, units, period basis, and sign convention when replacing values.</x:v>
      </x:c>
      <x:c r="G11" s="43" t="str">
        <x:v>Synthetic input pack. Preserve source definitions, units, period basis, and sign convention when replacing values.</x:v>
      </x:c>
      <x:c r="H11" s="43" t="str">
        <x:v>Synthetic input pack. Preserve source definitions, units, period basis, and sign convention when replacing values.</x:v>
      </x:c>
      <x:c r="I11" s="43" t="str">
        <x:v>Synthetic input pack. Preserve source definitions, units, period basis, and sign convention when replacing values.</x:v>
      </x:c>
      <x:c r="J11" s="43" t="str">
        <x:v>Synthetic input pack. Preserve source definitions, units, period basis, and sign convention when replacing values.</x:v>
      </x:c>
      <x:c r="K11" s="43" t="str">
        <x:v>Synthetic input pack. Preserve source definitions, units, period basis, and sign convention when replacing values.</x:v>
      </x:c>
      <x:c r="L11" s="43" t="str">
        <x:v>Synthetic input pack. Preserve source definitions, units, period basis, and sign convention when replacing values.</x:v>
      </x:c>
      <x:c r="M11" s="44" t="str">
        <x:v>Synthetic input pack. Preserve source definitions, units, period basis, and sign convention when replacing values.</x:v>
      </x:c>
    </x:row>
    <x:row r="12">
      <x:c r="A12" s="45" t="str">
        <x:v>Synthetic input pack. Preserve source definitions, units, period basis, and sign convention when replacing values.</x:v>
      </x:c>
      <x:c r="B12" s="46" t="str">
        <x:v>Synthetic input pack. Preserve source definitions, units, period basis, and sign convention when replacing values.</x:v>
      </x:c>
      <x:c r="C12" s="46" t="str">
        <x:v>Synthetic input pack. Preserve source definitions, units, period basis, and sign convention when replacing values.</x:v>
      </x:c>
      <x:c r="D12" s="46" t="str">
        <x:v>Synthetic input pack. Preserve source definitions, units, period basis, and sign convention when replacing values.</x:v>
      </x:c>
      <x:c r="E12" s="46" t="str">
        <x:v>Synthetic input pack. Preserve source definitions, units, period basis, and sign convention when replacing values.</x:v>
      </x:c>
      <x:c r="F12" s="46" t="str">
        <x:v>Synthetic input pack. Preserve source definitions, units, period basis, and sign convention when replacing values.</x:v>
      </x:c>
      <x:c r="G12" s="46" t="str">
        <x:v>Synthetic input pack. Preserve source definitions, units, period basis, and sign convention when replacing values.</x:v>
      </x:c>
      <x:c r="H12" s="46" t="str">
        <x:v>Synthetic input pack. Preserve source definitions, units, period basis, and sign convention when replacing values.</x:v>
      </x:c>
      <x:c r="I12" s="46" t="str">
        <x:v>Synthetic input pack. Preserve source definitions, units, period basis, and sign convention when replacing values.</x:v>
      </x:c>
      <x:c r="J12" s="46" t="str">
        <x:v>Synthetic input pack. Preserve source definitions, units, period basis, and sign convention when replacing values.</x:v>
      </x:c>
      <x:c r="K12" s="46" t="str">
        <x:v>Synthetic input pack. Preserve source definitions, units, period basis, and sign convention when replacing values.</x:v>
      </x:c>
      <x:c r="L12" s="46" t="str">
        <x:v>Synthetic input pack. Preserve source definitions, units, period basis, and sign convention when replacing values.</x:v>
      </x:c>
      <x:c r="M12" s="47" t="str">
        <x:v>Synthetic input pack. Preserve source definitions, units, period basis, and sign convention when replacing values.</x:v>
      </x:c>
    </x:row>
    <x:row r="13">
      <x:c r="A13" s="48" t="str">
        <x:v>Synthetic input pack. Preserve source definitions, units, period basis, and sign convention when replacing values.</x:v>
      </x:c>
      <x:c r="B13" s="49" t="str">
        <x:v>Synthetic input pack. Preserve source definitions, units, period basis, and sign convention when replacing values.</x:v>
      </x:c>
      <x:c r="C13" s="49" t="str">
        <x:v>Synthetic input pack. Preserve source definitions, units, period basis, and sign convention when replacing values.</x:v>
      </x:c>
      <x:c r="D13" s="49" t="str">
        <x:v>Synthetic input pack. Preserve source definitions, units, period basis, and sign convention when replacing values.</x:v>
      </x:c>
      <x:c r="E13" s="49" t="str">
        <x:v>Synthetic input pack. Preserve source definitions, units, period basis, and sign convention when replacing values.</x:v>
      </x:c>
      <x:c r="F13" s="49" t="str">
        <x:v>Synthetic input pack. Preserve source definitions, units, period basis, and sign convention when replacing values.</x:v>
      </x:c>
      <x:c r="G13" s="49" t="str">
        <x:v>Synthetic input pack. Preserve source definitions, units, period basis, and sign convention when replacing values.</x:v>
      </x:c>
      <x:c r="H13" s="49" t="str">
        <x:v>Synthetic input pack. Preserve source definitions, units, period basis, and sign convention when replacing values.</x:v>
      </x:c>
      <x:c r="I13" s="49" t="str">
        <x:v>Synthetic input pack. Preserve source definitions, units, period basis, and sign convention when replacing values.</x:v>
      </x:c>
      <x:c r="J13" s="49" t="str">
        <x:v>Synthetic input pack. Preserve source definitions, units, period basis, and sign convention when replacing values.</x:v>
      </x:c>
      <x:c r="K13" s="49" t="str">
        <x:v>Synthetic input pack. Preserve source definitions, units, period basis, and sign convention when replacing values.</x:v>
      </x:c>
      <x:c r="L13" s="49" t="str">
        <x:v>Synthetic input pack. Preserve source definitions, units, period basis, and sign convention when replacing values.</x:v>
      </x:c>
      <x:c r="M13" s="50" t="str">
        <x:v>Synthetic input pack. Preserve source definitions, units, period basis, and sign convention when replacing values.</x:v>
      </x:c>
    </x:row>
    <x:row r="15">
      <x:c r="A15" s="53" t="str">
        <x:v>TDAT Model Library  |  Trust builds the brand. Insight builds the decision.</x:v>
      </x:c>
      <x:c r="B15" s="53" t="str">
        <x:v>TDAT Model Library  |  Trust builds the brand. Insight builds the decision.</x:v>
      </x:c>
      <x:c r="C15" s="53" t="str">
        <x:v>TDAT Model Library  |  Trust builds the brand. Insight builds the decision.</x:v>
      </x:c>
      <x:c r="D15" s="53" t="str">
        <x:v>TDAT Model Library  |  Trust builds the brand. Insight builds the decision.</x:v>
      </x:c>
      <x:c r="E15" s="53" t="str">
        <x:v>TDAT Model Library  |  Trust builds the brand. Insight builds the decision.</x:v>
      </x:c>
      <x:c r="F15" s="53" t="str">
        <x:v>TDAT Model Library  |  Trust builds the brand. Insight builds the decision.</x:v>
      </x:c>
      <x:c r="G15" s="53" t="str">
        <x:v>TDAT Model Library  |  Trust builds the brand. Insight builds the decision.</x:v>
      </x:c>
      <x:c r="H15" s="53" t="str">
        <x:v>TDAT Model Library  |  Trust builds the brand. Insight builds the decision.</x:v>
      </x:c>
      <x:c r="I15" s="53" t="str">
        <x:v>TDAT Model Library  |  Trust builds the brand. Insight builds the decision.</x:v>
      </x:c>
      <x:c r="J15" s="53" t="str">
        <x:v>TDAT Model Library  |  Trust builds the brand. Insight builds the decision.</x:v>
      </x:c>
      <x:c r="K15" s="53" t="str">
        <x:v>TDAT Model Library  |  Trust builds the brand. Insight builds the decision.</x:v>
      </x:c>
      <x:c r="L15" s="53" t="str">
        <x:v>TDAT Model Library  |  Trust builds the brand. Insight builds the decision.</x:v>
      </x:c>
      <x:c r="M15" s="53" t="str">
        <x:v>TDAT Model Library  |  Trust builds the brand. Insight builds the decision.</x:v>
      </x:c>
    </x:row>
  </x:sheetData>
  <x:mergeCells>
    <x:mergeCell ref="A1:M1"/>
    <x:mergeCell ref="A2:M2"/>
    <x:mergeCell ref="A11:M13"/>
    <x:mergeCell ref="A15:M1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ht="34" customHeight="1">
      <x:c r="A1" s="3" t="str">
        <x:v>HEADCOUNT PLAN</x:v>
      </x:c>
      <x:c r="B1" s="3" t="str">
        <x:v>HEADCOUNT PLAN</x:v>
      </x:c>
      <x:c r="C1" s="3" t="str">
        <x:v>HEADCOUNT PLAN</x:v>
      </x:c>
      <x:c r="D1" s="3" t="str">
        <x:v>HEADCOUNT PLAN</x:v>
      </x:c>
      <x:c r="E1" s="3" t="str">
        <x:v>HEADCOUNT PLAN</x:v>
      </x:c>
      <x:c r="F1" s="3" t="str">
        <x:v>HEADCOUNT PLAN</x:v>
      </x:c>
      <x:c r="G1" s="3" t="str">
        <x:v>HEADCOUNT PLAN</x:v>
      </x:c>
      <x:c r="H1" s="3" t="str">
        <x:v>HEADCOUNT PLAN</x:v>
      </x:c>
      <x:c r="I1" s="3" t="str">
        <x:v>HEADCOUNT PLAN</x:v>
      </x:c>
      <x:c r="J1" s="3" t="str">
        <x:v>HEADCOUNT PLAN</x:v>
      </x:c>
      <x:c r="K1" s="3" t="str">
        <x:v>HEADCOUNT PLAN</x:v>
      </x:c>
      <x:c r="L1" s="3" t="str">
        <x:v>HEADCOUNT PLAN</x:v>
      </x:c>
      <x:c r="M1" s="3" t="str">
        <x:v>HEADCOUNT PLAN</x:v>
      </x:c>
    </x:row>
    <x:row r="2" ht="24" customHeight="1">
      <x:c r="A2" s="6" t="str">
        <x:v>Headcount &amp; Compensation Plan  |  Formula-driven core mechanics</x:v>
      </x:c>
      <x:c r="B2" s="6" t="str">
        <x:v>Headcount &amp; Compensation Plan  |  Formula-driven core mechanics</x:v>
      </x:c>
      <x:c r="C2" s="6" t="str">
        <x:v>Headcount &amp; Compensation Plan  |  Formula-driven core mechanics</x:v>
      </x:c>
      <x:c r="D2" s="6" t="str">
        <x:v>Headcount &amp; Compensation Plan  |  Formula-driven core mechanics</x:v>
      </x:c>
      <x:c r="E2" s="6" t="str">
        <x:v>Headcount &amp; Compensation Plan  |  Formula-driven core mechanics</x:v>
      </x:c>
      <x:c r="F2" s="6" t="str">
        <x:v>Headcount &amp; Compensation Plan  |  Formula-driven core mechanics</x:v>
      </x:c>
      <x:c r="G2" s="6" t="str">
        <x:v>Headcount &amp; Compensation Plan  |  Formula-driven core mechanics</x:v>
      </x:c>
      <x:c r="H2" s="6" t="str">
        <x:v>Headcount &amp; Compensation Plan  |  Formula-driven core mechanics</x:v>
      </x:c>
      <x:c r="I2" s="6" t="str">
        <x:v>Headcount &amp; Compensation Plan  |  Formula-driven core mechanics</x:v>
      </x:c>
      <x:c r="J2" s="6" t="str">
        <x:v>Headcount &amp; Compensation Plan  |  Formula-driven core mechanics</x:v>
      </x:c>
      <x:c r="K2" s="6" t="str">
        <x:v>Headcount &amp; Compensation Plan  |  Formula-driven core mechanics</x:v>
      </x:c>
      <x:c r="L2" s="6" t="str">
        <x:v>Headcount &amp; Compensation Plan  |  Formula-driven core mechanics</x:v>
      </x:c>
      <x:c r="M2" s="6" t="str">
        <x:v>Headcount &amp; Compensation Plan  |  Formula-driven core mechanics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5" ht="24" customHeight="1">
      <x:c r="A5" s="66" t="str">
        <x:v>Calculation / Period</x:v>
      </x:c>
      <x:c r="B5" s="67" t="str">
        <x:v>Jan</x:v>
      </x:c>
      <x:c r="C5" s="67" t="str">
        <x:v>Feb</x:v>
      </x:c>
      <x:c r="D5" s="67" t="str">
        <x:v>Mar</x:v>
      </x:c>
      <x:c r="E5" s="67" t="str">
        <x:v>Apr</x:v>
      </x:c>
      <x:c r="F5" s="67" t="str">
        <x:v>May</x:v>
      </x:c>
      <x:c r="G5" s="67" t="str">
        <x:v>Jun</x:v>
      </x:c>
      <x:c r="H5" s="67" t="str">
        <x:v>Jul</x:v>
      </x:c>
      <x:c r="I5" s="67" t="str">
        <x:v>Aug</x:v>
      </x:c>
      <x:c r="J5" s="67" t="str">
        <x:v>Sep</x:v>
      </x:c>
      <x:c r="K5" s="67" t="str">
        <x:v>Oct</x:v>
      </x:c>
      <x:c r="L5" s="67" t="str">
        <x:v>Nov</x:v>
      </x:c>
      <x:c r="M5" s="68" t="str">
        <x:v>Dec</x:v>
      </x:c>
    </x:row>
    <x:row r="6">
      <x:c r="A6" s="123" t="str">
        <x:v>Opening headcount</x:v>
      </x:c>
      <x:c r="B6" s="124" t="n">
        <x:f>'Workforce Inputs'!B$6</x:f>
        <x:v>120</x:v>
      </x:c>
      <x:c r="C6" s="124" t="n">
        <x:f>B$9</x:f>
        <x:v>122</x:v>
      </x:c>
      <x:c r="D6" s="124" t="n">
        <x:f>C$9</x:f>
        <x:v>123</x:v>
      </x:c>
      <x:c r="E6" s="124" t="n">
        <x:f>D$9</x:f>
        <x:v>125</x:v>
      </x:c>
      <x:c r="F6" s="124" t="n">
        <x:f>E$9</x:f>
        <x:v>127</x:v>
      </x:c>
      <x:c r="G6" s="124" t="n">
        <x:f>F$9</x:f>
        <x:v>128</x:v>
      </x:c>
      <x:c r="H6" s="124" t="n">
        <x:f>G$9</x:f>
        <x:v>130</x:v>
      </x:c>
      <x:c r="I6" s="124" t="n">
        <x:f>H$9</x:f>
        <x:v>132</x:v>
      </x:c>
      <x:c r="J6" s="124" t="n">
        <x:f>I$9</x:f>
        <x:v>134</x:v>
      </x:c>
      <x:c r="K6" s="124" t="n">
        <x:f>J$9</x:f>
        <x:v>135</x:v>
      </x:c>
      <x:c r="L6" s="124" t="n">
        <x:f>K$9</x:f>
        <x:v>137</x:v>
      </x:c>
      <x:c r="M6" s="124" t="n">
        <x:f>L$9</x:f>
        <x:v>138</x:v>
      </x:c>
    </x:row>
    <x:row r="7">
      <x:c r="A7" s="125" t="str">
        <x:v>Scenario hires</x:v>
      </x:c>
      <x:c r="B7" s="126" t="n">
        <x:f>'Workforce Inputs'!B$7*'Assumptions'!$F$6</x:f>
        <x:v>4</x:v>
      </x:c>
      <x:c r="C7" s="126" t="n">
        <x:f>'Workforce Inputs'!C$7*'Assumptions'!$F$6</x:f>
        <x:v>3</x:v>
      </x:c>
      <x:c r="D7" s="126" t="n">
        <x:f>'Workforce Inputs'!D$7*'Assumptions'!$F$6</x:f>
        <x:v>5</x:v>
      </x:c>
      <x:c r="E7" s="126" t="n">
        <x:f>'Workforce Inputs'!E$7*'Assumptions'!$F$6</x:f>
        <x:v>4</x:v>
      </x:c>
      <x:c r="F7" s="126" t="n">
        <x:f>'Workforce Inputs'!F$7*'Assumptions'!$F$6</x:f>
        <x:v>3</x:v>
      </x:c>
      <x:c r="G7" s="126" t="n">
        <x:f>'Workforce Inputs'!G$7*'Assumptions'!$F$6</x:f>
        <x:v>5</x:v>
      </x:c>
      <x:c r="H7" s="126" t="n">
        <x:f>'Workforce Inputs'!H$7*'Assumptions'!$F$6</x:f>
        <x:v>4</x:v>
      </x:c>
      <x:c r="I7" s="126" t="n">
        <x:f>'Workforce Inputs'!I$7*'Assumptions'!$F$6</x:f>
        <x:v>4</x:v>
      </x:c>
      <x:c r="J7" s="126" t="n">
        <x:f>'Workforce Inputs'!J$7*'Assumptions'!$F$6</x:f>
        <x:v>3</x:v>
      </x:c>
      <x:c r="K7" s="126" t="n">
        <x:f>'Workforce Inputs'!K$7*'Assumptions'!$F$6</x:f>
        <x:v>5</x:v>
      </x:c>
      <x:c r="L7" s="126" t="n">
        <x:f>'Workforce Inputs'!L$7*'Assumptions'!$F$6</x:f>
        <x:v>3</x:v>
      </x:c>
      <x:c r="M7" s="126" t="n">
        <x:f>'Workforce Inputs'!M$7*'Assumptions'!$F$6</x:f>
        <x:v>2</x:v>
      </x:c>
    </x:row>
    <x:row r="8">
      <x:c r="A8" s="125" t="str">
        <x:v>Exits</x:v>
      </x:c>
      <x:c r="B8" s="126" t="n">
        <x:f>'Workforce Inputs'!B$8</x:f>
        <x:v>2</x:v>
      </x:c>
      <x:c r="C8" s="126" t="n">
        <x:f>'Workforce Inputs'!C$8</x:f>
        <x:v>2</x:v>
      </x:c>
      <x:c r="D8" s="126" t="n">
        <x:f>'Workforce Inputs'!D$8</x:f>
        <x:v>3</x:v>
      </x:c>
      <x:c r="E8" s="126" t="n">
        <x:f>'Workforce Inputs'!E$8</x:f>
        <x:v>2</x:v>
      </x:c>
      <x:c r="F8" s="126" t="n">
        <x:f>'Workforce Inputs'!F$8</x:f>
        <x:v>2</x:v>
      </x:c>
      <x:c r="G8" s="126" t="n">
        <x:f>'Workforce Inputs'!G$8</x:f>
        <x:v>3</x:v>
      </x:c>
      <x:c r="H8" s="126" t="n">
        <x:f>'Workforce Inputs'!H$8</x:f>
        <x:v>2</x:v>
      </x:c>
      <x:c r="I8" s="126" t="n">
        <x:f>'Workforce Inputs'!I$8</x:f>
        <x:v>2</x:v>
      </x:c>
      <x:c r="J8" s="126" t="n">
        <x:f>'Workforce Inputs'!J$8</x:f>
        <x:v>2</x:v>
      </x:c>
      <x:c r="K8" s="126" t="n">
        <x:f>'Workforce Inputs'!K$8</x:f>
        <x:v>3</x:v>
      </x:c>
      <x:c r="L8" s="126" t="n">
        <x:f>'Workforce Inputs'!L$8</x:f>
        <x:v>2</x:v>
      </x:c>
      <x:c r="M8" s="126" t="n">
        <x:f>'Workforce Inputs'!M$8</x:f>
        <x:v>2</x:v>
      </x:c>
    </x:row>
    <x:row r="9">
      <x:c r="A9" s="127" t="str">
        <x:v>Closing headcount</x:v>
      </x:c>
      <x:c r="B9" s="128" t="n">
        <x:f>B$6+B$7-B$8</x:f>
        <x:v>122</x:v>
      </x:c>
      <x:c r="C9" s="128" t="n">
        <x:f>C$6+C$7-C$8</x:f>
        <x:v>123</x:v>
      </x:c>
      <x:c r="D9" s="128" t="n">
        <x:f>D$6+D$7-D$8</x:f>
        <x:v>125</x:v>
      </x:c>
      <x:c r="E9" s="128" t="n">
        <x:f>E$6+E$7-E$8</x:f>
        <x:v>127</x:v>
      </x:c>
      <x:c r="F9" s="128" t="n">
        <x:f>F$6+F$7-F$8</x:f>
        <x:v>128</x:v>
      </x:c>
      <x:c r="G9" s="128" t="n">
        <x:f>G$6+G$7-G$8</x:f>
        <x:v>130</x:v>
      </x:c>
      <x:c r="H9" s="128" t="n">
        <x:f>H$6+H$7-H$8</x:f>
        <x:v>132</x:v>
      </x:c>
      <x:c r="I9" s="128" t="n">
        <x:f>I$6+I$7-I$8</x:f>
        <x:v>134</x:v>
      </x:c>
      <x:c r="J9" s="128" t="n">
        <x:f>J$6+J$7-J$8</x:f>
        <x:v>135</x:v>
      </x:c>
      <x:c r="K9" s="128" t="n">
        <x:f>K$6+K$7-K$8</x:f>
        <x:v>137</x:v>
      </x:c>
      <x:c r="L9" s="128" t="n">
        <x:f>L$6+L$7-L$8</x:f>
        <x:v>138</x:v>
      </x:c>
      <x:c r="M9" s="128" t="n">
        <x:f>M$6+M$7-M$8</x:f>
        <x:v>138</x:v>
      </x:c>
    </x:row>
    <x:row r="10">
      <x:c r="A10" s="125" t="str">
        <x:v>Average headcount</x:v>
      </x:c>
      <x:c r="B10" s="129" t="n">
        <x:f>(B$6+B$9)/2</x:f>
        <x:v>121</x:v>
      </x:c>
      <x:c r="C10" s="129" t="n">
        <x:f>(C$6+C$9)/2</x:f>
        <x:v>122.5</x:v>
      </x:c>
      <x:c r="D10" s="129" t="n">
        <x:f>(D$6+D$9)/2</x:f>
        <x:v>124</x:v>
      </x:c>
      <x:c r="E10" s="129" t="n">
        <x:f>(E$6+E$9)/2</x:f>
        <x:v>126</x:v>
      </x:c>
      <x:c r="F10" s="129" t="n">
        <x:f>(F$6+F$9)/2</x:f>
        <x:v>127.5</x:v>
      </x:c>
      <x:c r="G10" s="129" t="n">
        <x:f>(G$6+G$9)/2</x:f>
        <x:v>129</x:v>
      </x:c>
      <x:c r="H10" s="129" t="n">
        <x:f>(H$6+H$9)/2</x:f>
        <x:v>131</x:v>
      </x:c>
      <x:c r="I10" s="129" t="n">
        <x:f>(I$6+I$9)/2</x:f>
        <x:v>133</x:v>
      </x:c>
      <x:c r="J10" s="129" t="n">
        <x:f>(J$6+J$9)/2</x:f>
        <x:v>134.5</x:v>
      </x:c>
      <x:c r="K10" s="129" t="n">
        <x:f>(K$6+K$9)/2</x:f>
        <x:v>136</x:v>
      </x:c>
      <x:c r="L10" s="129" t="n">
        <x:f>(L$6+L$9)/2</x:f>
        <x:v>137.5</x:v>
      </x:c>
      <x:c r="M10" s="129" t="n">
        <x:f>(M$6+M$9)/2</x:f>
        <x:v>138</x:v>
      </x:c>
    </x:row>
    <x:row r="11">
      <x:c r="A11" s="125" t="str">
        <x:v>Average annual salary / FTE</x:v>
      </x:c>
      <x:c r="B11" s="130" t="n">
        <x:f>'Workforce Inputs'!B$9*(1+'Assumptions'!$F$7)^(0/12)</x:f>
        <x:v>36</x:v>
      </x:c>
      <x:c r="C11" s="130" t="n">
        <x:f>'Workforce Inputs'!C$9*(1+'Assumptions'!$F$7)^(1/12)</x:f>
        <x:v>36.146668456211344</x:v>
      </x:c>
      <x:c r="D11" s="130" t="n">
        <x:f>'Workforce Inputs'!D$9*(1+'Assumptions'!$F$7)^(2/12)</x:f>
        <x:v>36.29393445786844</x:v>
      </x:c>
      <x:c r="E11" s="130" t="n">
        <x:f>'Workforce Inputs'!E$9*(1+'Assumptions'!$F$7)^(3/12)</x:f>
        <x:v>36.441800439445416</x:v>
      </x:c>
      <x:c r="F11" s="130" t="n">
        <x:f>'Workforce Inputs'!F$9*(1+'Assumptions'!$F$7)^(4/12)</x:f>
        <x:v>36.59026884533473</x:v>
      </x:c>
      <x:c r="G11" s="130" t="n">
        <x:f>'Workforce Inputs'!G$9*(1+'Assumptions'!$F$7)^(5/12)</x:f>
        <x:v>36.73934212988759</x:v>
      </x:c>
      <x:c r="H11" s="130" t="n">
        <x:f>'Workforce Inputs'!H$9*(1+'Assumptions'!$F$7)^(6/12)</x:f>
        <x:v>36.889022757454555</x:v>
      </x:c>
      <x:c r="I11" s="130" t="n">
        <x:f>'Workforce Inputs'!I$9*(1+'Assumptions'!$F$7)^(7/12)</x:f>
        <x:v>37.03931320242624</x:v>
      </x:c>
      <x:c r="J11" s="130" t="n">
        <x:f>'Workforce Inputs'!J$9*(1+'Assumptions'!$F$7)^(8/12)</x:f>
        <x:v>37.19021594927425</x:v>
      </x:c>
      <x:c r="K11" s="130" t="n">
        <x:f>'Workforce Inputs'!K$9*(1+'Assumptions'!$F$7)^(9/12)</x:f>
        <x:v>37.3417334925922</x:v>
      </x:c>
      <x:c r="L11" s="130" t="n">
        <x:f>'Workforce Inputs'!L$9*(1+'Assumptions'!$F$7)^(10/12)</x:f>
        <x:v>37.49386833713703</x:v>
      </x:c>
      <x:c r="M11" s="130" t="n">
        <x:f>'Workforce Inputs'!M$9*(1+'Assumptions'!$F$7)^(11/12)</x:f>
        <x:v>37.64662299787034</x:v>
      </x:c>
    </x:row>
    <x:row r="12">
      <x:c r="A12" s="125" t="str">
        <x:v>Base pay</x:v>
      </x:c>
      <x:c r="B12" s="131" t="n">
        <x:f>-B$10*B$11/12</x:f>
        <x:v>-363</x:v>
      </x:c>
      <x:c r="C12" s="131" t="n">
        <x:f>-C$10*C$11/12</x:f>
        <x:v>-368.9972404904908</x:v>
      </x:c>
      <x:c r="D12" s="131" t="n">
        <x:f>-D$10*D$11/12</x:f>
        <x:v>-375.03732273130714</x:v>
      </x:c>
      <x:c r="E12" s="131" t="n">
        <x:f>-E$10*E$11/12</x:f>
        <x:v>-382.63890461417685</x:v>
      </x:c>
      <x:c r="F12" s="131" t="n">
        <x:f>-F$10*F$11/12</x:f>
        <x:v>-388.77160648168143</x:v>
      </x:c>
      <x:c r="G12" s="131" t="n">
        <x:f>-G$10*G$11/12</x:f>
        <x:v>-394.94792789629156</x:v>
      </x:c>
      <x:c r="H12" s="131" t="n">
        <x:f>-H$10*H$11/12</x:f>
        <x:v>-402.7051651022122</x:v>
      </x:c>
      <x:c r="I12" s="131" t="n">
        <x:f>-I$10*I$11/12</x:f>
        <x:v>-410.5190546602242</x:v>
      </x:c>
      <x:c r="J12" s="131" t="n">
        <x:f>-J$10*J$11/12</x:f>
        <x:v>-416.8403370981155</x:v>
      </x:c>
      <x:c r="K12" s="131" t="n">
        <x:f>-K$10*K$11/12</x:f>
        <x:v>-423.2063129160449</x:v>
      </x:c>
      <x:c r="L12" s="131" t="n">
        <x:f>-L$10*L$11/12</x:f>
        <x:v>-429.6172413630284</x:v>
      </x:c>
      <x:c r="M12" s="131" t="n">
        <x:f>-M$10*M$11/12</x:f>
        <x:v>-432.93616447550886</x:v>
      </x:c>
    </x:row>
    <x:row r="13">
      <x:c r="A13" s="125" t="str">
        <x:v>Benefits</x:v>
      </x:c>
      <x:c r="B13" s="130" t="n">
        <x:f>B$12*'Assumptions'!$F$8</x:f>
        <x:v>-65.34</x:v>
      </x:c>
      <x:c r="C13" s="130" t="n">
        <x:f>C$12*'Assumptions'!$F$8</x:f>
        <x:v>-66.41950328828834</x:v>
      </x:c>
      <x:c r="D13" s="130" t="n">
        <x:f>D$12*'Assumptions'!$F$8</x:f>
        <x:v>-67.50671809163528</x:v>
      </x:c>
      <x:c r="E13" s="130" t="n">
        <x:f>E$12*'Assumptions'!$F$8</x:f>
        <x:v>-68.87500283055184</x:v>
      </x:c>
      <x:c r="F13" s="130" t="n">
        <x:f>F$12*'Assumptions'!$F$8</x:f>
        <x:v>-69.97888916670266</x:v>
      </x:c>
      <x:c r="G13" s="130" t="n">
        <x:f>G$12*'Assumptions'!$F$8</x:f>
        <x:v>-71.09062702133248</x:v>
      </x:c>
      <x:c r="H13" s="130" t="n">
        <x:f>H$12*'Assumptions'!$F$8</x:f>
        <x:v>-72.4869297183982</x:v>
      </x:c>
      <x:c r="I13" s="130" t="n">
        <x:f>I$12*'Assumptions'!$F$8</x:f>
        <x:v>-73.89342983884035</x:v>
      </x:c>
      <x:c r="J13" s="130" t="n">
        <x:f>J$12*'Assumptions'!$F$8</x:f>
        <x:v>-75.0312606776608</x:v>
      </x:c>
      <x:c r="K13" s="130" t="n">
        <x:f>K$12*'Assumptions'!$F$8</x:f>
        <x:v>-76.17713632488808</x:v>
      </x:c>
      <x:c r="L13" s="130" t="n">
        <x:f>L$12*'Assumptions'!$F$8</x:f>
        <x:v>-77.33110344534511</x:v>
      </x:c>
      <x:c r="M13" s="130" t="n">
        <x:f>M$12*'Assumptions'!$F$8</x:f>
        <x:v>-77.92850960559159</x:v>
      </x:c>
    </x:row>
    <x:row r="14">
      <x:c r="A14" s="125" t="str">
        <x:v>Bonus accrual</x:v>
      </x:c>
      <x:c r="B14" s="130" t="n">
        <x:f>B$12*'Assumptions'!$F$9</x:f>
        <x:v>-36.300000000000004</x:v>
      </x:c>
      <x:c r="C14" s="130" t="n">
        <x:f>C$12*'Assumptions'!$F$9</x:f>
        <x:v>-36.899724049049084</x:v>
      </x:c>
      <x:c r="D14" s="130" t="n">
        <x:f>D$12*'Assumptions'!$F$9</x:f>
        <x:v>-37.503732273130716</x:v>
      </x:c>
      <x:c r="E14" s="130" t="n">
        <x:f>E$12*'Assumptions'!$F$9</x:f>
        <x:v>-38.26389046141769</x:v>
      </x:c>
      <x:c r="F14" s="130" t="n">
        <x:f>F$12*'Assumptions'!$F$9</x:f>
        <x:v>-38.87716064816814</x:v>
      </x:c>
      <x:c r="G14" s="130" t="n">
        <x:f>G$12*'Assumptions'!$F$9</x:f>
        <x:v>-39.49479278962916</x:v>
      </x:c>
      <x:c r="H14" s="130" t="n">
        <x:f>H$12*'Assumptions'!$F$9</x:f>
        <x:v>-40.27051651022123</x:v>
      </x:c>
      <x:c r="I14" s="130" t="n">
        <x:f>I$12*'Assumptions'!$F$9</x:f>
        <x:v>-41.05190546602242</x:v>
      </x:c>
      <x:c r="J14" s="130" t="n">
        <x:f>J$12*'Assumptions'!$F$9</x:f>
        <x:v>-41.68403370981156</x:v>
      </x:c>
      <x:c r="K14" s="130" t="n">
        <x:f>K$12*'Assumptions'!$F$9</x:f>
        <x:v>-42.32063129160449</x:v>
      </x:c>
      <x:c r="L14" s="130" t="n">
        <x:f>L$12*'Assumptions'!$F$9</x:f>
        <x:v>-42.96172413630285</x:v>
      </x:c>
      <x:c r="M14" s="130" t="n">
        <x:f>M$12*'Assumptions'!$F$9</x:f>
        <x:v>-43.29361644755089</x:v>
      </x:c>
    </x:row>
    <x:row r="15">
      <x:c r="A15" s="125" t="str">
        <x:v>Payroll tax</x:v>
      </x:c>
      <x:c r="B15" s="130" t="n">
        <x:f>B$12*'Assumptions'!$F$10</x:f>
        <x:v>-29.04</x:v>
      </x:c>
      <x:c r="C15" s="130" t="n">
        <x:f>C$12*'Assumptions'!$F$10</x:f>
        <x:v>-29.519779239239266</x:v>
      </x:c>
      <x:c r="D15" s="130" t="n">
        <x:f>D$12*'Assumptions'!$F$10</x:f>
        <x:v>-30.002985818504573</x:v>
      </x:c>
      <x:c r="E15" s="130" t="n">
        <x:f>E$12*'Assumptions'!$F$10</x:f>
        <x:v>-30.611112369134148</x:v>
      </x:c>
      <x:c r="F15" s="130" t="n">
        <x:f>F$12*'Assumptions'!$F$10</x:f>
        <x:v>-31.101728518534514</x:v>
      </x:c>
      <x:c r="G15" s="130" t="n">
        <x:f>G$12*'Assumptions'!$F$10</x:f>
        <x:v>-31.595834231703325</x:v>
      </x:c>
      <x:c r="H15" s="130" t="n">
        <x:f>H$12*'Assumptions'!$F$10</x:f>
        <x:v>-32.21641320817698</x:v>
      </x:c>
      <x:c r="I15" s="130" t="n">
        <x:f>I$12*'Assumptions'!$F$10</x:f>
        <x:v>-32.841524372817936</x:v>
      </x:c>
      <x:c r="J15" s="130" t="n">
        <x:f>J$12*'Assumptions'!$F$10</x:f>
        <x:v>-33.347226967849245</x:v>
      </x:c>
      <x:c r="K15" s="130" t="n">
        <x:f>K$12*'Assumptions'!$F$10</x:f>
        <x:v>-33.8565050332836</x:v>
      </x:c>
      <x:c r="L15" s="130" t="n">
        <x:f>L$12*'Assumptions'!$F$10</x:f>
        <x:v>-34.36937930904227</x:v>
      </x:c>
      <x:c r="M15" s="130" t="n">
        <x:f>M$12*'Assumptions'!$F$10</x:f>
        <x:v>-34.63489315804071</x:v>
      </x:c>
    </x:row>
    <x:row r="16">
      <x:c r="A16" s="127" t="str">
        <x:v>Total personnel cost</x:v>
      </x:c>
      <x:c r="B16" s="132" t="n">
        <x:f>SUM(B$12:B$15)</x:f>
        <x:v>-493.68000000000006</x:v>
      </x:c>
      <x:c r="C16" s="132" t="n">
        <x:f>SUM(C$12:C$15)</x:f>
        <x:v>-501.8362470670675</x:v>
      </x:c>
      <x:c r="D16" s="132" t="n">
        <x:f>SUM(D$12:D$15)</x:f>
        <x:v>-510.05075891457767</x:v>
      </x:c>
      <x:c r="E16" s="132" t="n">
        <x:f>SUM(E$12:E$15)</x:f>
        <x:v>-520.3889102752805</x:v>
      </x:c>
      <x:c r="F16" s="132" t="n">
        <x:f>SUM(F$12:F$15)</x:f>
        <x:v>-528.7293848150867</x:v>
      </x:c>
      <x:c r="G16" s="132" t="n">
        <x:f>SUM(G$12:G$15)</x:f>
        <x:v>-537.1291819389565</x:v>
      </x:c>
      <x:c r="H16" s="132" t="n">
        <x:f>SUM(H$12:H$15)</x:f>
        <x:v>-547.6790245390085</x:v>
      </x:c>
      <x:c r="I16" s="132" t="n">
        <x:f>SUM(I$12:I$15)</x:f>
        <x:v>-558.3059143379049</x:v>
      </x:c>
      <x:c r="J16" s="132" t="n">
        <x:f>SUM(J$12:J$15)</x:f>
        <x:v>-566.902858453437</x:v>
      </x:c>
      <x:c r="K16" s="132" t="n">
        <x:f>SUM(K$12:K$15)</x:f>
        <x:v>-575.560585565821</x:v>
      </x:c>
      <x:c r="L16" s="132" t="n">
        <x:f>SUM(L$12:L$15)</x:f>
        <x:v>-584.2794482537187</x:v>
      </x:c>
      <x:c r="M16" s="132" t="n">
        <x:f>SUM(M$12:M$15)</x:f>
        <x:v>-588.7931836866921</x:v>
      </x:c>
    </x:row>
    <x:row r="17">
      <x:c r="A17" s="125" t="str">
        <x:v>Monthly cost / average FTE</x:v>
      </x:c>
      <x:c r="B17" s="131" t="n">
        <x:f>IF(B$10=0,0,-B$16/B$10)</x:f>
        <x:v>4.080000000000001</x:v>
      </x:c>
      <x:c r="C17" s="131" t="n">
        <x:f>IF(C$10=0,0,-C$16/C$10)</x:f>
        <x:v>4.096622425037286</x:v>
      </x:c>
      <x:c r="D17" s="131" t="n">
        <x:f>IF(D$10=0,0,-D$16/D$10)</x:f>
        <x:v>4.113312571891756</x:v>
      </x:c>
      <x:c r="E17" s="131" t="n">
        <x:f>IF(E$10=0,0,-E$16/E$10)</x:f>
        <x:v>4.13007071647048</x:v>
      </x:c>
      <x:c r="F17" s="131" t="n">
        <x:f>IF(F$10=0,0,-F$16/F$10)</x:f>
        <x:v>4.146897135804602</x:v>
      </x:c>
      <x:c r="G17" s="131" t="n">
        <x:f>IF(G$10=0,0,-G$16/G$10)</x:f>
        <x:v>4.163792108053927</x:v>
      </x:c>
      <x:c r="H17" s="131" t="n">
        <x:f>IF(H$10=0,0,-H$16/H$10)</x:f>
        <x:v>4.180755912511516</x:v>
      </x:c>
      <x:c r="I17" s="131" t="n">
        <x:f>IF(I$10=0,0,-I$16/I$10)</x:f>
        <x:v>4.1977888296083075</x:v>
      </x:c>
      <x:c r="J17" s="131" t="n">
        <x:f>IF(J$10=0,0,-J$16/J$10)</x:f>
        <x:v>4.214891140917747</x:v>
      </x:c>
      <x:c r="K17" s="131" t="n">
        <x:f>IF(K$10=0,0,-K$16/K$10)</x:f>
        <x:v>4.232063129160449</x:v>
      </x:c>
      <x:c r="L17" s="131" t="n">
        <x:f>IF(L$10=0,0,-L$16/L$10)</x:f>
        <x:v>4.249305078208863</x:v>
      </x:c>
      <x:c r="M17" s="131" t="n">
        <x:f>IF(M$10=0,0,-M$16/M$10)</x:f>
        <x:v>4.266617273091972</x:v>
      </x:c>
    </x:row>
    <x:row r="18">
      <x:c r="A18" s="125" t="str">
        <x:v>Modeled monthly capacity</x:v>
      </x:c>
      <x:c r="B18" s="126" t="n">
        <x:f>B$10*'Assumptions'!$F$11</x:f>
        <x:v>12100</x:v>
      </x:c>
      <x:c r="C18" s="126" t="n">
        <x:f>C$10*'Assumptions'!$F$11</x:f>
        <x:v>12250</x:v>
      </x:c>
      <x:c r="D18" s="126" t="n">
        <x:f>D$10*'Assumptions'!$F$11</x:f>
        <x:v>12400</x:v>
      </x:c>
      <x:c r="E18" s="126" t="n">
        <x:f>E$10*'Assumptions'!$F$11</x:f>
        <x:v>12600</x:v>
      </x:c>
      <x:c r="F18" s="126" t="n">
        <x:f>F$10*'Assumptions'!$F$11</x:f>
        <x:v>12750</x:v>
      </x:c>
      <x:c r="G18" s="126" t="n">
        <x:f>G$10*'Assumptions'!$F$11</x:f>
        <x:v>12900</x:v>
      </x:c>
      <x:c r="H18" s="126" t="n">
        <x:f>H$10*'Assumptions'!$F$11</x:f>
        <x:v>13100</x:v>
      </x:c>
      <x:c r="I18" s="126" t="n">
        <x:f>I$10*'Assumptions'!$F$11</x:f>
        <x:v>13300</x:v>
      </x:c>
      <x:c r="J18" s="126" t="n">
        <x:f>J$10*'Assumptions'!$F$11</x:f>
        <x:v>13450</x:v>
      </x:c>
      <x:c r="K18" s="126" t="n">
        <x:f>K$10*'Assumptions'!$F$11</x:f>
        <x:v>13600</x:v>
      </x:c>
      <x:c r="L18" s="126" t="n">
        <x:f>L$10*'Assumptions'!$F$11</x:f>
        <x:v>13750</x:v>
      </x:c>
      <x:c r="M18" s="126" t="n">
        <x:f>M$10*'Assumptions'!$F$11</x:f>
        <x:v>13800</x:v>
      </x:c>
    </x:row>
    <x:row r="19">
      <x:c r="A19" s="133" t="str">
        <x:v>Headcount roll-forward check</x:v>
      </x:c>
      <x:c r="B19" s="134" t="n">
        <x:f>B$9-B$6-B$7+B$8</x:f>
        <x:v>0</x:v>
      </x:c>
      <x:c r="C19" s="134" t="n">
        <x:f>C$9-C$6-C$7+C$8</x:f>
        <x:v>0</x:v>
      </x:c>
      <x:c r="D19" s="134" t="n">
        <x:f>D$9-D$6-D$7+D$8</x:f>
        <x:v>0</x:v>
      </x:c>
      <x:c r="E19" s="134" t="n">
        <x:f>E$9-E$6-E$7+E$8</x:f>
        <x:v>0</x:v>
      </x:c>
      <x:c r="F19" s="134" t="n">
        <x:f>F$9-F$6-F$7+F$8</x:f>
        <x:v>0</x:v>
      </x:c>
      <x:c r="G19" s="134" t="n">
        <x:f>G$9-G$6-G$7+G$8</x:f>
        <x:v>0</x:v>
      </x:c>
      <x:c r="H19" s="134" t="n">
        <x:f>H$9-H$6-H$7+H$8</x:f>
        <x:v>0</x:v>
      </x:c>
      <x:c r="I19" s="134" t="n">
        <x:f>I$9-I$6-I$7+I$8</x:f>
        <x:v>0</x:v>
      </x:c>
      <x:c r="J19" s="134" t="n">
        <x:f>J$9-J$6-J$7+J$8</x:f>
        <x:v>0</x:v>
      </x:c>
      <x:c r="K19" s="134" t="n">
        <x:f>K$9-K$6-K$7+K$8</x:f>
        <x:v>0</x:v>
      </x:c>
      <x:c r="L19" s="134" t="n">
        <x:f>L$9-L$6-L$7+L$8</x:f>
        <x:v>0</x:v>
      </x:c>
      <x:c r="M19" s="134" t="n">
        <x:f>M$9-M$6-M$7+M$8</x:f>
        <x:v>0</x:v>
      </x:c>
    </x:row>
    <x:row r="21">
      <x:c r="A21" s="42" t="str">
        <x:v>Review row definitions, sign convention, period basis, scenario mechanics, and every breakpoint before relying on the output.</x:v>
      </x:c>
      <x:c r="B21" s="43" t="str">
        <x:v>Review row definitions, sign convention, period basis, scenario mechanics, and every breakpoint before relying on the output.</x:v>
      </x:c>
      <x:c r="C21" s="43" t="str">
        <x:v>Review row definitions, sign convention, period basis, scenario mechanics, and every breakpoint before relying on the output.</x:v>
      </x:c>
      <x:c r="D21" s="43" t="str">
        <x:v>Review row definitions, sign convention, period basis, scenario mechanics, and every breakpoint before relying on the output.</x:v>
      </x:c>
      <x:c r="E21" s="43" t="str">
        <x:v>Review row definitions, sign convention, period basis, scenario mechanics, and every breakpoint before relying on the output.</x:v>
      </x:c>
      <x:c r="F21" s="43" t="str">
        <x:v>Review row definitions, sign convention, period basis, scenario mechanics, and every breakpoint before relying on the output.</x:v>
      </x:c>
      <x:c r="G21" s="43" t="str">
        <x:v>Review row definitions, sign convention, period basis, scenario mechanics, and every breakpoint before relying on the output.</x:v>
      </x:c>
      <x:c r="H21" s="43" t="str">
        <x:v>Review row definitions, sign convention, period basis, scenario mechanics, and every breakpoint before relying on the output.</x:v>
      </x:c>
      <x:c r="I21" s="43" t="str">
        <x:v>Review row definitions, sign convention, period basis, scenario mechanics, and every breakpoint before relying on the output.</x:v>
      </x:c>
      <x:c r="J21" s="43" t="str">
        <x:v>Review row definitions, sign convention, period basis, scenario mechanics, and every breakpoint before relying on the output.</x:v>
      </x:c>
      <x:c r="K21" s="43" t="str">
        <x:v>Review row definitions, sign convention, period basis, scenario mechanics, and every breakpoint before relying on the output.</x:v>
      </x:c>
      <x:c r="L21" s="43" t="str">
        <x:v>Review row definitions, sign convention, period basis, scenario mechanics, and every breakpoint before relying on the output.</x:v>
      </x:c>
      <x:c r="M21" s="44" t="str">
        <x:v>Review row definitions, sign convention, period basis, scenario mechanics, and every breakpoint before relying on the output.</x:v>
      </x:c>
    </x:row>
    <x:row r="22">
      <x:c r="A22" s="45" t="str">
        <x:v>Review row definitions, sign convention, period basis, scenario mechanics, and every breakpoint before relying on the output.</x:v>
      </x:c>
      <x:c r="B22" s="46" t="str">
        <x:v>Review row definitions, sign convention, period basis, scenario mechanics, and every breakpoint before relying on the output.</x:v>
      </x:c>
      <x:c r="C22" s="46" t="str">
        <x:v>Review row definitions, sign convention, period basis, scenario mechanics, and every breakpoint before relying on the output.</x:v>
      </x:c>
      <x:c r="D22" s="46" t="str">
        <x:v>Review row definitions, sign convention, period basis, scenario mechanics, and every breakpoint before relying on the output.</x:v>
      </x:c>
      <x:c r="E22" s="46" t="str">
        <x:v>Review row definitions, sign convention, period basis, scenario mechanics, and every breakpoint before relying on the output.</x:v>
      </x:c>
      <x:c r="F22" s="46" t="str">
        <x:v>Review row definitions, sign convention, period basis, scenario mechanics, and every breakpoint before relying on the output.</x:v>
      </x:c>
      <x:c r="G22" s="46" t="str">
        <x:v>Review row definitions, sign convention, period basis, scenario mechanics, and every breakpoint before relying on the output.</x:v>
      </x:c>
      <x:c r="H22" s="46" t="str">
        <x:v>Review row definitions, sign convention, period basis, scenario mechanics, and every breakpoint before relying on the output.</x:v>
      </x:c>
      <x:c r="I22" s="46" t="str">
        <x:v>Review row definitions, sign convention, period basis, scenario mechanics, and every breakpoint before relying on the output.</x:v>
      </x:c>
      <x:c r="J22" s="46" t="str">
        <x:v>Review row definitions, sign convention, period basis, scenario mechanics, and every breakpoint before relying on the output.</x:v>
      </x:c>
      <x:c r="K22" s="46" t="str">
        <x:v>Review row definitions, sign convention, period basis, scenario mechanics, and every breakpoint before relying on the output.</x:v>
      </x:c>
      <x:c r="L22" s="46" t="str">
        <x:v>Review row definitions, sign convention, period basis, scenario mechanics, and every breakpoint before relying on the output.</x:v>
      </x:c>
      <x:c r="M22" s="47" t="str">
        <x:v>Review row definitions, sign convention, period basis, scenario mechanics, and every breakpoint before relying on the output.</x:v>
      </x:c>
    </x:row>
    <x:row r="23">
      <x:c r="A23" s="48" t="str">
        <x:v>Review row definitions, sign convention, period basis, scenario mechanics, and every breakpoint before relying on the output.</x:v>
      </x:c>
      <x:c r="B23" s="49" t="str">
        <x:v>Review row definitions, sign convention, period basis, scenario mechanics, and every breakpoint before relying on the output.</x:v>
      </x:c>
      <x:c r="C23" s="49" t="str">
        <x:v>Review row definitions, sign convention, period basis, scenario mechanics, and every breakpoint before relying on the output.</x:v>
      </x:c>
      <x:c r="D23" s="49" t="str">
        <x:v>Review row definitions, sign convention, period basis, scenario mechanics, and every breakpoint before relying on the output.</x:v>
      </x:c>
      <x:c r="E23" s="49" t="str">
        <x:v>Review row definitions, sign convention, period basis, scenario mechanics, and every breakpoint before relying on the output.</x:v>
      </x:c>
      <x:c r="F23" s="49" t="str">
        <x:v>Review row definitions, sign convention, period basis, scenario mechanics, and every breakpoint before relying on the output.</x:v>
      </x:c>
      <x:c r="G23" s="49" t="str">
        <x:v>Review row definitions, sign convention, period basis, scenario mechanics, and every breakpoint before relying on the output.</x:v>
      </x:c>
      <x:c r="H23" s="49" t="str">
        <x:v>Review row definitions, sign convention, period basis, scenario mechanics, and every breakpoint before relying on the output.</x:v>
      </x:c>
      <x:c r="I23" s="49" t="str">
        <x:v>Review row definitions, sign convention, period basis, scenario mechanics, and every breakpoint before relying on the output.</x:v>
      </x:c>
      <x:c r="J23" s="49" t="str">
        <x:v>Review row definitions, sign convention, period basis, scenario mechanics, and every breakpoint before relying on the output.</x:v>
      </x:c>
      <x:c r="K23" s="49" t="str">
        <x:v>Review row definitions, sign convention, period basis, scenario mechanics, and every breakpoint before relying on the output.</x:v>
      </x:c>
      <x:c r="L23" s="49" t="str">
        <x:v>Review row definitions, sign convention, period basis, scenario mechanics, and every breakpoint before relying on the output.</x:v>
      </x:c>
      <x:c r="M23" s="50" t="str">
        <x:v>Review row definitions, sign convention, period basis, scenario mechanics, and every breakpoint before relying on the output.</x:v>
      </x:c>
    </x:row>
    <x:row r="25">
      <x:c r="A25" s="53" t="str">
        <x:v>TDAT Model Library  |  Trust builds the brand. Insight builds the decision.</x:v>
      </x:c>
      <x:c r="B25" s="53" t="str">
        <x:v>TDAT Model Library  |  Trust builds the brand. Insight builds the decision.</x:v>
      </x:c>
      <x:c r="C25" s="53" t="str">
        <x:v>TDAT Model Library  |  Trust builds the brand. Insight builds the decision.</x:v>
      </x:c>
      <x:c r="D25" s="53" t="str">
        <x:v>TDAT Model Library  |  Trust builds the brand. Insight builds the decision.</x:v>
      </x:c>
      <x:c r="E25" s="53" t="str">
        <x:v>TDAT Model Library  |  Trust builds the brand. Insight builds the decision.</x:v>
      </x:c>
      <x:c r="F25" s="53" t="str">
        <x:v>TDAT Model Library  |  Trust builds the brand. Insight builds the decision.</x:v>
      </x:c>
      <x:c r="G25" s="53" t="str">
        <x:v>TDAT Model Library  |  Trust builds the brand. Insight builds the decision.</x:v>
      </x:c>
      <x:c r="H25" s="53" t="str">
        <x:v>TDAT Model Library  |  Trust builds the brand. Insight builds the decision.</x:v>
      </x:c>
      <x:c r="I25" s="53" t="str">
        <x:v>TDAT Model Library  |  Trust builds the brand. Insight builds the decision.</x:v>
      </x:c>
      <x:c r="J25" s="53" t="str">
        <x:v>TDAT Model Library  |  Trust builds the brand. Insight builds the decision.</x:v>
      </x:c>
      <x:c r="K25" s="53" t="str">
        <x:v>TDAT Model Library  |  Trust builds the brand. Insight builds the decision.</x:v>
      </x:c>
      <x:c r="L25" s="53" t="str">
        <x:v>TDAT Model Library  |  Trust builds the brand. Insight builds the decision.</x:v>
      </x:c>
      <x:c r="M25" s="53" t="str">
        <x:v>TDAT Model Library  |  Trust builds the brand. Insight builds the decision.</x:v>
      </x:c>
    </x:row>
  </x:sheetData>
  <x:mergeCells>
    <x:mergeCell ref="A1:M1"/>
    <x:mergeCell ref="A2:M2"/>
    <x:mergeCell ref="A21:M23"/>
    <x:mergeCell ref="A25:M2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Headcount &amp; Compensation Plan  |  Formula-backed decision range</x:v>
      </x:c>
      <x:c r="B2" s="6" t="str">
        <x:v>Headcount &amp; Compensation Plan  |  Formula-backed decision range</x:v>
      </x:c>
      <x:c r="C2" s="6" t="str">
        <x:v>Headcount &amp; Compensation Plan  |  Formula-backed decision range</x:v>
      </x:c>
      <x:c r="D2" s="6" t="str">
        <x:v>Headcount &amp; Compensation Plan  |  Formula-backed decision range</x:v>
      </x:c>
      <x:c r="E2" s="6" t="str">
        <x:v>Headcount &amp; Compensation Plan  |  Formula-backed decision range</x:v>
      </x:c>
      <x:c r="F2" s="6" t="str">
        <x:v>Headcount &amp; Compensation Plan  |  Formula-backed decision range</x:v>
      </x:c>
      <x:c r="G2" s="6" t="str">
        <x:v>Headcount &amp; Compensation Plan  |  Formula-backed decision range</x:v>
      </x:c>
      <x:c r="H2" s="6" t="str">
        <x:v>Headcount &amp; Compensation Plan  |  Formula-backed decision range</x:v>
      </x:c>
      <x:c r="I2" s="6" t="str">
        <x:v>Headcount &amp; Compensation Plan  |  Formula-backed decision range</x:v>
      </x:c>
      <x:c r="J2" s="6" t="str">
        <x:v>Headcount &amp; Compensation Plan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35" t="str">
        <x:v>Annual personnel cost — Hiring realization by Annual merit</x:v>
      </x:c>
      <x:c r="B5" s="135" t="str">
        <x:v>Annual personnel cost — Hiring realization by Annual merit</x:v>
      </x:c>
      <x:c r="C5" s="135" t="str">
        <x:v>Annual personnel cost — Hiring realization by Annual merit</x:v>
      </x:c>
      <x:c r="D5" s="135" t="str">
        <x:v>Annual personnel cost — Hiring realization by Annual merit</x:v>
      </x:c>
      <x:c r="E5" s="135" t="str">
        <x:v>Annual personnel cost — Hiring realization by Annual merit</x:v>
      </x:c>
      <x:c r="F5" s="135" t="str">
        <x:v>Annual personnel cost — Hiring realization by Annual merit</x:v>
      </x:c>
      <x:c r="G5" s="135" t="str">
        <x:v>Annual personnel cost — Hiring realization by Annual merit</x:v>
      </x:c>
      <x:c r="H5" s="135" t="str">
        <x:v>Annual personnel cost — Hiring realization by Annual merit</x:v>
      </x:c>
      <x:c r="I5" s="135" t="str">
        <x:v>Annual personnel cost — Hiring realization by Annual merit</x:v>
      </x:c>
      <x:c r="J5" s="135" t="str">
        <x:v>Annual personnel cost — Hiring realization by Annual merit</x:v>
      </x:c>
    </x:row>
    <x:row r="6">
      <x:c r="A6" t="str">
        <x:v>Hiring realization</x:v>
      </x:c>
      <x:c r="B6" t="str">
        <x:v>Annual merit</x:v>
      </x:c>
    </x:row>
    <x:row r="7">
      <x:c r="B7" s="71" t="n">
        <x:v>0.02</x:v>
      </x:c>
      <x:c r="C7" s="71" t="n">
        <x:v>0.04</x:v>
      </x:c>
      <x:c r="D7" s="71" t="n">
        <x:v>0.05</x:v>
      </x:c>
      <x:c r="E7" s="71" t="n">
        <x:v>0.06</x:v>
      </x:c>
      <x:c r="F7" s="71" t="n">
        <x:v>0.08</x:v>
      </x:c>
    </x:row>
    <x:row r="8">
      <x:c r="A8" s="71" t="n">
        <x:v>0.5</x:v>
      </x:c>
      <x:c r="B8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Inputs'!M$7)*$A8-('Workforce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Inputs'!B$9*(1+B$7)*(1+'Assumptions'!$F$8+'Assumptions'!$F$9+'Assumptions'!$F$10))</x:f>
        <x:v>5767.9776</x:v>
      </x:c>
      <x:c r="C8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Inputs'!M$7)*$A8-('Workforce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Inputs'!B$9*(1+C$7)*(1+'Assumptions'!$F$8+'Assumptions'!$F$9+'Assumptions'!$F$10))</x:f>
        <x:v>5881.0752</x:v>
      </x:c>
      <x:c r="D8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Inputs'!M$7)*$A8-('Workforce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Inputs'!B$9*(1+D$7)*(1+'Assumptions'!$F$8+'Assumptions'!$F$9+'Assumptions'!$F$10))</x:f>
        <x:v>5937.624000000002</x:v>
      </x:c>
      <x:c r="E8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Inputs'!M$7)*$A8-('Workforce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Inputs'!B$9*(1+E$7)*(1+'Assumptions'!$F$8+'Assumptions'!$F$9+'Assumptions'!$F$10))</x:f>
        <x:v>5994.172800000001</x:v>
      </x:c>
      <x:c r="F8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Inputs'!M$7)*$A8-('Workforce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Inputs'!B$9*(1+F$7)*(1+'Assumptions'!$F$8+'Assumptions'!$F$9+'Assumptions'!$F$10))</x:f>
        <x:v>6107.270400000001</x:v>
      </x:c>
    </x:row>
    <x:row r="9">
      <x:c r="A9" s="71" t="n">
        <x:v>0.75</x:v>
      </x:c>
      <x:c r="B9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Inputs'!M$7)*$A9-('Workforce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Inputs'!B$9*(1+B$7)*(1+'Assumptions'!$F$8+'Assumptions'!$F$9+'Assumptions'!$F$10))</x:f>
        <x:v>6329.793600000001</x:v>
      </x:c>
      <x:c r="C9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Inputs'!M$7)*$A9-('Workforce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Inputs'!B$9*(1+C$7)*(1+'Assumptions'!$F$8+'Assumptions'!$F$9+'Assumptions'!$F$10))</x:f>
        <x:v>6453.9072000000015</x:v>
      </x:c>
      <x:c r="D9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Inputs'!M$7)*$A9-('Workforce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Inputs'!B$9*(1+D$7)*(1+'Assumptions'!$F$8+'Assumptions'!$F$9+'Assumptions'!$F$10))</x:f>
        <x:v>6515.964000000001</x:v>
      </x:c>
      <x:c r="E9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Inputs'!M$7)*$A9-('Workforce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Inputs'!B$9*(1+E$7)*(1+'Assumptions'!$F$8+'Assumptions'!$F$9+'Assumptions'!$F$10))</x:f>
        <x:v>6578.020800000001</x:v>
      </x:c>
      <x:c r="F9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Inputs'!M$7)*$A9-('Workforce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Inputs'!B$9*(1+F$7)*(1+'Assumptions'!$F$8+'Assumptions'!$F$9+'Assumptions'!$F$10))</x:f>
        <x:v>6702.134400000001</x:v>
      </x:c>
    </x:row>
    <x:row r="10">
      <x:c r="A10" s="71" t="n">
        <x:v>1</x:v>
      </x:c>
      <x:c r="B10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Inputs'!M$7)*$A10-('Workforce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Inputs'!B$9*(1+B$7)*(1+'Assumptions'!$F$8+'Assumptions'!$F$9+'Assumptions'!$F$10))</x:f>
        <x:v>6891.6096</x:v>
      </x:c>
      <x:c r="C10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Inputs'!M$7)*$A10-('Workforce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Inputs'!B$9*(1+C$7)*(1+'Assumptions'!$F$8+'Assumptions'!$F$9+'Assumptions'!$F$10))</x:f>
        <x:v>7026.739200000001</x:v>
      </x:c>
      <x:c r="D10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Inputs'!M$7)*$A10-('Workforce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Inputs'!B$9*(1+D$7)*(1+'Assumptions'!$F$8+'Assumptions'!$F$9+'Assumptions'!$F$10))</x:f>
        <x:v>7094.304000000001</x:v>
      </x:c>
      <x:c r="E10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Inputs'!M$7)*$A10-('Workforce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Inputs'!B$9*(1+E$7)*(1+'Assumptions'!$F$8+'Assumptions'!$F$9+'Assumptions'!$F$10))</x:f>
        <x:v>7161.8688</x:v>
      </x:c>
      <x:c r="F10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Inputs'!M$7)*$A10-('Workforce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Inputs'!B$9*(1+F$7)*(1+'Assumptions'!$F$8+'Assumptions'!$F$9+'Assumptions'!$F$10))</x:f>
        <x:v>7296.998400000001</x:v>
      </x:c>
    </x:row>
    <x:row r="11">
      <x:c r="A11" s="71" t="n">
        <x:v>1.25</x:v>
      </x:c>
      <x:c r="B11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Inputs'!M$7)*$A11-('Workforce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Inputs'!B$9*(1+B$7)*(1+'Assumptions'!$F$8+'Assumptions'!$F$9+'Assumptions'!$F$10))</x:f>
        <x:v>7453.4256000000005</x:v>
      </x:c>
      <x:c r="C11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Inputs'!M$7)*$A11-('Workforce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Inputs'!B$9*(1+C$7)*(1+'Assumptions'!$F$8+'Assumptions'!$F$9+'Assumptions'!$F$10))</x:f>
        <x:v>7599.5712</x:v>
      </x:c>
      <x:c r="D11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Inputs'!M$7)*$A11-('Workforce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Inputs'!B$9*(1+D$7)*(1+'Assumptions'!$F$8+'Assumptions'!$F$9+'Assumptions'!$F$10))</x:f>
        <x:v>7672.644000000001</x:v>
      </x:c>
      <x:c r="E11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Inputs'!M$7)*$A11-('Workforce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Inputs'!B$9*(1+E$7)*(1+'Assumptions'!$F$8+'Assumptions'!$F$9+'Assumptions'!$F$10))</x:f>
        <x:v>7745.716800000001</x:v>
      </x:c>
      <x:c r="F11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Inputs'!M$7)*$A11-('Workforce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Inputs'!B$9*(1+F$7)*(1+'Assumptions'!$F$8+'Assumptions'!$F$9+'Assumptions'!$F$10))</x:f>
        <x:v>7891.862400000001</x:v>
      </x:c>
    </x:row>
    <x:row r="12">
      <x:c r="A12" s="71" t="n">
        <x:v>1.5</x:v>
      </x:c>
      <x:c r="B12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Inputs'!M$7)*$A12-('Workforce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Inputs'!B$9*(1+B$7)*(1+'Assumptions'!$F$8+'Assumptions'!$F$9+'Assumptions'!$F$10))</x:f>
        <x:v>8015.241600000001</x:v>
      </x:c>
      <x:c r="C12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Inputs'!M$7)*$A12-('Workforce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Inputs'!B$9*(1+C$7)*(1+'Assumptions'!$F$8+'Assumptions'!$F$9+'Assumptions'!$F$10))</x:f>
        <x:v>8172.403200000001</x:v>
      </x:c>
      <x:c r="D12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Inputs'!M$7)*$A12-('Workforce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Inputs'!B$9*(1+D$7)*(1+'Assumptions'!$F$8+'Assumptions'!$F$9+'Assumptions'!$F$10))</x:f>
        <x:v>8250.984000000002</x:v>
      </x:c>
      <x:c r="E12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Inputs'!M$7)*$A12-('Workforce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Inputs'!B$9*(1+E$7)*(1+'Assumptions'!$F$8+'Assumptions'!$F$9+'Assumptions'!$F$10))</x:f>
        <x:v>8329.5648</x:v>
      </x:c>
      <x:c r="F12" s="137" t="n">
        <x:f>(('Workforce Inputs'!B$6+('Workforce Inputs'!B$7+'Workforce Inputs'!C$7+'Workforce Inputs'!D$7+'Workforce Inputs'!E$7+'Workforce Inputs'!F$7+'Workforce Inputs'!G$7+'Workforce Inputs'!H$7+'Workforce Inputs'!I$7+'Workforce Inputs'!J$7+'Workforce Inputs'!K$7+'Workforce Inputs'!L$7+'Workforce Inputs'!M$7)*$A12-('Workforce Inputs'!B$8+'Workforce Inputs'!C$8+'Workforce Inputs'!D$8+'Workforce Inputs'!E$8+'Workforce Inputs'!F$8+'Workforce Inputs'!G$8+'Workforce Inputs'!H$8+'Workforce Inputs'!I$8+'Workforce Inputs'!J$8+'Workforce Inputs'!K$8+'Workforce Inputs'!L$8+'Workforce Inputs'!M$8))*'Workforce Inputs'!B$9*(1+F$7)*(1+'Assumptions'!$F$8+'Assumptions'!$F$9+'Assumptions'!$F$10))</x:f>
        <x:v>8486.726400000001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47" t="str">
        <x:v>Base</x:v>
      </x:c>
      <x:c r="B18" s="148" t="str">
        <x:v>Most likely operating and finance assumptions.</x:v>
      </x:c>
      <x:c r="C18" s="148" t="str">
        <x:v>Base</x:v>
      </x:c>
      <x:c r="D18" s="149" t="str">
        <x:v>What must be true for the base case to hold?</x:v>
      </x:c>
    </x:row>
    <x:row r="19">
      <x:c r="A19" s="150" t="str">
        <x:v>Upside</x:v>
      </x:c>
      <x:c r="B19" s="151" t="str">
        <x:v>Stronger performance, faster conversion, or lower risk/cost.</x:v>
      </x:c>
      <x:c r="C19" s="151" t="str">
        <x:v>Upside</x:v>
      </x:c>
      <x:c r="D19" s="152" t="str">
        <x:v>Which actions unlock the upside?</x:v>
      </x:c>
    </x:row>
    <x:row r="20">
      <x:c r="A20" s="153" t="str">
        <x:v>Downside</x:v>
      </x:c>
      <x:c r="B20" s="154" t="str">
        <x:v>Slower activity, weaker conversion, or higher risk/cost.</x:v>
      </x:c>
      <x:c r="C20" s="154" t="str">
        <x:v>Downside</x:v>
      </x:c>
      <x:c r="D20" s="155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Headcount &amp; Compensation Plan  |  Decision outputs, trend, breakpoints, and action prompts</x:v>
      </x:c>
      <x:c r="B2" s="6" t="str">
        <x:v>Headcount &amp; Compensation Plan  |  Decision outputs, trend, breakpoints, and action prompts</x:v>
      </x:c>
      <x:c r="C2" s="6" t="str">
        <x:v>Headcount &amp; Compensation Plan  |  Decision outputs, trend, breakpoints, and action prompts</x:v>
      </x:c>
      <x:c r="D2" s="6" t="str">
        <x:v>Headcount &amp; Compensation Plan  |  Decision outputs, trend, breakpoints, and action prompts</x:v>
      </x:c>
      <x:c r="E2" s="6" t="str">
        <x:v>Headcount &amp; Compensation Plan  |  Decision outputs, trend, breakpoints, and action prompts</x:v>
      </x:c>
      <x:c r="F2" s="6" t="str">
        <x:v>Headcount &amp; Compensation Plan  |  Decision outputs, trend, breakpoints, and action prompts</x:v>
      </x:c>
      <x:c r="G2" s="6" t="str">
        <x:v>Headcount &amp; Compensation Plan  |  Decision outputs, trend, breakpoints, and action prompts</x:v>
      </x:c>
      <x:c r="H2" s="6" t="str">
        <x:v>Headcount &amp; Compensation Plan  |  Decision outputs, trend, breakpoints, and action prompts</x:v>
      </x:c>
      <x:c r="I2" s="6" t="str">
        <x:v>Headcount &amp; Compensation Plan  |  Decision outputs, trend, breakpoints, and action prompts</x:v>
      </x:c>
      <x:c r="J2" s="6" t="str">
        <x:v>Headcount &amp; Compensation Plan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57" t="str">
        <x:v>CLOSING HEADCOUNT</x:v>
      </x:c>
      <x:c r="B5" s="157" t="str">
        <x:v>CLOSING HEADCOUNT</x:v>
      </x:c>
      <x:c r="C5" s="157" t="str">
        <x:v>CLOSING HEADCOUNT</x:v>
      </x:c>
      <x:c r="D5" s="157" t="str">
        <x:v>ANNUAL PERSONNEL COST</x:v>
      </x:c>
      <x:c r="E5" s="157" t="str">
        <x:v>ANNUAL PERSONNEL COST</x:v>
      </x:c>
      <x:c r="F5" s="157" t="str">
        <x:v>ANNUAL PERSONNEL COST</x:v>
      </x:c>
      <x:c r="G5" s="157" t="str">
        <x:v>MONTHLY COST / FTE</x:v>
      </x:c>
      <x:c r="H5" s="157" t="str">
        <x:v>MONTHLY COST / FTE</x:v>
      </x:c>
      <x:c r="I5" s="157" t="str">
        <x:v>MONTHLY COST / FTE</x:v>
      </x:c>
      <x:c r="J5" s="171" t="str">
        <x:v>MODEL STATUS</x:v>
      </x:c>
    </x:row>
    <x:row r="6">
      <x:c r="A6" s="161" t="n">
        <x:f>'Headcount Plan'!M$9</x:f>
        <x:v>138</x:v>
      </x:c>
      <x:c r="B6" s="161"/>
      <x:c r="C6" s="161"/>
      <x:c r="D6" s="165" t="n">
        <x:f>-SUM('Headcount Plan'!B16:M16)</x:f>
        <x:v>6513.335497847551</x:v>
      </x:c>
      <x:c r="E6" s="165"/>
      <x:c r="F6" s="165"/>
      <x:c r="G6" s="169" t="n">
        <x:f>'Headcount Plan'!M$17</x:f>
        <x:v>4.266617273091972</x:v>
      </x:c>
      <x:c r="H6" s="169"/>
      <x:c r="I6" s="169"/>
      <x:c r="J6" s="175" t="str">
        <x:f>'Checks'!$B$5</x:f>
        <x:v>PASS</x:v>
      </x:c>
    </x:row>
    <x:row r="7">
      <x:c r="A7" s="161"/>
      <x:c r="B7" s="161"/>
      <x:c r="C7" s="161"/>
      <x:c r="D7" s="165"/>
      <x:c r="E7" s="165"/>
      <x:c r="F7" s="165"/>
      <x:c r="G7" s="169"/>
      <x:c r="H7" s="169"/>
      <x:c r="I7" s="169"/>
      <x:c r="J7" s="175"/>
    </x:row>
    <x:row r="9">
      <x:c r="A9" s="157" t="str">
        <x:v>TOTAL HIRES</x:v>
      </x:c>
      <x:c r="B9" s="157" t="str">
        <x:v>TOTAL HIRES</x:v>
      </x:c>
      <x:c r="C9" s="157" t="str">
        <x:v>TOTAL HIRES</x:v>
      </x:c>
      <x:c r="D9" s="157" t="str">
        <x:v>TOTAL EXITS</x:v>
      </x:c>
      <x:c r="E9" s="157" t="str">
        <x:v>TOTAL EXITS</x:v>
      </x:c>
      <x:c r="F9" s="157" t="str">
        <x:v>TOTAL EXITS</x:v>
      </x:c>
      <x:c r="G9" s="157" t="str">
        <x:v>YEAR-END CAPACITY</x:v>
      </x:c>
      <x:c r="H9" s="157" t="str">
        <x:v>YEAR-END CAPACITY</x:v>
      </x:c>
      <x:c r="I9" s="157" t="str">
        <x:v>YEAR-END CAPACITY</x:v>
      </x:c>
      <x:c r="J9" s="171" t="str">
        <x:v>SCENARIO</x:v>
      </x:c>
    </x:row>
    <x:row r="10">
      <x:c r="A10" s="161" t="n">
        <x:f>SUM('Headcount Plan'!B7:M7)</x:f>
        <x:v>45</x:v>
      </x:c>
      <x:c r="B10" s="161"/>
      <x:c r="C10" s="161"/>
      <x:c r="D10" s="161" t="n">
        <x:f>SUM('Headcount Plan'!B8:M8)</x:f>
        <x:v>27</x:v>
      </x:c>
      <x:c r="E10" s="161"/>
      <x:c r="F10" s="161"/>
      <x:c r="G10" s="161" t="n">
        <x:f>'Headcount Plan'!M$18</x:f>
        <x:v>13800</x:v>
      </x:c>
      <x:c r="H10" s="161"/>
      <x:c r="I10" s="161"/>
      <x:c r="J10" s="178" t="str">
        <x:f>'Assumptions'!$B$3</x:f>
        <x:v>Base</x:v>
      </x:c>
    </x:row>
    <x:row r="11">
      <x:c r="A11" s="161"/>
      <x:c r="B11" s="161"/>
      <x:c r="C11" s="161"/>
      <x:c r="D11" s="161"/>
      <x:c r="E11" s="161"/>
      <x:c r="F11" s="161"/>
      <x:c r="G11" s="161"/>
      <x:c r="H11" s="161"/>
      <x:c r="I11" s="161"/>
      <x:c r="J11" s="178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Opening headcount</x:v>
      </x:c>
      <x:c r="C15" s="68" t="str">
        <x:v>Closing headcount</x:v>
      </x:c>
    </x:row>
    <x:row r="16">
      <x:c r="A16" t="str">
        <x:v>Jan</x:v>
      </x:c>
      <x:c r="B16" s="180" t="n">
        <x:f>'Headcount Plan'!B$6</x:f>
        <x:v>120</x:v>
      </x:c>
      <x:c r="C16" s="180" t="n">
        <x:f>'Headcount Plan'!B$9</x:f>
        <x:v>122</x:v>
      </x:c>
    </x:row>
    <x:row r="17">
      <x:c r="A17" t="str">
        <x:v>Feb</x:v>
      </x:c>
      <x:c r="B17" s="180" t="n">
        <x:f>'Headcount Plan'!C$6</x:f>
        <x:v>122</x:v>
      </x:c>
      <x:c r="C17" s="180" t="n">
        <x:f>'Headcount Plan'!C$9</x:f>
        <x:v>123</x:v>
      </x:c>
    </x:row>
    <x:row r="18">
      <x:c r="A18" t="str">
        <x:v>Mar</x:v>
      </x:c>
      <x:c r="B18" s="180" t="n">
        <x:f>'Headcount Plan'!D$6</x:f>
        <x:v>123</x:v>
      </x:c>
      <x:c r="C18" s="180" t="n">
        <x:f>'Headcount Plan'!D$9</x:f>
        <x:v>125</x:v>
      </x:c>
    </x:row>
    <x:row r="19">
      <x:c r="A19" t="str">
        <x:v>Apr</x:v>
      </x:c>
      <x:c r="B19" s="180" t="n">
        <x:f>'Headcount Plan'!E$6</x:f>
        <x:v>125</x:v>
      </x:c>
      <x:c r="C19" s="180" t="n">
        <x:f>'Headcount Plan'!E$9</x:f>
        <x:v>127</x:v>
      </x:c>
    </x:row>
    <x:row r="20">
      <x:c r="A20" t="str">
        <x:v>May</x:v>
      </x:c>
      <x:c r="B20" s="180" t="n">
        <x:f>'Headcount Plan'!F$6</x:f>
        <x:v>127</x:v>
      </x:c>
      <x:c r="C20" s="180" t="n">
        <x:f>'Headcount Plan'!F$9</x:f>
        <x:v>128</x:v>
      </x:c>
    </x:row>
    <x:row r="21">
      <x:c r="A21" t="str">
        <x:v>Jun</x:v>
      </x:c>
      <x:c r="B21" s="180" t="n">
        <x:f>'Headcount Plan'!G$6</x:f>
        <x:v>128</x:v>
      </x:c>
      <x:c r="C21" s="180" t="n">
        <x:f>'Headcount Plan'!G$9</x:f>
        <x:v>130</x:v>
      </x:c>
    </x:row>
    <x:row r="22">
      <x:c r="A22" t="str">
        <x:v>Jul</x:v>
      </x:c>
      <x:c r="B22" s="180" t="n">
        <x:f>'Headcount Plan'!H$6</x:f>
        <x:v>130</x:v>
      </x:c>
      <x:c r="C22" s="180" t="n">
        <x:f>'Headcount Plan'!H$9</x:f>
        <x:v>132</x:v>
      </x:c>
    </x:row>
    <x:row r="23">
      <x:c r="A23" t="str">
        <x:v>Aug</x:v>
      </x:c>
      <x:c r="B23" s="180" t="n">
        <x:f>'Headcount Plan'!I$6</x:f>
        <x:v>132</x:v>
      </x:c>
      <x:c r="C23" s="180" t="n">
        <x:f>'Headcount Plan'!I$9</x:f>
        <x:v>134</x:v>
      </x:c>
    </x:row>
    <x:row r="24">
      <x:c r="A24" t="str">
        <x:v>Sep</x:v>
      </x:c>
      <x:c r="B24" s="180" t="n">
        <x:f>'Headcount Plan'!J$6</x:f>
        <x:v>134</x:v>
      </x:c>
      <x:c r="C24" s="180" t="n">
        <x:f>'Headcount Plan'!J$9</x:f>
        <x:v>135</x:v>
      </x:c>
    </x:row>
    <x:row r="25">
      <x:c r="A25" t="str">
        <x:v>Oct</x:v>
      </x:c>
      <x:c r="B25" s="180" t="n">
        <x:f>'Headcount Plan'!K$6</x:f>
        <x:v>135</x:v>
      </x:c>
      <x:c r="C25" s="180" t="n">
        <x:f>'Headcount Plan'!K$9</x:f>
        <x:v>137</x:v>
      </x:c>
    </x:row>
    <x:row r="26">
      <x:c r="A26" t="str">
        <x:v>Nov</x:v>
      </x:c>
      <x:c r="B26" s="180" t="n">
        <x:f>'Headcount Plan'!L$6</x:f>
        <x:v>137</x:v>
      </x:c>
      <x:c r="C26" s="180" t="n">
        <x:f>'Headcount Plan'!L$9</x:f>
        <x:v>138</x:v>
      </x:c>
    </x:row>
    <x:row r="27">
      <x:c r="A27" t="str">
        <x:v>Dec</x:v>
      </x:c>
      <x:c r="B27" s="180" t="n">
        <x:f>'Headcount Plan'!M$6</x:f>
        <x:v>138</x:v>
      </x:c>
      <x:c r="C27" s="180" t="n">
        <x:f>'Headcount Plan'!M$9</x:f>
        <x:v>138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What hiring plan balances capacity, cost, timing, and productivity?</x:v>
      </x:c>
      <x:c r="C32" s="17" t="str"/>
      <x:c r="D32" s="17" t="str"/>
      <x:c r="E32" s="17" t="str"/>
      <x:c r="F32" s="17" t="str"/>
      <x:c r="G32" s="17" t="str"/>
      <x:c r="H32" s="182" t="str">
        <x:v>Decision owner</x:v>
      </x:c>
      <x:c r="I32" s="182" t="str"/>
      <x:c r="J32" s="182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82" t="str">
        <x:v>Finance / business owner</x:v>
      </x:c>
      <x:c r="I33" s="182" t="str"/>
      <x:c r="J33" s="182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82" t="str">
        <x:v>Finance leader</x:v>
      </x:c>
      <x:c r="I34" s="182" t="str"/>
      <x:c r="J34" s="182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82" t="str">
        <x:v>Model owner</x:v>
      </x:c>
      <x:c r="I35" s="182" t="str"/>
      <x:c r="J35" s="182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82" t="str">
        <x:v>Reviewer</x:v>
      </x:c>
      <x:c r="I36" s="182" t="str"/>
      <x:c r="J36" s="182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82" t="str">
        <x:v>Action owner</x:v>
      </x:c>
      <x:c r="I37" s="182" t="str"/>
      <x:c r="J37" s="182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4bbbaf1173154856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Headcount &amp; Compensation Plan  |  One assertion per row — investigate every FAIL</x:v>
      </x:c>
      <x:c r="B2" s="6" t="str">
        <x:v>Headcount &amp; Compensation Plan  |  One assertion per row — investigate every FAIL</x:v>
      </x:c>
      <x:c r="C2" s="6" t="str">
        <x:v>Headcount &amp; Compensation Plan  |  One assertion per row — investigate every FAIL</x:v>
      </x:c>
      <x:c r="D2" s="6" t="str">
        <x:v>Headcount &amp; Compensation Plan  |  One assertion per row — investigate every FAIL</x:v>
      </x:c>
      <x:c r="E2" s="6" t="str">
        <x:v>Headcount &amp; Compensation Plan  |  One assertion per row — investigate every FAIL</x:v>
      </x:c>
      <x:c r="F2" s="6" t="str">
        <x:v>Headcount &amp; Compensation Plan  |  One assertion per row — investigate every FAIL</x:v>
      </x:c>
      <x:c r="G2" s="6" t="str">
        <x:v>Headcount &amp; Compensation Plan  |  One assertion per row — investigate every FAIL</x:v>
      </x:c>
      <x:c r="H2" s="6" t="str">
        <x:v>Headcount &amp; Compensation Plan  |  One assertion per row — investigate every FAIL</x:v>
      </x:c>
      <x:c r="I2" s="6" t="str">
        <x:v>Headcount &amp; Compensation Plan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84" t="str">
        <x:f>IF(COUNTIF(G8:G16,"FAIL")=0,"PASS","FAIL")</x:f>
        <x:v>PASS</x:v>
      </x:c>
      <x:c r="C5" s="184"/>
      <x:c r="D5" s="186" t="str">
        <x:v>Published controls: 9. PASS means the listed calculations tie within tolerance; source and decision readiness remain separate.</x:v>
      </x:c>
      <x:c r="E5" s="186" t="str">
        <x:v>Published controls: 9. PASS means the listed calculations tie within tolerance; source and decision readiness remain separate.</x:v>
      </x:c>
      <x:c r="F5" s="186" t="str">
        <x:v>Published controls: 9. PASS means the listed calculations tie within tolerance; source and decision readiness remain separate.</x:v>
      </x:c>
      <x:c r="G5" s="186" t="str">
        <x:v>Published controls: 9. PASS means the listed calculations tie within tolerance; source and decision readiness remain separate.</x:v>
      </x:c>
      <x:c r="H5" s="186" t="str">
        <x:v>Published controls: 9. PASS means the listed calculations tie within tolerance; source and decision readiness remain separate.</x:v>
      </x:c>
      <x:c r="I5" s="186" t="str">
        <x:v>Published controls: 9.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193" t="str">
        <x:v>Headcount roll-forward ties</x:v>
      </x:c>
      <x:c r="B8" s="193" t="str">
        <x:v>Model</x:v>
      </x:c>
      <x:c r="C8" s="194" t="n">
        <x:f>SUM('Headcount Plan'!B19:M19)</x:f>
        <x:v>0</x:v>
      </x:c>
      <x:c r="D8" s="194" t="n">
        <x:v>0</x:v>
      </x:c>
      <x:c r="E8" s="194" t="n">
        <x:f>C8-D8</x:f>
        <x:v>0</x:v>
      </x:c>
      <x:c r="F8" s="194" t="n">
        <x:v>0.01</x:v>
      </x:c>
      <x:c r="G8" s="195" t="str">
        <x:f>IF(ABS(E8)&lt;=F8,"PASS","FAIL")</x:f>
        <x:v>PASS</x:v>
      </x:c>
      <x:c r="H8" s="196" t="str">
        <x:v>Headcount Plan — roll-forward</x:v>
      </x:c>
      <x:c r="I8" s="196" t="str">
        <x:v>Opening plus hires less exits equals closing headcount.</x:v>
      </x:c>
    </x:row>
    <x:row r="9">
      <x:c r="A9" s="197" t="str">
        <x:v>Closing headcount is non-negative</x:v>
      </x:c>
      <x:c r="B9" s="197" t="str">
        <x:v>Model</x:v>
      </x:c>
      <x:c r="C9" s="198" t="n">
        <x:f>MAX(0,-MIN('Headcount Plan'!B9:M9))</x:f>
        <x:v>0</x:v>
      </x:c>
      <x:c r="D9" s="198" t="n">
        <x:v>0</x:v>
      </x:c>
      <x:c r="E9" s="198" t="n">
        <x:f>C9-D9</x:f>
        <x:v>0</x:v>
      </x:c>
      <x:c r="F9" s="198" t="n">
        <x:v>0.01</x:v>
      </x:c>
      <x:c r="G9" s="199" t="str">
        <x:f>IF(ABS(E9)&lt;=F9,"PASS","FAIL")</x:f>
        <x:v>PASS</x:v>
      </x:c>
      <x:c r="H9" s="200" t="str">
        <x:v>Workforce Inputs / Headcount Plan</x:v>
      </x:c>
      <x:c r="I9" s="200" t="str">
        <x:v>Exits cannot create negative headcount.</x:v>
      </x:c>
    </x:row>
    <x:row r="10">
      <x:c r="A10" s="197" t="str">
        <x:v>Personnel cost is expense-signed</x:v>
      </x:c>
      <x:c r="B10" s="197" t="str">
        <x:v>Model</x:v>
      </x:c>
      <x:c r="C10" s="201" t="n">
        <x:f>MAX(0,MAX('Headcount Plan'!B16:M16))</x:f>
        <x:v>0</x:v>
      </x:c>
      <x:c r="D10" s="201" t="n">
        <x:v>0</x:v>
      </x:c>
      <x:c r="E10" s="201" t="n">
        <x:f>C10-D10</x:f>
        <x:v>0</x:v>
      </x:c>
      <x:c r="F10" s="201" t="n">
        <x:v>0.01</x:v>
      </x:c>
      <x:c r="G10" s="199" t="str">
        <x:f>IF(ABS(E10)&lt;=F10,"PASS","FAIL")</x:f>
        <x:v>PASS</x:v>
      </x:c>
      <x:c r="H10" s="200" t="str">
        <x:v>Headcount Plan — cost</x:v>
      </x:c>
      <x:c r="I10" s="200" t="str">
        <x:v>Personnel costs should be negative in the model sign convention.</x:v>
      </x:c>
    </x:row>
    <x:row r="11">
      <x:c r="A11" s="197" t="str">
        <x:v>Cost / FTE is non-negative</x:v>
      </x:c>
      <x:c r="B11" s="197" t="str">
        <x:v>Model</x:v>
      </x:c>
      <x:c r="C11" s="201" t="n">
        <x:f>MAX(0,-MIN('Headcount Plan'!B17:M17))</x:f>
        <x:v>0</x:v>
      </x:c>
      <x:c r="D11" s="201" t="n">
        <x:v>0</x:v>
      </x:c>
      <x:c r="E11" s="201" t="n">
        <x:f>C11-D11</x:f>
        <x:v>0</x:v>
      </x:c>
      <x:c r="F11" s="201" t="n">
        <x:v>0.01</x:v>
      </x:c>
      <x:c r="G11" s="199" t="str">
        <x:f>IF(ABS(E11)&lt;=F11,"PASS","FAIL")</x:f>
        <x:v>PASS</x:v>
      </x:c>
      <x:c r="H11" s="200" t="str">
        <x:v>Headcount Plan — cost per FTE</x:v>
      </x:c>
      <x:c r="I11" s="200" t="str">
        <x:v>Presentation output is a positive cost per FTE.</x:v>
      </x:c>
    </x:row>
    <x:row r="12">
      <x:c r="A12" s="197" t="str">
        <x:v>Scenario selector is valid</x:v>
      </x:c>
      <x:c r="B12" s="197" t="str">
        <x:v>Current</x:v>
      </x:c>
      <x:c r="C12" s="198" t="n">
        <x:f>COUNTIF('Assumptions'!$C$5:$E$5,'Assumptions'!$B$3)</x:f>
        <x:v>1</x:v>
      </x:c>
      <x:c r="D12" s="198" t="n">
        <x:v>1</x:v>
      </x:c>
      <x:c r="E12" s="198" t="n">
        <x:f>C12-D12</x:f>
        <x:v>0</x:v>
      </x:c>
      <x:c r="F12" s="198" t="n">
        <x:v>0</x:v>
      </x:c>
      <x:c r="G12" s="199" t="str">
        <x:f>IF(ABS(E12)&lt;=F12,"PASS","FAIL")</x:f>
        <x:v>PASS</x:v>
      </x:c>
      <x:c r="H12" s="200" t="str">
        <x:v>Assumptions B3</x:v>
      </x:c>
      <x:c r="I12" s="200" t="str">
        <x:v>Base, Upside, or Downside only.</x:v>
      </x:c>
    </x:row>
    <x:row r="13">
      <x:c r="A13" s="197" t="str">
        <x:v>Period headers are complete</x:v>
      </x:c>
      <x:c r="B13" s="197" t="str">
        <x:v>All periods</x:v>
      </x:c>
      <x:c r="C13" s="198" t="n">
        <x:f>COUNTA('Workforce Inputs'!B5:M5)</x:f>
        <x:v>12</x:v>
      </x:c>
      <x:c r="D13" s="198" t="n">
        <x:v>12</x:v>
      </x:c>
      <x:c r="E13" s="198" t="n">
        <x:f>C13-D13</x:f>
        <x:v>0</x:v>
      </x:c>
      <x:c r="F13" s="198" t="n">
        <x:v>0</x:v>
      </x:c>
      <x:c r="G13" s="199" t="str">
        <x:f>IF(ABS(E13)&lt;=F13,"PASS","FAIL")</x:f>
        <x:v>PASS</x:v>
      </x:c>
      <x:c r="H13" s="200" t="str">
        <x:v>Workforce Inputs row 5</x:v>
      </x:c>
      <x:c r="I13" s="200" t="str">
        <x:v>All modeled periods must have a visible header.</x:v>
      </x:c>
    </x:row>
    <x:row r="14">
      <x:c r="A14" s="197" t="str">
        <x:v>Source input grid is complete</x:v>
      </x:c>
      <x:c r="B14" s="197" t="str">
        <x:v>All periods</x:v>
      </x:c>
      <x:c r="C14" s="198" t="n">
        <x:f>COUNTA('Workforce Inputs'!B6:M9)</x:f>
        <x:v>48</x:v>
      </x:c>
      <x:c r="D14" s="198" t="n">
        <x:v>48</x:v>
      </x:c>
      <x:c r="E14" s="198" t="n">
        <x:f>C14-D14</x:f>
        <x:v>0</x:v>
      </x:c>
      <x:c r="F14" s="198" t="n">
        <x:v>0</x:v>
      </x:c>
      <x:c r="G14" s="199" t="str">
        <x:f>IF(ABS(E14)&lt;=F14,"PASS","FAIL")</x:f>
        <x:v>PASS</x:v>
      </x:c>
      <x:c r="H14" s="200" t="str">
        <x:v>Workforce Inputs</x:v>
      </x:c>
      <x:c r="I14" s="200" t="str">
        <x:v>Replace blanks with an approved value or an explicitly documented zero.</x:v>
      </x:c>
    </x:row>
    <x:row r="15">
      <x:c r="A15" s="197" t="str">
        <x:v>Selected assumptions are complete</x:v>
      </x:c>
      <x:c r="B15" s="197" t="str">
        <x:v>Current</x:v>
      </x:c>
      <x:c r="C15" s="198" t="n">
        <x:f>COUNT('Assumptions'!F6:F11)</x:f>
        <x:v>6</x:v>
      </x:c>
      <x:c r="D15" s="198" t="n">
        <x:v>6</x:v>
      </x:c>
      <x:c r="E15" s="198" t="n">
        <x:f>C15-D15</x:f>
        <x:v>0</x:v>
      </x:c>
      <x:c r="F15" s="198" t="n">
        <x:v>0</x:v>
      </x:c>
      <x:c r="G15" s="199" t="str">
        <x:f>IF(ABS(E15)&lt;=F15,"PASS","FAIL")</x:f>
        <x:v>PASS</x:v>
      </x:c>
      <x:c r="H15" s="200" t="str">
        <x:v>Assumptions column F</x:v>
      </x:c>
      <x:c r="I15" s="200" t="str">
        <x:v>Every scenario driver must resolve to a numeric selected value.</x:v>
      </x:c>
    </x:row>
    <x:row r="16">
      <x:c r="A16" s="202" t="str">
        <x:v>Core model cells calculate to numbers</x:v>
      </x:c>
      <x:c r="B16" s="202" t="str">
        <x:v>All periods</x:v>
      </x:c>
      <x:c r="C16" s="203" t="n">
        <x:f>COUNT('Headcount Plan'!B6:M19)</x:f>
        <x:v>168</x:v>
      </x:c>
      <x:c r="D16" s="203" t="n">
        <x:v>168</x:v>
      </x:c>
      <x:c r="E16" s="203" t="n">
        <x:f>C16-D16</x:f>
        <x:v>0</x:v>
      </x:c>
      <x:c r="F16" s="203" t="n">
        <x:v>0</x:v>
      </x:c>
      <x:c r="G16" s="204" t="str">
        <x:f>IF(ABS(E16)&lt;=F16,"PASS","FAIL")</x:f>
        <x:v>PASS</x:v>
      </x:c>
      <x:c r="H16" s="205" t="str">
        <x:v>Headcount Plan</x:v>
      </x:c>
      <x:c r="I16" s="205" t="str">
        <x:v>No blank or text output is permitted inside the calculation block.</x:v>
      </x:c>
    </x:row>
    <x:row r="18">
      <x:c r="A18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18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18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19">
      <x:c r="A19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19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19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0">
      <x:c r="A20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53" t="str">
        <x:v>TDAT Model Library  |  Trust builds the brand. Insight builds the decision.</x:v>
      </x:c>
      <x:c r="B22" s="53" t="str">
        <x:v>TDAT Model Library  |  Trust builds the brand. Insight builds the decision.</x:v>
      </x:c>
      <x:c r="C22" s="53" t="str">
        <x:v>TDAT Model Library  |  Trust builds the brand. Insight builds the decision.</x:v>
      </x:c>
      <x:c r="D22" s="53" t="str">
        <x:v>TDAT Model Library  |  Trust builds the brand. Insight builds the decision.</x:v>
      </x:c>
      <x:c r="E22" s="53" t="str">
        <x:v>TDAT Model Library  |  Trust builds the brand. Insight builds the decision.</x:v>
      </x:c>
      <x:c r="F22" s="53" t="str">
        <x:v>TDAT Model Library  |  Trust builds the brand. Insight builds the decision.</x:v>
      </x:c>
      <x:c r="G22" s="53" t="str">
        <x:v>TDAT Model Library  |  Trust builds the brand. Insight builds the decision.</x:v>
      </x:c>
      <x:c r="H22" s="53" t="str">
        <x:v>TDAT Model Library  |  Trust builds the brand. Insight builds the decision.</x:v>
      </x:c>
      <x:c r="I22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18:I20"/>
    <x:mergeCell ref="A22:I22"/>
  </x:mergeCells>
  <x:conditionalFormatting sqref="G8:G16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Headcount &amp; Compensation Plan  |  Assumption register, release facts, and distribution controls</x:v>
      </x:c>
      <x:c r="B2" s="6" t="str">
        <x:v>Headcount &amp; Compensation Plan  |  Assumption register, release facts, and distribution controls</x:v>
      </x:c>
      <x:c r="C2" s="6" t="str">
        <x:v>Headcount &amp; Compensation Plan  |  Assumption register, release facts, and distribution controls</x:v>
      </x:c>
      <x:c r="D2" s="6" t="str">
        <x:v>Headcount &amp; Compensation Plan  |  Assumption register, release facts, and distribution controls</x:v>
      </x:c>
      <x:c r="E2" s="6" t="str">
        <x:v>Headcount &amp; Compensation Plan  |  Assumption register, release facts, and distribution controls</x:v>
      </x:c>
      <x:c r="F2" s="6" t="str">
        <x:v>Headcount &amp; Compensation Plan  |  Assumption register, release facts, and distribution controls</x:v>
      </x:c>
      <x:c r="G2" s="6" t="str">
        <x:v>Headcount &amp; Compensation Plan  |  Assumption register, release facts, and distribution controls</x:v>
      </x:c>
      <x:c r="H2" s="6" t="str">
        <x:v>Headcount &amp; Compensation Plan  |  Assumption register, release facts, and distribution controls</x:v>
      </x:c>
      <x:c r="I2" s="6" t="str">
        <x:v>Headcount &amp; Compensation Plan  |  Assumption register, release facts, and distribution controls</x:v>
      </x:c>
      <x:c r="J2" s="6" t="str">
        <x:v>Headcount &amp; Compensation Plan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47" t="str">
        <x:v>Worked example</x:v>
      </x:c>
      <x:c r="B7" s="148" t="str">
        <x:v>Synthetic case values</x:v>
      </x:c>
      <x:c r="C7" s="148" t="str">
        <x:v>FTE / LCY thousands</x:v>
      </x:c>
      <x:c r="D7" s="148" t="str">
        <x:v>2026-07-13</x:v>
      </x:c>
      <x:c r="E7" s="148" t="str">
        <x:v>Illustrative</x:v>
      </x:c>
      <x:c r="F7" s="148" t="str">
        <x:v>TDAT model build</x:v>
      </x:c>
      <x:c r="G7" s="148" t="str">
        <x:v>SYN-001</x:v>
      </x:c>
      <x:c r="H7" s="148" t="str">
        <x:v>Illustrative</x:v>
      </x:c>
      <x:c r="I7" s="149" t="str">
        <x:v>Replace before use.</x:v>
      </x:c>
    </x:row>
    <x:row r="8">
      <x:c r="A8" s="150" t="str">
        <x:v>Scenario drivers</x:v>
      </x:c>
      <x:c r="B8" s="151" t="str">
        <x:v>Base / Upside / Downside</x:v>
      </x:c>
      <x:c r="C8" s="151" t="str">
        <x:v>Mixed</x:v>
      </x:c>
      <x:c r="D8" s="151" t="str">
        <x:v>Model horizon</x:v>
      </x:c>
      <x:c r="E8" s="151" t="str">
        <x:v>Assumption</x:v>
      </x:c>
      <x:c r="F8" s="151" t="str">
        <x:v>User / finance owner</x:v>
      </x:c>
      <x:c r="G8" s="151" t="str">
        <x:v>ASM-001</x:v>
      </x:c>
      <x:c r="H8" s="151" t="str">
        <x:v>Open</x:v>
      </x:c>
      <x:c r="I8" s="152" t="str">
        <x:v>Confirm rationale and owner.</x:v>
      </x:c>
    </x:row>
    <x:row r="9">
      <x:c r="A9" s="153" t="str">
        <x:v>Method</x:v>
      </x:c>
      <x:c r="B9" s="154" t="str">
        <x:v>Headcount Plan</x:v>
      </x:c>
      <x:c r="C9" s="154" t="str">
        <x:v>Method</x:v>
      </x:c>
      <x:c r="D9" s="154" t="str">
        <x:v>Version 1.0.0</x:v>
      </x:c>
      <x:c r="E9" s="154" t="str">
        <x:v>Model method</x:v>
      </x:c>
      <x:c r="F9" s="154" t="str">
        <x:v>Model Guide</x:v>
      </x:c>
      <x:c r="G9" s="154" t="str">
        <x:v>MTH-001</x:v>
      </x:c>
      <x:c r="H9" s="154" t="str">
        <x:v>Template</x:v>
      </x:c>
      <x:c r="I9" s="155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06" t="str">
        <x:v>Owner</x:v>
      </x:c>
      <x:c r="B12" s="148" t="str">
        <x:v>Truong Dinh Anh Tu</x:v>
      </x:c>
      <x:c r="C12" s="208" t="str">
        <x:v>Version</x:v>
      </x:c>
      <x:c r="D12" s="148" t="str">
        <x:v>1.0.0</x:v>
      </x:c>
      <x:c r="E12" s="208" t="str">
        <x:v>Standard</x:v>
      </x:c>
      <x:c r="F12" s="148" t="str">
        <x:v>TDAT Model Standard 1.0</x:v>
      </x:c>
      <x:c r="G12" s="208" t="str">
        <x:v>Last QA</x:v>
      </x:c>
      <x:c r="H12" s="148" t="str">
        <x:v>2026-07-13</x:v>
      </x:c>
      <x:c r="I12" s="208" t="str">
        <x:v>Status</x:v>
      </x:c>
      <x:c r="J12" s="149" t="str">
        <x:v>Available after release gates</x:v>
      </x:c>
    </x:row>
    <x:row r="13">
      <x:c r="A13" s="207" t="str">
        <x:v>Compatibility</x:v>
      </x:c>
      <x:c r="B13" s="154" t="str">
        <x:v>Excel 365</x:v>
      </x:c>
      <x:c r="C13" s="209" t="str">
        <x:v>Macros</x:v>
      </x:c>
      <x:c r="D13" s="154" t="str">
        <x:v>None</x:v>
      </x:c>
      <x:c r="E13" s="209" t="str">
        <x:v>External links</x:v>
      </x:c>
      <x:c r="F13" s="154" t="str">
        <x:v>None</x:v>
      </x:c>
      <x:c r="G13" s="209" t="str">
        <x:v>Circularity</x:v>
      </x:c>
      <x:c r="H13" s="154" t="str">
        <x:v>None</x:v>
      </x:c>
      <x:c r="I13" s="209" t="str">
        <x:v>Evidence</x:v>
      </x:c>
      <x:c r="J13" s="155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13" t="str">
        <x:v>1.0.0</x:v>
      </x:c>
      <x:c r="B17" s="214" t="str">
        <x:v>2026-07-13</x:v>
      </x:c>
      <x:c r="C17" s="214" t="str">
        <x:v>All</x:v>
      </x:c>
      <x:c r="D17" s="214" t="str">
        <x:v>Initial public reusable template</x:v>
      </x:c>
      <x:c r="E17" s="214" t="str">
        <x:v>New model release</x:v>
      </x:c>
      <x:c r="F17" s="214" t="str">
        <x:v>None</x:v>
      </x:c>
      <x:c r="G17" s="214" t="str">
        <x:v>Truong Dinh Anh Tu</x:v>
      </x:c>
      <x:c r="H17" s="214" t="str">
        <x:v>TDAT QA review</x:v>
      </x:c>
      <x:c r="I17" s="215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Validate sources, assumptions, formulas, methods, policies, and suitability before real-world use. Provided without warranty.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