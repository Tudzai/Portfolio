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9216baf77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23f3439eba1946db"/>
    <x:sheet xmlns:r="http://schemas.openxmlformats.org/officeDocument/2006/relationships" name="Inputs" sheetId="2" r:id="R4794d7ca7c8e48a5"/>
    <x:sheet xmlns:r="http://schemas.openxmlformats.org/officeDocument/2006/relationships" name="Model" sheetId="3" r:id="R898eb82536e74845"/>
    <x:sheet xmlns:r="http://schemas.openxmlformats.org/officeDocument/2006/relationships" name="Results" sheetId="4" r:id="R9182214a4bd84bd7"/>
    <x:sheet xmlns:r="http://schemas.openxmlformats.org/officeDocument/2006/relationships" name="Checks" sheetId="5" r:id="R3af70480527048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0.0x;[Red](0.0x);-"/>
    <x:numFmt numFmtId="202" formatCode="0.0%;[Red](0.0%);-"/>
    <x:numFmt numFmtId="203" formatCode="#,##0;[Red](#,##0);-"/>
    <x:numFmt numFmtId="204" formatCode="0.00;[Red](0.00);-"/>
  </x:numFmts>
  <x:fonts count="15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b/>
      <x:sz val="11"/>
      <x:color rgb="FF008000"/>
      <x:name val="Carlito"/>
    </x:font>
    <x:font>
      <x:sz val="11"/>
      <x:color rgb="FF008000"/>
      <x:name val="Carlito"/>
    </x:font>
    <x:font>
      <x:sz val="11"/>
      <x:color rgb="FF202833"/>
      <x:name val="Carlito"/>
    </x:font>
    <x:font>
      <x:b/>
      <x:sz val="11"/>
      <x:color rgb="FF68717C"/>
      <x:name val="Carlito"/>
    </x:font>
    <x:font>
      <x:b/>
      <x:sz val="11"/>
      <x:color rgb="FFB5883A"/>
      <x:name val="Carlito"/>
    </x:font>
    <x:font>
      <x:b/>
      <x:sz val="11"/>
      <x:color rgb="FF247252"/>
      <x:name val="Carlito"/>
    </x:font>
    <x:font>
      <x:b/>
      <x:sz val="11"/>
      <x:color rgb="FF805C19"/>
      <x:name val="Carlito"/>
    </x:font>
    <x:font>
      <x:sz val="11"/>
      <x:color rgb="FFF5F6F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  <x:fill>
      <x:patternFill patternType="solid">
        <x:fgColor rgb="FFE6F2EB"/>
      </x:patternFill>
    </x:fill>
  </x:fills>
  <x:borders count="31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B5883A"/>
      </x:left>
      <x:top style="thin">
        <x:color rgb="FFB5883A"/>
      </x:top>
    </x:border>
    <x:border>
      <x:top style="thin">
        <x:color rgb="FFB5883A"/>
      </x:top>
    </x:border>
    <x:border>
      <x:right style="thin">
        <x:color rgb="FFB5883A"/>
      </x:right>
      <x:top style="thin">
        <x:color rgb="FFB5883A"/>
      </x:top>
    </x:border>
    <x:border>
      <x:left style="thin">
        <x:color rgb="FFB5883A"/>
      </x:left>
    </x:border>
    <x:border>
      <x:right style="thin">
        <x:color rgb="FFB5883A"/>
      </x:right>
    </x:border>
    <x:border>
      <x:left style="thin">
        <x:color rgb="FFB5883A"/>
      </x:left>
      <x:bottom style="thin">
        <x:color rgb="FFB5883A"/>
      </x:bottom>
    </x:border>
    <x:border>
      <x:bottom style="thin">
        <x:color rgb="FFB5883A"/>
      </x:bottom>
    </x:border>
    <x:border>
      <x:right style="thin">
        <x:color rgb="FFB5883A"/>
      </x:right>
      <x:bottom style="thin">
        <x:color rgb="FFB5883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202" fontId="4" fillId="8" borderId="8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horizontal="right" vertical="center"/>
    </x:xf>
    <x:xf numFmtId="202" fontId="4" fillId="8" borderId="9" xfId="0" applyNumberFormat="1" applyFont="1" applyFill="1" applyBorder="1" applyAlignment="1">
      <x:alignment horizontal="right" vertical="center"/>
    </x:xf>
    <x:xf numFmtId="203" fontId="4" fillId="8" borderId="8" xfId="0" applyNumberFormat="1" applyFont="1" applyFill="1" applyBorder="1" applyAlignment="1">
      <x:alignment vertical="center"/>
    </x:xf>
    <x:xf numFmtId="203" fontId="4" fillId="8" borderId="8" xfId="0" applyNumberFormat="1" applyFont="1" applyFill="1" applyBorder="1" applyAlignment="1">
      <x:alignment horizontal="right" vertical="center"/>
    </x:xf>
    <x:xf numFmtId="203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3" fillId="7" borderId="4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horizontal="right" vertical="center"/>
    </x:xf>
    <x:xf numFmtId="0" fontId="9" fillId="8" borderId="0" xfId="0" applyNumberFormat="1" applyFont="1" applyFill="1" applyBorder="1" applyAlignment="1">
      <x:alignment vertical="center"/>
    </x:xf>
    <x:xf numFmtId="200" fontId="9" fillId="8" borderId="0" xfId="0" applyNumberFormat="1" applyFont="1" applyFill="1" applyBorder="1" applyAlignment="1">
      <x:alignment vertical="center"/>
    </x:xf>
    <x:xf numFmtId="200" fontId="9" fillId="8" borderId="0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200" fontId="3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200" fontId="3" fillId="8" borderId="0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horizontal="left" vertical="center" wrapText="1"/>
    </x:xf>
    <x:xf numFmtId="0" fontId="9" fillId="2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horizontal="right" vertical="center"/>
    </x:xf>
    <x:xf numFmtId="0" fontId="1" fillId="10" borderId="0" xfId="0" applyNumberFormat="1" applyFont="1" applyFill="1" applyBorder="1" applyAlignment="1">
      <x:alignment vertical="center"/>
    </x:xf>
    <x:xf numFmtId="200" fontId="3" fillId="10" borderId="0" xfId="0" applyNumberFormat="1" applyFont="1" applyFill="1" applyBorder="1" applyAlignment="1">
      <x:alignment horizontal="right" vertical="center"/>
    </x:xf>
    <x:xf numFmtId="0" fontId="5" fillId="10" borderId="0" xfId="0" applyNumberFormat="1" applyFont="1" applyFill="1" applyBorder="1" applyAlignment="1">
      <x:alignment horizontal="left" vertical="center" wrapText="1"/>
    </x:xf>
    <x:xf numFmtId="0" fontId="3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horizontal="left" vertical="center" wrapText="1"/>
    </x:xf>
    <x:xf numFmtId="201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horizontal="right" vertical="center"/>
    </x:xf>
    <x:xf numFmtId="201" fontId="3" fillId="8" borderId="0" xfId="0" applyNumberFormat="1" applyFont="1" applyFill="1" applyBorder="1" applyAlignment="1">
      <x:alignment horizontal="right" vertical="center"/>
    </x:xf>
    <x:xf numFmtId="203" fontId="8" fillId="8" borderId="0" xfId="0" applyNumberFormat="1" applyFont="1" applyFill="1" applyBorder="1" applyAlignment="1">
      <x:alignment vertical="center"/>
    </x:xf>
    <x:xf numFmtId="203" fontId="8" fillId="8" borderId="0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vertical="center"/>
    </x:xf>
    <x:xf numFmtId="201" fontId="3" fillId="5" borderId="0" xfId="0" applyNumberFormat="1" applyFont="1" applyFill="1" applyBorder="1" applyAlignment="1">
      <x:alignment vertical="center"/>
    </x:xf>
    <x:xf numFmtId="201" fontId="3" fillId="5" borderId="0" xfId="0" applyNumberFormat="1" applyFont="1" applyFill="1" applyBorder="1" applyAlignment="1">
      <x:alignment horizontal="right" vertical="center"/>
    </x:xf>
    <x:xf numFmtId="202" fontId="3" fillId="5" borderId="0" xfId="0" applyNumberFormat="1" applyFont="1" applyFill="1" applyBorder="1" applyAlignment="1">
      <x:alignment vertical="center"/>
    </x:xf>
    <x:xf numFmtId="202" fontId="3" fillId="5" borderId="0" xfId="0" applyNumberFormat="1" applyFont="1" applyFill="1" applyBorder="1" applyAlignment="1">
      <x:alignment horizontal="right" vertical="center"/>
    </x:xf>
    <x:xf numFmtId="0" fontId="2" fillId="3" borderId="16" xfId="0" applyNumberFormat="1" applyFont="1" applyFill="1" applyBorder="1" applyAlignment="1">
      <x:alignment vertical="center"/>
    </x:xf>
    <x:xf numFmtId="0" fontId="2" fillId="3" borderId="17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horizontal="center" vertical="center"/>
    </x:xf>
    <x:xf numFmtId="0" fontId="2" fillId="3" borderId="17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vertical="center"/>
    </x:xf>
    <x:xf numFmtId="0" fontId="11" fillId="8" borderId="1" xfId="0" applyNumberFormat="1" applyFont="1" applyFill="1" applyBorder="1" applyAlignment="1">
      <x:alignment vertical="center"/>
    </x:xf>
    <x:xf numFmtId="0" fontId="11" fillId="8" borderId="3" xfId="0" applyNumberFormat="1" applyFont="1" applyFill="1" applyBorder="1" applyAlignment="1">
      <x:alignment vertical="center"/>
    </x:xf>
    <x:xf numFmtId="0" fontId="11" fillId="8" borderId="18" xfId="0" applyNumberFormat="1" applyFont="1" applyFill="1" applyBorder="1" applyAlignment="1">
      <x:alignment vertical="center"/>
    </x:xf>
    <x:xf numFmtId="0" fontId="11" fillId="8" borderId="19" xfId="0" applyNumberFormat="1" applyFont="1" applyFill="1" applyBorder="1" applyAlignment="1">
      <x:alignment vertical="center"/>
    </x:xf>
    <x:xf numFmtId="0" fontId="11" fillId="8" borderId="4" xfId="0" applyNumberFormat="1" applyFont="1" applyFill="1" applyBorder="1" applyAlignment="1">
      <x:alignment vertical="center"/>
    </x:xf>
    <x:xf numFmtId="0" fontId="11" fillId="8" borderId="6" xfId="0" applyNumberFormat="1" applyFont="1" applyFill="1" applyBorder="1" applyAlignment="1">
      <x:alignment vertical="center"/>
    </x:xf>
    <x:xf numFmtId="200" fontId="11" fillId="8" borderId="1" xfId="0" applyNumberFormat="1" applyFont="1" applyFill="1" applyBorder="1" applyAlignment="1">
      <x:alignment vertical="center"/>
    </x:xf>
    <x:xf numFmtId="200" fontId="11" fillId="8" borderId="3" xfId="0" applyNumberFormat="1" applyFont="1" applyFill="1" applyBorder="1" applyAlignment="1">
      <x:alignment vertical="center"/>
    </x:xf>
    <x:xf numFmtId="200" fontId="11" fillId="8" borderId="18" xfId="0" applyNumberFormat="1" applyFont="1" applyFill="1" applyBorder="1" applyAlignment="1">
      <x:alignment vertical="center"/>
    </x:xf>
    <x:xf numFmtId="200" fontId="11" fillId="8" borderId="19" xfId="0" applyNumberFormat="1" applyFont="1" applyFill="1" applyBorder="1" applyAlignment="1">
      <x:alignment vertical="center"/>
    </x:xf>
    <x:xf numFmtId="200" fontId="11" fillId="8" borderId="4" xfId="0" applyNumberFormat="1" applyFont="1" applyFill="1" applyBorder="1" applyAlignment="1">
      <x:alignment vertical="center"/>
    </x:xf>
    <x:xf numFmtId="200" fontId="11" fillId="8" borderId="6" xfId="0" applyNumberFormat="1" applyFont="1" applyFill="1" applyBorder="1" applyAlignment="1">
      <x:alignment vertical="center"/>
    </x:xf>
    <x:xf numFmtId="200" fontId="11" fillId="8" borderId="1" xfId="0" applyNumberFormat="1" applyFont="1" applyFill="1" applyBorder="1" applyAlignment="1">
      <x:alignment horizontal="center" vertical="center"/>
    </x:xf>
    <x:xf numFmtId="200" fontId="11" fillId="8" borderId="3" xfId="0" applyNumberFormat="1" applyFont="1" applyFill="1" applyBorder="1" applyAlignment="1">
      <x:alignment horizontal="center" vertical="center"/>
    </x:xf>
    <x:xf numFmtId="200" fontId="11" fillId="8" borderId="18" xfId="0" applyNumberFormat="1" applyFont="1" applyFill="1" applyBorder="1" applyAlignment="1">
      <x:alignment horizontal="center" vertical="center"/>
    </x:xf>
    <x:xf numFmtId="200" fontId="11" fillId="8" borderId="19" xfId="0" applyNumberFormat="1" applyFont="1" applyFill="1" applyBorder="1" applyAlignment="1">
      <x:alignment horizontal="center" vertical="center"/>
    </x:xf>
    <x:xf numFmtId="200" fontId="11" fillId="8" borderId="4" xfId="0" applyNumberFormat="1" applyFont="1" applyFill="1" applyBorder="1" applyAlignment="1">
      <x:alignment horizontal="center" vertical="center"/>
    </x:xf>
    <x:xf numFmtId="200" fontId="11" fillId="8" borderId="6" xfId="0" applyNumberFormat="1" applyFont="1" applyFill="1" applyBorder="1" applyAlignment="1">
      <x:alignment horizontal="center" vertical="center"/>
    </x:xf>
    <x:xf numFmtId="201" fontId="11" fillId="8" borderId="1" xfId="0" applyNumberFormat="1" applyFont="1" applyFill="1" applyBorder="1" applyAlignment="1">
      <x:alignment vertical="center"/>
    </x:xf>
    <x:xf numFmtId="201" fontId="11" fillId="8" borderId="3" xfId="0" applyNumberFormat="1" applyFont="1" applyFill="1" applyBorder="1" applyAlignment="1">
      <x:alignment vertical="center"/>
    </x:xf>
    <x:xf numFmtId="201" fontId="11" fillId="8" borderId="18" xfId="0" applyNumberFormat="1" applyFont="1" applyFill="1" applyBorder="1" applyAlignment="1">
      <x:alignment vertical="center"/>
    </x:xf>
    <x:xf numFmtId="201" fontId="11" fillId="8" borderId="19" xfId="0" applyNumberFormat="1" applyFont="1" applyFill="1" applyBorder="1" applyAlignment="1">
      <x:alignment vertical="center"/>
    </x:xf>
    <x:xf numFmtId="201" fontId="11" fillId="8" borderId="4" xfId="0" applyNumberFormat="1" applyFont="1" applyFill="1" applyBorder="1" applyAlignment="1">
      <x:alignment vertical="center"/>
    </x:xf>
    <x:xf numFmtId="201" fontId="11" fillId="8" borderId="6" xfId="0" applyNumberFormat="1" applyFont="1" applyFill="1" applyBorder="1" applyAlignment="1">
      <x:alignment vertical="center"/>
    </x:xf>
    <x:xf numFmtId="201" fontId="11" fillId="8" borderId="1" xfId="0" applyNumberFormat="1" applyFont="1" applyFill="1" applyBorder="1" applyAlignment="1">
      <x:alignment horizontal="center" vertical="center"/>
    </x:xf>
    <x:xf numFmtId="201" fontId="11" fillId="8" borderId="3" xfId="0" applyNumberFormat="1" applyFont="1" applyFill="1" applyBorder="1" applyAlignment="1">
      <x:alignment horizontal="center" vertical="center"/>
    </x:xf>
    <x:xf numFmtId="201" fontId="11" fillId="8" borderId="18" xfId="0" applyNumberFormat="1" applyFont="1" applyFill="1" applyBorder="1" applyAlignment="1">
      <x:alignment horizontal="center" vertical="center"/>
    </x:xf>
    <x:xf numFmtId="201" fontId="11" fillId="8" borderId="19" xfId="0" applyNumberFormat="1" applyFont="1" applyFill="1" applyBorder="1" applyAlignment="1">
      <x:alignment horizontal="center" vertical="center"/>
    </x:xf>
    <x:xf numFmtId="201" fontId="11" fillId="8" borderId="4" xfId="0" applyNumberFormat="1" applyFont="1" applyFill="1" applyBorder="1" applyAlignment="1">
      <x:alignment horizontal="center" vertical="center"/>
    </x:xf>
    <x:xf numFmtId="201" fontId="11" fillId="8" borderId="6" xfId="0" applyNumberFormat="1" applyFont="1" applyFill="1" applyBorder="1" applyAlignment="1">
      <x:alignment horizontal="center" vertical="center"/>
    </x:xf>
    <x:xf numFmtId="202" fontId="11" fillId="8" borderId="1" xfId="0" applyNumberFormat="1" applyFont="1" applyFill="1" applyBorder="1" applyAlignment="1">
      <x:alignment vertical="center"/>
    </x:xf>
    <x:xf numFmtId="202" fontId="11" fillId="8" borderId="3" xfId="0" applyNumberFormat="1" applyFont="1" applyFill="1" applyBorder="1" applyAlignment="1">
      <x:alignment vertical="center"/>
    </x:xf>
    <x:xf numFmtId="202" fontId="11" fillId="8" borderId="18" xfId="0" applyNumberFormat="1" applyFont="1" applyFill="1" applyBorder="1" applyAlignment="1">
      <x:alignment vertical="center"/>
    </x:xf>
    <x:xf numFmtId="202" fontId="11" fillId="8" borderId="19" xfId="0" applyNumberFormat="1" applyFont="1" applyFill="1" applyBorder="1" applyAlignment="1">
      <x:alignment vertical="center"/>
    </x:xf>
    <x:xf numFmtId="202" fontId="11" fillId="8" borderId="4" xfId="0" applyNumberFormat="1" applyFont="1" applyFill="1" applyBorder="1" applyAlignment="1">
      <x:alignment vertical="center"/>
    </x:xf>
    <x:xf numFmtId="202" fontId="11" fillId="8" borderId="6" xfId="0" applyNumberFormat="1" applyFont="1" applyFill="1" applyBorder="1" applyAlignment="1">
      <x:alignment vertical="center"/>
    </x:xf>
    <x:xf numFmtId="202" fontId="11" fillId="8" borderId="1" xfId="0" applyNumberFormat="1" applyFont="1" applyFill="1" applyBorder="1" applyAlignment="1">
      <x:alignment horizontal="center" vertical="center"/>
    </x:xf>
    <x:xf numFmtId="202" fontId="11" fillId="8" borderId="3" xfId="0" applyNumberFormat="1" applyFont="1" applyFill="1" applyBorder="1" applyAlignment="1">
      <x:alignment horizontal="center" vertical="center"/>
    </x:xf>
    <x:xf numFmtId="202" fontId="11" fillId="8" borderId="18" xfId="0" applyNumberFormat="1" applyFont="1" applyFill="1" applyBorder="1" applyAlignment="1">
      <x:alignment horizontal="center" vertical="center"/>
    </x:xf>
    <x:xf numFmtId="202" fontId="11" fillId="8" borderId="19" xfId="0" applyNumberFormat="1" applyFont="1" applyFill="1" applyBorder="1" applyAlignment="1">
      <x:alignment horizontal="center" vertical="center"/>
    </x:xf>
    <x:xf numFmtId="202" fontId="11" fillId="8" borderId="4" xfId="0" applyNumberFormat="1" applyFont="1" applyFill="1" applyBorder="1" applyAlignment="1">
      <x:alignment horizontal="center" vertical="center"/>
    </x:xf>
    <x:xf numFmtId="202" fontId="11" fillId="8" borderId="6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 applyAlignment="1">
      <x:alignment vertical="center"/>
    </x:xf>
    <x:xf numFmtId="0" fontId="11" fillId="5" borderId="20" xfId="0" applyNumberFormat="1" applyFont="1" applyFill="1" applyBorder="1" applyAlignment="1">
      <x:alignment vertical="center"/>
    </x:xf>
    <x:xf numFmtId="0" fontId="11" fillId="5" borderId="21" xfId="0" applyNumberFormat="1" applyFont="1" applyFill="1" applyBorder="1" applyAlignment="1">
      <x:alignment vertical="center"/>
    </x:xf>
    <x:xf numFmtId="0" fontId="11" fillId="5" borderId="22" xfId="0" applyNumberFormat="1" applyFont="1" applyFill="1" applyBorder="1" applyAlignment="1">
      <x:alignment vertical="center"/>
    </x:xf>
    <x:xf numFmtId="0" fontId="11" fillId="5" borderId="23" xfId="0" applyNumberFormat="1" applyFont="1" applyFill="1" applyBorder="1" applyAlignment="1">
      <x:alignment vertical="center"/>
    </x:xf>
    <x:xf numFmtId="0" fontId="11" fillId="5" borderId="24" xfId="0" applyNumberFormat="1" applyFont="1" applyFill="1" applyBorder="1" applyAlignment="1">
      <x:alignment vertical="center"/>
    </x:xf>
    <x:xf numFmtId="0" fontId="11" fillId="5" borderId="25" xfId="0" applyNumberFormat="1" applyFont="1" applyFill="1" applyBorder="1" applyAlignment="1">
      <x:alignment vertical="center"/>
    </x:xf>
    <x:xf numFmtId="0" fontId="11" fillId="5" borderId="26" xfId="0" applyNumberFormat="1" applyFont="1" applyFill="1" applyBorder="1" applyAlignment="1">
      <x:alignment vertical="center"/>
    </x:xf>
    <x:xf numFmtId="0" fontId="11" fillId="5" borderId="27" xfId="0" applyNumberFormat="1" applyFont="1" applyFill="1" applyBorder="1" applyAlignment="1">
      <x:alignment vertical="center"/>
    </x:xf>
    <x:xf numFmtId="0" fontId="11" fillId="5" borderId="20" xfId="0" applyNumberFormat="1" applyFont="1" applyFill="1" applyBorder="1" applyAlignment="1">
      <x:alignment vertical="center" wrapText="1"/>
    </x:xf>
    <x:xf numFmtId="0" fontId="11" fillId="5" borderId="21" xfId="0" applyNumberFormat="1" applyFont="1" applyFill="1" applyBorder="1" applyAlignment="1">
      <x:alignment vertical="center" wrapText="1"/>
    </x:xf>
    <x:xf numFmtId="0" fontId="11" fillId="5" borderId="22" xfId="0" applyNumberFormat="1" applyFont="1" applyFill="1" applyBorder="1" applyAlignment="1">
      <x:alignment vertical="center" wrapText="1"/>
    </x:xf>
    <x:xf numFmtId="0" fontId="11" fillId="5" borderId="23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24" xfId="0" applyNumberFormat="1" applyFont="1" applyFill="1" applyBorder="1" applyAlignment="1">
      <x:alignment vertical="center" wrapText="1"/>
    </x:xf>
    <x:xf numFmtId="0" fontId="11" fillId="5" borderId="25" xfId="0" applyNumberFormat="1" applyFont="1" applyFill="1" applyBorder="1" applyAlignment="1">
      <x:alignment vertical="center" wrapText="1"/>
    </x:xf>
    <x:xf numFmtId="0" fontId="11" fillId="5" borderId="26" xfId="0" applyNumberFormat="1" applyFont="1" applyFill="1" applyBorder="1" applyAlignment="1">
      <x:alignment vertical="center" wrapText="1"/>
    </x:xf>
    <x:xf numFmtId="0" fontId="11" fillId="5" borderId="27" xfId="0" applyNumberFormat="1" applyFont="1" applyFill="1" applyBorder="1" applyAlignment="1">
      <x:alignment vertical="center" wrapText="1"/>
    </x:xf>
    <x:xf numFmtId="0" fontId="11" fillId="5" borderId="20" xfId="0" applyNumberFormat="1" applyFont="1" applyFill="1" applyBorder="1" applyAlignment="1">
      <x:alignment horizontal="center" vertical="center" wrapText="1"/>
    </x:xf>
    <x:xf numFmtId="0" fontId="11" fillId="5" borderId="21" xfId="0" applyNumberFormat="1" applyFont="1" applyFill="1" applyBorder="1" applyAlignment="1">
      <x:alignment horizontal="center" vertical="center" wrapText="1"/>
    </x:xf>
    <x:xf numFmtId="0" fontId="11" fillId="5" borderId="22" xfId="0" applyNumberFormat="1" applyFont="1" applyFill="1" applyBorder="1" applyAlignment="1">
      <x:alignment horizontal="center" vertical="center" wrapText="1"/>
    </x:xf>
    <x:xf numFmtId="0" fontId="11" fillId="5" borderId="23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11" fillId="5" borderId="24" xfId="0" applyNumberFormat="1" applyFont="1" applyFill="1" applyBorder="1" applyAlignment="1">
      <x:alignment horizontal="center" vertical="center" wrapText="1"/>
    </x:xf>
    <x:xf numFmtId="0" fontId="11" fillId="5" borderId="25" xfId="0" applyNumberFormat="1" applyFont="1" applyFill="1" applyBorder="1" applyAlignment="1">
      <x:alignment horizontal="center" vertical="center" wrapText="1"/>
    </x:xf>
    <x:xf numFmtId="0" fontId="11" fillId="5" borderId="26" xfId="0" applyNumberFormat="1" applyFont="1" applyFill="1" applyBorder="1" applyAlignment="1">
      <x:alignment horizontal="center" vertical="center" wrapText="1"/>
    </x:xf>
    <x:xf numFmtId="0" fontId="11" fillId="5" borderId="27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 applyAlignment="1">
      <x:alignment vertical="center"/>
    </x:xf>
    <x:xf numFmtId="0" fontId="12" fillId="8" borderId="28" xfId="0" applyNumberFormat="1" applyFont="1" applyFill="1" applyBorder="1" applyAlignment="1">
      <x:alignment vertical="center"/>
    </x:xf>
    <x:xf numFmtId="0" fontId="12" fillId="8" borderId="29" xfId="0" applyNumberFormat="1" applyFont="1" applyFill="1" applyBorder="1" applyAlignment="1">
      <x:alignment vertical="center"/>
    </x:xf>
    <x:xf numFmtId="0" fontId="12" fillId="8" borderId="28" xfId="0" applyNumberFormat="1" applyFont="1" applyFill="1" applyBorder="1" applyAlignment="1">
      <x:alignment horizontal="center" vertical="center"/>
    </x:xf>
    <x:xf numFmtId="0" fontId="12" fillId="8" borderId="29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 applyAlignment="1">
      <x:alignment vertical="center"/>
    </x:xf>
    <x:xf numFmtId="0" fontId="13" fillId="9" borderId="28" xfId="0" applyNumberFormat="1" applyFont="1" applyFill="1" applyBorder="1" applyAlignment="1">
      <x:alignment vertical="center"/>
    </x:xf>
    <x:xf numFmtId="0" fontId="13" fillId="9" borderId="29" xfId="0" applyNumberFormat="1" applyFont="1" applyFill="1" applyBorder="1" applyAlignment="1">
      <x:alignment vertical="center"/>
    </x:xf>
    <x:xf numFmtId="0" fontId="13" fillId="9" borderId="28" xfId="0" applyNumberFormat="1" applyFont="1" applyFill="1" applyBorder="1" applyAlignment="1">
      <x:alignment vertical="center" wrapText="1"/>
    </x:xf>
    <x:xf numFmtId="0" fontId="13" fillId="9" borderId="29" xfId="0" applyNumberFormat="1" applyFont="1" applyFill="1" applyBorder="1" applyAlignment="1">
      <x:alignment vertical="center" wrapText="1"/>
    </x:xf>
    <x:xf numFmtId="0" fontId="13" fillId="9" borderId="28" xfId="0" applyNumberFormat="1" applyFont="1" applyFill="1" applyBorder="1" applyAlignment="1">
      <x:alignment horizontal="center" vertical="center" wrapText="1"/>
    </x:xf>
    <x:xf numFmtId="0" fontId="13" fillId="9" borderId="29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18" xfId="0" applyNumberFormat="1" applyFont="1" applyFill="1" applyBorder="1" applyAlignment="1">
      <x:alignment vertical="center"/>
    </x:xf>
    <x:xf numFmtId="0" fontId="1" fillId="8" borderId="19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18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9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8" xfId="0" applyNumberFormat="1" applyFont="1" applyFill="1" applyBorder="1" applyAlignment="1">
      <x:alignment vertical="center"/>
    </x:xf>
    <x:xf numFmtId="0" fontId="3" fillId="5" borderId="30" xfId="0" applyNumberFormat="1" applyFont="1" applyFill="1" applyBorder="1" applyAlignment="1">
      <x:alignment vertical="center"/>
    </x:xf>
    <x:xf numFmtId="0" fontId="3" fillId="5" borderId="29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3" fillId="5" borderId="30" xfId="0" applyNumberFormat="1" applyFont="1" applyFill="1" applyBorder="1" applyAlignment="1">
      <x:alignment horizontal="center" vertical="center"/>
    </x:xf>
    <x:xf numFmtId="0" fontId="3" fillId="5" borderId="29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vertical="center"/>
    </x:xf>
    <x:xf numFmtId="0" fontId="12" fillId="8" borderId="30" xfId="0" applyNumberFormat="1" applyFont="1" applyFill="1" applyBorder="1" applyAlignment="1">
      <x:alignment vertical="center"/>
    </x:xf>
    <x:xf numFmtId="0" fontId="12" fillId="8" borderId="30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6" fillId="9" borderId="28" xfId="0" applyNumberFormat="1" applyFont="1" applyFill="1" applyBorder="1" applyAlignment="1">
      <x:alignment vertical="center"/>
    </x:xf>
    <x:xf numFmtId="0" fontId="6" fillId="9" borderId="30" xfId="0" applyNumberFormat="1" applyFont="1" applyFill="1" applyBorder="1" applyAlignment="1">
      <x:alignment vertical="center"/>
    </x:xf>
    <x:xf numFmtId="0" fontId="6" fillId="9" borderId="29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6" fillId="9" borderId="30" xfId="0" applyNumberFormat="1" applyFont="1" applyFill="1" applyBorder="1" applyAlignment="1">
      <x:alignment horizontal="center" vertical="center"/>
    </x:xf>
    <x:xf numFmtId="0" fontId="6" fillId="9" borderId="29" xfId="0" applyNumberFormat="1" applyFont="1" applyFill="1" applyBorder="1" applyAlignment="1">
      <x:alignment horizontal="center" vertical="center"/>
    </x:xf>
    <x:xf numFmtId="0" fontId="3" fillId="5" borderId="18" xfId="0" applyNumberFormat="1" applyFont="1" applyFill="1" applyBorder="1" applyAlignment="1">
      <x:alignment vertical="center"/>
    </x:xf>
    <x:xf numFmtId="0" fontId="3" fillId="5" borderId="19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18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19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2" fillId="8" borderId="1" xfId="0" applyNumberFormat="1" applyFont="1" applyFill="1" applyBorder="1" applyAlignment="1">
      <x:alignment vertical="center"/>
    </x:xf>
    <x:xf numFmtId="0" fontId="12" fillId="8" borderId="3" xfId="0" applyNumberFormat="1" applyFont="1" applyFill="1" applyBorder="1" applyAlignment="1">
      <x:alignment vertical="center"/>
    </x:xf>
    <x:xf numFmtId="0" fontId="12" fillId="8" borderId="4" xfId="0" applyNumberFormat="1" applyFont="1" applyFill="1" applyBorder="1" applyAlignment="1">
      <x:alignment vertical="center"/>
    </x:xf>
    <x:xf numFmtId="0" fontId="12" fillId="8" borderId="6" xfId="0" applyNumberFormat="1" applyFont="1" applyFill="1" applyBorder="1" applyAlignment="1">
      <x:alignment vertical="center"/>
    </x:xf>
    <x:xf numFmtId="0" fontId="12" fillId="8" borderId="1" xfId="0" applyNumberFormat="1" applyFont="1" applyFill="1" applyBorder="1" applyAlignment="1">
      <x:alignment horizontal="center" vertical="center"/>
    </x:xf>
    <x:xf numFmtId="0" fontId="12" fillId="8" borderId="3" xfId="0" applyNumberFormat="1" applyFont="1" applyFill="1" applyBorder="1" applyAlignment="1">
      <x:alignment horizontal="center" vertical="center"/>
    </x:xf>
    <x:xf numFmtId="0" fontId="12" fillId="8" borderId="4" xfId="0" applyNumberFormat="1" applyFont="1" applyFill="1" applyBorder="1" applyAlignment="1">
      <x:alignment horizontal="center" vertical="center"/>
    </x:xf>
    <x:xf numFmtId="0" fontId="12" fillId="8" borderId="6" xfId="0" applyNumberFormat="1" applyFont="1" applyFill="1" applyBorder="1" applyAlignment="1">
      <x:alignment horizontal="center" vertical="center"/>
    </x:xf>
    <x:xf numFmtId="0" fontId="11" fillId="5" borderId="28" xfId="0" applyNumberFormat="1" applyFont="1" applyFill="1" applyBorder="1" applyAlignment="1">
      <x:alignment vertical="center"/>
    </x:xf>
    <x:xf numFmtId="0" fontId="11" fillId="5" borderId="29" xfId="0" applyNumberFormat="1" applyFont="1" applyFill="1" applyBorder="1" applyAlignment="1">
      <x:alignment vertical="center"/>
    </x:xf>
    <x:xf numFmtId="0" fontId="11" fillId="5" borderId="28" xfId="0" applyNumberFormat="1" applyFont="1" applyFill="1" applyBorder="1" applyAlignment="1">
      <x:alignment horizontal="center" vertical="center"/>
    </x:xf>
    <x:xf numFmtId="0" fontId="11" fillId="5" borderId="29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748ac1f974748" /><Relationship Type="http://schemas.openxmlformats.org/officeDocument/2006/relationships/theme" Target="/xl/theme/theme1.xml" Id="Rb2da3cade96c4e64" /><Relationship Type="http://schemas.openxmlformats.org/officeDocument/2006/relationships/sharedStrings" Target="/xl/sharedStrings.xml" Id="R86c7a228145a4c9d" /><Relationship Type="http://schemas.openxmlformats.org/officeDocument/2006/relationships/worksheet" Target="/xl/worksheets/sheet1.xml" Id="R23f3439eba1946db" /><Relationship Type="http://schemas.openxmlformats.org/officeDocument/2006/relationships/worksheet" Target="/xl/worksheets/sheet2.xml" Id="R4794d7ca7c8e48a5" /><Relationship Type="http://schemas.openxmlformats.org/officeDocument/2006/relationships/worksheet" Target="/xl/worksheets/sheet3.xml" Id="R898eb82536e74845" /><Relationship Type="http://schemas.openxmlformats.org/officeDocument/2006/relationships/worksheet" Target="/xl/worksheets/sheet4.xml" Id="R9182214a4bd84bd7" /><Relationship Type="http://schemas.openxmlformats.org/officeDocument/2006/relationships/worksheet" Target="/xl/worksheets/sheet5.xml" Id="R3af70480527048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TDAT-FM-PE-001 · Entry plus five forecast years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57" t="str">
        <x:v>LBO Returns Model</x:v>
      </x:c>
      <x:c r="B5" s="258"/>
      <x:c r="C5" s="258"/>
      <x:c r="D5" s="258"/>
      <x:c r="E5" s="258"/>
      <x:c r="F5" s="259"/>
      <x:c r="G5" s="63" t="str">
        <x:v>MODEL STATUS</x:v>
      </x:c>
      <x:c r="H5" s="63"/>
    </x:row>
    <x:row r="6" ht="20" customHeight="1">
      <x:c r="A6" s="260"/>
      <x:c r="B6" s="261"/>
      <x:c r="C6" s="261"/>
      <x:c r="D6" s="261"/>
      <x:c r="E6" s="261"/>
      <x:c r="F6" s="262"/>
      <x:c r="G6" s="270" t="str">
        <x:f>'Checks'!B4</x:f>
        <x:v>PASS</x:v>
      </x:c>
      <x:c r="H6" s="271"/>
    </x:row>
    <x:row r="7" ht="20" customHeight="1">
      <x:c r="A7" s="263"/>
      <x:c r="B7" s="264"/>
      <x:c r="C7" s="264"/>
      <x:c r="D7" s="264"/>
      <x:c r="E7" s="264"/>
      <x:c r="F7" s="265"/>
      <x:c r="G7" s="272"/>
      <x:c r="H7" s="273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64" t="str">
        <x:v>WHAT THIS MODEL IS FOR</x:v>
      </x:c>
      <x:c r="B9" s="64"/>
      <x:c r="C9" s="64"/>
      <x:c r="D9" s="64"/>
      <x:c r="E9" s="64"/>
      <x:c r="F9" s="64"/>
      <x:c r="G9" s="64"/>
      <x:c r="H9" s="64"/>
    </x:row>
    <x:row r="10" ht="20" customHeight="1">
      <x:c r="A10" s="207" t="str">
        <x:v>How do EBITDA growth, cash conversion, debt paydown, and exit assumptions drive sponsor returns?</x:v>
      </x:c>
      <x:c r="B10" s="208"/>
      <x:c r="C10" s="208"/>
      <x:c r="D10" s="208"/>
      <x:c r="E10" s="208"/>
      <x:c r="F10" s="208"/>
      <x:c r="G10" s="208"/>
      <x:c r="H10" s="209"/>
    </x:row>
    <x:row r="11" ht="20" customHeight="1">
      <x:c r="A11" s="210"/>
      <x:c r="B11" s="211"/>
      <x:c r="C11" s="211"/>
      <x:c r="D11" s="211"/>
      <x:c r="E11" s="211"/>
      <x:c r="F11" s="211"/>
      <x:c r="G11" s="211"/>
      <x:c r="H11" s="212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4" t="str">
        <x:v>USE IT IN FOUR STEPS</x:v>
      </x:c>
      <x:c r="B13" s="64"/>
      <x:c r="C13" s="64"/>
      <x:c r="D13" s="64"/>
      <x:c r="E13" s="64"/>
      <x:c r="F13" s="64"/>
      <x:c r="G13" s="64"/>
      <x:c r="H13" s="64"/>
    </x:row>
    <x:row r="14" ht="20" customHeight="1">
      <x:c r="A14" s="276" t="str">
        <x:v>1 · INPUTS</x:v>
      </x:c>
      <x:c r="B14" s="277"/>
      <x:c r="C14" s="276" t="str">
        <x:v>2 · MODEL</x:v>
      </x:c>
      <x:c r="D14" s="277"/>
      <x:c r="E14" s="276" t="str">
        <x:v>3 · RESULTS</x:v>
      </x:c>
      <x:c r="F14" s="277"/>
      <x:c r="G14" s="276" t="str">
        <x:v>4 · CHECKS</x:v>
      </x:c>
      <x:c r="H14" s="277"/>
    </x:row>
    <x:row r="15" ht="20" customHeight="1">
      <x:c r="A15" s="278" t="str">
        <x:v>Edit only blue cells</x:v>
      </x:c>
      <x:c r="B15" s="279"/>
      <x:c r="C15" s="278" t="str">
        <x:v>Trace schedules and formulas</x:v>
      </x:c>
      <x:c r="D15" s="279"/>
      <x:c r="E15" s="278" t="str">
        <x:v>Read the linked decision view</x:v>
      </x:c>
      <x:c r="F15" s="279"/>
      <x:c r="G15" s="278" t="str">
        <x:v>Resolve every FAIL</x:v>
      </x:c>
      <x:c r="H15" s="279"/>
    </x:row>
    <x:row r="16" ht="20" customHeight="1">
      <x:c r="A16" s="280"/>
      <x:c r="B16" s="281"/>
      <x:c r="C16" s="280"/>
      <x:c r="D16" s="281"/>
      <x:c r="E16" s="280"/>
      <x:c r="F16" s="281"/>
      <x:c r="G16" s="280"/>
      <x:c r="H16" s="281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64" t="str">
        <x:v>DEPTH WITHOUT EXTRA TABS</x:v>
      </x:c>
      <x:c r="B18" s="64"/>
      <x:c r="C18" s="64"/>
      <x:c r="D18" s="64"/>
      <x:c r="E18" s="64"/>
      <x:c r="F18" s="64"/>
      <x:c r="G18" s="64"/>
      <x:c r="H18" s="64"/>
    </x:row>
    <x:row r="19" ht="20" customHeight="1">
      <x:c r="A19" s="187" t="str">
        <x:v>Forecast</x:v>
      </x:c>
      <x:c r="B19" s="187"/>
      <x:c r="C19" s="93" t="str">
        <x:v>Entry plus five forecast years</x:v>
      </x:c>
      <x:c r="D19" s="93"/>
      <x:c r="E19" s="93"/>
      <x:c r="F19" s="93"/>
      <x:c r="G19" s="93"/>
      <x:c r="H19" s="93"/>
    </x:row>
    <x:row r="20" ht="20" customHeight="1">
      <x:c r="A20" s="187" t="str">
        <x:v>Editable inputs</x:v>
      </x:c>
      <x:c r="B20" s="187"/>
      <x:c r="C20" s="93" t="str">
        <x:v>10</x:v>
      </x:c>
      <x:c r="D20" s="93"/>
      <x:c r="E20" s="93"/>
      <x:c r="F20" s="93"/>
      <x:c r="G20" s="93"/>
      <x:c r="H20" s="93"/>
    </x:row>
    <x:row r="21" ht="20" customHeight="1">
      <x:c r="A21" s="187" t="str">
        <x:v>Visible sheets</x:v>
      </x:c>
      <x:c r="B21" s="187"/>
      <x:c r="C21" s="93" t="str">
        <x:v>5</x:v>
      </x:c>
      <x:c r="D21" s="93"/>
      <x:c r="E21" s="93"/>
      <x:c r="F21" s="93"/>
      <x:c r="G21" s="93"/>
      <x:c r="H21" s="93"/>
    </x:row>
    <x:row r="22" ht="20" customHeight="1">
      <x:c r="A22" s="187" t="str">
        <x:v>Setup</x:v>
      </x:c>
      <x:c r="B22" s="187"/>
      <x:c r="C22" s="93" t="str">
        <x:v>15–20 minutes</x:v>
      </x:c>
      <x:c r="D22" s="93"/>
      <x:c r="E22" s="93"/>
      <x:c r="F22" s="93"/>
      <x:c r="G22" s="93"/>
      <x:c r="H22" s="93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4" t="str">
        <x:v>FIT &amp; SCOPE</x:v>
      </x:c>
      <x:c r="B24" s="64"/>
      <x:c r="C24" s="64"/>
      <x:c r="D24" s="64"/>
      <x:c r="E24" s="64"/>
      <x:c r="F24" s="64"/>
      <x:c r="G24" s="64"/>
      <x:c r="H24" s="64"/>
    </x:row>
    <x:row r="25" ht="20" customHeight="1">
      <x:c r="A25" s="221" t="str">
        <x:v>Included: Entry sources and uses with sponsor equity plug · Five-year EBITDA, cash generation, and cash-sweep debt schedule · Hold-period exit bridge, sponsor cash flows, MOIC, and IRR</x:v>
      </x:c>
      <x:c r="B25" s="222"/>
      <x:c r="C25" s="222"/>
      <x:c r="D25" s="222"/>
      <x:c r="E25" s="222"/>
      <x:c r="F25" s="222"/>
      <x:c r="G25" s="222"/>
      <x:c r="H25" s="223"/>
    </x:row>
    <x:row r="26" ht="20" customHeight="1">
      <x:c r="A26" s="227"/>
      <x:c r="B26" s="228"/>
      <x:c r="C26" s="228"/>
      <x:c r="D26" s="228"/>
      <x:c r="E26" s="228"/>
      <x:c r="F26" s="228"/>
      <x:c r="G26" s="228"/>
      <x:c r="H26" s="229"/>
    </x:row>
    <x:row r="27" ht="20" customHeight="1">
      <x:c r="A27" s="288" t="str">
        <x:v>Scope boundary: Funded debt commitments, covenant EBITDA, revolver circularity, management dilution, purchase accounting, and investment advice.</x:v>
      </x:c>
      <x:c r="B27" s="289"/>
      <x:c r="C27" s="289"/>
      <x:c r="D27" s="289"/>
      <x:c r="E27" s="289"/>
      <x:c r="F27" s="289"/>
      <x:c r="G27" s="289"/>
      <x:c r="H27" s="290"/>
    </x:row>
    <x:row r="28" ht="20" customHeight="1">
      <x:c r="A28" s="291"/>
      <x:c r="B28" s="292"/>
      <x:c r="C28" s="292"/>
      <x:c r="D28" s="292"/>
      <x:c r="E28" s="292"/>
      <x:c r="F28" s="292"/>
      <x:c r="G28" s="292"/>
      <x:c r="H28" s="293"/>
    </x:row>
    <x:row r="29" ht="20" customHeight="1">
      <x:c r="A29" s="295" t="str">
        <x:v>Synthetic demonstration only · Tested 2026-08-17 · Excel 365 · Macro-free · No external links</x:v>
      </x:c>
      <x:c r="B29" s="295"/>
      <x:c r="C29" s="295"/>
      <x:c r="D29" s="295"/>
      <x:c r="E29" s="295"/>
      <x:c r="F29" s="295"/>
      <x:c r="G29" s="295"/>
      <x:c r="H29" s="295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3" t="str">
        <x:v>LBO Returns Model · Start → Inputs → Model → Results → Checks</x:v>
      </x:c>
      <x:c r="B31" s="63"/>
      <x:c r="C31" s="63"/>
      <x:c r="D31" s="63"/>
      <x:c r="E31" s="63"/>
      <x:c r="F31" s="63"/>
      <x:c r="G31" s="63"/>
      <x:c r="H31" s="63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LBO Returns Model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CORE ASSUMPTIONS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Entry EBITDA</x:v>
      </x:c>
      <x:c r="B10" s="39" t="n">
        <x:v>90</x:v>
      </x:c>
      <x:c r="C10" s="3" t="str">
        <x:v>LCY m</x:v>
      </x:c>
      <x:c r="D10" s="37" t="str">
        <x:v>Starting earnings at transaction close</x:v>
      </x:c>
      <x:c r="E10" s="38"/>
      <x:c r="F10" s="38"/>
      <x:c r="G10" s="38"/>
      <x:c r="H10" s="38"/>
    </x:row>
    <x:row r="11" ht="20" customHeight="1">
      <x:c r="A11" s="3" t="str">
        <x:v>Entry EV / EBITDA</x:v>
      </x:c>
      <x:c r="B11" s="42" t="n">
        <x:v>9</x:v>
      </x:c>
      <x:c r="C11" s="3" t="str">
        <x:v>x</x:v>
      </x:c>
      <x:c r="D11" s="37" t="str">
        <x:v>Purchase enterprise-value multiple</x:v>
      </x:c>
      <x:c r="E11" s="38"/>
      <x:c r="F11" s="38"/>
      <x:c r="G11" s="38"/>
      <x:c r="H11" s="38"/>
    </x:row>
    <x:row r="12" ht="20" customHeight="1">
      <x:c r="A12" s="3" t="str">
        <x:v>Opening debt / EBITDA</x:v>
      </x:c>
      <x:c r="B12" s="42" t="n">
        <x:v>5</x:v>
      </x:c>
      <x:c r="C12" s="3" t="str">
        <x:v>x</x:v>
      </x:c>
      <x:c r="D12" s="37" t="str">
        <x:v>Debt funded at entry</x:v>
      </x:c>
      <x:c r="E12" s="38"/>
      <x:c r="F12" s="38"/>
      <x:c r="G12" s="38"/>
      <x:c r="H12" s="38"/>
    </x:row>
    <x:row r="13" ht="20" customHeight="1">
      <x:c r="A13" s="3" t="str">
        <x:v>Transaction fees</x:v>
      </x:c>
      <x:c r="B13" s="39" t="n">
        <x:v>18</x:v>
      </x:c>
      <x:c r="C13" s="3" t="str">
        <x:v>LCY m</x:v>
      </x:c>
      <x:c r="D13" s="37" t="str">
        <x:v>Sponsor-funded fees in addition to enterprise value</x:v>
      </x:c>
      <x:c r="E13" s="38"/>
      <x:c r="F13" s="38"/>
      <x:c r="G13" s="38"/>
      <x:c r="H13" s="38"/>
    </x:row>
    <x:row r="14" ht="20" customHeight="1">
      <x:c r="A14" s="3" t="str">
        <x:v>Annual EBITDA growth</x:v>
      </x:c>
      <x:c r="B14" s="45" t="n">
        <x:v>0.105</x:v>
      </x:c>
      <x:c r="C14" s="3" t="str">
        <x:v>%</x:v>
      </x:c>
      <x:c r="D14" s="37" t="str">
        <x:v>Applied through Year 5</x:v>
      </x:c>
      <x:c r="E14" s="38"/>
      <x:c r="F14" s="38"/>
      <x:c r="G14" s="38"/>
      <x:c r="H14" s="38"/>
    </x:row>
    <x:row r="15" ht="20" customHeight="1">
      <x:c r="A15" s="3" t="str">
        <x:v>FCF conversion before interest</x:v>
      </x:c>
      <x:c r="B15" s="45" t="n">
        <x:v>0.64</x:v>
      </x:c>
      <x:c r="C15" s="3" t="str">
        <x:v>%</x:v>
      </x:c>
      <x:c r="D15" s="37" t="str">
        <x:v>Free cash flow before interest as a share of EBITDA</x:v>
      </x:c>
      <x:c r="E15" s="38"/>
      <x:c r="F15" s="38"/>
      <x:c r="G15" s="38"/>
      <x:c r="H15" s="38"/>
    </x:row>
    <x:row r="16" ht="20" customHeight="1">
      <x:c r="A16" s="3" t="str">
        <x:v>Cash interest rate</x:v>
      </x:c>
      <x:c r="B16" s="45" t="n">
        <x:v>0.08</x:v>
      </x:c>
      <x:c r="C16" s="3" t="str">
        <x:v>%</x:v>
      </x:c>
      <x:c r="D16" s="37" t="str">
        <x:v>Applied to opening debt</x:v>
      </x:c>
      <x:c r="E16" s="38"/>
      <x:c r="F16" s="38"/>
      <x:c r="G16" s="38"/>
      <x:c r="H16" s="38"/>
    </x:row>
    <x:row r="17" ht="20" customHeight="1">
      <x:c r="A17" s="3" t="str">
        <x:v>Cash sweep</x:v>
      </x:c>
      <x:c r="B17" s="45" t="n">
        <x:v>0.75</x:v>
      </x:c>
      <x:c r="C17" s="3" t="str">
        <x:v>%</x:v>
      </x:c>
      <x:c r="D17" s="37" t="str">
        <x:v>Share of positive cash after interest used to repay debt</x:v>
      </x:c>
      <x:c r="E17" s="38"/>
      <x:c r="F17" s="38"/>
      <x:c r="G17" s="38"/>
      <x:c r="H17" s="38"/>
    </x:row>
    <x:row r="18" ht="20" customHeight="1">
      <x:c r="A18" s="3" t="str">
        <x:v>Exit EV / EBITDA</x:v>
      </x:c>
      <x:c r="B18" s="42" t="n">
        <x:v>10</x:v>
      </x:c>
      <x:c r="C18" s="3" t="str">
        <x:v>x</x:v>
      </x:c>
      <x:c r="D18" s="37" t="str">
        <x:v>Applied in the selected exit year</x:v>
      </x:c>
      <x:c r="E18" s="38"/>
      <x:c r="F18" s="38"/>
      <x:c r="G18" s="38"/>
      <x:c r="H18" s="38"/>
    </x:row>
    <x:row r="19" ht="20" customHeight="1">
      <x:c r="A19" s="3" t="str">
        <x:v>Hold period</x:v>
      </x:c>
      <x:c r="B19" s="48" t="n">
        <x:v>5</x:v>
      </x:c>
      <x:c r="C19" s="3" t="str">
        <x:v>years</x:v>
      </x:c>
      <x:c r="D19" s="37" t="str">
        <x:v>Rounded and capped between Year 1 and Year 5</x:v>
      </x:c>
      <x:c r="E19" s="38"/>
      <x:c r="F19" s="38"/>
      <x:c r="G19" s="38"/>
      <x:c r="H19" s="38"/>
    </x:row>
    <x:row r="20" ht="20" customHeight="1">
      <x:c r="A20" s="3"/>
      <x:c r="B20" s="3"/>
      <x:c r="C20" s="3"/>
      <x:c r="D20" s="3"/>
      <x:c r="E20" s="3"/>
      <x:c r="F20" s="3"/>
      <x:c r="G20" s="3"/>
      <x:c r="H20" s="3"/>
    </x:row>
    <x:row r="21" ht="20" customHeight="1">
      <x:c r="A21" s="57" t="str">
        <x:v>Synthetic example. Replace only the blue values, trace the calculation on Model, then review Results and Checks.</x:v>
      </x:c>
      <x:c r="B21" s="58"/>
      <x:c r="C21" s="58"/>
      <x:c r="D21" s="58"/>
      <x:c r="E21" s="58"/>
      <x:c r="F21" s="58"/>
      <x:c r="G21" s="58"/>
      <x:c r="H21" s="59"/>
    </x:row>
    <x:row r="22" ht="20" customHeight="1">
      <x:c r="A22" s="60"/>
      <x:c r="B22" s="61"/>
      <x:c r="C22" s="61"/>
      <x:c r="D22" s="61"/>
      <x:c r="E22" s="61"/>
      <x:c r="F22" s="61"/>
      <x:c r="G22" s="61"/>
      <x:c r="H22" s="62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</x:row>
    <x:row r="26" ht="20" customHeight="1">
      <x:c r="A26" s="63" t="str">
        <x:v>LBO Returns Model · 10 editable assumptions · v1.4.0</x:v>
      </x:c>
      <x:c r="B26" s="63"/>
      <x:c r="C26" s="63"/>
      <x:c r="D26" s="63"/>
      <x:c r="E26" s="63"/>
      <x:c r="F26" s="63"/>
      <x:c r="G26" s="63"/>
      <x:c r="H26" s="63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A21:H22"/>
    <x:mergeCell ref="A26:H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LBO Returns Model · Entry, deleveraging, and sponsor returns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15" t="str">
        <x:v>EXIT EBITDA</x:v>
      </x:c>
      <x:c r="B5" s="116"/>
      <x:c r="C5" s="115" t="str">
        <x:v>EXIT EQUITY VALUE</x:v>
      </x:c>
      <x:c r="D5" s="116"/>
      <x:c r="E5" s="115" t="str">
        <x:v>SPONSOR MOIC</x:v>
      </x:c>
      <x:c r="F5" s="116"/>
      <x:c r="G5" s="115" t="str">
        <x:v>SPONSOR IRR</x:v>
      </x:c>
      <x:c r="H5" s="116"/>
    </x:row>
    <x:row r="6" ht="20" customHeight="1">
      <x:c r="A6" s="130" t="n">
        <x:f>B45</x:f>
        <x:v>148.27020893465624</x:v>
      </x:c>
      <x:c r="B6" s="131"/>
      <x:c r="C6" s="130" t="n">
        <x:f>B48</x:f>
        <x:v>1208.5224160182975</x:v>
      </x:c>
      <x:c r="D6" s="131"/>
      <x:c r="E6" s="142" t="n">
        <x:f>B50</x:f>
        <x:v>3.3521936285067264</x:v>
      </x:c>
      <x:c r="F6" s="143"/>
      <x:c r="G6" s="154" t="n">
        <x:f>B51</x:f>
        <x:v>0.28021543498383156</x:v>
      </x:c>
      <x:c r="H6" s="155"/>
    </x:row>
    <x:row r="7" ht="20" customHeight="1">
      <x:c r="A7" s="132"/>
      <x:c r="B7" s="133"/>
      <x:c r="C7" s="132"/>
      <x:c r="D7" s="133"/>
      <x:c r="E7" s="144"/>
      <x:c r="F7" s="145"/>
      <x:c r="G7" s="156"/>
      <x:c r="H7" s="157"/>
    </x:row>
    <x:row r="8" ht="20" customHeight="1">
      <x:c r="A8" s="134"/>
      <x:c r="B8" s="135"/>
      <x:c r="C8" s="134"/>
      <x:c r="D8" s="135"/>
      <x:c r="E8" s="146"/>
      <x:c r="F8" s="147"/>
      <x:c r="G8" s="158"/>
      <x:c r="H8" s="159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4" t="str">
        <x:v>ENTRY SOURCES &amp; USES</x:v>
      </x:c>
      <x:c r="B10" s="64"/>
      <x:c r="C10" s="64"/>
      <x:c r="D10" s="64"/>
      <x:c r="E10" s="64"/>
      <x:c r="F10" s="64"/>
      <x:c r="G10" s="64"/>
      <x:c r="H10" s="64"/>
    </x:row>
    <x:row r="11" ht="20" customHeight="1">
      <x:c r="A11" s="28" t="str">
        <x:v>Metric</x:v>
      </x:c>
      <x:c r="B11" s="28" t="str">
        <x:v>Value</x:v>
      </x:c>
      <x:c r="C11" s="28" t="str">
        <x:v>Unit</x:v>
      </x:c>
      <x:c r="D11" s="65" t="str">
        <x:v>Notes</x:v>
      </x:c>
      <x:c r="E11" s="66"/>
      <x:c r="F11" s="66"/>
      <x:c r="G11" s="66"/>
      <x:c r="H11" s="66"/>
    </x:row>
    <x:row r="12" ht="20" customHeight="1">
      <x:c r="A12" s="11" t="str">
        <x:v>Entry enterprise value</x:v>
      </x:c>
      <x:c r="B12" s="69" t="n">
        <x:f>'Inputs'!$B$10*'Inputs'!$B$11</x:f>
        <x:v>810</x:v>
      </x:c>
      <x:c r="C12" s="11" t="str">
        <x:v>LCY m</x:v>
      </x:c>
      <x:c r="D12" s="73" t="str">
        <x:v>Entry EBITDA × purchase multiple</x:v>
      </x:c>
      <x:c r="E12" s="74"/>
      <x:c r="F12" s="74"/>
      <x:c r="G12" s="74"/>
      <x:c r="H12" s="74"/>
    </x:row>
    <x:row r="13" ht="20" customHeight="1">
      <x:c r="A13" s="29" t="str">
        <x:v>Opening debt</x:v>
      </x:c>
      <x:c r="B13" s="77" t="n">
        <x:f>'Inputs'!$B$10*'Inputs'!$B$12</x:f>
        <x:v>450</x:v>
      </x:c>
      <x:c r="C13" s="29" t="str">
        <x:v>LCY m</x:v>
      </x:c>
      <x:c r="D13" s="37" t="str">
        <x:v>Entry EBITDA × opening leverage</x:v>
      </x:c>
      <x:c r="E13" s="38"/>
      <x:c r="F13" s="38"/>
      <x:c r="G13" s="38"/>
      <x:c r="H13" s="38"/>
    </x:row>
    <x:row r="14" ht="20" customHeight="1">
      <x:c r="A14" s="11" t="str">
        <x:v>Sponsor equity</x:v>
      </x:c>
      <x:c r="B14" s="69" t="n">
        <x:f>B12+'Inputs'!$B$13-B13</x:f>
        <x:v>378</x:v>
      </x:c>
      <x:c r="C14" s="11" t="str">
        <x:v>LCY m</x:v>
      </x:c>
      <x:c r="D14" s="73" t="str">
        <x:v>Equity plug after debt funds enterprise value and fees</x:v>
      </x:c>
      <x:c r="E14" s="74"/>
      <x:c r="F14" s="74"/>
      <x:c r="G14" s="74"/>
      <x:c r="H14" s="74"/>
    </x:row>
    <x:row r="15" ht="20" customHeight="1">
      <x:c r="A15" s="29" t="str">
        <x:v>Total sources</x:v>
      </x:c>
      <x:c r="B15" s="80" t="n">
        <x:f>B13+B14</x:f>
        <x:v>828</x:v>
      </x:c>
      <x:c r="C15" s="29" t="str">
        <x:v>LCY m</x:v>
      </x:c>
      <x:c r="D15" s="37" t="str">
        <x:v>Opening debt plus sponsor equity</x:v>
      </x:c>
      <x:c r="E15" s="38"/>
      <x:c r="F15" s="38"/>
      <x:c r="G15" s="38"/>
      <x:c r="H15" s="38"/>
    </x:row>
    <x:row r="16" ht="20" customHeight="1">
      <x:c r="A16" s="29" t="str">
        <x:v>Total uses</x:v>
      </x:c>
      <x:c r="B16" s="77" t="n">
        <x:f>B12+'Inputs'!$B$13</x:f>
        <x:v>828</x:v>
      </x:c>
      <x:c r="C16" s="29" t="str">
        <x:v>LCY m</x:v>
      </x:c>
      <x:c r="D16" s="37" t="str">
        <x:v>Enterprise value plus transaction fees</x:v>
      </x:c>
      <x:c r="E16" s="38"/>
      <x:c r="F16" s="38"/>
      <x:c r="G16" s="38"/>
      <x:c r="H16" s="38"/>
    </x:row>
    <x:row r="17" ht="20" customHeight="1">
      <x:c r="A17" s="29" t="str">
        <x:v>Sources / uses check</x:v>
      </x:c>
      <x:c r="B17" s="80" t="n">
        <x:f>ROUND(B15-B16,6)</x:f>
        <x:v>0</x:v>
      </x:c>
      <x:c r="C17" s="29" t="str">
        <x:v>LCY m</x:v>
      </x:c>
      <x:c r="D17" s="37" t="str">
        <x:v>Must equal zero</x:v>
      </x:c>
      <x:c r="E17" s="38"/>
      <x:c r="F17" s="38"/>
      <x:c r="G17" s="38"/>
      <x:c r="H17" s="38"/>
    </x:row>
    <x:row r="18" ht="20" customHeight="1">
      <x:c r="A18" s="3"/>
      <x:c r="B18" s="3"/>
      <x:c r="C18" s="3"/>
      <x:c r="D18" s="3"/>
      <x:c r="E18" s="3"/>
      <x:c r="F18" s="3"/>
      <x:c r="G18" s="3"/>
      <x:c r="H18" s="3"/>
    </x:row>
    <x:row r="19" ht="20" customHeight="1">
      <x:c r="A19" s="64" t="str">
        <x:v>FIVE-YEAR OPERATING &amp; DEBT SCHEDULE</x:v>
      </x:c>
      <x:c r="B19" s="64"/>
      <x:c r="C19" s="64"/>
      <x:c r="D19" s="64"/>
      <x:c r="E19" s="64"/>
      <x:c r="F19" s="64"/>
      <x:c r="G19" s="64"/>
      <x:c r="H19" s="64"/>
    </x:row>
    <x:row r="20" ht="20" customHeight="1">
      <x:c r="A20" s="6" t="str">
        <x:v>Metric</x:v>
      </x:c>
      <x:c r="B20" s="81" t="str">
        <x:v>BASE / ENTRY</x:v>
      </x:c>
      <x:c r="C20" s="81" t="str">
        <x:v>YEAR 1</x:v>
      </x:c>
      <x:c r="D20" s="81" t="str">
        <x:v>YEAR 2</x:v>
      </x:c>
      <x:c r="E20" s="81" t="str">
        <x:v>YEAR 3</x:v>
      </x:c>
      <x:c r="F20" s="81" t="str">
        <x:v>YEAR 4</x:v>
      </x:c>
      <x:c r="G20" s="81" t="str">
        <x:v>YEAR 5</x:v>
      </x:c>
      <x:c r="H20" s="6" t="str">
        <x:v>How to read it</x:v>
      </x:c>
    </x:row>
    <x:row r="21" ht="72" customHeight="1">
      <x:c r="A21" s="11" t="str">
        <x:v>EBITDA</x:v>
      </x:c>
      <x:c r="B21" s="88" t="n">
        <x:f>'Inputs'!$B$10</x:f>
        <x:v>90</x:v>
      </x:c>
      <x:c r="C21" s="88" t="n">
        <x:f>B21*(1+'Inputs'!$B$14)</x:f>
        <x:v>99.45</x:v>
      </x:c>
      <x:c r="D21" s="88" t="n">
        <x:f>C21*(1+'Inputs'!$B$14)</x:f>
        <x:v>109.89225</x:v>
      </x:c>
      <x:c r="E21" s="88" t="n">
        <x:f>D21*(1+'Inputs'!$B$14)</x:f>
        <x:v>121.43093625</x:v>
      </x:c>
      <x:c r="F21" s="88" t="n">
        <x:f>E21*(1+'Inputs'!$B$14)</x:f>
        <x:v>134.18118455625</x:v>
      </x:c>
      <x:c r="G21" s="88" t="n">
        <x:f>F21*(1+'Inputs'!$B$14)</x:f>
        <x:v>148.27020893465624</x:v>
      </x:c>
      <x:c r="H21" s="90" t="str">
        <x:v>Entry EBITDA compounds at the selected annual growth rate.</x:v>
      </x:c>
    </x:row>
    <x:row r="22" ht="72" customHeight="1">
      <x:c r="A22" s="93" t="str">
        <x:v>FCF before interest</x:v>
      </x:c>
      <x:c r="B22" s="91" t="n">
        <x:f>0</x:f>
        <x:v>0</x:v>
      </x:c>
      <x:c r="C22" s="91" t="n">
        <x:f>C21*'Inputs'!$B$15</x:f>
        <x:v>63.648</x:v>
      </x:c>
      <x:c r="D22" s="91" t="n">
        <x:f>D21*'Inputs'!$B$15</x:f>
        <x:v>70.33104</x:v>
      </x:c>
      <x:c r="E22" s="91" t="n">
        <x:f>E21*'Inputs'!$B$15</x:f>
        <x:v>77.7157992</x:v>
      </x:c>
      <x:c r="F22" s="91" t="n">
        <x:f>F21*'Inputs'!$B$15</x:f>
        <x:v>85.875958116</x:v>
      </x:c>
      <x:c r="G22" s="91" t="n">
        <x:f>G21*'Inputs'!$B$15</x:f>
        <x:v>94.89293371817999</x:v>
      </x:c>
      <x:c r="H22" s="94" t="str">
        <x:v>Forecast EBITDA multiplied by the selected cash-conversion rate.</x:v>
      </x:c>
    </x:row>
    <x:row r="23" ht="90" customHeight="1">
      <x:c r="A23" s="29" t="str">
        <x:v>Opening debt</x:v>
      </x:c>
      <x:c r="B23" s="80" t="n">
        <x:f>0</x:f>
        <x:v>0</x:v>
      </x:c>
      <x:c r="C23" s="80" t="n">
        <x:f>B13</x:f>
        <x:v>450</x:v>
      </x:c>
      <x:c r="D23" s="80" t="n">
        <x:f>C28</x:f>
        <x:v>429.264</x:v>
      </x:c>
      <x:c r="E23" s="80" t="n">
        <x:f>D28</x:f>
        <x:v>402.27156</x:v>
      </x:c>
      <x:c r="F23" s="80" t="n">
        <x:f>E28</x:f>
        <x:v>368.1210042</x:v>
      </x:c>
      <x:c r="G23" s="80" t="n">
        <x:f>F28</x:f>
        <x:v>325.80129586500004</x:v>
      </x:c>
      <x:c r="H23" s="92" t="str">
        <x:v>Year 1 opens at transaction debt; later years roll from prior closing debt.</x:v>
      </x:c>
    </x:row>
    <x:row r="24" ht="72" customHeight="1">
      <x:c r="A24" s="29" t="str">
        <x:v>Cash interest</x:v>
      </x:c>
      <x:c r="B24" s="80" t="n">
        <x:f>0</x:f>
        <x:v>0</x:v>
      </x:c>
      <x:c r="C24" s="80" t="n">
        <x:f>C23*'Inputs'!$B$16</x:f>
        <x:v>36</x:v>
      </x:c>
      <x:c r="D24" s="80" t="n">
        <x:f>D23*'Inputs'!$B$16</x:f>
        <x:v>34.341120000000004</x:v>
      </x:c>
      <x:c r="E24" s="80" t="n">
        <x:f>E23*'Inputs'!$B$16</x:f>
        <x:v>32.181724800000005</x:v>
      </x:c>
      <x:c r="F24" s="80" t="n">
        <x:f>F23*'Inputs'!$B$16</x:f>
        <x:v>29.449680336</x:v>
      </x:c>
      <x:c r="G24" s="80" t="n">
        <x:f>G23*'Inputs'!$B$16</x:f>
        <x:v>26.064103669200005</x:v>
      </x:c>
      <x:c r="H24" s="92" t="str">
        <x:v>Opening debt multiplied by the cash interest rate.</x:v>
      </x:c>
    </x:row>
    <x:row r="25" ht="108" customHeight="1">
      <x:c r="A25" s="93" t="str">
        <x:v>Cash after interest</x:v>
      </x:c>
      <x:c r="B25" s="91" t="n">
        <x:f>0</x:f>
        <x:v>0</x:v>
      </x:c>
      <x:c r="C25" s="91" t="n">
        <x:f>C22-C24</x:f>
        <x:v>27.648000000000003</x:v>
      </x:c>
      <x:c r="D25" s="91" t="n">
        <x:f>D22-D24</x:f>
        <x:v>35.98992</x:v>
      </x:c>
      <x:c r="E25" s="91" t="n">
        <x:f>E22-E24</x:f>
        <x:v>45.5340744</x:v>
      </x:c>
      <x:c r="F25" s="91" t="n">
        <x:f>F22-F24</x:f>
        <x:v>56.42627778000001</x:v>
      </x:c>
      <x:c r="G25" s="91" t="n">
        <x:f>G22-G24</x:f>
        <x:v>68.82883004897998</x:v>
      </x:c>
      <x:c r="H25" s="94" t="str">
        <x:v>FCF before interest less cash interest; negative values signal a funding gap outside scope.</x:v>
      </x:c>
    </x:row>
    <x:row r="26" ht="90" customHeight="1">
      <x:c r="A26" s="29" t="str">
        <x:v>Cash-sweep debt paydown</x:v>
      </x:c>
      <x:c r="B26" s="80" t="n">
        <x:f>0</x:f>
        <x:v>0</x:v>
      </x:c>
      <x:c r="C26" s="80" t="n">
        <x:f>MIN(C23,MAX(0,C25)*'Inputs'!$B$17)</x:f>
        <x:v>20.736000000000004</x:v>
      </x:c>
      <x:c r="D26" s="80" t="n">
        <x:f>MIN(D23,MAX(0,D25)*'Inputs'!$B$17)</x:f>
        <x:v>26.99244</x:v>
      </x:c>
      <x:c r="E26" s="80" t="n">
        <x:f>MIN(E23,MAX(0,E25)*'Inputs'!$B$17)</x:f>
        <x:v>34.1505558</x:v>
      </x:c>
      <x:c r="F26" s="80" t="n">
        <x:f>MIN(F23,MAX(0,F25)*'Inputs'!$B$17)</x:f>
        <x:v>42.319708335</x:v>
      </x:c>
      <x:c r="G26" s="80" t="n">
        <x:f>MIN(G23,MAX(0,G25)*'Inputs'!$B$17)</x:f>
        <x:v>51.62162253673499</x:v>
      </x:c>
      <x:c r="H26" s="92" t="str">
        <x:v>Selected share of positive cash after interest, capped at opening debt.</x:v>
      </x:c>
    </x:row>
    <x:row r="27" ht="72" customHeight="1">
      <x:c r="A27" s="29" t="str">
        <x:v>Sponsor distribution</x:v>
      </x:c>
      <x:c r="B27" s="80" t="n">
        <x:f>0</x:f>
        <x:v>0</x:v>
      </x:c>
      <x:c r="C27" s="80" t="n">
        <x:f>MAX(0,C25)-C26</x:f>
        <x:v>6.911999999999999</x:v>
      </x:c>
      <x:c r="D27" s="80" t="n">
        <x:f>MAX(0,D25)-D26</x:f>
        <x:v>8.99748</x:v>
      </x:c>
      <x:c r="E27" s="80" t="n">
        <x:f>MAX(0,E25)-E26</x:f>
        <x:v>11.383518600000002</x:v>
      </x:c>
      <x:c r="F27" s="80" t="n">
        <x:f>MAX(0,F25)-F26</x:f>
        <x:v>14.106569445000005</x:v>
      </x:c>
      <x:c r="G27" s="80" t="n">
        <x:f>MAX(0,G25)-G26</x:f>
        <x:v>17.20720751224499</x:v>
      </x:c>
      <x:c r="H27" s="92" t="str">
        <x:v>Positive cash after interest not used for the debt sweep.</x:v>
      </x:c>
    </x:row>
    <x:row r="28" ht="108" customHeight="1">
      <x:c r="A28" s="101" t="str">
        <x:v>Closing debt</x:v>
      </x:c>
      <x:c r="B28" s="99" t="n">
        <x:f>B13</x:f>
        <x:v>450</x:v>
      </x:c>
      <x:c r="C28" s="99" t="n">
        <x:f>MAX(0,C23-C26)</x:f>
        <x:v>429.264</x:v>
      </x:c>
      <x:c r="D28" s="99" t="n">
        <x:f>MAX(0,D23-D26)</x:f>
        <x:v>402.27156</x:v>
      </x:c>
      <x:c r="E28" s="99" t="n">
        <x:f>MAX(0,E23-E26)</x:f>
        <x:v>368.1210042</x:v>
      </x:c>
      <x:c r="F28" s="99" t="n">
        <x:f>MAX(0,F23-F26)</x:f>
        <x:v>325.80129586500004</x:v>
      </x:c>
      <x:c r="G28" s="99" t="n">
        <x:f>MAX(0,G23-G26)</x:f>
        <x:v>274.17967332826504</x:v>
      </x:c>
      <x:c r="H28" s="102" t="str">
        <x:v>Entry column shows opening transaction debt; forecast years deduct cash sweep paydown.</x:v>
      </x:c>
    </x:row>
    <x:row r="29" ht="36" customHeight="1">
      <x:c r="A29" s="93" t="str">
        <x:v>Debt / EBITDA</x:v>
      </x:c>
      <x:c r="B29" s="105" t="n">
        <x:f>IF(B21&lt;=0,0,B28/B21)</x:f>
        <x:v>5</x:v>
      </x:c>
      <x:c r="C29" s="105" t="n">
        <x:f>IF(C21&lt;=0,0,C28/C21)</x:f>
        <x:v>4.316380090497738</x:v>
      </x:c>
      <x:c r="D29" s="105" t="n">
        <x:f>IF(D21&lt;=0,0,D28/D21)</x:f>
        <x:v>3.6605999058168344</x:v>
      </x:c>
      <x:c r="E29" s="105" t="n">
        <x:f>IF(E21&lt;=0,0,E28/E21)</x:f>
        <x:v>3.0315257015075514</x:v>
      </x:c>
      <x:c r="F29" s="105" t="n">
        <x:f>IF(F21&lt;=0,0,F28/F21)</x:f>
        <x:v>2.4280699037086015</x:v>
      </x:c>
      <x:c r="G29" s="105" t="n">
        <x:f>IF(G21&lt;=0,0,G28/G21)</x:f>
        <x:v>1.8491892288969392</x:v>
      </x:c>
      <x:c r="H29" s="94" t="str">
        <x:v>Closing debt divided by EBITDA.</x:v>
      </x:c>
    </x:row>
    <x:row r="30" ht="54" customHeight="1">
      <x:c r="A30" s="29" t="str">
        <x:v>Cumulative debt paydown</x:v>
      </x:c>
      <x:c r="B30" s="80" t="n">
        <x:f>B13-B28</x:f>
        <x:v>0</x:v>
      </x:c>
      <x:c r="C30" s="80" t="n">
        <x:f>B13-C28</x:f>
        <x:v>20.73599999999999</x:v>
      </x:c>
      <x:c r="D30" s="80" t="n">
        <x:f>B13-D28</x:f>
        <x:v>47.72843999999998</x:v>
      </x:c>
      <x:c r="E30" s="80" t="n">
        <x:f>B13-E28</x:f>
        <x:v>81.87899579999998</x:v>
      </x:c>
      <x:c r="F30" s="80" t="n">
        <x:f>B13-F28</x:f>
        <x:v>124.19870413499996</x:v>
      </x:c>
      <x:c r="G30" s="80" t="n">
        <x:f>B13-G28</x:f>
        <x:v>175.82032667173496</x:v>
      </x:c>
      <x:c r="H30" s="92" t="str">
        <x:v>Entry debt less the current closing balance.</x:v>
      </x:c>
    </x:row>
    <x:row r="31" ht="72" customHeight="1">
      <x:c r="A31" s="93" t="str">
        <x:v>Exit enterprise value</x:v>
      </x:c>
      <x:c r="B31" s="91" t="n">
        <x:f>0</x:f>
        <x:v>0</x:v>
      </x:c>
      <x:c r="C31" s="91" t="n">
        <x:f>IF(1=MAX(1,MIN(5,ROUND('Inputs'!$B$19,0))),C21*'Inputs'!$B$18,0)</x:f>
        <x:v>0</x:v>
      </x:c>
      <x:c r="D31" s="91" t="n">
        <x:f>IF(2=MAX(1,MIN(5,ROUND('Inputs'!$B$19,0))),D21*'Inputs'!$B$18,0)</x:f>
        <x:v>0</x:v>
      </x:c>
      <x:c r="E31" s="91" t="n">
        <x:f>IF(3=MAX(1,MIN(5,ROUND('Inputs'!$B$19,0))),E21*'Inputs'!$B$18,0)</x:f>
        <x:v>0</x:v>
      </x:c>
      <x:c r="F31" s="91" t="n">
        <x:f>IF(4=MAX(1,MIN(5,ROUND('Inputs'!$B$19,0))),F21*'Inputs'!$B$18,0)</x:f>
        <x:v>0</x:v>
      </x:c>
      <x:c r="G31" s="91" t="n">
        <x:f>IF(5=MAX(1,MIN(5,ROUND('Inputs'!$B$19,0))),G21*'Inputs'!$B$18,0)</x:f>
        <x:v>1482.7020893465624</x:v>
      </x:c>
      <x:c r="H31" s="94" t="str">
        <x:v>EBITDA × exit multiple only in the selected hold year.</x:v>
      </x:c>
    </x:row>
    <x:row r="32" ht="72" customHeight="1">
      <x:c r="A32" s="11" t="str">
        <x:v>Exit equity value</x:v>
      </x:c>
      <x:c r="B32" s="88" t="n">
        <x:f>IF(B31=0,0,MAX(0,B31-B28))</x:f>
        <x:v>0</x:v>
      </x:c>
      <x:c r="C32" s="88" t="n">
        <x:f>IF(C31=0,0,MAX(0,C31-C28))</x:f>
        <x:v>0</x:v>
      </x:c>
      <x:c r="D32" s="88" t="n">
        <x:f>IF(D31=0,0,MAX(0,D31-D28))</x:f>
        <x:v>0</x:v>
      </x:c>
      <x:c r="E32" s="88" t="n">
        <x:f>IF(E31=0,0,MAX(0,E31-E28))</x:f>
        <x:v>0</x:v>
      </x:c>
      <x:c r="F32" s="88" t="n">
        <x:f>IF(F31=0,0,MAX(0,F31-F28))</x:f>
        <x:v>0</x:v>
      </x:c>
      <x:c r="G32" s="88" t="n">
        <x:f>IF(G31=0,0,MAX(0,G31-G28))</x:f>
        <x:v>1208.5224160182975</x:v>
      </x:c>
      <x:c r="H32" s="90" t="str">
        <x:v>Exit enterprise value less closing debt, floored at zero.</x:v>
      </x:c>
    </x:row>
    <x:row r="33" ht="108" customHeight="1">
      <x:c r="A33" s="93" t="str">
        <x:v>Sponsor cash flow</x:v>
      </x:c>
      <x:c r="B33" s="91" t="n">
        <x:f>-B14</x:f>
        <x:v>-378</x:v>
      </x:c>
      <x:c r="C33" s="91" t="n">
        <x:f>IF(1&lt;=MAX(1,MIN(5,ROUND('Inputs'!$B$19,0))),C27+C32,0)</x:f>
        <x:v>6.911999999999999</x:v>
      </x:c>
      <x:c r="D33" s="91" t="n">
        <x:f>IF(2&lt;=MAX(1,MIN(5,ROUND('Inputs'!$B$19,0))),D27+D32,0)</x:f>
        <x:v>8.99748</x:v>
      </x:c>
      <x:c r="E33" s="91" t="n">
        <x:f>IF(3&lt;=MAX(1,MIN(5,ROUND('Inputs'!$B$19,0))),E27+E32,0)</x:f>
        <x:v>11.383518600000002</x:v>
      </x:c>
      <x:c r="F33" s="91" t="n">
        <x:f>IF(4&lt;=MAX(1,MIN(5,ROUND('Inputs'!$B$19,0))),F27+F32,0)</x:f>
        <x:v>14.106569445000005</x:v>
      </x:c>
      <x:c r="G33" s="91" t="n">
        <x:f>IF(5&lt;=MAX(1,MIN(5,ROUND('Inputs'!$B$19,0))),G27+G32,0)</x:f>
        <x:v>1225.7296235305425</x:v>
      </x:c>
      <x:c r="H33" s="94" t="str">
        <x:v>Entry equity outflow, interim distributions, and exit equity in the selected hold year.</x:v>
      </x:c>
    </x:row>
    <x:row r="34" ht="22" customHeight="1">
      <x:c r="A34" s="29" t="str">
        <x:v>EBITDA roll-forward check</x:v>
      </x:c>
      <x:c r="B34" s="80" t="n">
        <x:f>ROUND(B21-'Inputs'!$B$10,6)</x:f>
        <x:v>0</x:v>
      </x:c>
      <x:c r="C34" s="80" t="n">
        <x:f>ROUND(C21-B21*(1+'Inputs'!$B$14),6)</x:f>
        <x:v>0</x:v>
      </x:c>
      <x:c r="D34" s="80" t="n">
        <x:f>ROUND(D21-C21*(1+'Inputs'!$B$14),6)</x:f>
        <x:v>0</x:v>
      </x:c>
      <x:c r="E34" s="80" t="n">
        <x:f>ROUND(E21-D21*(1+'Inputs'!$B$14),6)</x:f>
        <x:v>0</x:v>
      </x:c>
      <x:c r="F34" s="80" t="n">
        <x:f>ROUND(F21-E21*(1+'Inputs'!$B$14),6)</x:f>
        <x:v>0</x:v>
      </x:c>
      <x:c r="G34" s="80" t="n">
        <x:f>ROUND(G21-F21*(1+'Inputs'!$B$14),6)</x:f>
        <x:v>0</x:v>
      </x:c>
      <x:c r="H34" s="92" t="str">
        <x:v>Must equal zero.</x:v>
      </x:c>
    </x:row>
    <x:row r="35" ht="54" customHeight="1">
      <x:c r="A35" s="29" t="str">
        <x:v>FCF conversion check</x:v>
      </x:c>
      <x:c r="B35" s="80" t="n">
        <x:f>ROUND(B22,6)</x:f>
        <x:v>0</x:v>
      </x:c>
      <x:c r="C35" s="80" t="n">
        <x:f>ROUND(C22-C21*'Inputs'!$B$15,6)</x:f>
        <x:v>0</x:v>
      </x:c>
      <x:c r="D35" s="80" t="n">
        <x:f>ROUND(D22-D21*'Inputs'!$B$15,6)</x:f>
        <x:v>0</x:v>
      </x:c>
      <x:c r="E35" s="80" t="n">
        <x:f>ROUND(E22-E21*'Inputs'!$B$15,6)</x:f>
        <x:v>0</x:v>
      </x:c>
      <x:c r="F35" s="80" t="n">
        <x:f>ROUND(F22-F21*'Inputs'!$B$15,6)</x:f>
        <x:v>0</x:v>
      </x:c>
      <x:c r="G35" s="80" t="n">
        <x:f>ROUND(G22-G21*'Inputs'!$B$15,6)</x:f>
        <x:v>0</x:v>
      </x:c>
      <x:c r="H35" s="92" t="str">
        <x:v>Must equal zero against EBITDA × conversion.</x:v>
      </x:c>
    </x:row>
    <x:row r="36" ht="54" customHeight="1">
      <x:c r="A36" s="29" t="str">
        <x:v>Interest calculation check</x:v>
      </x:c>
      <x:c r="B36" s="80" t="n">
        <x:f>ROUND(B24,6)</x:f>
        <x:v>0</x:v>
      </x:c>
      <x:c r="C36" s="80" t="n">
        <x:f>ROUND(C24-C23*'Inputs'!$B$16,6)</x:f>
        <x:v>0</x:v>
      </x:c>
      <x:c r="D36" s="80" t="n">
        <x:f>ROUND(D24-D23*'Inputs'!$B$16,6)</x:f>
        <x:v>0</x:v>
      </x:c>
      <x:c r="E36" s="80" t="n">
        <x:f>ROUND(E24-E23*'Inputs'!$B$16,6)</x:f>
        <x:v>0</x:v>
      </x:c>
      <x:c r="F36" s="80" t="n">
        <x:f>ROUND(F24-F23*'Inputs'!$B$16,6)</x:f>
        <x:v>0</x:v>
      </x:c>
      <x:c r="G36" s="80" t="n">
        <x:f>ROUND(G24-G23*'Inputs'!$B$16,6)</x:f>
        <x:v>0</x:v>
      </x:c>
      <x:c r="H36" s="92" t="str">
        <x:v>Must equal zero against opening debt × rate.</x:v>
      </x:c>
    </x:row>
    <x:row r="37" ht="36" customHeight="1">
      <x:c r="A37" s="29" t="str">
        <x:v>Debt roll-forward check</x:v>
      </x:c>
      <x:c r="B37" s="80" t="n">
        <x:f>ROUND(B28-B13,6)</x:f>
        <x:v>0</x:v>
      </x:c>
      <x:c r="C37" s="80" t="n">
        <x:f>ROUND(C28-C23+C26,6)</x:f>
        <x:v>0</x:v>
      </x:c>
      <x:c r="D37" s="80" t="n">
        <x:f>ROUND(D28-D23+D26,6)</x:f>
        <x:v>0</x:v>
      </x:c>
      <x:c r="E37" s="80" t="n">
        <x:f>ROUND(E28-E23+E26,6)</x:f>
        <x:v>0</x:v>
      </x:c>
      <x:c r="F37" s="80" t="n">
        <x:f>ROUND(F28-F23+F26,6)</x:f>
        <x:v>0</x:v>
      </x:c>
      <x:c r="G37" s="80" t="n">
        <x:f>ROUND(G28-G23+G26,6)</x:f>
        <x:v>0</x:v>
      </x:c>
      <x:c r="H37" s="92" t="str">
        <x:v>Must equal zero in every period.</x:v>
      </x:c>
    </x:row>
    <x:row r="38" ht="90" customHeight="1">
      <x:c r="A38" s="29" t="str">
        <x:v>Exit value bridge check</x:v>
      </x:c>
      <x:c r="B38" s="80" t="n">
        <x:f>ROUND(ABS(B31)+ABS(B32),6)</x:f>
        <x:v>0</x:v>
      </x:c>
      <x:c r="C38" s="80" t="n">
        <x:f>ROUND(ABS(C31-IF(1=MAX(1,MIN(5,ROUND('Inputs'!$B$19,0))),C21*'Inputs'!$B$18,0))+ABS(C32-IF(C31=0,0,MAX(0,C31-C28))),6)</x:f>
        <x:v>0</x:v>
      </x:c>
      <x:c r="D38" s="80" t="n">
        <x:f>ROUND(ABS(D31-IF(2=MAX(1,MIN(5,ROUND('Inputs'!$B$19,0))),D21*'Inputs'!$B$18,0))+ABS(D32-IF(D31=0,0,MAX(0,D31-D28))),6)</x:f>
        <x:v>0</x:v>
      </x:c>
      <x:c r="E38" s="80" t="n">
        <x:f>ROUND(ABS(E31-IF(3=MAX(1,MIN(5,ROUND('Inputs'!$B$19,0))),E21*'Inputs'!$B$18,0))+ABS(E32-IF(E31=0,0,MAX(0,E31-E28))),6)</x:f>
        <x:v>0</x:v>
      </x:c>
      <x:c r="F38" s="80" t="n">
        <x:f>ROUND(ABS(F31-IF(4=MAX(1,MIN(5,ROUND('Inputs'!$B$19,0))),F21*'Inputs'!$B$18,0))+ABS(F32-IF(F31=0,0,MAX(0,F31-F28))),6)</x:f>
        <x:v>0</x:v>
      </x:c>
      <x:c r="G38" s="80" t="n">
        <x:f>ROUND(ABS(G31-IF(5=MAX(1,MIN(5,ROUND('Inputs'!$B$19,0))),G21*'Inputs'!$B$18,0))+ABS(G32-IF(G31=0,0,MAX(0,G31-G28))),6)</x:f>
        <x:v>0</x:v>
      </x:c>
      <x:c r="H38" s="92" t="str">
        <x:v>Controls exit enterprise value and equity value in the selected year.</x:v>
      </x:c>
    </x:row>
    <x:row r="39" ht="72" customHeight="1">
      <x:c r="A39" s="29" t="str">
        <x:v>Sponsor cash-flow check</x:v>
      </x:c>
      <x:c r="B39" s="80" t="n">
        <x:f>ROUND(B33+B14,6)</x:f>
        <x:v>0</x:v>
      </x:c>
      <x:c r="C39" s="80" t="n">
        <x:f>ROUND(C33-IF(1&lt;=MAX(1,MIN(5,ROUND('Inputs'!$B$19,0))),C27+C32,0),6)</x:f>
        <x:v>0</x:v>
      </x:c>
      <x:c r="D39" s="80" t="n">
        <x:f>ROUND(D33-IF(2&lt;=MAX(1,MIN(5,ROUND('Inputs'!$B$19,0))),D27+D32,0),6)</x:f>
        <x:v>0</x:v>
      </x:c>
      <x:c r="E39" s="80" t="n">
        <x:f>ROUND(E33-IF(3&lt;=MAX(1,MIN(5,ROUND('Inputs'!$B$19,0))),E27+E32,0),6)</x:f>
        <x:v>0</x:v>
      </x:c>
      <x:c r="F39" s="80" t="n">
        <x:f>ROUND(F33-IF(4&lt;=MAX(1,MIN(5,ROUND('Inputs'!$B$19,0))),F27+F32,0),6)</x:f>
        <x:v>0</x:v>
      </x:c>
      <x:c r="G39" s="80" t="n">
        <x:f>ROUND(G33-IF(5&lt;=MAX(1,MIN(5,ROUND('Inputs'!$B$19,0))),G27+G32,0),6)</x:f>
        <x:v>0</x:v>
      </x:c>
      <x:c r="H39" s="92" t="str">
        <x:v>Must equal zero against entry, distributions, and exit proceeds.</x:v>
      </x:c>
    </x:row>
    <x:row r="40" ht="20" customHeight="1">
      <x:c r="A40" s="3"/>
      <x:c r="B40" s="3"/>
      <x:c r="C40" s="3"/>
      <x:c r="D40" s="3"/>
      <x:c r="E40" s="3"/>
      <x:c r="F40" s="3"/>
      <x:c r="G40" s="3"/>
      <x:c r="H40" s="3"/>
    </x:row>
    <x:row r="41" ht="20" customHeight="1">
      <x:c r="A41" s="3"/>
      <x:c r="B41" s="3"/>
      <x:c r="C41" s="3"/>
      <x:c r="D41" s="3"/>
      <x:c r="E41" s="3"/>
      <x:c r="F41" s="3"/>
      <x:c r="G41" s="3"/>
      <x:c r="H41" s="3"/>
    </x:row>
    <x:row r="42" ht="20" customHeight="1">
      <x:c r="A42" s="64" t="str">
        <x:v>HOLD-PERIOD RETURN SUMMARY</x:v>
      </x:c>
      <x:c r="B42" s="64"/>
      <x:c r="C42" s="64"/>
      <x:c r="D42" s="64"/>
      <x:c r="E42" s="64"/>
      <x:c r="F42" s="64"/>
      <x:c r="G42" s="64"/>
      <x:c r="H42" s="64"/>
    </x:row>
    <x:row r="43" ht="20" customHeight="1">
      <x:c r="A43" s="28" t="str">
        <x:v>Metric</x:v>
      </x:c>
      <x:c r="B43" s="28" t="str">
        <x:v>Value</x:v>
      </x:c>
      <x:c r="C43" s="28" t="str">
        <x:v>Unit</x:v>
      </x:c>
      <x:c r="D43" s="65" t="str">
        <x:v>Notes</x:v>
      </x:c>
      <x:c r="E43" s="66"/>
      <x:c r="F43" s="66"/>
      <x:c r="G43" s="66"/>
      <x:c r="H43" s="66"/>
    </x:row>
    <x:row r="44" ht="20" customHeight="1">
      <x:c r="A44" s="29" t="str">
        <x:v>Selected hold period</x:v>
      </x:c>
      <x:c r="B44" s="107" t="n">
        <x:f>MAX(1,MIN(5,ROUND('Inputs'!$B$19,0)))</x:f>
        <x:v>5</x:v>
      </x:c>
      <x:c r="C44" s="29" t="str">
        <x:v>years</x:v>
      </x:c>
      <x:c r="D44" s="37" t="str">
        <x:v>Rounded and capped between Year 1 and Year 5</x:v>
      </x:c>
      <x:c r="E44" s="38"/>
      <x:c r="F44" s="38"/>
      <x:c r="G44" s="38"/>
      <x:c r="H44" s="38"/>
    </x:row>
    <x:row r="45" ht="20" customHeight="1">
      <x:c r="A45" s="29" t="str">
        <x:v>Exit EBITDA</x:v>
      </x:c>
      <x:c r="B45" s="80" t="n">
        <x:f>INDEX(C21:G21,1,B44)</x:f>
        <x:v>148.27020893465624</x:v>
      </x:c>
      <x:c r="C45" s="29" t="str">
        <x:v>LCY m</x:v>
      </x:c>
      <x:c r="D45" s="37" t="str">
        <x:v>EBITDA in the selected hold year</x:v>
      </x:c>
      <x:c r="E45" s="38"/>
      <x:c r="F45" s="38"/>
      <x:c r="G45" s="38"/>
      <x:c r="H45" s="38"/>
    </x:row>
    <x:row r="46" ht="20" customHeight="1">
      <x:c r="A46" s="29" t="str">
        <x:v>Exit debt</x:v>
      </x:c>
      <x:c r="B46" s="80" t="n">
        <x:f>INDEX(C28:G28,1,B44)</x:f>
        <x:v>274.17967332826504</x:v>
      </x:c>
      <x:c r="C46" s="29" t="str">
        <x:v>LCY m</x:v>
      </x:c>
      <x:c r="D46" s="37" t="str">
        <x:v>Closing debt in the selected hold year</x:v>
      </x:c>
      <x:c r="E46" s="38"/>
      <x:c r="F46" s="38"/>
      <x:c r="G46" s="38"/>
      <x:c r="H46" s="38"/>
    </x:row>
    <x:row r="47" ht="20" customHeight="1">
      <x:c r="A47" s="29" t="str">
        <x:v>Exit enterprise value</x:v>
      </x:c>
      <x:c r="B47" s="77" t="n">
        <x:f>B45*'Inputs'!$B$18</x:f>
        <x:v>1482.7020893465624</x:v>
      </x:c>
      <x:c r="C47" s="29" t="str">
        <x:v>LCY m</x:v>
      </x:c>
      <x:c r="D47" s="37" t="str">
        <x:v>Exit EBITDA × exit multiple</x:v>
      </x:c>
      <x:c r="E47" s="38"/>
      <x:c r="F47" s="38"/>
      <x:c r="G47" s="38"/>
      <x:c r="H47" s="38"/>
    </x:row>
    <x:row r="48" ht="20" customHeight="1">
      <x:c r="A48" s="11" t="str">
        <x:v>Exit equity value</x:v>
      </x:c>
      <x:c r="B48" s="88" t="n">
        <x:f>MAX(0,B47-B46)</x:f>
        <x:v>1208.5224160182975</x:v>
      </x:c>
      <x:c r="C48" s="11" t="str">
        <x:v>LCY m</x:v>
      </x:c>
      <x:c r="D48" s="73" t="str">
        <x:v>Exit enterprise value less exit debt</x:v>
      </x:c>
      <x:c r="E48" s="74"/>
      <x:c r="F48" s="74"/>
      <x:c r="G48" s="74"/>
      <x:c r="H48" s="74"/>
    </x:row>
    <x:row r="49" ht="20" customHeight="1">
      <x:c r="A49" s="29" t="str">
        <x:v>Total sponsor proceeds</x:v>
      </x:c>
      <x:c r="B49" s="80" t="n">
        <x:f>SUM(C33:G33)</x:f>
        <x:v>1267.1291915755426</x:v>
      </x:c>
      <x:c r="C49" s="29" t="str">
        <x:v>LCY m</x:v>
      </x:c>
      <x:c r="D49" s="37" t="str">
        <x:v>Interim distributions plus exit equity</x:v>
      </x:c>
      <x:c r="E49" s="38"/>
      <x:c r="F49" s="38"/>
      <x:c r="G49" s="38"/>
      <x:c r="H49" s="38"/>
    </x:row>
    <x:row r="50" ht="20" customHeight="1">
      <x:c r="A50" s="11" t="str">
        <x:v>Sponsor MOIC</x:v>
      </x:c>
      <x:c r="B50" s="110" t="n">
        <x:f>IF(B14&lt;=0,0,B49/B14)</x:f>
        <x:v>3.3521936285067264</x:v>
      </x:c>
      <x:c r="C50" s="11" t="str">
        <x:v>x</x:v>
      </x:c>
      <x:c r="D50" s="73" t="str">
        <x:v>Total sponsor proceeds / entry sponsor equity</x:v>
      </x:c>
      <x:c r="E50" s="74"/>
      <x:c r="F50" s="74"/>
      <x:c r="G50" s="74"/>
      <x:c r="H50" s="74"/>
    </x:row>
    <x:row r="51" ht="20" customHeight="1">
      <x:c r="A51" s="11" t="str">
        <x:v>Sponsor IRR</x:v>
      </x:c>
      <x:c r="B51" s="112" t="n">
        <x:f>IF(AND(COUNTIF(B33:G33,"&lt;0")&gt;0,COUNTIF(B33:G33,"&gt;0")&gt;0),IRR(B33:G33),0)</x:f>
        <x:v>0.28021543498383156</x:v>
      </x:c>
      <x:c r="C51" s="11" t="str">
        <x:v>%</x:v>
      </x:c>
      <x:c r="D51" s="73" t="str">
        <x:v>IRR on the visible sponsor cash-flow timeline</x:v>
      </x:c>
      <x:c r="E51" s="74"/>
      <x:c r="F51" s="74"/>
      <x:c r="G51" s="74"/>
      <x:c r="H51" s="74"/>
    </x:row>
    <x:row r="52" ht="20" customHeight="1">
      <x:c r="A52" s="3"/>
      <x:c r="B52" s="3"/>
      <x:c r="C52" s="3"/>
      <x:c r="D52" s="3"/>
      <x:c r="E52" s="3"/>
      <x:c r="F52" s="3"/>
      <x:c r="G52" s="3"/>
      <x:c r="H52" s="3"/>
    </x:row>
    <x:row r="53" ht="20" customHeight="1">
      <x:c r="A53" s="3"/>
      <x:c r="B53" s="3"/>
      <x:c r="C53" s="3"/>
      <x:c r="D53" s="3"/>
      <x:c r="E53" s="3"/>
      <x:c r="F53" s="3"/>
      <x:c r="G53" s="3"/>
      <x:c r="H53" s="3"/>
    </x:row>
    <x:row r="54" ht="20" customHeight="1">
      <x:c r="A54" s="178" t="str">
        <x:f>IF(B50&gt;=2,"RETURN CASE EXCEEDS 2.0x MOIC","RETURN CASE BELOW 2.0x MOIC")&amp;" · exit leverage "&amp;TEXT(IF(B45&lt;=0,0,B46/B45),"0.0x")</x:f>
        <x:v>RETURN CASE EXCEEDS 2.0x MOIC · exit leverage 1.8x</x:v>
      </x:c>
      <x:c r="B54" s="179"/>
      <x:c r="C54" s="179"/>
      <x:c r="D54" s="179"/>
      <x:c r="E54" s="179"/>
      <x:c r="F54" s="179"/>
      <x:c r="G54" s="179"/>
      <x:c r="H54" s="180"/>
    </x:row>
    <x:row r="55" ht="20" customHeight="1">
      <x:c r="A55" s="181"/>
      <x:c r="B55" s="182"/>
      <x:c r="C55" s="182"/>
      <x:c r="D55" s="182"/>
      <x:c r="E55" s="182"/>
      <x:c r="F55" s="182"/>
      <x:c r="G55" s="182"/>
      <x:c r="H55" s="183"/>
    </x:row>
    <x:row r="56" ht="20" customHeight="1">
      <x:c r="A56" s="184"/>
      <x:c r="B56" s="185"/>
      <x:c r="C56" s="185"/>
      <x:c r="D56" s="185"/>
      <x:c r="E56" s="185"/>
      <x:c r="F56" s="185"/>
      <x:c r="G56" s="185"/>
      <x:c r="H56" s="186"/>
    </x:row>
    <x:row r="57" ht="20" customHeight="1">
      <x:c r="A57" s="3"/>
      <x:c r="B57" s="3"/>
      <x:c r="C57" s="3"/>
      <x:c r="D57" s="3"/>
      <x:c r="E57" s="3"/>
      <x:c r="F57" s="3"/>
      <x:c r="G57" s="3"/>
      <x:c r="H57" s="3"/>
    </x:row>
    <x:row r="58" ht="20" customHeight="1">
      <x:c r="A58" s="3"/>
      <x:c r="B58" s="3"/>
      <x:c r="C58" s="3"/>
      <x:c r="D58" s="3"/>
      <x:c r="E58" s="3"/>
      <x:c r="F58" s="3"/>
      <x:c r="G58" s="3"/>
      <x:c r="H58" s="3"/>
    </x:row>
    <x:row r="59" ht="20" customHeight="1">
      <x:c r="A59" s="3"/>
      <x:c r="B59" s="3"/>
      <x:c r="C59" s="3"/>
      <x:c r="D59" s="3"/>
      <x:c r="E59" s="3"/>
      <x:c r="F59" s="3"/>
      <x:c r="G59" s="3"/>
      <x:c r="H59" s="3"/>
    </x:row>
    <x:row r="60" ht="20" customHeight="1">
      <x:c r="A60" s="63" t="str">
        <x:v>LBO Returns Model · Option C standard · Entry + five years</x:v>
      </x:c>
      <x:c r="B60" s="63"/>
      <x:c r="C60" s="63"/>
      <x:c r="D60" s="63"/>
      <x:c r="E60" s="63"/>
      <x:c r="F60" s="63"/>
      <x:c r="G60" s="63"/>
      <x:c r="H60" s="63"/>
    </x:row>
  </x:sheetData>
  <x:mergeCells>
    <x:mergeCell ref="A1:H2"/>
    <x:mergeCell ref="A3:H3"/>
    <x:mergeCell ref="A10:H10"/>
    <x:mergeCell ref="D11:H11"/>
    <x:mergeCell ref="D12:H12"/>
    <x:mergeCell ref="D13:H13"/>
    <x:mergeCell ref="D14:H14"/>
    <x:mergeCell ref="D15:H15"/>
    <x:mergeCell ref="D16:H16"/>
    <x:mergeCell ref="D17:H17"/>
    <x:mergeCell ref="A19:H19"/>
    <x:mergeCell ref="A42:H42"/>
    <x:mergeCell ref="D43:H43"/>
    <x:mergeCell ref="D44:H44"/>
    <x:mergeCell ref="D45:H45"/>
    <x:mergeCell ref="D46:H46"/>
    <x:mergeCell ref="D47:H47"/>
    <x:mergeCell ref="D48:H48"/>
    <x:mergeCell ref="D49:H49"/>
    <x:mergeCell ref="D50:H50"/>
    <x:mergeCell ref="D51:H51"/>
    <x:mergeCell ref="A5:B5"/>
    <x:mergeCell ref="A6:B8"/>
    <x:mergeCell ref="C5:D5"/>
    <x:mergeCell ref="C6:D8"/>
    <x:mergeCell ref="E5:F5"/>
    <x:mergeCell ref="E6:F8"/>
    <x:mergeCell ref="G5:H5"/>
    <x:mergeCell ref="G6:H8"/>
    <x:mergeCell ref="A54:H56"/>
    <x:mergeCell ref="A60:H6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LBO Returns Model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15" t="str">
        <x:v>EXIT EBITDA</x:v>
      </x:c>
      <x:c r="B5" s="116"/>
      <x:c r="C5" s="115" t="str">
        <x:v>EXIT EQUITY VALUE</x:v>
      </x:c>
      <x:c r="D5" s="116"/>
      <x:c r="E5" s="115" t="str">
        <x:v>SPONSOR MOIC</x:v>
      </x:c>
      <x:c r="F5" s="116"/>
      <x:c r="G5" s="115" t="str">
        <x:v>SPONSOR IRR</x:v>
      </x:c>
      <x:c r="H5" s="116"/>
    </x:row>
    <x:row r="6" ht="20" customHeight="1">
      <x:c r="A6" s="130" t="n">
        <x:f>'Model'!A6</x:f>
        <x:v>148.27020893465624</x:v>
      </x:c>
      <x:c r="B6" s="131"/>
      <x:c r="C6" s="130" t="n">
        <x:f>'Model'!C6</x:f>
        <x:v>1208.5224160182975</x:v>
      </x:c>
      <x:c r="D6" s="131"/>
      <x:c r="E6" s="142" t="n">
        <x:f>'Model'!E6</x:f>
        <x:v>3.3521936285067264</x:v>
      </x:c>
      <x:c r="F6" s="143"/>
      <x:c r="G6" s="154" t="n">
        <x:f>'Model'!G6</x:f>
        <x:v>0.28021543498383156</x:v>
      </x:c>
      <x:c r="H6" s="155"/>
    </x:row>
    <x:row r="7" ht="20" customHeight="1">
      <x:c r="A7" s="132"/>
      <x:c r="B7" s="133"/>
      <x:c r="C7" s="132"/>
      <x:c r="D7" s="133"/>
      <x:c r="E7" s="144"/>
      <x:c r="F7" s="145"/>
      <x:c r="G7" s="156"/>
      <x:c r="H7" s="157"/>
    </x:row>
    <x:row r="8" ht="20" customHeight="1">
      <x:c r="A8" s="134"/>
      <x:c r="B8" s="135"/>
      <x:c r="C8" s="134"/>
      <x:c r="D8" s="135"/>
      <x:c r="E8" s="146"/>
      <x:c r="F8" s="147"/>
      <x:c r="G8" s="158"/>
      <x:c r="H8" s="159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4" t="str">
        <x:v>DECISION VIEW</x:v>
      </x:c>
      <x:c r="B10" s="64"/>
      <x:c r="C10" s="64"/>
      <x:c r="D10" s="64"/>
      <x:c r="E10" s="64"/>
      <x:c r="F10" s="64"/>
      <x:c r="G10" s="64"/>
      <x:c r="H10" s="64"/>
    </x:row>
    <x:row r="11" ht="34" customHeight="1">
      <x:c r="A11" s="188" t="str">
        <x:v>CALCULATION STATUS</x:v>
      </x:c>
      <x:c r="B11" s="188"/>
      <x:c r="C11" s="192" t="str">
        <x:f>'Checks'!B4</x:f>
        <x:v>PASS</x:v>
      </x:c>
      <x:c r="D11" s="193"/>
      <x:c r="E11" s="188" t="str">
        <x:v>SPONSOR RETURN OUTCOME</x:v>
      </x:c>
      <x:c r="F11" s="188"/>
      <x:c r="G11" s="199" t="str">
        <x:f>'Model'!A54</x:f>
        <x:v>RETURN CASE EXCEEDS 2.0x MOIC · exit leverage 1.8x</x:v>
      </x:c>
      <x:c r="H11" s="200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4" t="str">
        <x:v>WHAT IT ANSWERS</x:v>
      </x:c>
      <x:c r="B13" s="64"/>
      <x:c r="C13" s="64"/>
      <x:c r="D13" s="64"/>
      <x:c r="E13" s="64"/>
      <x:c r="F13" s="64"/>
      <x:c r="G13" s="64"/>
      <x:c r="H13" s="64"/>
    </x:row>
    <x:row r="14" ht="20" customHeight="1">
      <x:c r="A14" s="207" t="str">
        <x:v>How do EBITDA growth, cash conversion, debt paydown, and exit assumptions drive sponsor returns?</x:v>
      </x:c>
      <x:c r="B14" s="208"/>
      <x:c r="C14" s="208"/>
      <x:c r="D14" s="208"/>
      <x:c r="E14" s="208"/>
      <x:c r="F14" s="208"/>
      <x:c r="G14" s="208"/>
      <x:c r="H14" s="209"/>
    </x:row>
    <x:row r="15" ht="20" customHeight="1">
      <x:c r="A15" s="210"/>
      <x:c r="B15" s="211"/>
      <x:c r="C15" s="211"/>
      <x:c r="D15" s="211"/>
      <x:c r="E15" s="211"/>
      <x:c r="F15" s="211"/>
      <x:c r="G15" s="211"/>
      <x:c r="H15" s="212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64" t="str">
        <x:v>MODEL DEPTH</x:v>
      </x:c>
      <x:c r="B17" s="64"/>
      <x:c r="C17" s="64"/>
      <x:c r="D17" s="64"/>
      <x:c r="E17" s="64"/>
      <x:c r="F17" s="64"/>
      <x:c r="G17" s="64"/>
      <x:c r="H17" s="64"/>
    </x:row>
    <x:row r="18" ht="20" customHeight="1">
      <x:c r="A18" s="187" t="str">
        <x:v>Forecast</x:v>
      </x:c>
      <x:c r="B18" s="187"/>
      <x:c r="C18" s="93" t="str">
        <x:v>Entry plus five forecast years</x:v>
      </x:c>
      <x:c r="D18" s="93"/>
      <x:c r="E18" s="93"/>
      <x:c r="F18" s="93"/>
      <x:c r="G18" s="93"/>
      <x:c r="H18" s="93"/>
    </x:row>
    <x:row r="19" ht="20" customHeight="1">
      <x:c r="A19" s="187" t="str">
        <x:v>Editable inputs</x:v>
      </x:c>
      <x:c r="B19" s="187"/>
      <x:c r="C19" s="93" t="str">
        <x:v>10</x:v>
      </x:c>
      <x:c r="D19" s="93"/>
      <x:c r="E19" s="93"/>
      <x:c r="F19" s="93"/>
      <x:c r="G19" s="93"/>
      <x:c r="H19" s="93"/>
    </x:row>
    <x:row r="20" ht="20" customHeight="1">
      <x:c r="A20" s="187" t="str">
        <x:v>Calculation detail</x:v>
      </x:c>
      <x:c r="B20" s="187"/>
      <x:c r="C20" s="93" t="str">
        <x:v>Visible formulas, schedules, roll-forwards, and bridges</x:v>
      </x:c>
      <x:c r="D20" s="93"/>
      <x:c r="E20" s="93"/>
      <x:c r="F20" s="93"/>
      <x:c r="G20" s="93"/>
      <x:c r="H20" s="93"/>
    </x:row>
    <x:row r="21" ht="20" customHeight="1">
      <x:c r="A21" s="187" t="str">
        <x:v>Workbook flow</x:v>
      </x:c>
      <x:c r="B21" s="187"/>
      <x:c r="C21" s="93" t="str">
        <x:v>Start → Inputs → Model → Results → Checks</x:v>
      </x:c>
      <x:c r="D21" s="93"/>
      <x:c r="E21" s="93"/>
      <x:c r="F21" s="93"/>
      <x:c r="G21" s="93"/>
      <x:c r="H21" s="93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64" t="str">
        <x:v>SCOPE</x:v>
      </x:c>
      <x:c r="B23" s="64"/>
      <x:c r="C23" s="64"/>
      <x:c r="D23" s="64"/>
      <x:c r="E23" s="64"/>
      <x:c r="F23" s="64"/>
      <x:c r="G23" s="64"/>
      <x:c r="H23" s="64"/>
    </x:row>
    <x:row r="24" ht="20" customHeight="1">
      <x:c r="A24" s="221" t="str">
        <x:v>Included: Entry sources and uses with sponsor equity plug · Five-year EBITDA, cash generation, and cash-sweep debt schedule · Hold-period exit bridge, sponsor cash flows, MOIC, and IRR</x:v>
      </x:c>
      <x:c r="B24" s="222"/>
      <x:c r="C24" s="222"/>
      <x:c r="D24" s="222"/>
      <x:c r="E24" s="222"/>
      <x:c r="F24" s="222"/>
      <x:c r="G24" s="222"/>
      <x:c r="H24" s="223"/>
    </x:row>
    <x:row r="25" ht="20" customHeight="1">
      <x:c r="A25" s="224"/>
      <x:c r="B25" s="225"/>
      <x:c r="C25" s="225"/>
      <x:c r="D25" s="225"/>
      <x:c r="E25" s="225"/>
      <x:c r="F25" s="225"/>
      <x:c r="G25" s="225"/>
      <x:c r="H25" s="226"/>
    </x:row>
    <x:row r="26" ht="20" customHeight="1">
      <x:c r="A26" s="227"/>
      <x:c r="B26" s="228"/>
      <x:c r="C26" s="228"/>
      <x:c r="D26" s="228"/>
      <x:c r="E26" s="228"/>
      <x:c r="F26" s="228"/>
      <x:c r="G26" s="228"/>
      <x:c r="H26" s="229"/>
    </x:row>
    <x:row r="27" ht="20" customHeight="1">
      <x:c r="A27" s="57" t="str">
        <x:v>Outside this model: Funded debt commitments, covenant EBITDA, revolver circularity, management dilution, purchase accounting, and investment advice.</x:v>
      </x:c>
      <x:c r="B27" s="58"/>
      <x:c r="C27" s="58"/>
      <x:c r="D27" s="58"/>
      <x:c r="E27" s="58"/>
      <x:c r="F27" s="58"/>
      <x:c r="G27" s="58"/>
      <x:c r="H27" s="59"/>
    </x:row>
    <x:row r="28" ht="20" customHeight="1">
      <x:c r="A28" s="60"/>
      <x:c r="B28" s="61"/>
      <x:c r="C28" s="61"/>
      <x:c r="D28" s="61"/>
      <x:c r="E28" s="61"/>
      <x:c r="F28" s="61"/>
      <x:c r="G28" s="61"/>
      <x:c r="H28" s="62"/>
    </x:row>
    <x:row r="29" ht="20" customHeight="1">
      <x:c r="A29" s="233" t="str">
        <x:v>Five visible tabs · No hidden calculations · Calculation status and business outcome are reported separately.</x:v>
      </x:c>
      <x:c r="B29" s="234"/>
      <x:c r="C29" s="234"/>
      <x:c r="D29" s="234"/>
      <x:c r="E29" s="234"/>
      <x:c r="F29" s="234"/>
      <x:c r="G29" s="234"/>
      <x:c r="H29" s="235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3" t="str">
        <x:v>LBO Returns Model · v1.4.0 · Linked summary only · Trace all formulas on Model</x:v>
      </x:c>
      <x:c r="B31" s="63"/>
      <x:c r="C31" s="63"/>
      <x:c r="D31" s="63"/>
      <x:c r="E31" s="63"/>
      <x:c r="F31" s="63"/>
      <x:c r="G31" s="63"/>
      <x:c r="H31" s="63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LBO Returns Model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236" t="str">
        <x:f>IF(COUNTIF(F9:F18,"PASS")=10,"PASS","FAIL")</x:f>
        <x:v>PASS</x:v>
      </x:c>
      <x:c r="C4" s="236"/>
      <x:c r="D4" s="236"/>
      <x:c r="E4" s="236"/>
      <x:c r="F4" s="236"/>
      <x:c r="G4" s="236"/>
      <x:c r="H4" s="236"/>
    </x:row>
    <x:row r="5" ht="20" customHeight="1">
      <x:c r="A5" s="63" t="str">
        <x:v>MODEL STATUS</x:v>
      </x:c>
      <x:c r="B5" s="63"/>
      <x:c r="C5" s="192" t="str">
        <x:f>B4</x:f>
        <x:v>PASS</x:v>
      </x:c>
      <x:c r="D5" s="238"/>
      <x:c r="E5" s="238"/>
      <x:c r="F5" s="238"/>
      <x:c r="G5" s="238"/>
      <x:c r="H5" s="193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64" t="str">
        <x:v>10 CALCULATION CONTROLS</x:v>
      </x:c>
      <x:c r="B7" s="64"/>
      <x:c r="C7" s="64"/>
      <x:c r="D7" s="64"/>
      <x:c r="E7" s="64"/>
      <x:c r="F7" s="64"/>
      <x:c r="G7" s="64"/>
      <x:c r="H7" s="64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225" t="str">
        <x:v>All editable inputs are numeric</x:v>
      </x:c>
      <x:c r="B9" s="241" t="n">
        <x:f>ROUND(COUNT('Inputs'!B10,'Inputs'!B11,'Inputs'!B12,'Inputs'!B13,'Inputs'!B14,'Inputs'!B15,'Inputs'!B16,'Inputs'!B17,'Inputs'!B18,'Inputs'!B19),6)</x:f>
        <x:v>10</x:v>
      </x:c>
      <x:c r="C9" s="241" t="n">
        <x:f>10</x:f>
        <x:v>10</x:v>
      </x:c>
      <x:c r="D9" s="241" t="n">
        <x:f>ROUND(B9-C9,6)</x:f>
        <x:v>0</x:v>
      </x:c>
      <x:c r="E9" s="241" t="n">
        <x:f>0</x:f>
        <x:v>0</x:v>
      </x:c>
      <x:c r="F9" s="242" t="str">
        <x:f>IF(ABS(ROUND(D9,6))&lt;=E9,"PASS","FAIL")</x:f>
        <x:v>PASS</x:v>
      </x:c>
      <x:c r="G9" s="225" t="str">
        <x:v>Complete the blue cells on Inputs</x:v>
      </x:c>
      <x:c r="H9" s="225"/>
    </x:row>
    <x:row r="10" ht="26" customHeight="1">
      <x:c r="A10" s="225" t="str">
        <x:v>Results headline KPIs reconcile to Model</x:v>
      </x:c>
      <x:c r="B10" s="245" t="n">
        <x:f>ROUND(IFERROR(SUM(ABS('Results'!A6-'Model'!A6),ABS('Results'!C6-'Model'!C6),ABS('Results'!E6-'Model'!E6),ABS('Results'!G6-'Model'!G6)),1E+99),6)</x:f>
        <x:v>0</x:v>
      </x:c>
      <x:c r="C10" s="245" t="n">
        <x:f>0</x:f>
        <x:v>0</x:v>
      </x:c>
      <x:c r="D10" s="245" t="n">
        <x:f>ROUND(B10-C10,6)</x:f>
        <x:v>0</x:v>
      </x:c>
      <x:c r="E10" s="245" t="n">
        <x:f>0.0001</x:f>
        <x:v>0.0001</x:v>
      </x:c>
      <x:c r="F10" s="242" t="str">
        <x:f>IF(ABS(ROUND(D10,6))&lt;=E10,"PASS","FAIL")</x:f>
        <x:v>PASS</x:v>
      </x:c>
      <x:c r="G10" s="225" t="str">
        <x:v>Review Results-to-Model links</x:v>
      </x:c>
      <x:c r="H10" s="225"/>
    </x:row>
    <x:row r="11" ht="26" customHeight="1">
      <x:c r="A11" s="225" t="str">
        <x:v>Entry, operating, financing, and exit inputs are valid</x:v>
      </x:c>
      <x:c r="B11" s="245" t="n">
        <x:f>ROUND(IF(AND('Inputs'!$B$10&gt;0,'Inputs'!$B$11&gt;0,'Inputs'!$B$12&gt;=0,'Inputs'!$B$13&gt;=0,'Inputs'!$B$14&gt;-1,'Inputs'!$B$15&gt;=0,'Inputs'!$B$15&lt;=1,'Inputs'!$B$16&gt;=0,'Inputs'!$B$17&gt;=0,'Inputs'!$B$17&lt;=1,'Inputs'!$B$18&gt;0,'Inputs'!$B$19&gt;=1,'Inputs'!$B$19&lt;=5,'Inputs'!$B$10*'Inputs'!$B$11+'Inputs'!$B$13-'Inputs'!$B$10*'Inputs'!$B$12&gt;0),1,0),6)</x:f>
        <x:v>1</x:v>
      </x:c>
      <x:c r="C11" s="245" t="n">
        <x:f>1</x:f>
        <x:v>1</x:v>
      </x:c>
      <x:c r="D11" s="245" t="n">
        <x:f>ROUND(B11-C11,6)</x:f>
        <x:v>0</x:v>
      </x:c>
      <x:c r="E11" s="245" t="n">
        <x:f>0.0001</x:f>
        <x:v>0.0001</x:v>
      </x:c>
      <x:c r="F11" s="242" t="str">
        <x:f>IF(ABS(ROUND(D11,6))&lt;=E11,"PASS","FAIL")</x:f>
        <x:v>PASS</x:v>
      </x:c>
      <x:c r="G11" s="225" t="str">
        <x:v>Inputs: entry, operating, financing, and exit assumptions</x:v>
      </x:c>
      <x:c r="H11" s="225"/>
    </x:row>
    <x:row r="12" ht="26" customHeight="1">
      <x:c r="A12" s="225" t="str">
        <x:v>Entry sources and uses tie</x:v>
      </x:c>
      <x:c r="B12" s="248" t="n">
        <x:f>ROUND(ABS('Model'!B17),6)</x:f>
        <x:v>0</x:v>
      </x:c>
      <x:c r="C12" s="248" t="n">
        <x:f>0</x:f>
        <x:v>0</x:v>
      </x:c>
      <x:c r="D12" s="248" t="n">
        <x:f>ROUND(B12-C12,6)</x:f>
        <x:v>0</x:v>
      </x:c>
      <x:c r="E12" s="248" t="n">
        <x:f>0.01</x:f>
        <x:v>0.01</x:v>
      </x:c>
      <x:c r="F12" s="242" t="str">
        <x:f>IF(ABS(ROUND(D12,6))&lt;=E12,"PASS","FAIL")</x:f>
        <x:v>PASS</x:v>
      </x:c>
      <x:c r="G12" s="225" t="str">
        <x:v>Model: entry sources and uses</x:v>
      </x:c>
      <x:c r="H12" s="225"/>
    </x:row>
    <x:row r="13" ht="26" customHeight="1">
      <x:c r="A13" s="225" t="str">
        <x:v>EBITDA roll-forward ties</x:v>
      </x:c>
      <x:c r="B13" s="248" t="n">
        <x:f>ROUND(MAX(ABS('Model'!B34),ABS('Model'!C34),ABS('Model'!D34),ABS('Model'!E34),ABS('Model'!F34),ABS('Model'!G34)),6)</x:f>
        <x:v>0</x:v>
      </x:c>
      <x:c r="C13" s="248" t="n">
        <x:f>0</x:f>
        <x:v>0</x:v>
      </x:c>
      <x:c r="D13" s="248" t="n">
        <x:f>ROUND(B13-C13,6)</x:f>
        <x:v>0</x:v>
      </x:c>
      <x:c r="E13" s="248" t="n">
        <x:f>0.01</x:f>
        <x:v>0.01</x:v>
      </x:c>
      <x:c r="F13" s="242" t="str">
        <x:f>IF(ABS(ROUND(D13,6))&lt;=E13,"PASS","FAIL")</x:f>
        <x:v>PASS</x:v>
      </x:c>
      <x:c r="G13" s="225" t="str">
        <x:v>Model: EBITDA schedule</x:v>
      </x:c>
      <x:c r="H13" s="225"/>
    </x:row>
    <x:row r="14" ht="26" customHeight="1">
      <x:c r="A14" s="225" t="str">
        <x:v>FCF conversion bridge ties</x:v>
      </x:c>
      <x:c r="B14" s="248" t="n">
        <x:f>ROUND(MAX(ABS('Model'!B35),ABS('Model'!C35),ABS('Model'!D35),ABS('Model'!E35),ABS('Model'!F35),ABS('Model'!G35)),6)</x:f>
        <x:v>0</x:v>
      </x:c>
      <x:c r="C14" s="248" t="n">
        <x:f>0</x:f>
        <x:v>0</x:v>
      </x:c>
      <x:c r="D14" s="248" t="n">
        <x:f>ROUND(B14-C14,6)</x:f>
        <x:v>0</x:v>
      </x:c>
      <x:c r="E14" s="248" t="n">
        <x:f>0.01</x:f>
        <x:v>0.01</x:v>
      </x:c>
      <x:c r="F14" s="242" t="str">
        <x:f>IF(ABS(ROUND(D14,6))&lt;=E14,"PASS","FAIL")</x:f>
        <x:v>PASS</x:v>
      </x:c>
      <x:c r="G14" s="225" t="str">
        <x:v>Model: free-cash-flow schedule</x:v>
      </x:c>
      <x:c r="H14" s="225"/>
    </x:row>
    <x:row r="15" ht="26" customHeight="1">
      <x:c r="A15" s="225" t="str">
        <x:v>Cash interest calculation ties</x:v>
      </x:c>
      <x:c r="B15" s="248" t="n">
        <x:f>ROUND(MAX(ABS('Model'!B36),ABS('Model'!C36),ABS('Model'!D36),ABS('Model'!E36),ABS('Model'!F36),ABS('Model'!G36)),6)</x:f>
        <x:v>0</x:v>
      </x:c>
      <x:c r="C15" s="248" t="n">
        <x:f>0</x:f>
        <x:v>0</x:v>
      </x:c>
      <x:c r="D15" s="248" t="n">
        <x:f>ROUND(B15-C15,6)</x:f>
        <x:v>0</x:v>
      </x:c>
      <x:c r="E15" s="248" t="n">
        <x:f>0.01</x:f>
        <x:v>0.01</x:v>
      </x:c>
      <x:c r="F15" s="242" t="str">
        <x:f>IF(ABS(ROUND(D15,6))&lt;=E15,"PASS","FAIL")</x:f>
        <x:v>PASS</x:v>
      </x:c>
      <x:c r="G15" s="225" t="str">
        <x:v>Model: interest schedule</x:v>
      </x:c>
      <x:c r="H15" s="225"/>
    </x:row>
    <x:row r="16" ht="26" customHeight="1">
      <x:c r="A16" s="225" t="str">
        <x:v>Debt roll-forward ties</x:v>
      </x:c>
      <x:c r="B16" s="248" t="n">
        <x:f>ROUND(MAX(ABS('Model'!B37),ABS('Model'!C37),ABS('Model'!D37),ABS('Model'!E37),ABS('Model'!F37),ABS('Model'!G37)),6)</x:f>
        <x:v>0</x:v>
      </x:c>
      <x:c r="C16" s="248" t="n">
        <x:f>0</x:f>
        <x:v>0</x:v>
      </x:c>
      <x:c r="D16" s="248" t="n">
        <x:f>ROUND(B16-C16,6)</x:f>
        <x:v>0</x:v>
      </x:c>
      <x:c r="E16" s="248" t="n">
        <x:f>0.01</x:f>
        <x:v>0.01</x:v>
      </x:c>
      <x:c r="F16" s="242" t="str">
        <x:f>IF(ABS(ROUND(D16,6))&lt;=E16,"PASS","FAIL")</x:f>
        <x:v>PASS</x:v>
      </x:c>
      <x:c r="G16" s="225" t="str">
        <x:v>Model: debt paydown</x:v>
      </x:c>
      <x:c r="H16" s="225"/>
    </x:row>
    <x:row r="17" ht="26" customHeight="1">
      <x:c r="A17" s="225" t="str">
        <x:v>Exit value bridge ties</x:v>
      </x:c>
      <x:c r="B17" s="248" t="n">
        <x:f>ROUND(MAX(ABS('Model'!B38),ABS('Model'!C38),ABS('Model'!D38),ABS('Model'!E38),ABS('Model'!F38),ABS('Model'!G38)),6)</x:f>
        <x:v>0</x:v>
      </x:c>
      <x:c r="C17" s="248" t="n">
        <x:f>0</x:f>
        <x:v>0</x:v>
      </x:c>
      <x:c r="D17" s="248" t="n">
        <x:f>ROUND(B17-C17,6)</x:f>
        <x:v>0</x:v>
      </x:c>
      <x:c r="E17" s="248" t="n">
        <x:f>0.01</x:f>
        <x:v>0.01</x:v>
      </x:c>
      <x:c r="F17" s="242" t="str">
        <x:f>IF(ABS(ROUND(D17,6))&lt;=E17,"PASS","FAIL")</x:f>
        <x:v>PASS</x:v>
      </x:c>
      <x:c r="G17" s="225" t="str">
        <x:v>Model: exit value bridge</x:v>
      </x:c>
      <x:c r="H17" s="225"/>
    </x:row>
    <x:row r="18" ht="26" customHeight="1">
      <x:c r="A18" s="225" t="str">
        <x:v>Sponsor cash flows and return metrics tie</x:v>
      </x:c>
      <x:c r="B18" s="245" t="n">
        <x:f>ROUND(MAX(MAX(ABS('Model'!B39),ABS('Model'!C39),ABS('Model'!D39),ABS('Model'!E39),ABS('Model'!F39),ABS('Model'!G39)),ABS('Model'!B50-IF('Model'!B14&lt;=0,0,'Model'!B49/'Model'!B14)),ABS('Model'!B51-IF(AND(COUNTIF('Model'!B33:G33,"&lt;0")&gt;0,COUNTIF('Model'!B33:G33,"&gt;0")&gt;0),IRR('Model'!B33:G33),0))),6)</x:f>
        <x:v>0</x:v>
      </x:c>
      <x:c r="C18" s="245" t="n">
        <x:f>0</x:f>
        <x:v>0</x:v>
      </x:c>
      <x:c r="D18" s="245" t="n">
        <x:f>ROUND(B18-C18,6)</x:f>
        <x:v>0</x:v>
      </x:c>
      <x:c r="E18" s="245" t="n">
        <x:f>0.001</x:f>
        <x:v>0.001</x:v>
      </x:c>
      <x:c r="F18" s="242" t="str">
        <x:f>IF(ABS(ROUND(D18,6))&lt;=E18,"PASS","FAIL")</x:f>
        <x:v>PASS</x:v>
      </x:c>
      <x:c r="G18" s="225" t="str">
        <x:v>Model: sponsor cash flows and return summary</x:v>
      </x:c>
      <x:c r="H18" s="225"/>
    </x:row>
    <x:row r="19" ht="20" customHeight="1">
      <x:c r="A19" s="252" t="str">
        <x:v>A warning business outcome can still pass these controls; review Model and Results before making a decision.</x:v>
      </x:c>
      <x:c r="B19" s="253"/>
      <x:c r="C19" s="253"/>
      <x:c r="D19" s="253"/>
      <x:c r="E19" s="253"/>
      <x:c r="F19" s="253"/>
      <x:c r="G19" s="253"/>
      <x:c r="H19" s="254"/>
    </x:row>
    <x:row r="20" ht="20" customHeight="1">
      <x:c r="A20" s="63" t="str">
        <x:v>LBO Returns Model · 10 / 10 controls should show PASS · v1.4.0</x:v>
      </x:c>
      <x:c r="B20" s="63"/>
      <x:c r="C20" s="63"/>
      <x:c r="D20" s="63"/>
      <x:c r="E20" s="63"/>
      <x:c r="F20" s="63"/>
      <x:c r="G20" s="63"/>
      <x:c r="H20" s="63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