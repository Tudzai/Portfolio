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e9efceb85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88894dbc17b4e04"/>
    <x:sheet xmlns:r="http://schemas.openxmlformats.org/officeDocument/2006/relationships" name="Guide" sheetId="2" r:id="Rba4228e3fef04875"/>
    <x:sheet xmlns:r="http://schemas.openxmlformats.org/officeDocument/2006/relationships" name="Assumptions" sheetId="3" r:id="Rccd40126c40144f4"/>
    <x:sheet xmlns:r="http://schemas.openxmlformats.org/officeDocument/2006/relationships" name="Deal Inputs" sheetId="4" r:id="R2609bc7aac994616"/>
    <x:sheet xmlns:r="http://schemas.openxmlformats.org/officeDocument/2006/relationships" name="Accretion Dilution" sheetId="5" r:id="Ref48153ceffd4a79"/>
    <x:sheet xmlns:r="http://schemas.openxmlformats.org/officeDocument/2006/relationships" name="Sensitivity" sheetId="6" r:id="Rf1d5418a6b6d4356"/>
    <x:sheet xmlns:r="http://schemas.openxmlformats.org/officeDocument/2006/relationships" name="Summary" sheetId="7" r:id="R5198cc6380474f74"/>
    <x:sheet xmlns:r="http://schemas.openxmlformats.org/officeDocument/2006/relationships" name="Checks" sheetId="8" r:id="R8b88134c847a479f"/>
    <x:sheet xmlns:r="http://schemas.openxmlformats.org/officeDocument/2006/relationships" name="Sources &amp; Version" sheetId="9" r:id="R82e97e52cd9a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(0.0%);-"/>
    <x:numFmt numFmtId="201" formatCode="#,##0.0;(#,##0.0);-"/>
    <x:numFmt numFmtId="202" formatCode="#,##0;(#,##0);-"/>
  </x:numFmts>
  <x:fonts count="36">
    <x:font>
      <x:sz val="11"/>
      <x:name val="Carlito"/>
    </x:font>
    <x:font>
      <x:b/>
      <x:sz val="20"/>
      <x:color rgb="FFFFFFFF"/>
      <x:name val="Aptos Display"/>
    </x:font>
    <x:font>
      <x:sz val="9"/>
      <x:color rgb="FFDCE6F2"/>
      <x:name val="Aptos"/>
    </x:font>
    <x:font>
      <x:b/>
      <x:sz val="10"/>
      <x:color rgb="FFFFFFFF"/>
      <x:name val="Aptos"/>
    </x:font>
    <x:font>
      <x:sz val="10"/>
      <x:color rgb="FF101827"/>
      <x:name val="Carlito"/>
    </x:font>
    <x:font>
      <x:b/>
      <x:sz val="11"/>
      <x:color rgb="FFFFFFFF"/>
      <x:name val="Carlito"/>
    </x:font>
    <x:font>
      <x:b/>
      <x:sz val="11"/>
      <x:color rgb="FF101827"/>
      <x:name val="Carlito"/>
    </x:font>
    <x:font>
      <x:sz val="9"/>
      <x:color rgb="FF5B687A"/>
      <x:name val="Carlito"/>
    </x:font>
    <x:font>
      <x:b/>
      <x:sz val="11"/>
      <x:color rgb="FF075CCF"/>
      <x:name val="Carlito"/>
    </x:font>
    <x:font>
      <x:sz val="9"/>
      <x:color rgb="FF8A5A00"/>
      <x:name val="Aptos"/>
    </x:font>
    <x:font>
      <x:b/>
      <x:sz val="9"/>
      <x:color rgb="FFFFFFFF"/>
      <x:name val="Aptos"/>
    </x:font>
    <x:font>
      <x:b/>
      <x:sz val="11"/>
      <x:color rgb="FF8A5A00"/>
      <x:name val="Carlito"/>
    </x:font>
    <x:font>
      <x:sz val="10"/>
      <x:color rgb="FF0000FF"/>
      <x:name val="Aptos"/>
    </x:font>
    <x:font>
      <x:sz val="10"/>
      <x:color rgb="FF000000"/>
      <x:name val="Aptos"/>
    </x:font>
    <x:font>
      <x:sz val="11"/>
      <x:color rgb="FF101827"/>
      <x:name val="Carlito"/>
    </x:font>
    <x:font>
      <x:sz val="11"/>
      <x:color rgb="FF101827"/>
      <x:name val="Carlito"/>
    </x:font>
    <x:font>
      <x:sz val="10"/>
      <x:color rgb="FF008000"/>
      <x:name val="Aptos"/>
    </x:font>
    <x:font>
      <x:b/>
      <x:sz val="9"/>
      <x:color rgb="FFFFFFFF"/>
      <x:name val="Carlito"/>
    </x:font>
    <x:font>
      <x:b/>
      <x:sz val="18"/>
      <x:color rgb="FF075CCF"/>
      <x:name val="Aptos"/>
    </x:font>
    <x:font>
      <x:b/>
      <x:sz val="18"/>
      <x:color rgb="FF0F9F8F"/>
      <x:name val="Aptos"/>
    </x:font>
    <x:font>
      <x:b/>
      <x:sz val="8"/>
      <x:color rgb="FFFFFFFF"/>
      <x:name val="Carlito"/>
    </x:font>
    <x:font>
      <x:b/>
      <x:sz val="14"/>
      <x:color rgb="FF0F9F8F"/>
      <x:name val="Carlito"/>
    </x:font>
    <x:font>
      <x:b/>
      <x:sz val="12"/>
      <x:color rgb="FF8A5A00"/>
      <x:name val="Carlito"/>
    </x:font>
    <x:font>
      <x:sz val="11"/>
      <x:color rgb="FF008000"/>
      <x:name val="Carlito"/>
    </x:font>
    <x:font>
      <x:b/>
      <x:sz val="9"/>
      <x:color rgb="FF075CCF"/>
      <x:name val="Carlito"/>
    </x:font>
    <x:font>
      <x:b/>
      <x:sz val="16"/>
      <x:color rgb="FF0F9F8F"/>
      <x:name val="Carlito"/>
    </x:font>
    <x:font>
      <x:b/>
      <x:sz val="11"/>
      <x:color rgb="FF0F9F8F"/>
      <x:name val="Carlito"/>
    </x:font>
    <x:font>
      <x:b/>
      <x:sz val="11"/>
      <x:color rgb="FF5B687A"/>
      <x:name val="Carlito"/>
    </x:font>
    <x:font>
      <x:b/>
      <x:sz val="22"/>
      <x:color rgb="FF101827"/>
      <x:name val="Aptos Display"/>
    </x:font>
    <x:font>
      <x:b/>
      <x:sz val="20"/>
      <x:color rgb="FF0F9F8F"/>
      <x:name val="Carlito"/>
    </x:font>
    <x:font>
      <x:b/>
      <x:sz val="11"/>
      <x:color rgb="FF008000"/>
      <x:name val="Carlito"/>
    </x:font>
    <x:font>
      <x:b/>
      <x:sz val="11"/>
      <x:color rgb="FF075CCF"/>
      <x:name val="Aptos"/>
    </x:font>
    <x:font>
      <x:sz val="9"/>
      <x:color rgb="FF101827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827"/>
      </x:patternFill>
    </x:fill>
    <x:fill>
      <x:patternFill patternType="solid">
        <x:fgColor rgb="FF1479FF"/>
      </x:patternFill>
    </x:fill>
    <x:fill>
      <x:patternFill patternType="solid">
        <x:fgColor rgb="FFEEF5FF"/>
      </x:patternFill>
    </x:fill>
    <x:fill>
      <x:patternFill patternType="solid">
        <x:fgColor rgb="FFF7F9FC"/>
      </x:patternFill>
    </x:fill>
    <x:fill>
      <x:patternFill patternType="solid">
        <x:fgColor rgb="FFFFF4DB"/>
      </x:patternFill>
    </x:fill>
    <x:fill>
      <x:patternFill patternType="solid">
        <x:fgColor rgb="FFE5F6F3"/>
      </x:patternFill>
    </x:fill>
    <x:fill>
      <x:patternFill patternType="solid">
        <x:fgColor rgb="FFFFFFFF"/>
      </x:patternFill>
    </x:fill>
  </x:fills>
  <x:borders count="26">
    <x:border/>
    <x:border>
      <x:left style="thin">
        <x:color rgb="FFC88922"/>
      </x:left>
      <x:top style="thin">
        <x:color rgb="FFC88922"/>
      </x:top>
    </x:border>
    <x:border>
      <x:top style="thin">
        <x:color rgb="FFC88922"/>
      </x:top>
    </x:border>
    <x:border>
      <x:right style="thin">
        <x:color rgb="FFC88922"/>
      </x:right>
      <x:top style="thin">
        <x:color rgb="FFC88922"/>
      </x:top>
    </x:border>
    <x:border>
      <x:left style="thin">
        <x:color rgb="FFC88922"/>
      </x:left>
    </x:border>
    <x:border>
      <x:right style="thin">
        <x:color rgb="FFC88922"/>
      </x:right>
    </x:border>
    <x:border>
      <x:left style="thin">
        <x:color rgb="FFC88922"/>
      </x:left>
      <x:bottom style="thin">
        <x:color rgb="FFC88922"/>
      </x:bottom>
    </x:border>
    <x:border>
      <x:bottom style="thin">
        <x:color rgb="FFC88922"/>
      </x:bottom>
    </x:border>
    <x:border>
      <x:right style="thin">
        <x:color rgb="FFC88922"/>
      </x:right>
      <x:bottom style="thin">
        <x:color rgb="FFC88922"/>
      </x:bottom>
    </x:border>
    <x:border>
      <x:right style="thin">
        <x:color rgb="FFDBE4EF"/>
      </x:right>
    </x:border>
    <x:border>
      <x:left style="thin">
        <x:color rgb="FFDBE4EF"/>
      </x:left>
      <x:right style="thin">
        <x:color rgb="FFDBE4EF"/>
      </x:right>
    </x:border>
    <x:border>
      <x:left style="thin">
        <x:color rgb="FFDBE4EF"/>
      </x:left>
    </x:border>
    <x:border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bottom style="thin">
        <x:color rgb="FFDBE4EF"/>
      </x:bottom>
    </x:border>
    <x:border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top style="thin">
        <x:color rgb="FFDBE4EF"/>
      </x:top>
      <x:bottom style="thin">
        <x:color rgb="FFDBE4EF"/>
      </x:bottom>
    </x:border>
    <x:border>
      <x:right style="thin">
        <x:color rgb="FFDBE4EF"/>
      </x:right>
      <x:top style="thin">
        <x:color rgb="FFDBE4EF"/>
      </x:top>
    </x:border>
    <x:border>
      <x:left style="thin">
        <x:color rgb="FFDBE4EF"/>
      </x:left>
      <x:right style="thin">
        <x:color rgb="FFDBE4EF"/>
      </x:right>
      <x:top style="thin">
        <x:color rgb="FFDBE4EF"/>
      </x:top>
    </x:border>
    <x:border>
      <x:left style="thin">
        <x:color rgb="FFDBE4EF"/>
      </x:left>
      <x:top style="thin">
        <x:color rgb="FFDBE4EF"/>
      </x:top>
    </x:border>
    <x:border>
      <x:bottom style="thin">
        <x:color rgb="FFDBE4EF"/>
      </x:bottom>
    </x:border>
    <x:border>
      <x:top style="thin">
        <x:color rgb="FFDBE4EF"/>
      </x:top>
      <x:bottom style="thin">
        <x:color rgb="FFDBE4EF"/>
      </x:bottom>
    </x:border>
    <x:border>
      <x:top style="thin">
        <x:color rgb="FFDBE4EF"/>
      </x:top>
    </x:border>
    <x:border>
      <x:top style="thin">
        <x:color rgb="FF101827"/>
      </x:top>
    </x:border>
    <x:border>
      <x:top style="thin">
        <x:color rgb="FF101827"/>
      </x:top>
      <x:bottom style="thin">
        <x:color rgb="FFDBE4EF"/>
      </x:bottom>
    </x:border>
  </x:borders>
  <x:cellStyleXfs count="1">
    <x:xf numFmtId="0" fontId="0" fillId="0" borderId="0"/>
  </x:cellStyleXfs>
  <x:cellXfs count="2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horizontal="center" wrapText="1"/>
    </x:xf>
    <x:xf numFmtId="0" fontId="10" fillId="3" borderId="10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200" fontId="12" fillId="5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200" fontId="12" fillId="5" borderId="13" xfId="0" applyNumberFormat="1" applyFont="1" applyFill="1" applyBorder="1" applyAlignment="1">
      <x:alignment horizontal="right"/>
    </x:xf>
    <x:xf numFmtId="200" fontId="13" fillId="0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200" fontId="12" fillId="5" borderId="16" xfId="0" applyNumberFormat="1" applyFont="1" applyFill="1" applyBorder="1" applyAlignment="1">
      <x:alignment horizontal="right"/>
    </x:xf>
    <x:xf numFmtId="200" fontId="13" fillId="0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wrapText="1"/>
    </x:xf>
    <x:xf numFmtId="201" fontId="12" fillId="5" borderId="16" xfId="0" applyNumberFormat="1" applyFont="1" applyFill="1" applyBorder="1" applyAlignment="1">
      <x:alignment horizontal="right"/>
    </x:xf>
    <x:xf numFmtId="201" fontId="13" fillId="0" borderId="16" xfId="0" applyNumberFormat="1" applyFont="1" applyFill="1" applyBorder="1" applyAlignment="1">
      <x:alignment horizontal="right"/>
    </x:xf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201" fontId="12" fillId="5" borderId="19" xfId="0" applyNumberFormat="1" applyFont="1" applyFill="1" applyBorder="1" applyAlignment="1">
      <x:alignment horizontal="right"/>
    </x:xf>
    <x:xf numFmtId="201" fontId="13" fillId="0" borderId="19" xfId="0" applyNumberFormat="1" applyFont="1" applyFill="1" applyBorder="1" applyAlignment="1">
      <x:alignment horizontal="right"/>
    </x:xf>
    <x:xf numFmtId="0" fontId="7" fillId="0" borderId="2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202" fontId="12" fillId="5" borderId="0" xfId="0" applyNumberFormat="1" applyFont="1" applyFill="1" applyBorder="1"/>
    <x:xf numFmtId="202" fontId="12" fillId="5" borderId="0" xfId="0" applyNumberFormat="1" applyFont="1" applyFill="1" applyBorder="1" applyAlignment="1">
      <x:alignment horizontal="right"/>
    </x:xf>
    <x:xf numFmtId="0" fontId="15" fillId="0" borderId="21" xfId="0" applyNumberFormat="1" applyFont="1" applyFill="1" applyBorder="1"/>
    <x:xf numFmtId="201" fontId="12" fillId="5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/>
    <x:xf numFmtId="202" fontId="12" fillId="5" borderId="22" xfId="0" applyNumberFormat="1" applyFont="1" applyFill="1" applyBorder="1" applyAlignment="1">
      <x:alignment horizontal="right"/>
    </x:xf>
    <x:xf numFmtId="201" fontId="12" fillId="5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/>
    <x:xf numFmtId="201" fontId="12" fillId="5" borderId="23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201" fontId="16" fillId="0" borderId="0" xfId="0" applyNumberFormat="1" applyFont="1" applyFill="1" applyBorder="1"/>
    <x:xf numFmtId="201" fontId="1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201" fontId="16" fillId="0" borderId="24" xfId="0" applyNumberFormat="1" applyFont="1" applyFill="1" applyBorder="1" applyAlignment="1">
      <x:alignment horizontal="right"/>
    </x:xf>
    <x:xf numFmtId="0" fontId="6" fillId="6" borderId="24" xfId="0" applyNumberFormat="1" applyFont="1" applyFill="1" applyBorder="1" applyAlignment="1">
      <x:alignment wrapText="1"/>
    </x:xf>
    <x:xf numFmtId="201" fontId="16" fillId="6" borderId="24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wrapText="1"/>
    </x:xf>
    <x:xf numFmtId="202" fontId="16" fillId="0" borderId="0" xfId="0" applyNumberFormat="1" applyFont="1" applyFill="1" applyBorder="1"/>
    <x:xf numFmtId="202" fontId="16" fillId="0" borderId="0" xfId="0" applyNumberFormat="1" applyFont="1" applyFill="1" applyBorder="1" applyAlignment="1">
      <x:alignment horizontal="right"/>
    </x:xf>
    <x:xf numFmtId="0" fontId="6" fillId="8" borderId="24" xfId="0" applyNumberFormat="1" applyFont="1" applyFill="1" applyBorder="1" applyAlignment="1">
      <x:alignment wrapText="1"/>
    </x:xf>
    <x:xf numFmtId="201" fontId="16" fillId="8" borderId="24" xfId="0" applyNumberFormat="1" applyFont="1" applyFill="1" applyBorder="1" applyAlignment="1">
      <x:alignment horizontal="right"/>
    </x:xf>
    <x:xf numFmtId="202" fontId="16" fillId="0" borderId="24" xfId="0" applyNumberFormat="1" applyFont="1" applyFill="1" applyBorder="1" applyAlignment="1">
      <x:alignment horizontal="right"/>
    </x:xf>
    <x:xf numFmtId="202" fontId="16" fillId="6" borderId="24" xfId="0" applyNumberFormat="1" applyFont="1" applyFill="1" applyBorder="1" applyAlignment="1">
      <x:alignment horizontal="right"/>
    </x:xf>
    <x:xf numFmtId="201" fontId="13" fillId="0" borderId="24" xfId="0" applyNumberFormat="1" applyFont="1" applyFill="1" applyBorder="1" applyAlignment="1">
      <x:alignment horizontal="right"/>
    </x:xf>
    <x:xf numFmtId="201" fontId="13" fillId="6" borderId="24" xfId="0" applyNumberFormat="1" applyFont="1" applyFill="1" applyBorder="1" applyAlignment="1">
      <x:alignment horizontal="right"/>
    </x:xf>
    <x:xf numFmtId="200" fontId="13" fillId="0" borderId="24" xfId="0" applyNumberFormat="1" applyFont="1" applyFill="1" applyBorder="1" applyAlignment="1">
      <x:alignment horizontal="right"/>
    </x:xf>
    <x:xf numFmtId="200" fontId="13" fillId="8" borderId="24" xfId="0" applyNumberFormat="1" applyFont="1" applyFill="1" applyBorder="1" applyAlignment="1">
      <x:alignment horizontal="right"/>
    </x:xf>
    <x:xf numFmtId="200" fontId="16" fillId="0" borderId="0" xfId="0" applyNumberFormat="1" applyFont="1" applyFill="1" applyBorder="1"/>
    <x:xf numFmtId="200" fontId="16" fillId="0" borderId="0" xfId="0" applyNumberFormat="1" applyFont="1" applyFill="1" applyBorder="1" applyAlignment="1">
      <x:alignment horizontal="right"/>
    </x:xf>
    <x:xf numFmtId="0" fontId="6" fillId="6" borderId="25" xfId="0" applyNumberFormat="1" applyFont="1" applyFill="1" applyBorder="1" applyAlignment="1">
      <x:alignment wrapText="1"/>
    </x:xf>
    <x:xf numFmtId="201" fontId="16" fillId="6" borderId="25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 applyAlignment="1">
      <x:alignment wrapText="1"/>
    </x:xf>
    <x:xf numFmtId="201" fontId="16" fillId="0" borderId="22" xfId="0" applyNumberFormat="1" applyFont="1" applyFill="1" applyBorder="1" applyAlignment="1">
      <x:alignment horizontal="right"/>
    </x:xf>
    <x:xf numFmtId="202" fontId="16" fillId="0" borderId="22" xfId="0" applyNumberFormat="1" applyFont="1" applyFill="1" applyBorder="1" applyAlignment="1">
      <x:alignment horizontal="right"/>
    </x:xf>
    <x:xf numFmtId="0" fontId="6" fillId="8" borderId="22" xfId="0" applyNumberFormat="1" applyFont="1" applyFill="1" applyBorder="1" applyAlignment="1">
      <x:alignment wrapText="1"/>
    </x:xf>
    <x:xf numFmtId="201" fontId="16" fillId="8" borderId="22" xfId="0" applyNumberFormat="1" applyFont="1" applyFill="1" applyBorder="1" applyAlignment="1">
      <x:alignment horizontal="right"/>
    </x:xf>
    <x:xf numFmtId="0" fontId="6" fillId="6" borderId="22" xfId="0" applyNumberFormat="1" applyFont="1" applyFill="1" applyBorder="1" applyAlignment="1">
      <x:alignment wrapText="1"/>
    </x:xf>
    <x:xf numFmtId="202" fontId="16" fillId="6" borderId="22" xfId="0" applyNumberFormat="1" applyFont="1" applyFill="1" applyBorder="1" applyAlignment="1">
      <x:alignment horizontal="right"/>
    </x:xf>
    <x:xf numFmtId="201" fontId="13" fillId="6" borderId="22" xfId="0" applyNumberFormat="1" applyFont="1" applyFill="1" applyBorder="1" applyAlignment="1">
      <x:alignment horizontal="right"/>
    </x:xf>
    <x:xf numFmtId="200" fontId="13" fillId="8" borderId="22" xfId="0" applyNumberFormat="1" applyFont="1" applyFill="1" applyBorder="1" applyAlignment="1">
      <x:alignment horizontal="right"/>
    </x:xf>
    <x:xf numFmtId="200" fontId="16" fillId="0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 applyAlignment="1">
      <x:alignment wrapText="1"/>
    </x:xf>
    <x:xf numFmtId="201" fontId="16" fillId="0" borderId="23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200" fontId="16" fillId="6" borderId="0" xfId="0" applyNumberFormat="1" applyFont="1" applyFill="1" applyBorder="1" applyAlignment="1">
      <x:alignment horizontal="right"/>
    </x:xf>
    <x:xf numFmtId="200" fontId="16" fillId="6" borderId="16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horizontal="center"/>
    </x:xf>
    <x:xf numFmtId="200" fontId="16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center"/>
    </x:xf>
    <x:xf numFmtId="200" fontId="18" fillId="5" borderId="0" xfId="0" applyNumberFormat="1" applyFont="1" applyFill="1" applyBorder="1" applyAlignment="1">
      <x:alignment horizontal="center" vertical="center"/>
    </x:xf>
    <x:xf numFmtId="200" fontId="16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center"/>
    </x:xf>
    <x:xf numFmtId="200" fontId="19" fillId="8" borderId="0" xfId="0" applyNumberFormat="1" applyFont="1" applyFill="1" applyBorder="1" applyAlignment="1">
      <x:alignment horizontal="center" vertical="center"/>
    </x:xf>
    <x:xf numFmtId="201" fontId="16" fillId="5" borderId="0" xfId="0" applyNumberFormat="1" applyFont="1" applyFill="1" applyBorder="1" applyAlignment="1">
      <x:alignment horizontal="right"/>
    </x:xf>
    <x:xf numFmtId="201" fontId="18" fillId="5" borderId="0" xfId="0" applyNumberFormat="1" applyFont="1" applyFill="1" applyBorder="1" applyAlignment="1">
      <x:alignment horizontal="right"/>
    </x:xf>
    <x:xf numFmtId="201" fontId="18" fillId="5" borderId="0" xfId="0" applyNumberFormat="1" applyFont="1" applyFill="1" applyBorder="1" applyAlignment="1">
      <x:alignment horizontal="center"/>
    </x:xf>
    <x:xf numFmtId="201" fontId="18" fillId="5" borderId="0" xfId="0" applyNumberFormat="1" applyFont="1" applyFill="1" applyBorder="1" applyAlignment="1">
      <x:alignment horizontal="center" vertical="center"/>
    </x:xf>
    <x:xf numFmtId="202" fontId="16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center"/>
    </x:xf>
    <x:xf numFmtId="202" fontId="18" fillId="5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23" fillId="0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3" fillId="0" borderId="0" xfId="0" applyNumberFormat="1" applyFont="1" applyFill="1" applyBorder="1"/>
    <x:xf numFmtId="0" fontId="23" fillId="0" borderId="0" xfId="0" applyNumberFormat="1" applyFont="1" applyFill="1" applyBorder="1"/>
    <x:xf numFmtId="0" fontId="23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23" fillId="0" borderId="0" xfId="0" applyNumberFormat="1" applyFont="1" applyFill="1" applyBorder="1"/>
    <x:xf numFmtId="0" fontId="0" fillId="0" borderId="21" xfId="0" applyNumberFormat="1" applyFont="1" applyFill="1" applyBorder="1"/>
    <x:xf numFmtId="200" fontId="23" fillId="0" borderId="21" xfId="0" applyNumberFormat="1" applyFont="1" applyFill="1" applyBorder="1"/>
    <x:xf numFmtId="0" fontId="26" fillId="8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201" fontId="23" fillId="0" borderId="22" xfId="0" applyNumberFormat="1" applyFont="1" applyFill="1" applyBorder="1"/>
    <x:xf numFmtId="0" fontId="26" fillId="8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wrapText="1"/>
    </x:xf>
    <x:xf numFmtId="202" fontId="23" fillId="0" borderId="22" xfId="0" applyNumberFormat="1" applyFont="1" applyFill="1" applyBorder="1"/>
    <x:xf numFmtId="0" fontId="0" fillId="0" borderId="23" xfId="0" applyNumberFormat="1" applyFont="1" applyFill="1" applyBorder="1"/>
    <x:xf numFmtId="202" fontId="23" fillId="0" borderId="23" xfId="0" applyNumberFormat="1" applyFont="1" applyFill="1" applyBorder="1"/>
    <x:xf numFmtId="0" fontId="26" fillId="8" borderId="23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wrapText="1"/>
    </x:xf>
    <x:xf numFmtId="0" fontId="27" fillId="0" borderId="12" xfId="0" applyNumberFormat="1" applyFont="1" applyFill="1" applyBorder="1" applyAlignment="1">
      <x:alignment wrapText="1"/>
    </x:xf>
    <x:xf numFmtId="0" fontId="27" fillId="0" borderId="18" xfId="0" applyNumberFormat="1" applyFont="1" applyFill="1" applyBorder="1" applyAlignment="1">
      <x:alignment wrapText="1"/>
    </x:xf>
    <x:xf numFmtId="0" fontId="27" fillId="0" borderId="13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8" fillId="5" borderId="0" xfId="0" applyNumberFormat="1" applyFont="1" applyFill="1" applyBorder="1"/>
    <x:xf numFmtId="0" fontId="28" fillId="5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6" xfId="0" applyNumberFormat="1" applyFont="1" applyFill="1" applyBorder="1"/>
    <x:xf numFmtId="0" fontId="27" fillId="0" borderId="18" xfId="0" applyNumberFormat="1" applyFont="1" applyFill="1" applyBorder="1"/>
    <x:xf numFmtId="0" fontId="27" fillId="0" borderId="19" xfId="0" applyNumberFormat="1" applyFont="1" applyFill="1" applyBorder="1"/>
    <x:xf numFmtId="0" fontId="30" fillId="0" borderId="13" xfId="0" applyNumberFormat="1" applyFont="1" applyFill="1" applyBorder="1"/>
    <x:xf numFmtId="0" fontId="30" fillId="0" borderId="16" xfId="0" applyNumberFormat="1" applyFont="1" applyFill="1" applyBorder="1"/>
    <x:xf numFmtId="0" fontId="30" fillId="0" borderId="19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7" fillId="0" borderId="15" xfId="0" applyNumberFormat="1" applyFont="1" applyFill="1" applyBorder="1" applyAlignment="1">
      <x:alignment wrapText="1"/>
    </x:xf>
    <x:xf numFmtId="0" fontId="27" fillId="0" borderId="16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200" fontId="31" fillId="0" borderId="0" xfId="0" applyNumberFormat="1" applyFont="1" applyFill="1" applyBorder="1" applyAlignment="1">
      <x:alignment horizontal="right"/>
    </x:xf>
    <x:xf numFmtId="201" fontId="31" fillId="0" borderId="0" xfId="0" applyNumberFormat="1" applyFont="1" applyFill="1" applyBorder="1" applyAlignment="1">
      <x:alignment horizontal="right"/>
    </x:xf>
    <x:xf numFmtId="202" fontId="31" fillId="0" borderId="0" xfId="0" applyNumberFormat="1" applyFont="1" applyFill="1" applyBorder="1" applyAlignment="1">
      <x:alignment horizontal="right"/>
    </x:xf>
    <x:xf numFmtId="0" fontId="32" fillId="0" borderId="0" xfId="0" applyNumberFormat="1" applyFont="1" applyFill="1" applyBorder="1"/>
    <x:xf numFmtId="0" fontId="32" fillId="0" borderId="12" xfId="0" applyNumberFormat="1" applyFont="1" applyFill="1" applyBorder="1"/>
    <x:xf numFmtId="0" fontId="32" fillId="0" borderId="13" xfId="0" applyNumberFormat="1" applyFont="1" applyFill="1" applyBorder="1"/>
    <x:xf numFmtId="0" fontId="32" fillId="0" borderId="14" xfId="0" applyNumberFormat="1" applyFont="1" applyFill="1" applyBorder="1"/>
    <x:xf numFmtId="0" fontId="32" fillId="0" borderId="15" xfId="0" applyNumberFormat="1" applyFont="1" applyFill="1" applyBorder="1"/>
    <x:xf numFmtId="0" fontId="32" fillId="0" borderId="16" xfId="0" applyNumberFormat="1" applyFont="1" applyFill="1" applyBorder="1"/>
    <x:xf numFmtId="0" fontId="32" fillId="0" borderId="17" xfId="0" applyNumberFormat="1" applyFont="1" applyFill="1" applyBorder="1"/>
    <x:xf numFmtId="0" fontId="32" fillId="0" borderId="18" xfId="0" applyNumberFormat="1" applyFont="1" applyFill="1" applyBorder="1"/>
    <x:xf numFmtId="0" fontId="32" fillId="0" borderId="19" xfId="0" applyNumberFormat="1" applyFont="1" applyFill="1" applyBorder="1"/>
    <x:xf numFmtId="0" fontId="32" fillId="0" borderId="20" xfId="0" applyNumberFormat="1" applyFont="1" applyFill="1" applyBorder="1"/>
    <x:xf numFmtId="0" fontId="32" fillId="0" borderId="12" xfId="0" applyNumberFormat="1" applyFont="1" applyFill="1" applyBorder="1" applyAlignment="1">
      <x:alignment wrapText="1"/>
    </x:xf>
    <x:xf numFmtId="0" fontId="32" fillId="0" borderId="13" xfId="0" applyNumberFormat="1" applyFont="1" applyFill="1" applyBorder="1" applyAlignment="1">
      <x:alignment wrapText="1"/>
    </x:xf>
    <x:xf numFmtId="0" fontId="32" fillId="0" borderId="14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32" fillId="0" borderId="16" xfId="0" applyNumberFormat="1" applyFont="1" applyFill="1" applyBorder="1" applyAlignment="1">
      <x:alignment wrapText="1"/>
    </x:xf>
    <x:xf numFmtId="0" fontId="32" fillId="0" borderId="17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2" fillId="0" borderId="19" xfId="0" applyNumberFormat="1" applyFont="1" applyFill="1" applyBorder="1" applyAlignment="1">
      <x:alignment wrapText="1"/>
    </x:xf>
    <x:xf numFmtId="0" fontId="32" fillId="0" borderId="20" xfId="0" applyNumberFormat="1" applyFont="1" applyFill="1" applyBorder="1" applyAlignment="1">
      <x:alignment wrapText="1"/>
    </x:xf>
    <x:xf numFmtId="0" fontId="33" fillId="0" borderId="12" xfId="0" applyNumberFormat="1" applyFont="1" applyFill="1" applyBorder="1" applyAlignment="1">
      <x:alignment wrapText="1"/>
    </x:xf>
    <x:xf numFmtId="0" fontId="34" fillId="0" borderId="13" xfId="0" applyNumberFormat="1" applyFont="1" applyFill="1" applyBorder="1" applyAlignment="1">
      <x:alignment wrapText="1"/>
    </x:xf>
    <x:xf numFmtId="0" fontId="35" fillId="0" borderId="13" xfId="0" applyNumberFormat="1" applyFont="1" applyFill="1" applyBorder="1" applyAlignment="1">
      <x:alignment wrapText="1"/>
    </x:xf>
    <x:xf numFmtId="0" fontId="32" fillId="7" borderId="13" xfId="0" applyNumberFormat="1" applyFont="1" applyFill="1" applyBorder="1" applyAlignment="1">
      <x:alignment wrapText="1"/>
    </x:xf>
    <x:xf numFmtId="0" fontId="32" fillId="8" borderId="13" xfId="0" applyNumberFormat="1" applyFont="1" applyFill="1" applyBorder="1" applyAlignment="1">
      <x:alignment wrapText="1"/>
    </x:xf>
    <x:xf numFmtId="0" fontId="32" fillId="8" borderId="1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9F8F"/>
      </x:font>
      <x:fill>
        <x:patternFill patternType="solid">
          <x:bgColor rgb="FFE5F6F3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54a5527fc4312" /><Relationship Type="http://schemas.openxmlformats.org/officeDocument/2006/relationships/theme" Target="/xl/theme/theme1.xml" Id="Rd156f6cf9b5549a3" /><Relationship Type="http://schemas.openxmlformats.org/officeDocument/2006/relationships/sharedStrings" Target="/xl/sharedStrings.xml" Id="Rd1d7648e807845e6" /><Relationship Type="http://schemas.openxmlformats.org/officeDocument/2006/relationships/worksheet" Target="/xl/worksheets/sheet1.xml" Id="Rd88894dbc17b4e04" /><Relationship Type="http://schemas.openxmlformats.org/officeDocument/2006/relationships/worksheet" Target="/xl/worksheets/sheet2.xml" Id="Rba4228e3fef04875" /><Relationship Type="http://schemas.openxmlformats.org/officeDocument/2006/relationships/worksheet" Target="/xl/worksheets/sheet3.xml" Id="Rccd40126c40144f4" /><Relationship Type="http://schemas.openxmlformats.org/officeDocument/2006/relationships/worksheet" Target="/xl/worksheets/sheet4.xml" Id="R2609bc7aac994616" /><Relationship Type="http://schemas.openxmlformats.org/officeDocument/2006/relationships/worksheet" Target="/xl/worksheets/sheet5.xml" Id="Ref48153ceffd4a79" /><Relationship Type="http://schemas.openxmlformats.org/officeDocument/2006/relationships/worksheet" Target="/xl/worksheets/sheet6.xml" Id="Rf1d5418a6b6d4356" /><Relationship Type="http://schemas.openxmlformats.org/officeDocument/2006/relationships/worksheet" Target="/xl/worksheets/sheet7.xml" Id="R5198cc6380474f74" /><Relationship Type="http://schemas.openxmlformats.org/officeDocument/2006/relationships/worksheet" Target="/xl/worksheets/sheet8.xml" Id="R8b88134c847a479f" /><Relationship Type="http://schemas.openxmlformats.org/officeDocument/2006/relationships/worksheet" Target="/xl/worksheets/sheet9.xml" Id="R82e97e52cd9a4d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1a8c6e65bb4a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Buyer standalone vs pro forma adjusted EPS</a:t>
            </a:r>
          </a:p>
        </c:rich>
      </c:tx>
    </c:title>
    <c:plotArea>
      <c:lineChart>
        <c:grouping val="standard"/>
        <c:ser>
          <c:idx val="0"/>
          <c:order val="0"/>
          <c:tx>
            <c:v>Buyer standalone EPS</c:v>
          </c:tx>
          <c:marker>
            <c:symbol val="none"/>
          </c:marker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'Summary'!$B$16:$B$20</c:f>
              <c:numCache>
                <c:formatCode>#,##0.0;(#,##0.0);-</c:formatCode>
                <c:ptCount val="0"/>
              </c:numCache>
            </c:numRef>
          </c:val>
        </c:ser>
        <c:ser>
          <c:idx val="1"/>
          <c:order val="1"/>
          <c:tx>
            <c:v>Pro forma adjusted EPS</c:v>
          </c:tx>
          <c:marker>
            <c:symbol val="none"/>
          </c:marker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'Summary'!$C$16:$C$20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1a8c6e65bb4a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ea1336c5d0b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TDAT FINANCIAL MODELS</x:v>
      </x:c>
      <x:c r="B1" s="3" t="str">
        <x:v>TDAT FINANCIAL MODELS</x:v>
      </x:c>
      <x:c r="C1" s="3" t="str">
        <x:v>TDAT FINANCIAL MODELS</x:v>
      </x:c>
      <x:c r="D1" s="3" t="str">
        <x:v>TDAT FINANCIAL MODELS</x:v>
      </x:c>
      <x:c r="E1" s="3" t="str">
        <x:v>TDAT FINANCIAL MODELS</x:v>
      </x:c>
      <x:c r="F1" s="3" t="str">
        <x:v>TDAT FINANCIAL MODELS</x:v>
      </x:c>
      <x:c r="G1" s="3" t="str">
        <x:v>TDAT FINANCIAL MODELS</x:v>
      </x:c>
      <x:c r="H1" s="3" t="str">
        <x:v>TDAT FINANCIAL MODELS</x:v>
      </x:c>
      <x:c r="I1" s="3" t="str">
        <x:v>TDAT FINANCIAL MODELS</x:v>
      </x:c>
      <x:c r="J1" s="3" t="str">
        <x:v>TDAT FINANCIAL MODELS</x:v>
      </x:c>
    </x:row>
    <x:row r="2" ht="24" customHeight="1">
      <x:c r="A2" s="6" t="str">
        <x:v>TDAT-FM-MA-001  |  Built to flex. Built to tie. Built to trust.</x:v>
      </x:c>
      <x:c r="B2" s="6" t="str">
        <x:v>TDAT-FM-MA-001  |  Built to flex. Built to tie. Built to trust.</x:v>
      </x:c>
      <x:c r="C2" s="6" t="str">
        <x:v>TDAT-FM-MA-001  |  Built to flex. Built to tie. Built to trust.</x:v>
      </x:c>
      <x:c r="D2" s="6" t="str">
        <x:v>TDAT-FM-MA-001  |  Built to flex. Built to tie. Built to trust.</x:v>
      </x:c>
      <x:c r="E2" s="6" t="str">
        <x:v>TDAT-FM-MA-001  |  Built to flex. Built to tie. Built to trust.</x:v>
      </x:c>
      <x:c r="F2" s="6" t="str">
        <x:v>TDAT-FM-MA-001  |  Built to flex. Built to tie. Built to trust.</x:v>
      </x:c>
      <x:c r="G2" s="6" t="str">
        <x:v>TDAT-FM-MA-001  |  Built to flex. Built to tie. Built to trust.</x:v>
      </x:c>
      <x:c r="H2" s="6" t="str">
        <x:v>TDAT-FM-MA-001  |  Built to flex. Built to tie. Built to trust.</x:v>
      </x:c>
      <x:c r="I2" s="6" t="str">
        <x:v>TDAT-FM-MA-001  |  Built to flex. Built to tie. Built to trust.</x:v>
      </x:c>
      <x:c r="J2" s="6" t="str">
        <x:v>TDAT-FM-MA-001  |  Built to flex. Built to tie. Built to trust.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230" t="str">
        <x:v>M&amp;A Accretion / Dilution</x:v>
      </x:c>
      <x:c r="B5" s="230" t="str">
        <x:v>M&amp;A Accretion / Dilution</x:v>
      </x:c>
      <x:c r="C5" s="230" t="str">
        <x:v>M&amp;A Accretion / Dilution</x:v>
      </x:c>
      <x:c r="D5" s="230" t="str">
        <x:v>M&amp;A Accretion / Dilution</x:v>
      </x:c>
      <x:c r="E5" s="230" t="str">
        <x:v>M&amp;A Accretion / Dilution</x:v>
      </x:c>
      <x:c r="F5" s="230" t="str">
        <x:v>M&amp;A Accretion / Dilution</x:v>
      </x:c>
      <x:c r="G5" s="142" t="str">
        <x:v>CALCULATION INTEGRITY</x:v>
      </x:c>
      <x:c r="H5" s="142" t="str">
        <x:v>CALCULATION INTEGRITY</x:v>
      </x:c>
      <x:c r="I5" s="142" t="str">
        <x:v>CALCULATION INTEGRITY</x:v>
      </x:c>
      <x:c r="J5" s="142" t="str">
        <x:v>CALCULATION INTEGRITY</x:v>
      </x:c>
    </x:row>
    <x:row r="6">
      <x:c r="A6" s="230" t="str">
        <x:v>M&amp;A Accretion / Dilution</x:v>
      </x:c>
      <x:c r="B6" s="230" t="str">
        <x:v>M&amp;A Accretion / Dilution</x:v>
      </x:c>
      <x:c r="C6" s="230" t="str">
        <x:v>M&amp;A Accretion / Dilution</x:v>
      </x:c>
      <x:c r="D6" s="230" t="str">
        <x:v>M&amp;A Accretion / Dilution</x:v>
      </x:c>
      <x:c r="E6" s="230" t="str">
        <x:v>M&amp;A Accretion / Dilution</x:v>
      </x:c>
      <x:c r="F6" s="230" t="str">
        <x:v>M&amp;A Accretion / Dilution</x:v>
      </x:c>
      <x:c r="G6" s="233" t="str">
        <x:f>'Checks'!$B$5</x:f>
        <x:v>PASS</x:v>
      </x:c>
      <x:c r="H6" s="233"/>
      <x:c r="I6" s="233"/>
      <x:c r="J6" s="233"/>
    </x:row>
    <x:row r="7">
      <x:c r="A7" s="230" t="str">
        <x:v>M&amp;A Accretion / Dilution</x:v>
      </x:c>
      <x:c r="B7" s="230" t="str">
        <x:v>M&amp;A Accretion / Dilution</x:v>
      </x:c>
      <x:c r="C7" s="230" t="str">
        <x:v>M&amp;A Accretion / Dilution</x:v>
      </x:c>
      <x:c r="D7" s="230" t="str">
        <x:v>M&amp;A Accretion / Dilution</x:v>
      </x:c>
      <x:c r="E7" s="230" t="str">
        <x:v>M&amp;A Accretion / Dilution</x:v>
      </x:c>
      <x:c r="F7" s="230" t="str">
        <x:v>M&amp;A Accretion / Dilution</x:v>
      </x:c>
      <x:c r="G7" s="233"/>
      <x:c r="H7" s="233"/>
      <x:c r="I7" s="233"/>
      <x:c r="J7" s="233"/>
    </x:row>
    <x:row r="9" ht="22" customHeight="1">
      <x:c r="A9" s="9" t="str">
        <x:v>DECISION QUESTION</x:v>
      </x:c>
      <x:c r="B9" s="9" t="str">
        <x:v>DECISION QUESTION</x:v>
      </x:c>
      <x:c r="C9" s="9" t="str">
        <x:v>DECISION QUESTION</x:v>
      </x:c>
      <x:c r="D9" s="9" t="str">
        <x:v>DECISION QUESTION</x:v>
      </x:c>
      <x:c r="E9" s="9" t="str">
        <x:v>DECISION QUESTION</x:v>
      </x:c>
      <x:c r="F9" s="9" t="str">
        <x:v>DECISION QUESTION</x:v>
      </x:c>
      <x:c r="G9" s="9" t="str">
        <x:v>DECISION QUESTION</x:v>
      </x:c>
      <x:c r="H9" s="9" t="str">
        <x:v>DECISION QUESTION</x:v>
      </x:c>
      <x:c r="I9" s="9" t="str">
        <x:v>DECISION QUESTION</x:v>
      </x:c>
      <x:c r="J9" s="9" t="str">
        <x:v>DECISION QUESTION</x:v>
      </x:c>
    </x:row>
    <x:row r="10">
      <x:c r="A10" s="237" t="str">
        <x:v>Does the transaction create or dilute earnings, and which funding or synergy assumptions matter most?</x:v>
      </x:c>
      <x:c r="B10" s="237" t="str">
        <x:v>Does the transaction create or dilute earnings, and which funding or synergy assumptions matter most?</x:v>
      </x:c>
      <x:c r="C10" s="237" t="str">
        <x:v>Does the transaction create or dilute earnings, and which funding or synergy assumptions matter most?</x:v>
      </x:c>
      <x:c r="D10" s="237" t="str">
        <x:v>Does the transaction create or dilute earnings, and which funding or synergy assumptions matter most?</x:v>
      </x:c>
      <x:c r="E10" s="237" t="str">
        <x:v>Does the transaction create or dilute earnings, and which funding or synergy assumptions matter most?</x:v>
      </x:c>
      <x:c r="F10" s="237" t="str">
        <x:v>Does the transaction create or dilute earnings, and which funding or synergy assumptions matter most?</x:v>
      </x:c>
      <x:c r="G10" s="237" t="str">
        <x:v>Does the transaction create or dilute earnings, and which funding or synergy assumptions matter most?</x:v>
      </x:c>
      <x:c r="H10" s="237" t="str">
        <x:v>Does the transaction create or dilute earnings, and which funding or synergy assumptions matter most?</x:v>
      </x:c>
      <x:c r="I10" s="237" t="str">
        <x:v>Does the transaction create or dilute earnings, and which funding or synergy assumptions matter most?</x:v>
      </x:c>
      <x:c r="J10" s="237" t="str">
        <x:v>Does the transaction create or dilute earnings, and which funding or synergy assumptions matter most?</x:v>
      </x:c>
    </x:row>
    <x:row r="11">
      <x:c r="A11" s="237" t="str">
        <x:v>Does the transaction create or dilute earnings, and which funding or synergy assumptions matter most?</x:v>
      </x:c>
      <x:c r="B11" s="237" t="str">
        <x:v>Does the transaction create or dilute earnings, and which funding or synergy assumptions matter most?</x:v>
      </x:c>
      <x:c r="C11" s="237" t="str">
        <x:v>Does the transaction create or dilute earnings, and which funding or synergy assumptions matter most?</x:v>
      </x:c>
      <x:c r="D11" s="237" t="str">
        <x:v>Does the transaction create or dilute earnings, and which funding or synergy assumptions matter most?</x:v>
      </x:c>
      <x:c r="E11" s="237" t="str">
        <x:v>Does the transaction create or dilute earnings, and which funding or synergy assumptions matter most?</x:v>
      </x:c>
      <x:c r="F11" s="237" t="str">
        <x:v>Does the transaction create or dilute earnings, and which funding or synergy assumptions matter most?</x:v>
      </x:c>
      <x:c r="G11" s="237" t="str">
        <x:v>Does the transaction create or dilute earnings, and which funding or synergy assumptions matter most?</x:v>
      </x:c>
      <x:c r="H11" s="237" t="str">
        <x:v>Does the transaction create or dilute earnings, and which funding or synergy assumptions matter most?</x:v>
      </x:c>
      <x:c r="I11" s="237" t="str">
        <x:v>Does the transaction create or dilute earnings, and which funding or synergy assumptions matter most?</x:v>
      </x:c>
      <x:c r="J11" s="237" t="str">
        <x:v>Does the transaction create or dilute earnings, and which funding or synergy assumptions matter most?</x:v>
      </x:c>
    </x:row>
    <x:row r="13" ht="22" customHeight="1">
      <x:c r="A13" s="9" t="str">
        <x:v>FIRST READ</x:v>
      </x:c>
      <x:c r="B13" s="9" t="str">
        <x:v>FIRST READ</x:v>
      </x:c>
      <x:c r="C13" s="9" t="str">
        <x:v>FIRST READ</x:v>
      </x:c>
      <x:c r="D13" s="9" t="str">
        <x:v>FIRST READ</x:v>
      </x:c>
      <x:c r="E13" s="9" t="str">
        <x:v>FIRST READ</x:v>
      </x:c>
      <x:c r="F13" s="9" t="str">
        <x:v>FIRST READ</x:v>
      </x:c>
      <x:c r="G13" s="9" t="str">
        <x:v>FIRST READ</x:v>
      </x:c>
      <x:c r="H13" s="9" t="str">
        <x:v>FIRST READ</x:v>
      </x:c>
      <x:c r="I13" s="9" t="str">
        <x:v>FIRST READ</x:v>
      </x:c>
      <x:c r="J13" s="9" t="str">
        <x:v>FIRST READ</x:v>
      </x:c>
    </x:row>
    <x:row r="14">
      <x:c r="A14" s="238" t="str">
        <x:v>Calculation integrity</x:v>
      </x:c>
      <x:c r="B14" s="239" t="str">
        <x:v>Decision readiness</x:v>
      </x:c>
      <x:c r="C14" s="244" t="str">
        <x:f>'Checks'!$B$5</x:f>
        <x:v>PASS</x:v>
      </x:c>
      <x:c r="D14" s="244"/>
      <x:c r="E14" s="244"/>
      <x:c r="F14" s="259" t="str">
        <x:v>TEMPLATE — VALIDATE INPUTS</x:v>
      </x:c>
      <x:c r="G14" s="259" t="str">
        <x:v>TEMPLATE — VALIDATE INPUTS</x:v>
      </x:c>
      <x:c r="H14" s="259" t="str">
        <x:v>TEMPLATE — VALIDATE INPUTS</x:v>
      </x:c>
      <x:c r="I14" s="259" t="str">
        <x:v>TEMPLATE — VALIDATE INPUTS</x:v>
      </x:c>
      <x:c r="J14" s="260" t="str">
        <x:v>TEMPLATE — VALIDATE INPUTS</x:v>
      </x:c>
    </x:row>
    <x:row r="15">
      <x:c r="A15" s="240" t="str">
        <x:v>Published checks</x:v>
      </x:c>
      <x:c r="B15" s="241" t="str">
        <x:v>Template posture</x:v>
      </x:c>
      <x:c r="C15" s="245" t="str">
        <x:f>"9 / 9 PASS"</x:f>
        <x:v>9 / 9 PASS</x:v>
      </x:c>
      <x:c r="D15" s="245"/>
      <x:c r="E15" s="245"/>
      <x:c r="F15" s="261" t="str">
        <x:v>Illustrative, screen-grade worked example</x:v>
      </x:c>
      <x:c r="G15" s="261" t="str">
        <x:v>Illustrative, screen-grade worked example</x:v>
      </x:c>
      <x:c r="H15" s="261" t="str">
        <x:v>Illustrative, screen-grade worked example</x:v>
      </x:c>
      <x:c r="I15" s="261" t="str">
        <x:v>Illustrative, screen-grade worked example</x:v>
      </x:c>
      <x:c r="J15" s="262" t="str">
        <x:v>Illustrative, screen-grade worked example</x:v>
      </x:c>
    </x:row>
    <x:row r="16">
      <x:c r="A16" s="240" t="str">
        <x:v>Scenario</x:v>
      </x:c>
      <x:c r="B16" s="241" t="str">
        <x:v>Evidence</x:v>
      </x:c>
      <x:c r="C16" s="245" t="str">
        <x:f>'Assumptions'!$B$3</x:f>
        <x:v>Base</x:v>
      </x:c>
      <x:c r="D16" s="245"/>
      <x:c r="E16" s="245"/>
      <x:c r="F16" s="261" t="str">
        <x:v>Synthetic / illustrative</x:v>
      </x:c>
      <x:c r="G16" s="261" t="str">
        <x:v>Synthetic / illustrative</x:v>
      </x:c>
      <x:c r="H16" s="261" t="str">
        <x:v>Synthetic / illustrative</x:v>
      </x:c>
      <x:c r="I16" s="261" t="str">
        <x:v>Synthetic / illustrative</x:v>
      </x:c>
      <x:c r="J16" s="262" t="str">
        <x:v>Synthetic / illustrative</x:v>
      </x:c>
    </x:row>
    <x:row r="17">
      <x:c r="A17" s="242" t="str">
        <x:v>Owner</x:v>
      </x:c>
      <x:c r="B17" s="243" t="str">
        <x:v>Use</x:v>
      </x:c>
      <x:c r="C17" s="246" t="str">
        <x:f>'Sources &amp; Version'!$B$12</x:f>
        <x:v>Truong Dinh Anh Tu</x:v>
      </x:c>
      <x:c r="D17" s="246"/>
      <x:c r="E17" s="246"/>
      <x:c r="F17" s="263" t="str">
        <x:v>Investment Banking · M&amp;A Advisory · Corporate Development</x:v>
      </x:c>
      <x:c r="G17" s="263" t="str">
        <x:v>Investment Banking · M&amp;A Advisory · Corporate Development</x:v>
      </x:c>
      <x:c r="H17" s="263" t="str">
        <x:v>Investment Banking · M&amp;A Advisory · Corporate Development</x:v>
      </x:c>
      <x:c r="I17" s="263" t="str">
        <x:v>Investment Banking · M&amp;A Advisory · Corporate Development</x:v>
      </x:c>
      <x:c r="J17" s="264" t="str">
        <x:v>Investment Banking · M&amp;A Advisory · Corporate Development</x:v>
      </x:c>
    </x:row>
    <x:row r="19" ht="22" customHeight="1">
      <x:c r="A19" s="9" t="str">
        <x:v>MODEL IDENTITY</x:v>
      </x:c>
      <x:c r="B19" s="9" t="str">
        <x:v>MODEL IDENTITY</x:v>
      </x:c>
      <x:c r="C19" s="9" t="str">
        <x:v>MODEL IDENTITY</x:v>
      </x:c>
      <x:c r="D19" s="9" t="str">
        <x:v>MODEL IDENTITY</x:v>
      </x:c>
      <x:c r="E19" s="9" t="str">
        <x:v>MODEL IDENTITY</x:v>
      </x:c>
      <x:c r="F19" s="9" t="str">
        <x:v>MODEL IDENTITY</x:v>
      </x:c>
      <x:c r="G19" s="9" t="str">
        <x:v>KEY OUTPUTS</x:v>
      </x:c>
      <x:c r="H19" s="9" t="str">
        <x:v>KEY OUTPUTS</x:v>
      </x:c>
      <x:c r="I19" s="9" t="str">
        <x:v>KEY OUTPUTS</x:v>
      </x:c>
      <x:c r="J19" s="9" t="str">
        <x:v>KEY OUTPUTS</x:v>
      </x:c>
    </x:row>
    <x:row r="20">
      <x:c r="A20" s="219" t="str">
        <x:v>Model ID</x:v>
      </x:c>
      <x:c r="B20" s="155" t="str">
        <x:v>TDAT-FM-MA-001</x:v>
      </x:c>
      <x:c r="C20" s="221" t="str">
        <x:v>Version</x:v>
      </x:c>
      <x:c r="D20" s="155" t="str">
        <x:v>1.0.0</x:v>
      </x:c>
      <x:c r="E20" s="221" t="str">
        <x:v>Last QA</x:v>
      </x:c>
      <x:c r="F20" s="156" t="str">
        <x:v>2026-07-13</x:v>
      </x:c>
      <x:c r="G20" s="268" t="str">
        <x:v>Year-one A/D</x:v>
      </x:c>
      <x:c r="H20" s="268" t="str">
        <x:v>Year-one A/D</x:v>
      </x:c>
      <x:c r="I20" s="269" t="n">
        <x:f>'Accretion Dilution'!B$20</x:f>
        <x:v>-0.057961882092083084</x:v>
      </x:c>
      <x:c r="J20" s="269"/>
    </x:row>
    <x:row r="21">
      <x:c r="A21" s="266" t="str">
        <x:v>Domain</x:v>
      </x:c>
      <x:c r="B21" s="158" t="str">
        <x:v>Valuation &amp; Transactions</x:v>
      </x:c>
      <x:c r="C21" s="267" t="str">
        <x:v>Compatibility</x:v>
      </x:c>
      <x:c r="D21" s="158" t="str">
        <x:v>Excel 365</x:v>
      </x:c>
      <x:c r="E21" s="267" t="str">
        <x:v>Macros</x:v>
      </x:c>
      <x:c r="F21" s="159" t="str">
        <x:v>None</x:v>
      </x:c>
      <x:c r="G21" s="268" t="str">
        <x:v>Year-five A/D</x:v>
      </x:c>
      <x:c r="H21" s="268" t="str">
        <x:v>Year-five A/D</x:v>
      </x:c>
      <x:c r="I21" s="269" t="n">
        <x:f>'Accretion Dilution'!F$20</x:f>
        <x:v>0.08937203388577619</x:v>
      </x:c>
      <x:c r="J21" s="269"/>
    </x:row>
    <x:row r="22">
      <x:c r="A22" s="266" t="str">
        <x:v>Horizon</x:v>
      </x:c>
      <x:c r="B22" s="158" t="str">
        <x:v>3–5 years</x:v>
      </x:c>
      <x:c r="C22" s="267" t="str">
        <x:v>Frequency</x:v>
      </x:c>
      <x:c r="D22" s="158" t="str">
        <x:v>Annual</x:v>
      </x:c>
      <x:c r="E22" s="267" t="str">
        <x:v>External links</x:v>
      </x:c>
      <x:c r="F22" s="159" t="str">
        <x:v>None</x:v>
      </x:c>
      <x:c r="G22" s="268" t="str">
        <x:v>Purchase equity value</x:v>
      </x:c>
      <x:c r="H22" s="268" t="str">
        <x:v>Purchase equity value</x:v>
      </x:c>
      <x:c r="I22" s="270" t="n">
        <x:f>'Accretion Dilution'!F$6</x:f>
        <x:v>720</x:v>
      </x:c>
      <x:c r="J22" s="270"/>
    </x:row>
    <x:row r="23">
      <x:c r="A23" s="266" t="str">
        <x:v>Currency</x:v>
      </x:c>
      <x:c r="B23" s="158" t="str">
        <x:v>LCY</x:v>
      </x:c>
      <x:c r="C23" s="267" t="str">
        <x:v>Units</x:v>
      </x:c>
      <x:c r="D23" s="158" t="str">
        <x:v>LCY millions / shares millions</x:v>
      </x:c>
      <x:c r="E23" s="267" t="str">
        <x:v>Scenario</x:v>
      </x:c>
      <x:c r="F23" s="159" t="str">
        <x:v>Base / Upside / Downside</x:v>
      </x:c>
      <x:c r="G23" s="268" t="str">
        <x:v>New shares issued</x:v>
      </x:c>
      <x:c r="H23" s="268" t="str">
        <x:v>New shares issued</x:v>
      </x:c>
      <x:c r="I23" s="271" t="n">
        <x:f>'Accretion Dilution'!F$9</x:f>
        <x:v>11.52</x:v>
      </x:c>
      <x:c r="J23" s="271"/>
    </x:row>
    <x:row r="24">
      <x:c r="A24" s="220" t="str">
        <x:v>Owner</x:v>
      </x:c>
      <x:c r="B24" s="161" t="str">
        <x:v>Truong Dinh Anh Tu</x:v>
      </x:c>
      <x:c r="C24" s="222" t="str">
        <x:v>Standard</x:v>
      </x:c>
      <x:c r="D24" s="161" t="str">
        <x:v>TDAT Model Standard 1.0</x:v>
      </x:c>
      <x:c r="E24" s="222" t="str">
        <x:v>Evidence</x:v>
      </x:c>
      <x:c r="F24" s="162" t="str">
        <x:v>Synthetic worked template</x:v>
      </x:c>
      <x:c r="G24" s="268" t="str">
        <x:v>Buyer ownership</x:v>
      </x:c>
      <x:c r="H24" s="268" t="str">
        <x:v>Buyer ownership</x:v>
      </x:c>
      <x:c r="I24" s="269" t="n">
        <x:f>'Accretion Dilution'!F$21</x:f>
        <x:v>0.8985200845665963</x:v>
      </x:c>
      <x:c r="J24" s="269"/>
    </x:row>
    <x:row r="26" ht="22" customHeight="1">
      <x:c r="A26" s="9" t="str">
        <x:v>CELL COLOR LEGEND</x:v>
      </x:c>
      <x:c r="B26" s="9" t="str">
        <x:v>CELL COLOR LEGEND</x:v>
      </x:c>
      <x:c r="C26" s="9" t="str">
        <x:v>CELL COLOR LEGEND</x:v>
      </x:c>
      <x:c r="D26" s="9" t="str">
        <x:v>CELL COLOR LEGEND</x:v>
      </x:c>
      <x:c r="E26" s="9" t="str">
        <x:v>CELL COLOR LEGEND</x:v>
      </x:c>
      <x:c r="F26" s="9" t="str">
        <x:v>CELL COLOR LEGEND</x:v>
      </x:c>
      <x:c r="G26" s="9" t="str">
        <x:v>CELL COLOR LEGEND</x:v>
      </x:c>
      <x:c r="H26" s="9" t="str">
        <x:v>CELL COLOR LEGEND</x:v>
      </x:c>
      <x:c r="I26" s="9" t="str">
        <x:v>CELL COLOR LEGEND</x:v>
      </x:c>
      <x:c r="J26" s="9" t="str">
        <x:v>CELL COLOR LEGEND</x:v>
      </x:c>
    </x:row>
    <x:row r="27">
      <x:c r="A27" s="291" t="str">
        <x:v>Blue font</x:v>
      </x:c>
      <x:c r="B27" s="283" t="str">
        <x:v>Editable hardcode</x:v>
      </x:c>
      <x:c r="C27" s="292" t="str">
        <x:v>Black font</x:v>
      </x:c>
      <x:c r="D27" s="283" t="str">
        <x:v>In-sheet formula</x:v>
      </x:c>
      <x:c r="E27" s="293" t="str">
        <x:v>Green font</x:v>
      </x:c>
      <x:c r="F27" s="283" t="str">
        <x:v>Cross-sheet formula</x:v>
      </x:c>
      <x:c r="G27" s="294" t="str">
        <x:v>Pale amber</x:v>
      </x:c>
      <x:c r="H27" s="294" t="str">
        <x:v>Scenario / review cue</x:v>
      </x:c>
      <x:c r="I27" s="295" t="str">
        <x:v>Teal</x:v>
      </x:c>
      <x:c r="J27" s="296" t="str">
        <x:v>PASS / trusted output</x:v>
      </x:c>
    </x:row>
    <x:row r="28">
      <x:c r="A28" s="285" t="str">
        <x:v>Actual</x:v>
      </x:c>
      <x:c r="B28" s="286" t="str">
        <x:v>Neutral period band</x:v>
      </x:c>
      <x:c r="C28" s="286" t="str">
        <x:v>Forecast</x:v>
      </x:c>
      <x:c r="D28" s="286" t="str">
        <x:v>Pale-blue period band</x:v>
      </x:c>
      <x:c r="E28" s="286" t="str">
        <x:v>Zero</x:v>
      </x:c>
      <x:c r="F28" s="286" t="str">
        <x:v>Displayed as an en dash</x:v>
      </x:c>
      <x:c r="G28" s="286" t="str">
        <x:v>Rule</x:v>
      </x:c>
      <x:c r="H28" s="286" t="str">
        <x:v>Keep formulas copy-across</x:v>
      </x:c>
      <x:c r="I28" s="286" t="str">
        <x:v>Rule</x:v>
      </x:c>
      <x:c r="J28" s="287" t="str">
        <x:v>Recheck after every change</x:v>
      </x:c>
    </x:row>
    <x:row r="29">
      <x:c r="A29" s="288" t="str">
        <x:v>Status</x:v>
      </x:c>
      <x:c r="B29" s="289" t="str">
        <x:v>PASS means controls tie</x:v>
      </x:c>
      <x:c r="C29" s="289" t="str">
        <x:v>Readiness</x:v>
      </x:c>
      <x:c r="D29" s="289" t="str">
        <x:v>Inputs still require review</x:v>
      </x:c>
      <x:c r="E29" s="289" t="str">
        <x:v>Privacy</x:v>
      </x:c>
      <x:c r="F29" s="289" t="str">
        <x:v>Public-safe example</x:v>
      </x:c>
      <x:c r="G29" s="289" t="str">
        <x:v>Use</x:v>
      </x:c>
      <x:c r="H29" s="289" t="str">
        <x:v>Adapt and validate</x:v>
      </x:c>
      <x:c r="I29" s="289" t="str">
        <x:v>Support</x:v>
      </x:c>
      <x:c r="J29" s="290" t="str">
        <x:v>Model notes + web guide</x:v>
      </x:c>
    </x:row>
    <x:row r="31">
      <x:c r="A31" s="42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1" s="44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2">
      <x:c r="A32" s="45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2" s="47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3">
      <x:c r="A33" s="48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3" s="50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5">
      <x:c r="A35" s="53" t="str">
        <x:v>TDAT Model Library  |  Trust builds the brand. Insight builds the decision.</x:v>
      </x:c>
      <x:c r="B35" s="53" t="str">
        <x:v>TDAT Model Library  |  Trust builds the brand. Insight builds the decision.</x:v>
      </x:c>
      <x:c r="C35" s="53" t="str">
        <x:v>TDAT Model Library  |  Trust builds the brand. Insight builds the decision.</x:v>
      </x:c>
      <x:c r="D35" s="53" t="str">
        <x:v>TDAT Model Library  |  Trust builds the brand. Insight builds the decision.</x:v>
      </x:c>
      <x:c r="E35" s="53" t="str">
        <x:v>TDAT Model Library  |  Trust builds the brand. Insight builds the decision.</x:v>
      </x:c>
      <x:c r="F35" s="53" t="str">
        <x:v>TDAT Model Library  |  Trust builds the brand. Insight builds the decision.</x:v>
      </x:c>
      <x:c r="G35" s="53" t="str">
        <x:v>TDAT Model Library  |  Trust builds the brand. Insight builds the decision.</x:v>
      </x:c>
      <x:c r="H35" s="53" t="str">
        <x:v>TDAT Model Library  |  Trust builds the brand. Insight builds the decision.</x:v>
      </x:c>
      <x:c r="I35" s="53" t="str">
        <x:v>TDAT Model Library  |  Trust builds the brand. Insight builds the decision.</x:v>
      </x:c>
      <x:c r="J35" s="53" t="str">
        <x:v>TDAT Model Library  |  Trust builds the brand. Insight builds the decision.</x:v>
      </x:c>
    </x:row>
  </x:sheetData>
  <x:mergeCells>
    <x:mergeCell ref="A1:J1"/>
    <x:mergeCell ref="A2:J2"/>
    <x:mergeCell ref="A5:F7"/>
    <x:mergeCell ref="G5:J5"/>
    <x:mergeCell ref="G6:J7"/>
    <x:mergeCell ref="A9:J9"/>
    <x:mergeCell ref="A10:J11"/>
    <x:mergeCell ref="A13:J13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A19:J19"/>
    <x:mergeCell ref="G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A26:J26"/>
    <x:mergeCell ref="A31:J33"/>
    <x:mergeCell ref="A35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MODEL GUIDE</x:v>
      </x:c>
      <x:c r="B1" s="3" t="str">
        <x:v>MODEL GUIDE</x:v>
      </x:c>
      <x:c r="C1" s="3" t="str">
        <x:v>MODEL GUIDE</x:v>
      </x:c>
      <x:c r="D1" s="3" t="str">
        <x:v>MODEL GUIDE</x:v>
      </x:c>
      <x:c r="E1" s="3" t="str">
        <x:v>MODEL GUIDE</x:v>
      </x:c>
      <x:c r="F1" s="3" t="str">
        <x:v>MODEL GUIDE</x:v>
      </x:c>
      <x:c r="G1" s="3" t="str">
        <x:v>MODEL GUIDE</x:v>
      </x:c>
      <x:c r="H1" s="3" t="str">
        <x:v>MODEL GUIDE</x:v>
      </x:c>
      <x:c r="I1" s="3" t="str">
        <x:v>MODEL GUIDE</x:v>
      </x:c>
      <x:c r="J1" s="3" t="str">
        <x:v>MODEL GUIDE</x:v>
      </x:c>
    </x:row>
    <x:row r="2" ht="24" customHeight="1">
      <x:c r="A2" s="6" t="str">
        <x:v>M&amp;A Accretion / Dilution  |  Scope, setup, flexibility, and limitations</x:v>
      </x:c>
      <x:c r="B2" s="6" t="str">
        <x:v>M&amp;A Accretion / Dilution  |  Scope, setup, flexibility, and limitations</x:v>
      </x:c>
      <x:c r="C2" s="6" t="str">
        <x:v>M&amp;A Accretion / Dilution  |  Scope, setup, flexibility, and limitations</x:v>
      </x:c>
      <x:c r="D2" s="6" t="str">
        <x:v>M&amp;A Accretion / Dilution  |  Scope, setup, flexibility, and limitations</x:v>
      </x:c>
      <x:c r="E2" s="6" t="str">
        <x:v>M&amp;A Accretion / Dilution  |  Scope, setup, flexibility, and limitations</x:v>
      </x:c>
      <x:c r="F2" s="6" t="str">
        <x:v>M&amp;A Accretion / Dilution  |  Scope, setup, flexibility, and limitations</x:v>
      </x:c>
      <x:c r="G2" s="6" t="str">
        <x:v>M&amp;A Accretion / Dilution  |  Scope, setup, flexibility, and limitations</x:v>
      </x:c>
      <x:c r="H2" s="6" t="str">
        <x:v>M&amp;A Accretion / Dilution  |  Scope, setup, flexibility, and limitations</x:v>
      </x:c>
      <x:c r="I2" s="6" t="str">
        <x:v>M&amp;A Accretion / Dilution  |  Scope, setup, flexibility, and limitations</x:v>
      </x:c>
      <x:c r="J2" s="6" t="str">
        <x:v>M&amp;A Accretion / Dilution  |  Scope, setup, flexibility, and limitations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PURPOSE AND USERS</x:v>
      </x:c>
      <x:c r="B5" s="9" t="str">
        <x:v>PURPOSE AND USERS</x:v>
      </x:c>
      <x:c r="C5" s="9" t="str">
        <x:v>PURPOSE AND USERS</x:v>
      </x:c>
      <x:c r="D5" s="9" t="str">
        <x:v>PURPOSE AND USERS</x:v>
      </x:c>
      <x:c r="E5" s="9" t="str">
        <x:v>PURPOSE AND USERS</x:v>
      </x:c>
      <x:c r="F5" s="9" t="str">
        <x:v>PURPOSE AND USERS</x:v>
      </x:c>
      <x:c r="G5" s="9" t="str">
        <x:v>PURPOSE AND USERS</x:v>
      </x:c>
      <x:c r="H5" s="9" t="str">
        <x:v>PURPOSE AND USERS</x:v>
      </x:c>
      <x:c r="I5" s="9" t="str">
        <x:v>PURPOSE AND USERS</x:v>
      </x:c>
      <x:c r="J5" s="9" t="str">
        <x:v>PURPOSE AND USERS</x:v>
      </x:c>
    </x:row>
    <x:row r="6">
      <x:c r="A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B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C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D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E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F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G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H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I6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J6" s="12" t="str">
        <x:v>Purchase price, funding mix, transaction adjustments, synergies, new share count, and EPS impact.
Primary users: Investment Banking, M&amp;A Advisory, Corporate Development. Typical use: Deal impact, Funding mix, Synergies.</x:v>
      </x:c>
    </x:row>
    <x:row r="7">
      <x:c r="A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B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C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D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E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F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G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H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I7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J7" s="12" t="str">
        <x:v>Purchase price, funding mix, transaction adjustments, synergies, new share count, and EPS impact.
Primary users: Investment Banking, M&amp;A Advisory, Corporate Development. Typical use: Deal impact, Funding mix, Synergies.</x:v>
      </x:c>
    </x:row>
    <x:row r="8">
      <x:c r="A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B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C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D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E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F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G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H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I8" s="12" t="str">
        <x:v>Purchase price, funding mix, transaction adjustments, synergies, new share count, and EPS impact.
Primary users: Investment Banking, M&amp;A Advisory, Corporate Development. Typical use: Deal impact, Funding mix, Synergies.</x:v>
      </x:c>
      <x:c r="J8" s="12" t="str">
        <x:v>Purchase price, funding mix, transaction adjustments, synergies, new share count, and EPS impact.
Primary users: Investment Banking, M&amp;A Advisory, Corporate Development. Typical use: Deal impact, Funding mix, Synergies.</x:v>
      </x:c>
    </x:row>
    <x:row r="10" ht="22" customHeight="1">
      <x:c r="A10" s="9" t="str">
        <x:v>QUICK START</x:v>
      </x:c>
      <x:c r="B10" s="9" t="str">
        <x:v>QUICK START</x:v>
      </x:c>
      <x:c r="C10" s="9" t="str">
        <x:v>QUICK START</x:v>
      </x:c>
      <x:c r="D10" s="9" t="str">
        <x:v>QUICK START</x:v>
      </x:c>
      <x:c r="E10" s="9" t="str">
        <x:v>QUICK START</x:v>
      </x:c>
      <x:c r="F10" s="9" t="str">
        <x:v>QUICK START</x:v>
      </x:c>
      <x:c r="G10" s="9" t="str">
        <x:v>QUICK START</x:v>
      </x:c>
      <x:c r="H10" s="9" t="str">
        <x:v>QUICK START</x:v>
      </x:c>
      <x:c r="I10" s="9" t="str">
        <x:v>QUICK START</x:v>
      </x:c>
      <x:c r="J10" s="9" t="str">
        <x:v>QUICK START</x:v>
      </x:c>
    </x:row>
    <x:row r="11" ht="30" customHeight="1">
      <x:c r="A11" s="14" t="str">
        <x:v>01</x:v>
      </x:c>
      <x:c r="B11" s="15" t="str">
        <x:v>Confirm the decision</x:v>
      </x:c>
      <x:c r="C11" s="17" t="str">
        <x:v>Does the transaction create or dilute earnings, and which funding or synergy assumptions matter most?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0" customHeight="1">
      <x:c r="A12" s="14" t="str">
        <x:v>02</x:v>
      </x:c>
      <x:c r="B12" s="15" t="str">
        <x:v>Set model controls</x:v>
      </x:c>
      <x:c r="C12" s="17" t="str">
        <x:v>Select Base, Upside, or Downside; confirm currency, units, horizon, and calculation method.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0" customHeight="1">
      <x:c r="A13" s="14" t="str">
        <x:v>03</x:v>
      </x:c>
      <x:c r="B13" s="15" t="str">
        <x:v>Replace blue inputs</x:v>
      </x:c>
      <x:c r="C13" s="17" t="str">
        <x:v>Update the synthetic values on Deal Inputs and the scenario drivers on Assumptions.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0" customHeight="1">
      <x:c r="A14" s="14" t="str">
        <x:v>04</x:v>
      </x:c>
      <x:c r="B14" s="15" t="str">
        <x:v>Review the engine</x:v>
      </x:c>
      <x:c r="C14" s="17" t="str">
        <x:v>Trace the calculations on Accretion Dilution; challenge definitions, signs, timing, and edge cases.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0" customHeight="1">
      <x:c r="A15" s="14" t="str">
        <x:v>05</x:v>
      </x:c>
      <x:c r="B15" s="15" t="str">
        <x:v>Use the summary</x:v>
      </x:c>
      <x:c r="C15" s="17" t="str">
        <x:v>Read headline outputs, sensitivities, breakpoints, and the owner/action prompts.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0" customHeight="1">
      <x:c r="A16" s="14" t="str">
        <x:v>06</x:v>
      </x:c>
      <x:c r="B16" s="15" t="str">
        <x:v>Resolve Checks</x:v>
      </x:c>
      <x:c r="C16" s="17" t="str">
        <x:v>Do not rely on the output until every published control passes and source readiness is reviewed.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8" ht="22" customHeight="1">
      <x:c r="A18" s="9" t="str">
        <x:v>WORKBOOK MAP</x:v>
      </x:c>
      <x:c r="B18" s="9" t="str">
        <x:v>WORKBOOK MAP</x:v>
      </x:c>
      <x:c r="C18" s="9" t="str">
        <x:v>WORKBOOK MAP</x:v>
      </x:c>
      <x:c r="D18" s="9" t="str">
        <x:v>WORKBOOK MAP</x:v>
      </x:c>
      <x:c r="E18" s="9" t="str">
        <x:v>WORKBOOK MAP</x:v>
      </x:c>
      <x:c r="F18" s="9" t="str">
        <x:v>WORKBOOK MAP</x:v>
      </x:c>
      <x:c r="G18" s="9" t="str">
        <x:v>WORKBOOK MAP</x:v>
      </x:c>
      <x:c r="H18" s="9" t="str">
        <x:v>WORKBOOK MAP</x:v>
      </x:c>
      <x:c r="I18" s="9" t="str">
        <x:v>WORKBOOK MAP</x:v>
      </x:c>
      <x:c r="J18" s="9" t="str">
        <x:v>WORKBOOK MAP</x:v>
      </x:c>
    </x:row>
    <x:row r="19">
      <x:c r="A19" s="19" t="str">
        <x:v>Cover</x:v>
      </x:c>
      <x:c r="B19" s="17" t="str">
        <x:v>First-read status, model identity, key outputs, readiness, and cell-color legend.</x:v>
      </x:c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>
      <x:c r="A20" s="19" t="str">
        <x:v>Guide</x:v>
      </x:c>
      <x:c r="B20" s="17" t="str">
        <x:v>Purpose, quick start, workbook map, flexibility rules, Q&amp;A, and limitations.</x:v>
      </x:c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>
      <x:c r="A21" s="19" t="str">
        <x:v>Assumptions</x:v>
      </x:c>
      <x:c r="B21" s="17" t="str">
        <x:v>Base, Upside, Downside, selector, units, and selected driver values.</x:v>
      </x:c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>
      <x:c r="A22" s="19" t="str">
        <x:v>Deal Inputs</x:v>
      </x:c>
      <x:c r="B22" s="17" t="str">
        <x:v>Synthetic worked source inputs. Replace blue cells and keep the layout or extend it carefully.</x:v>
      </x:c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9" t="str">
        <x:v>Accretion Dilution</x:v>
      </x:c>
      <x:c r="B23" s="17" t="str">
        <x:v>Formula-driven calculations and core finance mechanics.</x:v>
      </x:c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9" t="str">
        <x:v>Sensitivity</x:v>
      </x:c>
      <x:c r="B24" s="17" t="str">
        <x:v>Offer price change × Synergy realization recalculation of Year-one adjusted EPS accretion / dilution.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9" t="str">
        <x:v>Summary</x:v>
      </x:c>
      <x:c r="B25" s="17" t="str">
        <x:v>Decision KPIs, trend, scenario, status, management questions, and next actions.</x:v>
      </x:c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9" t="str">
        <x:v>Checks</x:v>
      </x:c>
      <x:c r="B26" s="17" t="str">
        <x:v>One assertion per row with actual, expected, difference, tolerance, status, and fix location.</x:v>
      </x:c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9" t="str">
        <x:v>Sources &amp; Version</x:v>
      </x:c>
      <x:c r="B27" s="17" t="str">
        <x:v>Source/assumption register, release facts, version history, distribution and privacy notes.</x:v>
      </x:c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9" ht="22" customHeight="1">
      <x:c r="A29" s="9" t="str">
        <x:v>PRACTICAL Q&amp;A</x:v>
      </x:c>
      <x:c r="B29" s="9" t="str">
        <x:v>PRACTICAL Q&amp;A</x:v>
      </x:c>
      <x:c r="C29" s="9" t="str">
        <x:v>PRACTICAL Q&amp;A</x:v>
      </x:c>
      <x:c r="D29" s="9" t="str">
        <x:v>PRACTICAL Q&amp;A</x:v>
      </x:c>
      <x:c r="E29" s="9" t="str">
        <x:v>PRACTICAL Q&amp;A</x:v>
      </x:c>
      <x:c r="F29" s="9" t="str">
        <x:v>PRACTICAL Q&amp;A</x:v>
      </x:c>
      <x:c r="G29" s="9" t="str">
        <x:v>PRACTICAL Q&amp;A</x:v>
      </x:c>
      <x:c r="H29" s="9" t="str">
        <x:v>PRACTICAL Q&amp;A</x:v>
      </x:c>
      <x:c r="I29" s="9" t="str">
        <x:v>PRACTICAL Q&amp;A</x:v>
      </x:c>
      <x:c r="J29" s="9" t="str">
        <x:v>PRACTICAL Q&amp;A</x:v>
      </x:c>
    </x:row>
    <x:row r="30" ht="34" customHeight="1">
      <x:c r="A30" s="22" t="str">
        <x:v>What should I replace first?</x:v>
      </x:c>
      <x:c r="B30" s="17" t="str">
        <x:v>Replace blue cells on Deal Inputs, then review scenario drivers and selected values on Assumptions.</x:v>
      </x:c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4" customHeight="1">
      <x:c r="A31" s="22" t="str">
        <x:v>How do I flex the template?</x:v>
      </x:c>
      <x:c r="B31" s="17" t="str">
        <x:v>Add periods or input rows in the source layer, extend formulas and formats together, and reconcile the new dimension back to Accretion Dilution and Checks.</x:v>
      </x:c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4" customHeight="1">
      <x:c r="A32" s="22" t="str">
        <x:v>What does PASS mean?</x:v>
      </x:c>
      <x:c r="B32" s="17" t="str">
        <x:v>The published calculations and tie-outs are within tolerance. PASS does not confirm source quality, policy, accounting, regulation, tax, legal treatment, or suitability.</x:v>
      </x:c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4" customHeight="1">
      <x:c r="A33" s="22" t="str">
        <x:v>Can I use real company data?</x:v>
      </x:c>
      <x:c r="B33" s="17" t="str">
        <x:v>Yes, in your private copy. Confirm permissions, source ownership, privacy requirements, and distribution restrictions before sharing.</x:v>
      </x:c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4" customHeight="1">
      <x:c r="A34" s="22" t="str">
        <x:v>Does it work in Google Sheets or LibreOffice?</x:v>
      </x:c>
      <x:c r="B34" s="17" t="str">
        <x:v>Not verified. Excel 365 is the supported target; test formulas, charts, validations, formats, and checks after conversion.</x:v>
      </x:c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  <x:row r="35" ht="34" customHeight="1">
      <x:c r="A35" s="22" t="str">
        <x:v>Can this replace professional review?</x:v>
      </x:c>
      <x:c r="B35" s="17" t="str">
        <x:v>SCREEN-GRADE adjusted EPS model. GAAP accretion/dilution is not presented without complete PPA, financing, post-close share actualization, tax, integration-cost, and accounting support.</x:v>
      </x:c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</x:row>
    <x:row r="37">
      <x:c r="A37" s="42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B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C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D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E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F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G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H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I37" s="43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J37" s="44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</x:row>
    <x:row r="38">
      <x:c r="A38" s="45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B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C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D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E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F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G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H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I38" s="46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J38" s="47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</x:row>
    <x:row r="39">
      <x:c r="A39" s="48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B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C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D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E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F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G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H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I39" s="49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  <x:c r="J39" s="50" t="str">
        <x:v>Deliberately excluded in version 1.0.0: GAAP accretion/dilution conclusion; complete purchase-price allocation; balance-sheet consolidation; tax structuring; legal/fairness opinion. Extend only after the underlying method, source availability, checks, and review responsibility are defined.</x:v>
      </x:c>
    </x:row>
    <x:row r="41">
      <x:c r="A41" s="53" t="str">
        <x:v>TDAT Model Library  |  Trust builds the brand. Insight builds the decision.</x:v>
      </x:c>
      <x:c r="B41" s="53" t="str">
        <x:v>TDAT Model Library  |  Trust builds the brand. Insight builds the decision.</x:v>
      </x:c>
      <x:c r="C41" s="53" t="str">
        <x:v>TDAT Model Library  |  Trust builds the brand. Insight builds the decision.</x:v>
      </x:c>
      <x:c r="D41" s="53" t="str">
        <x:v>TDAT Model Library  |  Trust builds the brand. Insight builds the decision.</x:v>
      </x:c>
      <x:c r="E41" s="53" t="str">
        <x:v>TDAT Model Library  |  Trust builds the brand. Insight builds the decision.</x:v>
      </x:c>
      <x:c r="F41" s="53" t="str">
        <x:v>TDAT Model Library  |  Trust builds the brand. Insight builds the decision.</x:v>
      </x:c>
      <x:c r="G41" s="53" t="str">
        <x:v>TDAT Model Library  |  Trust builds the brand. Insight builds the decision.</x:v>
      </x:c>
      <x:c r="H41" s="53" t="str">
        <x:v>TDAT Model Library  |  Trust builds the brand. Insight builds the decision.</x:v>
      </x:c>
      <x:c r="I41" s="53" t="str">
        <x:v>TDAT Model Library  |  Trust builds the brand. Insight builds the decision.</x:v>
      </x:c>
      <x:c r="J41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6:J8"/>
    <x:mergeCell ref="A10:J10"/>
    <x:mergeCell ref="C11:J11"/>
    <x:mergeCell ref="C12:J12"/>
    <x:mergeCell ref="C13:J13"/>
    <x:mergeCell ref="C14:J14"/>
    <x:mergeCell ref="C15:J15"/>
    <x:mergeCell ref="C16:J16"/>
    <x:mergeCell ref="A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A29:J29"/>
    <x:mergeCell ref="B30:J30"/>
    <x:mergeCell ref="B31:J31"/>
    <x:mergeCell ref="B32:J32"/>
    <x:mergeCell ref="B33:J33"/>
    <x:mergeCell ref="B34:J34"/>
    <x:mergeCell ref="B35:J35"/>
    <x:mergeCell ref="A37:J39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4" customHeight="1">
      <x:c r="A1" s="3" t="str">
        <x:v>ASSUMPTIONS &amp; SCENARIOS</x:v>
      </x:c>
      <x:c r="B1" s="3" t="str">
        <x:v>ASSUMPTIONS &amp; SCENARIOS</x:v>
      </x:c>
      <x:c r="C1" s="3" t="str">
        <x:v>ASSUMPTIONS &amp; SCENARIOS</x:v>
      </x:c>
      <x:c r="D1" s="3" t="str">
        <x:v>ASSUMPTIONS &amp; SCENARIOS</x:v>
      </x:c>
      <x:c r="E1" s="3" t="str">
        <x:v>ASSUMPTIONS &amp; SCENARIOS</x:v>
      </x:c>
      <x:c r="F1" s="3" t="str">
        <x:v>ASSUMPTIONS &amp; SCENARIOS</x:v>
      </x:c>
      <x:c r="G1" s="3" t="str">
        <x:v>ASSUMPTIONS &amp; SCENARIOS</x:v>
      </x:c>
    </x:row>
    <x:row r="2" ht="24" customHeight="1">
      <x:c r="A2" s="6" t="str">
        <x:v>M&amp;A Accretion / Dilution  |  One controlled selector and visible driver cases</x:v>
      </x:c>
      <x:c r="B2" s="6" t="str">
        <x:v>M&amp;A Accretion / Dilution  |  One controlled selector and visible driver cases</x:v>
      </x:c>
      <x:c r="C2" s="6" t="str">
        <x:v>M&amp;A Accretion / Dilution  |  One controlled selector and visible driver cases</x:v>
      </x:c>
      <x:c r="D2" s="6" t="str">
        <x:v>M&amp;A Accretion / Dilution  |  One controlled selector and visible driver cases</x:v>
      </x:c>
      <x:c r="E2" s="6" t="str">
        <x:v>M&amp;A Accretion / Dilution  |  One controlled selector and visible driver cases</x:v>
      </x:c>
      <x:c r="F2" s="6" t="str">
        <x:v>M&amp;A Accretion / Dilution  |  One controlled selector and visible driver cases</x:v>
      </x:c>
      <x:c r="G2" s="6" t="str">
        <x:v>M&amp;A Accretion / Dilution  |  One controlled selector and visible driver cases</x:v>
      </x:c>
    </x:row>
    <x:row r="3" ht="4" customHeight="1">
      <x:c r="A3" s="54" t="str">
        <x:v>Selected Scenario</x:v>
      </x:c>
      <x:c r="B3" s="56" t="str">
        <x:v>Base</x:v>
      </x:c>
      <x:c r="C3" s="7"/>
      <x:c r="D3" s="7"/>
      <x:c r="E3" s="7"/>
      <x:c r="F3" s="7"/>
      <x:c r="G3" s="7"/>
    </x:row>
    <x:row r="5" ht="24" customHeight="1">
      <x:c r="A5" s="66" t="str">
        <x:v>Driver</x:v>
      </x:c>
      <x:c r="B5" s="67" t="str">
        <x:v>Unit</x:v>
      </x:c>
      <x:c r="C5" s="67" t="str">
        <x:v>Base</x:v>
      </x:c>
      <x:c r="D5" s="67" t="str">
        <x:v>Upside</x:v>
      </x:c>
      <x:c r="E5" s="67" t="str">
        <x:v>Downside</x:v>
      </x:c>
      <x:c r="F5" s="67" t="str">
        <x:v>Selected</x:v>
      </x:c>
      <x:c r="G5" s="68" t="str">
        <x:v>Rationale / edit cue</x:v>
      </x:c>
    </x:row>
    <x:row r="6">
      <x:c r="A6" s="80" t="str">
        <x:v>Cash consideration mix</x:v>
      </x:c>
      <x:c r="B6" s="81" t="str">
        <x:v>%</x:v>
      </x:c>
      <x:c r="C6" s="82" t="n">
        <x:v>0.6</x:v>
      </x:c>
      <x:c r="D6" s="82" t="n">
        <x:v>0.5</x:v>
      </x:c>
      <x:c r="E6" s="82" t="n">
        <x:v>0.75</x:v>
      </x:c>
      <x:c r="F6" s="83" t="n">
        <x:f>IF($B$3="Base",C6,IF($B$3="Upside",D6,E6))</x:f>
        <x:v>0.6</x:v>
      </x:c>
      <x:c r="G6" s="84" t="str">
        <x:v>Replace with an approved, sourced assumption.</x:v>
      </x:c>
    </x:row>
    <x:row r="7">
      <x:c r="A7" s="85" t="str">
        <x:v>Stock consideration mix</x:v>
      </x:c>
      <x:c r="B7" s="86" t="str">
        <x:v>%</x:v>
      </x:c>
      <x:c r="C7" s="87" t="n">
        <x:v>0.4</x:v>
      </x:c>
      <x:c r="D7" s="87" t="n">
        <x:v>0.5</x:v>
      </x:c>
      <x:c r="E7" s="87" t="n">
        <x:v>0.25</x:v>
      </x:c>
      <x:c r="F7" s="88" t="n">
        <x:f>IF($B$3="Base",C7,IF($B$3="Upside",D7,E7))</x:f>
        <x:v>0.4</x:v>
      </x:c>
      <x:c r="G7" s="89" t="str">
        <x:v>Replace with an approved, sourced assumption.</x:v>
      </x:c>
    </x:row>
    <x:row r="8">
      <x:c r="A8" s="85" t="str">
        <x:v>Incremental debt cost</x:v>
      </x:c>
      <x:c r="B8" s="86" t="str">
        <x:v>%</x:v>
      </x:c>
      <x:c r="C8" s="87" t="n">
        <x:v>0.07</x:v>
      </x:c>
      <x:c r="D8" s="87" t="n">
        <x:v>0.06</x:v>
      </x:c>
      <x:c r="E8" s="87" t="n">
        <x:v>0.09</x:v>
      </x:c>
      <x:c r="F8" s="88" t="n">
        <x:f>IF($B$3="Base",C8,IF($B$3="Upside",D8,E8))</x:f>
        <x:v>0.07</x:v>
      </x:c>
      <x:c r="G8" s="89" t="str">
        <x:v>Replace with an approved, sourced assumption.</x:v>
      </x:c>
    </x:row>
    <x:row r="9">
      <x:c r="A9" s="85" t="str">
        <x:v>Lost cash yield</x:v>
      </x:c>
      <x:c r="B9" s="86" t="str">
        <x:v>%</x:v>
      </x:c>
      <x:c r="C9" s="87" t="n">
        <x:v>0.025</x:v>
      </x:c>
      <x:c r="D9" s="87" t="n">
        <x:v>0.02</x:v>
      </x:c>
      <x:c r="E9" s="87" t="n">
        <x:v>0.03</x:v>
      </x:c>
      <x:c r="F9" s="88" t="n">
        <x:f>IF($B$3="Base",C9,IF($B$3="Upside",D9,E9))</x:f>
        <x:v>0.025</x:v>
      </x:c>
      <x:c r="G9" s="89" t="str">
        <x:v>Replace with an approved, sourced assumption.</x:v>
      </x:c>
    </x:row>
    <x:row r="10">
      <x:c r="A10" s="85" t="str">
        <x:v>Tax rate</x:v>
      </x:c>
      <x:c r="B10" s="86" t="str">
        <x:v>%</x:v>
      </x:c>
      <x:c r="C10" s="87" t="n">
        <x:v>0.21</x:v>
      </x:c>
      <x:c r="D10" s="87" t="n">
        <x:v>0.21</x:v>
      </x:c>
      <x:c r="E10" s="87" t="n">
        <x:v>0.23</x:v>
      </x:c>
      <x:c r="F10" s="88" t="n">
        <x:f>IF($B$3="Base",C10,IF($B$3="Upside",D10,E10))</x:f>
        <x:v>0.21</x:v>
      </x:c>
      <x:c r="G10" s="89" t="str">
        <x:v>Replace with an approved, sourced assumption.</x:v>
      </x:c>
    </x:row>
    <x:row r="11">
      <x:c r="A11" s="85" t="str">
        <x:v>Pretax run-rate synergies</x:v>
      </x:c>
      <x:c r="B11" s="86" t="str">
        <x:v>LCYm</x:v>
      </x:c>
      <x:c r="C11" s="90" t="n">
        <x:v>35</x:v>
      </x:c>
      <x:c r="D11" s="90" t="n">
        <x:v>50</x:v>
      </x:c>
      <x:c r="E11" s="90" t="n">
        <x:v>20</x:v>
      </x:c>
      <x:c r="F11" s="91" t="n">
        <x:f>IF($B$3="Base",C11,IF($B$3="Upside",D11,E11))</x:f>
        <x:v>35</x:v>
      </x:c>
      <x:c r="G11" s="89" t="str">
        <x:v>Replace with an approved, sourced assumption.</x:v>
      </x:c>
    </x:row>
    <x:row r="12">
      <x:c r="A12" s="85" t="str">
        <x:v>Year-one synergy realization</x:v>
      </x:c>
      <x:c r="B12" s="86" t="str">
        <x:v>%</x:v>
      </x:c>
      <x:c r="C12" s="87" t="n">
        <x:v>0.5</x:v>
      </x:c>
      <x:c r="D12" s="87" t="n">
        <x:v>0.7</x:v>
      </x:c>
      <x:c r="E12" s="87" t="n">
        <x:v>0.3</x:v>
      </x:c>
      <x:c r="F12" s="88" t="n">
        <x:f>IF($B$3="Base",C12,IF($B$3="Upside",D12,E12))</x:f>
        <x:v>0.5</x:v>
      </x:c>
      <x:c r="G12" s="89" t="str">
        <x:v>Replace with an approved, sourced assumption.</x:v>
      </x:c>
    </x:row>
    <x:row r="13">
      <x:c r="A13" s="85" t="str">
        <x:v>Annual PPA amortization</x:v>
      </x:c>
      <x:c r="B13" s="86" t="str">
        <x:v>LCYm</x:v>
      </x:c>
      <x:c r="C13" s="90" t="n">
        <x:v>12</x:v>
      </x:c>
      <x:c r="D13" s="90" t="n">
        <x:v>10</x:v>
      </x:c>
      <x:c r="E13" s="90" t="n">
        <x:v>16</x:v>
      </x:c>
      <x:c r="F13" s="91" t="n">
        <x:f>IF($B$3="Base",C13,IF($B$3="Upside",D13,E13))</x:f>
        <x:v>12</x:v>
      </x:c>
      <x:c r="G13" s="89" t="str">
        <x:v>Replace with an approved, sourced assumption.</x:v>
      </x:c>
    </x:row>
    <x:row r="14">
      <x:c r="A14" s="92" t="str">
        <x:v>Transaction / integration fees</x:v>
      </x:c>
      <x:c r="B14" s="93" t="str">
        <x:v>LCYm</x:v>
      </x:c>
      <x:c r="C14" s="94" t="n">
        <x:v>20</x:v>
      </x:c>
      <x:c r="D14" s="94" t="n">
        <x:v>18</x:v>
      </x:c>
      <x:c r="E14" s="94" t="n">
        <x:v>25</x:v>
      </x:c>
      <x:c r="F14" s="95" t="n">
        <x:f>IF($B$3="Base",C14,IF($B$3="Upside",D14,E14))</x:f>
        <x:v>20</x:v>
      </x:c>
      <x:c r="G14" s="96" t="str">
        <x:v>Replace with an approved, sourced assumption.</x:v>
      </x:c>
    </x:row>
    <x:row r="16">
      <x:c r="A16" s="42" t="str">
        <x:v>Scenario discipline: change a small number of decision-relevant drivers, preserve the core formula architecture, and document what changed, why, who owns it, and what action follows.</x:v>
      </x:c>
      <x:c r="B16" s="43" t="str">
        <x:v>Scenario discipline: change a small number of decision-relevant drivers, preserve the core formula architecture, and document what changed, why, who owns it, and what action follows.</x:v>
      </x:c>
      <x:c r="C16" s="43" t="str">
        <x:v>Scenario discipline: change a small number of decision-relevant drivers, preserve the core formula architecture, and document what changed, why, who owns it, and what action follows.</x:v>
      </x:c>
      <x:c r="D16" s="43" t="str">
        <x:v>Scenario discipline: change a small number of decision-relevant drivers, preserve the core formula architecture, and document what changed, why, who owns it, and what action follows.</x:v>
      </x:c>
      <x:c r="E16" s="43" t="str">
        <x:v>Scenario discipline: change a small number of decision-relevant drivers, preserve the core formula architecture, and document what changed, why, who owns it, and what action follows.</x:v>
      </x:c>
      <x:c r="F16" s="43" t="str">
        <x:v>Scenario discipline: change a small number of decision-relevant drivers, preserve the core formula architecture, and document what changed, why, who owns it, and what action follows.</x:v>
      </x:c>
      <x:c r="G16" s="44" t="str">
        <x:v>Scenario discipline: change a small number of decision-relevant drivers, preserve the core formula architecture, and document what changed, why, who owns it, and what action follows.</x:v>
      </x:c>
    </x:row>
    <x:row r="17">
      <x:c r="A17" s="45" t="str">
        <x:v>Scenario discipline: change a small number of decision-relevant drivers, preserve the core formula architecture, and document what changed, why, who owns it, and what action follows.</x:v>
      </x:c>
      <x:c r="B17" s="46" t="str">
        <x:v>Scenario discipline: change a small number of decision-relevant drivers, preserve the core formula architecture, and document what changed, why, who owns it, and what action follows.</x:v>
      </x:c>
      <x:c r="C17" s="46" t="str">
        <x:v>Scenario discipline: change a small number of decision-relevant drivers, preserve the core formula architecture, and document what changed, why, who owns it, and what action follows.</x:v>
      </x:c>
      <x:c r="D17" s="46" t="str">
        <x:v>Scenario discipline: change a small number of decision-relevant drivers, preserve the core formula architecture, and document what changed, why, who owns it, and what action follows.</x:v>
      </x:c>
      <x:c r="E17" s="46" t="str">
        <x:v>Scenario discipline: change a small number of decision-relevant drivers, preserve the core formula architecture, and document what changed, why, who owns it, and what action follows.</x:v>
      </x:c>
      <x:c r="F17" s="46" t="str">
        <x:v>Scenario discipline: change a small number of decision-relevant drivers, preserve the core formula architecture, and document what changed, why, who owns it, and what action follows.</x:v>
      </x:c>
      <x:c r="G17" s="47" t="str">
        <x:v>Scenario discipline: change a small number of decision-relevant drivers, preserve the core formula architecture, and document what changed, why, who owns it, and what action follows.</x:v>
      </x:c>
    </x:row>
    <x:row r="18">
      <x:c r="A18" s="48" t="str">
        <x:v>Scenario discipline: change a small number of decision-relevant drivers, preserve the core formula architecture, and document what changed, why, who owns it, and what action follows.</x:v>
      </x:c>
      <x:c r="B18" s="49" t="str">
        <x:v>Scenario discipline: change a small number of decision-relevant drivers, preserve the core formula architecture, and document what changed, why, who owns it, and what action follows.</x:v>
      </x:c>
      <x:c r="C18" s="49" t="str">
        <x:v>Scenario discipline: change a small number of decision-relevant drivers, preserve the core formula architecture, and document what changed, why, who owns it, and what action follows.</x:v>
      </x:c>
      <x:c r="D18" s="49" t="str">
        <x:v>Scenario discipline: change a small number of decision-relevant drivers, preserve the core formula architecture, and document what changed, why, who owns it, and what action follows.</x:v>
      </x:c>
      <x:c r="E18" s="49" t="str">
        <x:v>Scenario discipline: change a small number of decision-relevant drivers, preserve the core formula architecture, and document what changed, why, who owns it, and what action follows.</x:v>
      </x:c>
      <x:c r="F18" s="49" t="str">
        <x:v>Scenario discipline: change a small number of decision-relevant drivers, preserve the core formula architecture, and document what changed, why, who owns it, and what action follows.</x:v>
      </x:c>
      <x:c r="G18" s="50" t="str">
        <x:v>Scenario discipline: change a small number of decision-relevant drivers, preserve the core formula architecture, and document what changed, why, who owns it, and what action follows.</x:v>
      </x:c>
    </x:row>
    <x:row r="20">
      <x:c r="A20" s="53" t="str">
        <x:v>TDAT Model Library  |  Trust builds the brand. Insight builds the decision.</x:v>
      </x:c>
      <x:c r="B20" s="53" t="str">
        <x:v>TDAT Model Library  |  Trust builds the brand. Insight builds the decision.</x:v>
      </x:c>
      <x:c r="C20" s="53" t="str">
        <x:v>TDAT Model Library  |  Trust builds the brand. Insight builds the decision.</x:v>
      </x:c>
      <x:c r="D20" s="53" t="str">
        <x:v>TDAT Model Library  |  Trust builds the brand. Insight builds the decision.</x:v>
      </x:c>
      <x:c r="E20" s="53" t="str">
        <x:v>TDAT Model Library  |  Trust builds the brand. Insight builds the decision.</x:v>
      </x:c>
      <x:c r="F20" s="53" t="str">
        <x:v>TDAT Model Library  |  Trust builds the brand. Insight builds the decision.</x:v>
      </x:c>
      <x:c r="G20" s="53" t="str">
        <x:v>TDAT Model Library  |  Trust builds the brand. Insight builds the decision.</x:v>
      </x:c>
    </x:row>
  </x:sheetData>
  <x:mergeCells>
    <x:mergeCell ref="A1:G1"/>
    <x:mergeCell ref="A2:G2"/>
    <x:mergeCell ref="A16:G18"/>
    <x:mergeCell ref="A20:G20"/>
  </x:mergeCells>
  <x:dataValidations count="1">
    <x:dataValidation type="list" sqref="B3">
      <x:formula1>"Base,Upside,Downside"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4" customHeight="1">
      <x:c r="A1" s="3" t="str">
        <x:v>DEAL INPUTS</x:v>
      </x:c>
      <x:c r="B1" s="3" t="str">
        <x:v>DEAL INPUTS</x:v>
      </x:c>
      <x:c r="C1" s="3" t="str">
        <x:v>DEAL INPUTS</x:v>
      </x:c>
      <x:c r="D1" s="3" t="str">
        <x:v>DEAL INPUTS</x:v>
      </x:c>
      <x:c r="E1" s="3" t="str">
        <x:v>DEAL INPUTS</x:v>
      </x:c>
      <x:c r="F1" s="3" t="str">
        <x:v>DEAL INPUTS</x:v>
      </x:c>
    </x:row>
    <x:row r="2" ht="24" customHeight="1">
      <x:c r="A2" s="6" t="str">
        <x:v>M&amp;A Accretion / Dilution  |  Synthetic worked inputs — replace blue cells</x:v>
      </x:c>
      <x:c r="B2" s="6" t="str">
        <x:v>M&amp;A Accretion / Dilution  |  Synthetic worked inputs — replace blue cells</x:v>
      </x:c>
      <x:c r="C2" s="6" t="str">
        <x:v>M&amp;A Accretion / Dilution  |  Synthetic worked inputs — replace blue cells</x:v>
      </x:c>
      <x:c r="D2" s="6" t="str">
        <x:v>M&amp;A Accretion / Dilution  |  Synthetic worked inputs — replace blue cells</x:v>
      </x:c>
      <x:c r="E2" s="6" t="str">
        <x:v>M&amp;A Accretion / Dilution  |  Synthetic worked inputs — replace blue cells</x:v>
      </x:c>
      <x:c r="F2" s="6" t="str">
        <x:v>M&amp;A Accretion / Dilution  |  Synthetic worked inputs — replace blue cells</x:v>
      </x:c>
    </x:row>
    <x:row r="3" ht="4" customHeight="1">
      <x:c r="A3" s="7"/>
      <x:c r="B3" s="7"/>
      <x:c r="C3" s="7"/>
      <x:c r="D3" s="7"/>
      <x:c r="E3" s="7"/>
      <x:c r="F3" s="7"/>
    </x:row>
    <x:row r="5" ht="24" customHeight="1">
      <x:c r="A5" s="66" t="str">
        <x:v>Input / Period</x:v>
      </x:c>
      <x:c r="B5" s="67" t="str">
        <x:v>Y1</x:v>
      </x:c>
      <x:c r="C5" s="67" t="str">
        <x:v>Y2</x:v>
      </x:c>
      <x:c r="D5" s="67" t="str">
        <x:v>Y3</x:v>
      </x:c>
      <x:c r="E5" s="67" t="str">
        <x:v>Y4</x:v>
      </x:c>
      <x:c r="F5" s="68" t="str">
        <x:v>Y5</x:v>
      </x:c>
    </x:row>
    <x:row r="6">
      <x:c r="A6" s="100" t="str">
        <x:v>Buyer standalone net income</x:v>
      </x:c>
      <x:c r="B6" s="101" t="n">
        <x:v>220</x:v>
      </x:c>
      <x:c r="C6" s="101" t="n">
        <x:v>235</x:v>
      </x:c>
      <x:c r="D6" s="101" t="n">
        <x:v>250</x:v>
      </x:c>
      <x:c r="E6" s="101" t="n">
        <x:v>268</x:v>
      </x:c>
      <x:c r="F6" s="101" t="n">
        <x:v>286</x:v>
      </x:c>
    </x:row>
    <x:row r="7">
      <x:c r="A7" s="102" t="str">
        <x:v>Buyer diluted shares</x:v>
      </x:c>
      <x:c r="B7" s="103" t="n">
        <x:v>100</x:v>
      </x:c>
      <x:c r="C7" s="103" t="n">
        <x:v>100</x:v>
      </x:c>
      <x:c r="D7" s="103" t="n">
        <x:v>101</x:v>
      </x:c>
      <x:c r="E7" s="103" t="n">
        <x:v>101</x:v>
      </x:c>
      <x:c r="F7" s="103" t="n">
        <x:v>102</x:v>
      </x:c>
    </x:row>
    <x:row r="8">
      <x:c r="A8" s="102" t="str">
        <x:v>Target standalone net income</x:v>
      </x:c>
      <x:c r="B8" s="104" t="n">
        <x:v>55</x:v>
      </x:c>
      <x:c r="C8" s="104" t="n">
        <x:v>60</x:v>
      </x:c>
      <x:c r="D8" s="104" t="n">
        <x:v>65</x:v>
      </x:c>
      <x:c r="E8" s="104" t="n">
        <x:v>70</x:v>
      </x:c>
      <x:c r="F8" s="104" t="n">
        <x:v>75</x:v>
      </x:c>
    </x:row>
    <x:row r="9">
      <x:c r="A9" s="102" t="str">
        <x:v>Target diluted shares</x:v>
      </x:c>
      <x:c r="B9" s="103" t="n">
        <x:v>40</x:v>
      </x:c>
      <x:c r="C9" s="103" t="n">
        <x:v>40</x:v>
      </x:c>
      <x:c r="D9" s="103" t="n">
        <x:v>40</x:v>
      </x:c>
      <x:c r="E9" s="103" t="n">
        <x:v>40</x:v>
      </x:c>
      <x:c r="F9" s="103" t="n">
        <x:v>40</x:v>
      </x:c>
    </x:row>
    <x:row r="10">
      <x:c r="A10" s="102" t="str">
        <x:v>Offer price / target share</x:v>
      </x:c>
      <x:c r="B10" s="104" t="n">
        <x:v>18</x:v>
      </x:c>
      <x:c r="C10" s="104" t="n">
        <x:v>18</x:v>
      </x:c>
      <x:c r="D10" s="104" t="n">
        <x:v>18</x:v>
      </x:c>
      <x:c r="E10" s="104" t="n">
        <x:v>18</x:v>
      </x:c>
      <x:c r="F10" s="104" t="n">
        <x:v>18</x:v>
      </x:c>
    </x:row>
    <x:row r="11">
      <x:c r="A11" s="105" t="str">
        <x:v>Buyer share price</x:v>
      </x:c>
      <x:c r="B11" s="106" t="n">
        <x:v>25</x:v>
      </x:c>
      <x:c r="C11" s="106" t="n">
        <x:v>25</x:v>
      </x:c>
      <x:c r="D11" s="106" t="n">
        <x:v>25</x:v>
      </x:c>
      <x:c r="E11" s="106" t="n">
        <x:v>25</x:v>
      </x:c>
      <x:c r="F11" s="106" t="n">
        <x:v>25</x:v>
      </x:c>
    </x:row>
    <x:row r="13">
      <x:c r="A13" s="42" t="str">
        <x:v>Synthetic input pack. Preserve source definitions, units, period basis, and sign convention when replacing values.</x:v>
      </x:c>
      <x:c r="B13" s="43" t="str">
        <x:v>Synthetic input pack. Preserve source definitions, units, period basis, and sign convention when replacing values.</x:v>
      </x:c>
      <x:c r="C13" s="43" t="str">
        <x:v>Synthetic input pack. Preserve source definitions, units, period basis, and sign convention when replacing values.</x:v>
      </x:c>
      <x:c r="D13" s="43" t="str">
        <x:v>Synthetic input pack. Preserve source definitions, units, period basis, and sign convention when replacing values.</x:v>
      </x:c>
      <x:c r="E13" s="43" t="str">
        <x:v>Synthetic input pack. Preserve source definitions, units, period basis, and sign convention when replacing values.</x:v>
      </x:c>
      <x:c r="F13" s="44" t="str">
        <x:v>Synthetic input pack. Preserve source definitions, units, period basis, and sign convention when replacing values.</x:v>
      </x:c>
    </x:row>
    <x:row r="14">
      <x:c r="A14" s="45" t="str">
        <x:v>Synthetic input pack. Preserve source definitions, units, period basis, and sign convention when replacing values.</x:v>
      </x:c>
      <x:c r="B14" s="46" t="str">
        <x:v>Synthetic input pack. Preserve source definitions, units, period basis, and sign convention when replacing values.</x:v>
      </x:c>
      <x:c r="C14" s="46" t="str">
        <x:v>Synthetic input pack. Preserve source definitions, units, period basis, and sign convention when replacing values.</x:v>
      </x:c>
      <x:c r="D14" s="46" t="str">
        <x:v>Synthetic input pack. Preserve source definitions, units, period basis, and sign convention when replacing values.</x:v>
      </x:c>
      <x:c r="E14" s="46" t="str">
        <x:v>Synthetic input pack. Preserve source definitions, units, period basis, and sign convention when replacing values.</x:v>
      </x:c>
      <x:c r="F14" s="47" t="str">
        <x:v>Synthetic input pack. Preserve source definitions, units, period basis, and sign convention when replacing values.</x:v>
      </x:c>
    </x:row>
    <x:row r="15">
      <x:c r="A15" s="48" t="str">
        <x:v>Synthetic input pack. Preserve source definitions, units, period basis, and sign convention when replacing values.</x:v>
      </x:c>
      <x:c r="B15" s="49" t="str">
        <x:v>Synthetic input pack. Preserve source definitions, units, period basis, and sign convention when replacing values.</x:v>
      </x:c>
      <x:c r="C15" s="49" t="str">
        <x:v>Synthetic input pack. Preserve source definitions, units, period basis, and sign convention when replacing values.</x:v>
      </x:c>
      <x:c r="D15" s="49" t="str">
        <x:v>Synthetic input pack. Preserve source definitions, units, period basis, and sign convention when replacing values.</x:v>
      </x:c>
      <x:c r="E15" s="49" t="str">
        <x:v>Synthetic input pack. Preserve source definitions, units, period basis, and sign convention when replacing values.</x:v>
      </x:c>
      <x:c r="F15" s="50" t="str">
        <x:v>Synthetic input pack. Preserve source definitions, units, period basis, and sign convention when replacing values.</x:v>
      </x:c>
    </x:row>
    <x:row r="17">
      <x:c r="A17" s="53" t="str">
        <x:v>TDAT Model Library  |  Trust builds the brand. Insight builds the decision.</x:v>
      </x:c>
      <x:c r="B17" s="53" t="str">
        <x:v>TDAT Model Library  |  Trust builds the brand. Insight builds the decision.</x:v>
      </x:c>
      <x:c r="C17" s="53" t="str">
        <x:v>TDAT Model Library  |  Trust builds the brand. Insight builds the decision.</x:v>
      </x:c>
      <x:c r="D17" s="53" t="str">
        <x:v>TDAT Model Library  |  Trust builds the brand. Insight builds the decision.</x:v>
      </x:c>
      <x:c r="E17" s="53" t="str">
        <x:v>TDAT Model Library  |  Trust builds the brand. Insight builds the decision.</x:v>
      </x:c>
      <x:c r="F17" s="53" t="str">
        <x:v>TDAT Model Library  |  Trust builds the brand. Insight builds the decision.</x:v>
      </x:c>
    </x:row>
  </x:sheetData>
  <x:mergeCells>
    <x:mergeCell ref="A1:F1"/>
    <x:mergeCell ref="A2:F2"/>
    <x:mergeCell ref="A13:F15"/>
    <x:mergeCell ref="A17:F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4" customHeight="1">
      <x:c r="A1" s="3" t="str">
        <x:v>ACCRETION DILUTION</x:v>
      </x:c>
      <x:c r="B1" s="3" t="str">
        <x:v>ACCRETION DILUTION</x:v>
      </x:c>
      <x:c r="C1" s="3" t="str">
        <x:v>ACCRETION DILUTION</x:v>
      </x:c>
      <x:c r="D1" s="3" t="str">
        <x:v>ACCRETION DILUTION</x:v>
      </x:c>
      <x:c r="E1" s="3" t="str">
        <x:v>ACCRETION DILUTION</x:v>
      </x:c>
      <x:c r="F1" s="3" t="str">
        <x:v>ACCRETION DILUTION</x:v>
      </x:c>
    </x:row>
    <x:row r="2" ht="24" customHeight="1">
      <x:c r="A2" s="6" t="str">
        <x:v>M&amp;A Accretion / Dilution  |  Formula-driven core mechanics</x:v>
      </x:c>
      <x:c r="B2" s="6" t="str">
        <x:v>M&amp;A Accretion / Dilution  |  Formula-driven core mechanics</x:v>
      </x:c>
      <x:c r="C2" s="6" t="str">
        <x:v>M&amp;A Accretion / Dilution  |  Formula-driven core mechanics</x:v>
      </x:c>
      <x:c r="D2" s="6" t="str">
        <x:v>M&amp;A Accretion / Dilution  |  Formula-driven core mechanics</x:v>
      </x:c>
      <x:c r="E2" s="6" t="str">
        <x:v>M&amp;A Accretion / Dilution  |  Formula-driven core mechanics</x:v>
      </x:c>
      <x:c r="F2" s="6" t="str">
        <x:v>M&amp;A Accretion / Dilution  |  Formula-driven core mechanics</x:v>
      </x:c>
    </x:row>
    <x:row r="3" ht="4" customHeight="1">
      <x:c r="A3" s="7"/>
      <x:c r="B3" s="7"/>
      <x:c r="C3" s="7"/>
      <x:c r="D3" s="7"/>
      <x:c r="E3" s="7"/>
      <x:c r="F3" s="7"/>
    </x:row>
    <x:row r="5" ht="24" customHeight="1">
      <x:c r="A5" s="66" t="str">
        <x:v>Calculation / Period</x:v>
      </x:c>
      <x:c r="B5" s="67" t="str">
        <x:v>Y1</x:v>
      </x:c>
      <x:c r="C5" s="67" t="str">
        <x:v>Y2</x:v>
      </x:c>
      <x:c r="D5" s="67" t="str">
        <x:v>Y3</x:v>
      </x:c>
      <x:c r="E5" s="67" t="str">
        <x:v>Y4</x:v>
      </x:c>
      <x:c r="F5" s="68" t="str">
        <x:v>Y5</x:v>
      </x:c>
    </x:row>
    <x:row r="6">
      <x:c r="A6" s="128" t="str">
        <x:v>Target purchase equity value</x:v>
      </x:c>
      <x:c r="B6" s="129" t="n">
        <x:f>'Deal Inputs'!B$10*'Deal Inputs'!B$9</x:f>
        <x:v>720</x:v>
      </x:c>
      <x:c r="C6" s="129" t="n">
        <x:f>'Deal Inputs'!C$10*'Deal Inputs'!C$9</x:f>
        <x:v>720</x:v>
      </x:c>
      <x:c r="D6" s="129" t="n">
        <x:f>'Deal Inputs'!D$10*'Deal Inputs'!D$9</x:f>
        <x:v>720</x:v>
      </x:c>
      <x:c r="E6" s="129" t="n">
        <x:f>'Deal Inputs'!E$10*'Deal Inputs'!E$9</x:f>
        <x:v>720</x:v>
      </x:c>
      <x:c r="F6" s="129" t="n">
        <x:f>'Deal Inputs'!F$10*'Deal Inputs'!F$9</x:f>
        <x:v>720</x:v>
      </x:c>
    </x:row>
    <x:row r="7">
      <x:c r="A7" s="130" t="str">
        <x:v>Cash consideration</x:v>
      </x:c>
      <x:c r="B7" s="131" t="n">
        <x:f>B$6*'Assumptions'!$F$6</x:f>
        <x:v>432</x:v>
      </x:c>
      <x:c r="C7" s="131" t="n">
        <x:f>C$6*'Assumptions'!$F$6</x:f>
        <x:v>432</x:v>
      </x:c>
      <x:c r="D7" s="131" t="n">
        <x:f>D$6*'Assumptions'!$F$6</x:f>
        <x:v>432</x:v>
      </x:c>
      <x:c r="E7" s="131" t="n">
        <x:f>E$6*'Assumptions'!$F$6</x:f>
        <x:v>432</x:v>
      </x:c>
      <x:c r="F7" s="131" t="n">
        <x:f>F$6*'Assumptions'!$F$6</x:f>
        <x:v>432</x:v>
      </x:c>
    </x:row>
    <x:row r="8">
      <x:c r="A8" s="130" t="str">
        <x:v>Stock consideration</x:v>
      </x:c>
      <x:c r="B8" s="131" t="n">
        <x:f>B$6*'Assumptions'!$F$7</x:f>
        <x:v>288</x:v>
      </x:c>
      <x:c r="C8" s="131" t="n">
        <x:f>C$6*'Assumptions'!$F$7</x:f>
        <x:v>288</x:v>
      </x:c>
      <x:c r="D8" s="131" t="n">
        <x:f>D$6*'Assumptions'!$F$7</x:f>
        <x:v>288</x:v>
      </x:c>
      <x:c r="E8" s="131" t="n">
        <x:f>E$6*'Assumptions'!$F$7</x:f>
        <x:v>288</x:v>
      </x:c>
      <x:c r="F8" s="131" t="n">
        <x:f>F$6*'Assumptions'!$F$7</x:f>
        <x:v>288</x:v>
      </x:c>
    </x:row>
    <x:row r="9">
      <x:c r="A9" s="130" t="str">
        <x:v>New buyer shares issued</x:v>
      </x:c>
      <x:c r="B9" s="132" t="n">
        <x:f>IF('Deal Inputs'!B$11=0,0,B$8/'Deal Inputs'!B$11)</x:f>
        <x:v>11.52</x:v>
      </x:c>
      <x:c r="C9" s="132" t="n">
        <x:f>IF('Deal Inputs'!C$11=0,0,C$8/'Deal Inputs'!C$11)</x:f>
        <x:v>11.52</x:v>
      </x:c>
      <x:c r="D9" s="132" t="n">
        <x:f>IF('Deal Inputs'!D$11=0,0,D$8/'Deal Inputs'!D$11)</x:f>
        <x:v>11.52</x:v>
      </x:c>
      <x:c r="E9" s="132" t="n">
        <x:f>IF('Deal Inputs'!E$11=0,0,E$8/'Deal Inputs'!E$11)</x:f>
        <x:v>11.52</x:v>
      </x:c>
      <x:c r="F9" s="132" t="n">
        <x:f>IF('Deal Inputs'!F$11=0,0,F$8/'Deal Inputs'!F$11)</x:f>
        <x:v>11.52</x:v>
      </x:c>
    </x:row>
    <x:row r="10">
      <x:c r="A10" s="130" t="str">
        <x:v>Buyer standalone EPS</x:v>
      </x:c>
      <x:c r="B10" s="131" t="n">
        <x:f>IF('Deal Inputs'!B$7=0,0,'Deal Inputs'!B$6/'Deal Inputs'!B$7)</x:f>
        <x:v>2.2</x:v>
      </x:c>
      <x:c r="C10" s="131" t="n">
        <x:f>IF('Deal Inputs'!C$7=0,0,'Deal Inputs'!C$6/'Deal Inputs'!C$7)</x:f>
        <x:v>2.35</x:v>
      </x:c>
      <x:c r="D10" s="131" t="n">
        <x:f>IF('Deal Inputs'!D$7=0,0,'Deal Inputs'!D$6/'Deal Inputs'!D$7)</x:f>
        <x:v>2.4752475247524752</x:v>
      </x:c>
      <x:c r="E10" s="131" t="n">
        <x:f>IF('Deal Inputs'!E$7=0,0,'Deal Inputs'!E$6/'Deal Inputs'!E$7)</x:f>
        <x:v>2.6534653465346536</x:v>
      </x:c>
      <x:c r="F10" s="131" t="n">
        <x:f>IF('Deal Inputs'!F$7=0,0,'Deal Inputs'!F$6/'Deal Inputs'!F$7)</x:f>
        <x:v>2.803921568627451</x:v>
      </x:c>
    </x:row>
    <x:row r="11">
      <x:c r="A11" s="130" t="str">
        <x:v>Pretax synergy captured</x:v>
      </x:c>
      <x:c r="B11" s="131" t="n">
        <x:f>'Assumptions'!$F$11*MIN(1,'Assumptions'!$F$12+0*0.15)</x:f>
        <x:v>17.5</x:v>
      </x:c>
      <x:c r="C11" s="131" t="n">
        <x:f>'Assumptions'!$F$11*MIN(1,'Assumptions'!$F$12+1*0.15)</x:f>
        <x:v>22.75</x:v>
      </x:c>
      <x:c r="D11" s="131" t="n">
        <x:f>'Assumptions'!$F$11*MIN(1,'Assumptions'!$F$12+2*0.15)</x:f>
        <x:v>28</x:v>
      </x:c>
      <x:c r="E11" s="131" t="n">
        <x:f>'Assumptions'!$F$11*MIN(1,'Assumptions'!$F$12+3*0.15)</x:f>
        <x:v>33.25</x:v>
      </x:c>
      <x:c r="F11" s="131" t="n">
        <x:f>'Assumptions'!$F$11*MIN(1,'Assumptions'!$F$12+4*0.15)</x:f>
        <x:v>35</x:v>
      </x:c>
    </x:row>
    <x:row r="12">
      <x:c r="A12" s="130" t="str">
        <x:v>After-tax synergy benefit</x:v>
      </x:c>
      <x:c r="B12" s="131" t="n">
        <x:f>B$11*(1-'Assumptions'!$F$10)</x:f>
        <x:v>13.825000000000001</x:v>
      </x:c>
      <x:c r="C12" s="131" t="n">
        <x:f>C$11*(1-'Assumptions'!$F$10)</x:f>
        <x:v>17.9725</x:v>
      </x:c>
      <x:c r="D12" s="131" t="n">
        <x:f>D$11*(1-'Assumptions'!$F$10)</x:f>
        <x:v>22.12</x:v>
      </x:c>
      <x:c r="E12" s="131" t="n">
        <x:f>E$11*(1-'Assumptions'!$F$10)</x:f>
        <x:v>26.267500000000002</x:v>
      </x:c>
      <x:c r="F12" s="131" t="n">
        <x:f>F$11*(1-'Assumptions'!$F$10)</x:f>
        <x:v>27.650000000000002</x:v>
      </x:c>
    </x:row>
    <x:row r="13">
      <x:c r="A13" s="130" t="str">
        <x:v>After-tax incremental interest</x:v>
      </x:c>
      <x:c r="B13" s="131" t="n">
        <x:f>-B$7*'Assumptions'!$F$8*(1-'Assumptions'!$F$10)</x:f>
        <x:v>-23.8896</x:v>
      </x:c>
      <x:c r="C13" s="131" t="n">
        <x:f>-C$7*'Assumptions'!$F$8*(1-'Assumptions'!$F$10)</x:f>
        <x:v>-23.8896</x:v>
      </x:c>
      <x:c r="D13" s="131" t="n">
        <x:f>-D$7*'Assumptions'!$F$8*(1-'Assumptions'!$F$10)</x:f>
        <x:v>-23.8896</x:v>
      </x:c>
      <x:c r="E13" s="131" t="n">
        <x:f>-E$7*'Assumptions'!$F$8*(1-'Assumptions'!$F$10)</x:f>
        <x:v>-23.8896</x:v>
      </x:c>
      <x:c r="F13" s="131" t="n">
        <x:f>-F$7*'Assumptions'!$F$8*(1-'Assumptions'!$F$10)</x:f>
        <x:v>-23.8896</x:v>
      </x:c>
    </x:row>
    <x:row r="14">
      <x:c r="A14" s="130" t="str">
        <x:v>After-tax lost cash interest</x:v>
      </x:c>
      <x:c r="B14" s="131" t="n">
        <x:f>-B$7*'Assumptions'!$F$9*(1-'Assumptions'!$F$10)</x:f>
        <x:v>-8.532000000000002</x:v>
      </x:c>
      <x:c r="C14" s="131" t="n">
        <x:f>-C$7*'Assumptions'!$F$9*(1-'Assumptions'!$F$10)</x:f>
        <x:v>-8.532000000000002</x:v>
      </x:c>
      <x:c r="D14" s="131" t="n">
        <x:f>-D$7*'Assumptions'!$F$9*(1-'Assumptions'!$F$10)</x:f>
        <x:v>-8.532000000000002</x:v>
      </x:c>
      <x:c r="E14" s="131" t="n">
        <x:f>-E$7*'Assumptions'!$F$9*(1-'Assumptions'!$F$10)</x:f>
        <x:v>-8.532000000000002</x:v>
      </x:c>
      <x:c r="F14" s="131" t="n">
        <x:f>-F$7*'Assumptions'!$F$9*(1-'Assumptions'!$F$10)</x:f>
        <x:v>-8.532000000000002</x:v>
      </x:c>
    </x:row>
    <x:row r="15">
      <x:c r="A15" s="130" t="str">
        <x:v>After-tax PPA amortization</x:v>
      </x:c>
      <x:c r="B15" s="131" t="n">
        <x:f>-'Assumptions'!$F$13*(1-'Assumptions'!$F$10)</x:f>
        <x:v>-9.48</x:v>
      </x:c>
      <x:c r="C15" s="131" t="n">
        <x:f>-'Assumptions'!$F$13*(1-'Assumptions'!$F$10)</x:f>
        <x:v>-9.48</x:v>
      </x:c>
      <x:c r="D15" s="131" t="n">
        <x:f>-'Assumptions'!$F$13*(1-'Assumptions'!$F$10)</x:f>
        <x:v>-9.48</x:v>
      </x:c>
      <x:c r="E15" s="131" t="n">
        <x:f>-'Assumptions'!$F$13*(1-'Assumptions'!$F$10)</x:f>
        <x:v>-9.48</x:v>
      </x:c>
      <x:c r="F15" s="131" t="n">
        <x:f>-'Assumptions'!$F$13*(1-'Assumptions'!$F$10)</x:f>
        <x:v>-9.48</x:v>
      </x:c>
    </x:row>
    <x:row r="16">
      <x:c r="A16" s="130" t="str">
        <x:v>After-tax fees / integration cost</x:v>
      </x:c>
      <x:c r="B16" s="131" t="n">
        <x:f>-'Assumptions'!$F$14*(1-'Assumptions'!$F$10)</x:f>
        <x:v>-15.8</x:v>
      </x:c>
      <x:c r="C16" s="131" t="n">
        <x:f>0</x:f>
        <x:v>0</x:v>
      </x:c>
      <x:c r="D16" s="131" t="n">
        <x:f>0</x:f>
        <x:v>0</x:v>
      </x:c>
      <x:c r="E16" s="131" t="n">
        <x:f>0</x:f>
        <x:v>0</x:v>
      </x:c>
      <x:c r="F16" s="131" t="n">
        <x:f>0</x:f>
        <x:v>0</x:v>
      </x:c>
    </x:row>
    <x:row r="17">
      <x:c r="A17" s="133" t="str">
        <x:v>Pro forma adjusted net income</x:v>
      </x:c>
      <x:c r="B17" s="134" t="n">
        <x:f>SUM('Deal Inputs'!B$6,'Deal Inputs'!B$8,B$12,B$13,B$14,B$15,B$16)</x:f>
        <x:v>231.12339999999998</x:v>
      </x:c>
      <x:c r="C17" s="134" t="n">
        <x:f>SUM('Deal Inputs'!C$6,'Deal Inputs'!C$8,C$12,C$13,C$14,C$15,C$16)</x:f>
        <x:v>271.0709</x:v>
      </x:c>
      <x:c r="D17" s="134" t="n">
        <x:f>SUM('Deal Inputs'!D$6,'Deal Inputs'!D$8,D$12,D$13,D$14,D$15,D$16)</x:f>
        <x:v>295.21840000000003</x:v>
      </x:c>
      <x:c r="E17" s="134" t="n">
        <x:f>SUM('Deal Inputs'!E$6,'Deal Inputs'!E$8,E$12,E$13,E$14,E$15,E$16)</x:f>
        <x:v>322.36589999999995</x:v>
      </x:c>
      <x:c r="F17" s="134" t="n">
        <x:f>SUM('Deal Inputs'!F$6,'Deal Inputs'!F$8,F$12,F$13,F$14,F$15,F$16)</x:f>
        <x:v>346.7484</x:v>
      </x:c>
    </x:row>
    <x:row r="18">
      <x:c r="A18" s="135" t="str">
        <x:v>Pro forma diluted shares</x:v>
      </x:c>
      <x:c r="B18" s="136" t="n">
        <x:f>'Deal Inputs'!B$7+B$9</x:f>
        <x:v>111.52</x:v>
      </x:c>
      <x:c r="C18" s="136" t="n">
        <x:f>'Deal Inputs'!C$7+C$9</x:f>
        <x:v>111.52</x:v>
      </x:c>
      <x:c r="D18" s="136" t="n">
        <x:f>'Deal Inputs'!D$7+D$9</x:f>
        <x:v>112.52</x:v>
      </x:c>
      <x:c r="E18" s="136" t="n">
        <x:f>'Deal Inputs'!E$7+E$9</x:f>
        <x:v>112.52</x:v>
      </x:c>
      <x:c r="F18" s="136" t="n">
        <x:f>'Deal Inputs'!F$7+F$9</x:f>
        <x:v>113.52</x:v>
      </x:c>
    </x:row>
    <x:row r="19">
      <x:c r="A19" s="135" t="str">
        <x:v>Pro forma adjusted EPS</x:v>
      </x:c>
      <x:c r="B19" s="137" t="n">
        <x:f>IF(B$18=0,0,B$17/B$18)</x:f>
        <x:v>2.0724838593974173</x:v>
      </x:c>
      <x:c r="C19" s="137" t="n">
        <x:f>IF(C$18=0,0,C$17/C$18)</x:f>
        <x:v>2.430693149210904</x:v>
      </x:c>
      <x:c r="D19" s="137" t="n">
        <x:f>IF(D$18=0,0,D$17/D$18)</x:f>
        <x:v>2.6236971205119093</x:v>
      </x:c>
      <x:c r="E19" s="137" t="n">
        <x:f>IF(E$18=0,0,E$17/E$18)</x:f>
        <x:v>2.8649653394952006</x:v>
      </x:c>
      <x:c r="F19" s="137" t="n">
        <x:f>IF(F$18=0,0,F$17/F$18)</x:f>
        <x:v>3.0545137420718818</x:v>
      </x:c>
    </x:row>
    <x:row r="20">
      <x:c r="A20" s="133" t="str">
        <x:v>Adjusted EPS accretion / dilution</x:v>
      </x:c>
      <x:c r="B20" s="138" t="n">
        <x:f>IF(B$10=0,0,B$19/B$10-1)</x:f>
        <x:v>-0.057961882092083084</x:v>
      </x:c>
      <x:c r="C20" s="138" t="n">
        <x:f>IF(C$10=0,0,C$19/C$10-1)</x:f>
        <x:v>0.03433751030251231</x:v>
      </x:c>
      <x:c r="D20" s="138" t="n">
        <x:f>IF(D$10=0,0,D$19/D$10-1)</x:f>
        <x:v>0.05997363668681133</x:v>
      </x:c>
      <x:c r="E20" s="138" t="n">
        <x:f>IF(E$10=0,0,E$19/E$10-1)</x:f>
        <x:v>0.07970708689931061</x:v>
      </x:c>
      <x:c r="F20" s="138" t="n">
        <x:f>IF(F$10=0,0,F$19/F$10-1)</x:f>
        <x:v>0.08937203388577619</x:v>
      </x:c>
    </x:row>
    <x:row r="21">
      <x:c r="A21" s="130" t="str">
        <x:v>Buyer ownership</x:v>
      </x:c>
      <x:c r="B21" s="139" t="n">
        <x:f>IF(B$18=0,0,'Deal Inputs'!B$7/B$18)</x:f>
        <x:v>0.896700143472023</x:v>
      </x:c>
      <x:c r="C21" s="139" t="n">
        <x:f>IF(C$18=0,0,'Deal Inputs'!C$7/C$18)</x:f>
        <x:v>0.896700143472023</x:v>
      </x:c>
      <x:c r="D21" s="139" t="n">
        <x:f>IF(D$18=0,0,'Deal Inputs'!D$7/D$18)</x:f>
        <x:v>0.8976182012086741</x:v>
      </x:c>
      <x:c r="E21" s="139" t="n">
        <x:f>IF(E$18=0,0,'Deal Inputs'!E$7/E$18)</x:f>
        <x:v>0.8976182012086741</x:v>
      </x:c>
      <x:c r="F21" s="139" t="n">
        <x:f>IF(F$18=0,0,'Deal Inputs'!F$7/F$18)</x:f>
        <x:v>0.8985200845665963</x:v>
      </x:c>
    </x:row>
    <x:row r="22">
      <x:c r="A22" s="130" t="str">
        <x:v>Consideration mix check</x:v>
      </x:c>
      <x:c r="B22" s="139" t="n">
        <x:f>'Assumptions'!$F$6+'Assumptions'!$F$7-1</x:f>
        <x:v>0</x:v>
      </x:c>
      <x:c r="C22" s="139" t="n">
        <x:f>'Assumptions'!$F$6+'Assumptions'!$F$7-1</x:f>
        <x:v>0</x:v>
      </x:c>
      <x:c r="D22" s="139" t="n">
        <x:f>'Assumptions'!$F$6+'Assumptions'!$F$7-1</x:f>
        <x:v>0</x:v>
      </x:c>
      <x:c r="E22" s="139" t="n">
        <x:f>'Assumptions'!$F$6+'Assumptions'!$F$7-1</x:f>
        <x:v>0</x:v>
      </x:c>
      <x:c r="F22" s="139" t="n">
        <x:f>'Assumptions'!$F$6+'Assumptions'!$F$7-1</x:f>
        <x:v>0</x:v>
      </x:c>
    </x:row>
    <x:row r="23">
      <x:c r="A23" s="140" t="str">
        <x:v>After-tax synergy check</x:v>
      </x:c>
      <x:c r="B23" s="141" t="n">
        <x:f>B$12-B$11*(1-'Assumptions'!$F$10)</x:f>
        <x:v>0</x:v>
      </x:c>
      <x:c r="C23" s="141" t="n">
        <x:f>C$12-C$11*(1-'Assumptions'!$F$10)</x:f>
        <x:v>0</x:v>
      </x:c>
      <x:c r="D23" s="141" t="n">
        <x:f>D$12-D$11*(1-'Assumptions'!$F$10)</x:f>
        <x:v>0</x:v>
      </x:c>
      <x:c r="E23" s="141" t="n">
        <x:f>E$12-E$11*(1-'Assumptions'!$F$10)</x:f>
        <x:v>0</x:v>
      </x:c>
      <x:c r="F23" s="141" t="n">
        <x:f>F$12-F$11*(1-'Assumptions'!$F$10)</x:f>
        <x:v>0</x:v>
      </x:c>
    </x:row>
    <x:row r="25">
      <x:c r="A25" s="42" t="str">
        <x:v>Review row definitions, sign convention, period basis, scenario mechanics, and every breakpoint before relying on the output.</x:v>
      </x:c>
      <x:c r="B25" s="43" t="str">
        <x:v>Review row definitions, sign convention, period basis, scenario mechanics, and every breakpoint before relying on the output.</x:v>
      </x:c>
      <x:c r="C25" s="43" t="str">
        <x:v>Review row definitions, sign convention, period basis, scenario mechanics, and every breakpoint before relying on the output.</x:v>
      </x:c>
      <x:c r="D25" s="43" t="str">
        <x:v>Review row definitions, sign convention, period basis, scenario mechanics, and every breakpoint before relying on the output.</x:v>
      </x:c>
      <x:c r="E25" s="43" t="str">
        <x:v>Review row definitions, sign convention, period basis, scenario mechanics, and every breakpoint before relying on the output.</x:v>
      </x:c>
      <x:c r="F25" s="44" t="str">
        <x:v>Review row definitions, sign convention, period basis, scenario mechanics, and every breakpoint before relying on the output.</x:v>
      </x:c>
    </x:row>
    <x:row r="26">
      <x:c r="A26" s="45" t="str">
        <x:v>Review row definitions, sign convention, period basis, scenario mechanics, and every breakpoint before relying on the output.</x:v>
      </x:c>
      <x:c r="B26" s="46" t="str">
        <x:v>Review row definitions, sign convention, period basis, scenario mechanics, and every breakpoint before relying on the output.</x:v>
      </x:c>
      <x:c r="C26" s="46" t="str">
        <x:v>Review row definitions, sign convention, period basis, scenario mechanics, and every breakpoint before relying on the output.</x:v>
      </x:c>
      <x:c r="D26" s="46" t="str">
        <x:v>Review row definitions, sign convention, period basis, scenario mechanics, and every breakpoint before relying on the output.</x:v>
      </x:c>
      <x:c r="E26" s="46" t="str">
        <x:v>Review row definitions, sign convention, period basis, scenario mechanics, and every breakpoint before relying on the output.</x:v>
      </x:c>
      <x:c r="F26" s="47" t="str">
        <x:v>Review row definitions, sign convention, period basis, scenario mechanics, and every breakpoint before relying on the output.</x:v>
      </x:c>
    </x:row>
    <x:row r="27">
      <x:c r="A27" s="48" t="str">
        <x:v>Review row definitions, sign convention, period basis, scenario mechanics, and every breakpoint before relying on the output.</x:v>
      </x:c>
      <x:c r="B27" s="49" t="str">
        <x:v>Review row definitions, sign convention, period basis, scenario mechanics, and every breakpoint before relying on the output.</x:v>
      </x:c>
      <x:c r="C27" s="49" t="str">
        <x:v>Review row definitions, sign convention, period basis, scenario mechanics, and every breakpoint before relying on the output.</x:v>
      </x:c>
      <x:c r="D27" s="49" t="str">
        <x:v>Review row definitions, sign convention, period basis, scenario mechanics, and every breakpoint before relying on the output.</x:v>
      </x:c>
      <x:c r="E27" s="49" t="str">
        <x:v>Review row definitions, sign convention, period basis, scenario mechanics, and every breakpoint before relying on the output.</x:v>
      </x:c>
      <x:c r="F27" s="50" t="str">
        <x:v>Review row definitions, sign convention, period basis, scenario mechanics, and every breakpoint before relying on the output.</x:v>
      </x:c>
    </x:row>
    <x:row r="29">
      <x:c r="A29" s="53" t="str">
        <x:v>TDAT Model Library  |  Trust builds the brand. Insight builds the decision.</x:v>
      </x:c>
      <x:c r="B29" s="53" t="str">
        <x:v>TDAT Model Library  |  Trust builds the brand. Insight builds the decision.</x:v>
      </x:c>
      <x:c r="C29" s="53" t="str">
        <x:v>TDAT Model Library  |  Trust builds the brand. Insight builds the decision.</x:v>
      </x:c>
      <x:c r="D29" s="53" t="str">
        <x:v>TDAT Model Library  |  Trust builds the brand. Insight builds the decision.</x:v>
      </x:c>
      <x:c r="E29" s="53" t="str">
        <x:v>TDAT Model Library  |  Trust builds the brand. Insight builds the decision.</x:v>
      </x:c>
      <x:c r="F29" s="53" t="str">
        <x:v>TDAT Model Library  |  Trust builds the brand. Insight builds the decision.</x:v>
      </x:c>
    </x:row>
  </x:sheetData>
  <x:mergeCells>
    <x:mergeCell ref="A1:F1"/>
    <x:mergeCell ref="A2:F2"/>
    <x:mergeCell ref="A25:F27"/>
    <x:mergeCell ref="A29:F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SCENARIOS &amp; SENSITIVITY</x:v>
      </x:c>
      <x:c r="B1" s="3" t="str">
        <x:v>SCENARIOS &amp; SENSITIVITY</x:v>
      </x:c>
      <x:c r="C1" s="3" t="str">
        <x:v>SCENARIOS &amp; SENSITIVITY</x:v>
      </x:c>
      <x:c r="D1" s="3" t="str">
        <x:v>SCENARIOS &amp; SENSITIVITY</x:v>
      </x:c>
      <x:c r="E1" s="3" t="str">
        <x:v>SCENARIOS &amp; SENSITIVITY</x:v>
      </x:c>
      <x:c r="F1" s="3" t="str">
        <x:v>SCENARIOS &amp; SENSITIVITY</x:v>
      </x:c>
      <x:c r="G1" s="3" t="str">
        <x:v>SCENARIOS &amp; SENSITIVITY</x:v>
      </x:c>
      <x:c r="H1" s="3" t="str">
        <x:v>SCENARIOS &amp; SENSITIVITY</x:v>
      </x:c>
      <x:c r="I1" s="3" t="str">
        <x:v>SCENARIOS &amp; SENSITIVITY</x:v>
      </x:c>
      <x:c r="J1" s="3" t="str">
        <x:v>SCENARIOS &amp; SENSITIVITY</x:v>
      </x:c>
    </x:row>
    <x:row r="2" ht="24" customHeight="1">
      <x:c r="A2" s="6" t="str">
        <x:v>M&amp;A Accretion / Dilution  |  Formula-backed decision range</x:v>
      </x:c>
      <x:c r="B2" s="6" t="str">
        <x:v>M&amp;A Accretion / Dilution  |  Formula-backed decision range</x:v>
      </x:c>
      <x:c r="C2" s="6" t="str">
        <x:v>M&amp;A Accretion / Dilution  |  Formula-backed decision range</x:v>
      </x:c>
      <x:c r="D2" s="6" t="str">
        <x:v>M&amp;A Accretion / Dilution  |  Formula-backed decision range</x:v>
      </x:c>
      <x:c r="E2" s="6" t="str">
        <x:v>M&amp;A Accretion / Dilution  |  Formula-backed decision range</x:v>
      </x:c>
      <x:c r="F2" s="6" t="str">
        <x:v>M&amp;A Accretion / Dilution  |  Formula-backed decision range</x:v>
      </x:c>
      <x:c r="G2" s="6" t="str">
        <x:v>M&amp;A Accretion / Dilution  |  Formula-backed decision range</x:v>
      </x:c>
      <x:c r="H2" s="6" t="str">
        <x:v>M&amp;A Accretion / Dilution  |  Formula-backed decision range</x:v>
      </x:c>
      <x:c r="I2" s="6" t="str">
        <x:v>M&amp;A Accretion / Dilution  |  Formula-backed decision range</x:v>
      </x:c>
      <x:c r="J2" s="6" t="str">
        <x:v>M&amp;A Accretion / Dilution  |  Formula-backed decision range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42" t="str">
        <x:v>Year-one adjusted EPS accretion / dilution — Offer price change by Synergy realization</x:v>
      </x:c>
      <x:c r="B5" s="142" t="str">
        <x:v>Year-one adjusted EPS accretion / dilution — Offer price change by Synergy realization</x:v>
      </x:c>
      <x:c r="C5" s="142" t="str">
        <x:v>Year-one adjusted EPS accretion / dilution — Offer price change by Synergy realization</x:v>
      </x:c>
      <x:c r="D5" s="142" t="str">
        <x:v>Year-one adjusted EPS accretion / dilution — Offer price change by Synergy realization</x:v>
      </x:c>
      <x:c r="E5" s="142" t="str">
        <x:v>Year-one adjusted EPS accretion / dilution — Offer price change by Synergy realization</x:v>
      </x:c>
      <x:c r="F5" s="142" t="str">
        <x:v>Year-one adjusted EPS accretion / dilution — Offer price change by Synergy realization</x:v>
      </x:c>
      <x:c r="G5" s="142" t="str">
        <x:v>Year-one adjusted EPS accretion / dilution — Offer price change by Synergy realization</x:v>
      </x:c>
      <x:c r="H5" s="142" t="str">
        <x:v>Year-one adjusted EPS accretion / dilution — Offer price change by Synergy realization</x:v>
      </x:c>
      <x:c r="I5" s="142" t="str">
        <x:v>Year-one adjusted EPS accretion / dilution — Offer price change by Synergy realization</x:v>
      </x:c>
      <x:c r="J5" s="142" t="str">
        <x:v>Year-one adjusted EPS accretion / dilution — Offer price change by Synergy realization</x:v>
      </x:c>
    </x:row>
    <x:row r="6">
      <x:c r="A6" t="str">
        <x:v>Offer price change</x:v>
      </x:c>
      <x:c r="B6" t="str">
        <x:v>Synergy realization</x:v>
      </x:c>
    </x:row>
    <x:row r="7">
      <x:c r="B7" s="71" t="n">
        <x:v>0.25</x:v>
      </x:c>
      <x:c r="C7" s="71" t="n">
        <x:v>0.5</x:v>
      </x:c>
      <x:c r="D7" s="71" t="n">
        <x:v>0.75</x:v>
      </x:c>
      <x:c r="E7" s="71" t="n">
        <x:v>1</x:v>
      </x:c>
      <x:c r="F7" s="71" t="n">
        <x:v>1.25</x:v>
      </x:c>
    </x:row>
    <x:row r="8">
      <x:c r="A8" s="71" t="n">
        <x:v>-0.1</x:v>
      </x:c>
      <x:c r="B8" s="144" t="n">
        <x:f>((('Deal Inputs'!B$6+'Deal Inputs'!B$8+'Assumptions'!$F$11*B$7*(1-'Assumptions'!$F$10)-('Deal Inputs'!B$10*(1+$A8)*'Deal Inputs'!B$9*'Assumptions'!$F$6*'Assumptions'!$F$8*(1-'Assumptions'!$F$10))-'Assumptions'!$F$13*(1-'Assumptions'!$F$10))/('Deal Inputs'!B$7+('Deal Inputs'!B$10*(1+$A8)*'Deal Inputs'!B$9*'Assumptions'!$F$7/'Deal Inputs'!B$11)))/('Deal Inputs'!B$6/'Deal Inputs'!B$7)-1)</x:f>
        <x:v>0.03345114855425835</x:v>
      </x:c>
      <x:c r="C8" s="144" t="n">
        <x:f>((('Deal Inputs'!B$6+'Deal Inputs'!B$8+'Assumptions'!$F$11*C$7*(1-'Assumptions'!$F$10)-('Deal Inputs'!B$10*(1+$A8)*'Deal Inputs'!B$9*'Assumptions'!$F$6*'Assumptions'!$F$8*(1-'Assumptions'!$F$10))-'Assumptions'!$F$13*(1-'Assumptions'!$F$10))/('Deal Inputs'!B$7+('Deal Inputs'!B$10*(1+$A8)*'Deal Inputs'!B$9*'Assumptions'!$F$7/'Deal Inputs'!B$11)))/('Deal Inputs'!B$6/'Deal Inputs'!B$7)-1)</x:f>
        <x:v>0.06191995703629494</x:v>
      </x:c>
      <x:c r="D8" s="144" t="n">
        <x:f>((('Deal Inputs'!B$6+'Deal Inputs'!B$8+'Assumptions'!$F$11*D$7*(1-'Assumptions'!$F$10)-('Deal Inputs'!B$10*(1+$A8)*'Deal Inputs'!B$9*'Assumptions'!$F$6*'Assumptions'!$F$8*(1-'Assumptions'!$F$10))-'Assumptions'!$F$13*(1-'Assumptions'!$F$10))/('Deal Inputs'!B$7+('Deal Inputs'!B$10*(1+$A8)*'Deal Inputs'!B$9*'Assumptions'!$F$7/'Deal Inputs'!B$11)))/('Deal Inputs'!B$6/'Deal Inputs'!B$7)-1)</x:f>
        <x:v>0.09038876551833175</x:v>
      </x:c>
      <x:c r="E8" s="144" t="n">
        <x:f>((('Deal Inputs'!B$6+'Deal Inputs'!B$8+'Assumptions'!$F$11*E$7*(1-'Assumptions'!$F$10)-('Deal Inputs'!B$10*(1+$A8)*'Deal Inputs'!B$9*'Assumptions'!$F$6*'Assumptions'!$F$8*(1-'Assumptions'!$F$10))-'Assumptions'!$F$13*(1-'Assumptions'!$F$10))/('Deal Inputs'!B$7+('Deal Inputs'!B$10*(1+$A8)*'Deal Inputs'!B$9*'Assumptions'!$F$7/'Deal Inputs'!B$11)))/('Deal Inputs'!B$6/'Deal Inputs'!B$7)-1)</x:f>
        <x:v>0.118857574000369</x:v>
      </x:c>
      <x:c r="F8" s="144" t="n">
        <x:f>((('Deal Inputs'!B$6+'Deal Inputs'!B$8+'Assumptions'!$F$11*F$7*(1-'Assumptions'!$F$10)-('Deal Inputs'!B$10*(1+$A8)*'Deal Inputs'!B$9*'Assumptions'!$F$6*'Assumptions'!$F$8*(1-'Assumptions'!$F$10))-'Assumptions'!$F$13*(1-'Assumptions'!$F$10))/('Deal Inputs'!B$7+('Deal Inputs'!B$10*(1+$A8)*'Deal Inputs'!B$9*'Assumptions'!$F$7/'Deal Inputs'!B$11)))/('Deal Inputs'!B$6/'Deal Inputs'!B$7)-1)</x:f>
        <x:v>0.14732638248240582</x:v>
      </x:c>
    </x:row>
    <x:row r="9">
      <x:c r="A9" s="71" t="n">
        <x:v>-0.05</x:v>
      </x:c>
      <x:c r="B9" s="144" t="n">
        <x:f>((('Deal Inputs'!B$6+'Deal Inputs'!B$8+'Assumptions'!$F$11*B$7*(1-'Assumptions'!$F$10)-('Deal Inputs'!B$10*(1+$A9)*'Deal Inputs'!B$9*'Assumptions'!$F$6*'Assumptions'!$F$8*(1-'Assumptions'!$F$10))-'Assumptions'!$F$13*(1-'Assumptions'!$F$10))/('Deal Inputs'!B$7+('Deal Inputs'!B$10*(1+$A9)*'Deal Inputs'!B$9*'Assumptions'!$F$7/'Deal Inputs'!B$11)))/('Deal Inputs'!B$6/'Deal Inputs'!B$7)-1)</x:f>
        <x:v>0.023191798646983397</x:v>
      </x:c>
      <x:c r="C9" s="144" t="n">
        <x:f>((('Deal Inputs'!B$6+'Deal Inputs'!B$8+'Assumptions'!$F$11*C$7*(1-'Assumptions'!$F$10)-('Deal Inputs'!B$10*(1+$A9)*'Deal Inputs'!B$9*'Assumptions'!$F$6*'Assumptions'!$F$8*(1-'Assumptions'!$F$10))-'Assumptions'!$F$13*(1-'Assumptions'!$F$10))/('Deal Inputs'!B$7+('Deal Inputs'!B$10*(1+$A9)*'Deal Inputs'!B$9*'Assumptions'!$F$7/'Deal Inputs'!B$11)))/('Deal Inputs'!B$6/'Deal Inputs'!B$7)-1)</x:f>
        <x:v>0.05151280252772894</x:v>
      </x:c>
      <x:c r="D9" s="144" t="n">
        <x:f>((('Deal Inputs'!B$6+'Deal Inputs'!B$8+'Assumptions'!$F$11*D$7*(1-'Assumptions'!$F$10)-('Deal Inputs'!B$10*(1+$A9)*'Deal Inputs'!B$9*'Assumptions'!$F$6*'Assumptions'!$F$8*(1-'Assumptions'!$F$10))-'Assumptions'!$F$13*(1-'Assumptions'!$F$10))/('Deal Inputs'!B$7+('Deal Inputs'!B$10*(1+$A9)*'Deal Inputs'!B$9*'Assumptions'!$F$7/'Deal Inputs'!B$11)))/('Deal Inputs'!B$6/'Deal Inputs'!B$7)-1)</x:f>
        <x:v>0.0798338064084747</x:v>
      </x:c>
      <x:c r="E9" s="144" t="n">
        <x:f>((('Deal Inputs'!B$6+'Deal Inputs'!B$8+'Assumptions'!$F$11*E$7*(1-'Assumptions'!$F$10)-('Deal Inputs'!B$10*(1+$A9)*'Deal Inputs'!B$9*'Assumptions'!$F$6*'Assumptions'!$F$8*(1-'Assumptions'!$F$10))-'Assumptions'!$F$13*(1-'Assumptions'!$F$10))/('Deal Inputs'!B$7+('Deal Inputs'!B$10*(1+$A9)*'Deal Inputs'!B$9*'Assumptions'!$F$7/'Deal Inputs'!B$11)))/('Deal Inputs'!B$6/'Deal Inputs'!B$7)-1)</x:f>
        <x:v>0.10815481028922025</x:v>
      </x:c>
      <x:c r="F9" s="144" t="n">
        <x:f>((('Deal Inputs'!B$6+'Deal Inputs'!B$8+'Assumptions'!$F$11*F$7*(1-'Assumptions'!$F$10)-('Deal Inputs'!B$10*(1+$A9)*'Deal Inputs'!B$9*'Assumptions'!$F$6*'Assumptions'!$F$8*(1-'Assumptions'!$F$10))-'Assumptions'!$F$13*(1-'Assumptions'!$F$10))/('Deal Inputs'!B$7+('Deal Inputs'!B$10*(1+$A9)*'Deal Inputs'!B$9*'Assumptions'!$F$7/'Deal Inputs'!B$11)))/('Deal Inputs'!B$6/'Deal Inputs'!B$7)-1)</x:f>
        <x:v>0.13647581416996601</x:v>
      </x:c>
    </x:row>
    <x:row r="10">
      <x:c r="A10" s="71" t="n">
        <x:v>0</x:v>
      </x:c>
      <x:c r="B10" s="144" t="n">
        <x:f>((('Deal Inputs'!B$6+'Deal Inputs'!B$8+'Assumptions'!$F$11*B$7*(1-'Assumptions'!$F$10)-('Deal Inputs'!B$10*(1+$A10)*'Deal Inputs'!B$9*'Assumptions'!$F$6*'Assumptions'!$F$8*(1-'Assumptions'!$F$10))-'Assumptions'!$F$13*(1-'Assumptions'!$F$10))/('Deal Inputs'!B$7+('Deal Inputs'!B$10*(1+$A10)*'Deal Inputs'!B$9*'Assumptions'!$F$7/'Deal Inputs'!B$11)))/('Deal Inputs'!B$6/'Deal Inputs'!B$7)-1)</x:f>
        <x:v>0.013038427677057873</x:v>
      </x:c>
      <x:c r="C10" s="144" t="n">
        <x:f>((('Deal Inputs'!B$6+'Deal Inputs'!B$8+'Assumptions'!$F$11*C$7*(1-'Assumptions'!$F$10)-('Deal Inputs'!B$10*(1+$A10)*'Deal Inputs'!B$9*'Assumptions'!$F$6*'Assumptions'!$F$8*(1-'Assumptions'!$F$10))-'Assumptions'!$F$13*(1-'Assumptions'!$F$10))/('Deal Inputs'!B$7+('Deal Inputs'!B$10*(1+$A10)*'Deal Inputs'!B$9*'Assumptions'!$F$7/'Deal Inputs'!B$11)))/('Deal Inputs'!B$6/'Deal Inputs'!B$7)-1)</x:f>
        <x:v>0.041213153775922606</x:v>
      </x:c>
      <x:c r="D10" s="144" t="n">
        <x:f>((('Deal Inputs'!B$6+'Deal Inputs'!B$8+'Assumptions'!$F$11*D$7*(1-'Assumptions'!$F$10)-('Deal Inputs'!B$10*(1+$A10)*'Deal Inputs'!B$9*'Assumptions'!$F$6*'Assumptions'!$F$8*(1-'Assumptions'!$F$10))-'Assumptions'!$F$13*(1-'Assumptions'!$F$10))/('Deal Inputs'!B$7+('Deal Inputs'!B$10*(1+$A10)*'Deal Inputs'!B$9*'Assumptions'!$F$7/'Deal Inputs'!B$11)))/('Deal Inputs'!B$6/'Deal Inputs'!B$7)-1)</x:f>
        <x:v>0.069387879874788</x:v>
      </x:c>
      <x:c r="E10" s="144" t="n">
        <x:f>((('Deal Inputs'!B$6+'Deal Inputs'!B$8+'Assumptions'!$F$11*E$7*(1-'Assumptions'!$F$10)-('Deal Inputs'!B$10*(1+$A10)*'Deal Inputs'!B$9*'Assumptions'!$F$6*'Assumptions'!$F$8*(1-'Assumptions'!$F$10))-'Assumptions'!$F$13*(1-'Assumptions'!$F$10))/('Deal Inputs'!B$7+('Deal Inputs'!B$10*(1+$A10)*'Deal Inputs'!B$9*'Assumptions'!$F$7/'Deal Inputs'!B$11)))/('Deal Inputs'!B$6/'Deal Inputs'!B$7)-1)</x:f>
        <x:v>0.09756260597365318</x:v>
      </x:c>
      <x:c r="F10" s="144" t="n">
        <x:f>((('Deal Inputs'!B$6+'Deal Inputs'!B$8+'Assumptions'!$F$11*F$7*(1-'Assumptions'!$F$10)-('Deal Inputs'!B$10*(1+$A10)*'Deal Inputs'!B$9*'Assumptions'!$F$6*'Assumptions'!$F$8*(1-'Assumptions'!$F$10))-'Assumptions'!$F$13*(1-'Assumptions'!$F$10))/('Deal Inputs'!B$7+('Deal Inputs'!B$10*(1+$A10)*'Deal Inputs'!B$9*'Assumptions'!$F$7/'Deal Inputs'!B$11)))/('Deal Inputs'!B$6/'Deal Inputs'!B$7)-1)</x:f>
        <x:v>0.12573733207251836</x:v>
      </x:c>
    </x:row>
    <x:row r="11">
      <x:c r="A11" s="71" t="n">
        <x:v>0.05</x:v>
      </x:c>
      <x:c r="B11" s="144" t="n">
        <x:f>((('Deal Inputs'!B$6+'Deal Inputs'!B$8+'Assumptions'!$F$11*B$7*(1-'Assumptions'!$F$10)-('Deal Inputs'!B$10*(1+$A11)*'Deal Inputs'!B$9*'Assumptions'!$F$6*'Assumptions'!$F$8*(1-'Assumptions'!$F$10))-'Assumptions'!$F$13*(1-'Assumptions'!$F$10))/('Deal Inputs'!B$7+('Deal Inputs'!B$10*(1+$A11)*'Deal Inputs'!B$9*'Assumptions'!$F$7/'Deal Inputs'!B$11)))/('Deal Inputs'!B$6/'Deal Inputs'!B$7)-1)</x:f>
        <x:v>0.002989401941193126</x:v>
      </x:c>
      <x:c r="C11" s="144" t="n">
        <x:f>((('Deal Inputs'!B$6+'Deal Inputs'!B$8+'Assumptions'!$F$11*C$7*(1-'Assumptions'!$F$10)-('Deal Inputs'!B$10*(1+$A11)*'Deal Inputs'!B$9*'Assumptions'!$F$6*'Assumptions'!$F$8*(1-'Assumptions'!$F$10))-'Assumptions'!$F$13*(1-'Assumptions'!$F$10))/('Deal Inputs'!B$7+('Deal Inputs'!B$10*(1+$A11)*'Deal Inputs'!B$9*'Assumptions'!$F$7/'Deal Inputs'!B$11)))/('Deal Inputs'!B$6/'Deal Inputs'!B$7)-1)</x:f>
        <x:v>0.03101935354112051</x:v>
      </x:c>
      <x:c r="D11" s="144" t="n">
        <x:f>((('Deal Inputs'!B$6+'Deal Inputs'!B$8+'Assumptions'!$F$11*D$7*(1-'Assumptions'!$F$10)-('Deal Inputs'!B$10*(1+$A11)*'Deal Inputs'!B$9*'Assumptions'!$F$6*'Assumptions'!$F$8*(1-'Assumptions'!$F$10))-'Assumptions'!$F$13*(1-'Assumptions'!$F$10))/('Deal Inputs'!B$7+('Deal Inputs'!B$10*(1+$A11)*'Deal Inputs'!B$9*'Assumptions'!$F$7/'Deal Inputs'!B$11)))/('Deal Inputs'!B$6/'Deal Inputs'!B$7)-1)</x:f>
        <x:v>0.05904930514104767</x:v>
      </x:c>
      <x:c r="E11" s="144" t="n">
        <x:f>((('Deal Inputs'!B$6+'Deal Inputs'!B$8+'Assumptions'!$F$11*E$7*(1-'Assumptions'!$F$10)-('Deal Inputs'!B$10*(1+$A11)*'Deal Inputs'!B$9*'Assumptions'!$F$6*'Assumptions'!$F$8*(1-'Assumptions'!$F$10))-'Assumptions'!$F$13*(1-'Assumptions'!$F$10))/('Deal Inputs'!B$7+('Deal Inputs'!B$10*(1+$A11)*'Deal Inputs'!B$9*'Assumptions'!$F$7/'Deal Inputs'!B$11)))/('Deal Inputs'!B$6/'Deal Inputs'!B$7)-1)</x:f>
        <x:v>0.08707925674097505</x:v>
      </x:c>
      <x:c r="F11" s="144" t="n">
        <x:f>((('Deal Inputs'!B$6+'Deal Inputs'!B$8+'Assumptions'!$F$11*F$7*(1-'Assumptions'!$F$10)-('Deal Inputs'!B$10*(1+$A11)*'Deal Inputs'!B$9*'Assumptions'!$F$6*'Assumptions'!$F$8*(1-'Assumptions'!$F$10))-'Assumptions'!$F$13*(1-'Assumptions'!$F$10))/('Deal Inputs'!B$7+('Deal Inputs'!B$10*(1+$A11)*'Deal Inputs'!B$9*'Assumptions'!$F$7/'Deal Inputs'!B$11)))/('Deal Inputs'!B$6/'Deal Inputs'!B$7)-1)</x:f>
        <x:v>0.11510920834090221</x:v>
      </x:c>
    </x:row>
    <x:row r="12">
      <x:c r="A12" s="71" t="n">
        <x:v>0.1</x:v>
      </x:c>
      <x:c r="B12" s="144" t="n">
        <x:f>((('Deal Inputs'!B$6+'Deal Inputs'!B$8+'Assumptions'!$F$11*B$7*(1-'Assumptions'!$F$10)-('Deal Inputs'!B$10*(1+$A12)*'Deal Inputs'!B$9*'Assumptions'!$F$6*'Assumptions'!$F$8*(1-'Assumptions'!$F$10))-'Assumptions'!$F$13*(1-'Assumptions'!$F$10))/('Deal Inputs'!B$7+('Deal Inputs'!B$10*(1+$A12)*'Deal Inputs'!B$9*'Assumptions'!$F$7/'Deal Inputs'!B$11)))/('Deal Inputs'!B$6/'Deal Inputs'!B$7)-1)</x:f>
        <x:v>-0.006956878856729576</x:v>
      </x:c>
      <x:c r="C12" s="144" t="n">
        <x:f>((('Deal Inputs'!B$6+'Deal Inputs'!B$8+'Assumptions'!$F$11*C$7*(1-'Assumptions'!$F$10)-('Deal Inputs'!B$10*(1+$A12)*'Deal Inputs'!B$9*'Assumptions'!$F$6*'Assumptions'!$F$8*(1-'Assumptions'!$F$10))-'Assumptions'!$F$13*(1-'Assumptions'!$F$10))/('Deal Inputs'!B$7+('Deal Inputs'!B$10*(1+$A12)*'Deal Inputs'!B$9*'Assumptions'!$F$7/'Deal Inputs'!B$11)))/('Deal Inputs'!B$6/'Deal Inputs'!B$7)-1)</x:f>
        <x:v>0.020929778472024818</x:v>
      </x:c>
      <x:c r="D12" s="144" t="n">
        <x:f>((('Deal Inputs'!B$6+'Deal Inputs'!B$8+'Assumptions'!$F$11*D$7*(1-'Assumptions'!$F$10)-('Deal Inputs'!B$10*(1+$A12)*'Deal Inputs'!B$9*'Assumptions'!$F$6*'Assumptions'!$F$8*(1-'Assumptions'!$F$10))-'Assumptions'!$F$13*(1-'Assumptions'!$F$10))/('Deal Inputs'!B$7+('Deal Inputs'!B$10*(1+$A12)*'Deal Inputs'!B$9*'Assumptions'!$F$7/'Deal Inputs'!B$11)))/('Deal Inputs'!B$6/'Deal Inputs'!B$7)-1)</x:f>
        <x:v>0.048816435800779434</x:v>
      </x:c>
      <x:c r="E12" s="144" t="n">
        <x:f>((('Deal Inputs'!B$6+'Deal Inputs'!B$8+'Assumptions'!$F$11*E$7*(1-'Assumptions'!$F$10)-('Deal Inputs'!B$10*(1+$A12)*'Deal Inputs'!B$9*'Assumptions'!$F$6*'Assumptions'!$F$8*(1-'Assumptions'!$F$10))-'Assumptions'!$F$13*(1-'Assumptions'!$F$10))/('Deal Inputs'!B$7+('Deal Inputs'!B$10*(1+$A12)*'Deal Inputs'!B$9*'Assumptions'!$F$7/'Deal Inputs'!B$11)))/('Deal Inputs'!B$6/'Deal Inputs'!B$7)-1)</x:f>
        <x:v>0.07670309312953427</x:v>
      </x:c>
      <x:c r="F12" s="144" t="n">
        <x:f>((('Deal Inputs'!B$6+'Deal Inputs'!B$8+'Assumptions'!$F$11*F$7*(1-'Assumptions'!$F$10)-('Deal Inputs'!B$10*(1+$A12)*'Deal Inputs'!B$9*'Assumptions'!$F$6*'Assumptions'!$F$8*(1-'Assumptions'!$F$10))-'Assumptions'!$F$13*(1-'Assumptions'!$F$10))/('Deal Inputs'!B$7+('Deal Inputs'!B$10*(1+$A12)*'Deal Inputs'!B$9*'Assumptions'!$F$7/'Deal Inputs'!B$11)))/('Deal Inputs'!B$6/'Deal Inputs'!B$7)-1)</x:f>
        <x:v>0.10458975045828911</x:v>
      </x:c>
    </x:row>
    <x:row r="16" ht="22" customHeight="1">
      <x:c r="A16" s="9" t="str">
        <x:v>SCENARIO OUTPUTS</x:v>
      </x:c>
      <x:c r="B16" s="9" t="str">
        <x:v>SCENARIO OUTPUTS</x:v>
      </x:c>
      <x:c r="C16" s="9" t="str">
        <x:v>SCENARIO OUTPUTS</x:v>
      </x:c>
      <x:c r="D16" s="9" t="str">
        <x:v>SCENARIO OUTPUTS</x:v>
      </x:c>
      <x:c r="E16" s="9" t="str">
        <x:v>SCENARIO OUTPUTS</x:v>
      </x:c>
      <x:c r="F16" s="9" t="str">
        <x:v>SCENARIO OUTPUTS</x:v>
      </x:c>
      <x:c r="G16" s="9" t="str">
        <x:v>SCENARIO OUTPUTS</x:v>
      </x:c>
      <x:c r="H16" s="9" t="str">
        <x:v>SCENARIO OUTPUTS</x:v>
      </x:c>
      <x:c r="I16" s="9" t="str">
        <x:v>SCENARIO OUTPUTS</x:v>
      </x:c>
      <x:c r="J16" s="9" t="str">
        <x:v>SCENARIO OUTPUTS</x:v>
      </x:c>
    </x:row>
    <x:row r="17" ht="24" customHeight="1">
      <x:c r="A17" s="66" t="str">
        <x:v>Case</x:v>
      </x:c>
      <x:c r="B17" s="67" t="str">
        <x:v>Narrative</x:v>
      </x:c>
      <x:c r="C17" s="67" t="str">
        <x:v>Selected driver set</x:v>
      </x:c>
      <x:c r="D17" s="68" t="str">
        <x:v>Review question</x:v>
      </x:c>
    </x:row>
    <x:row r="18">
      <x:c r="A18" s="154" t="str">
        <x:v>Base</x:v>
      </x:c>
      <x:c r="B18" s="155" t="str">
        <x:v>Most likely operating and finance assumptions.</x:v>
      </x:c>
      <x:c r="C18" s="155" t="str">
        <x:v>Base</x:v>
      </x:c>
      <x:c r="D18" s="156" t="str">
        <x:v>What must be true for the base case to hold?</x:v>
      </x:c>
    </x:row>
    <x:row r="19">
      <x:c r="A19" s="157" t="str">
        <x:v>Upside</x:v>
      </x:c>
      <x:c r="B19" s="158" t="str">
        <x:v>Stronger performance, faster conversion, or lower risk/cost.</x:v>
      </x:c>
      <x:c r="C19" s="158" t="str">
        <x:v>Upside</x:v>
      </x:c>
      <x:c r="D19" s="159" t="str">
        <x:v>Which actions unlock the upside?</x:v>
      </x:c>
    </x:row>
    <x:row r="20">
      <x:c r="A20" s="160" t="str">
        <x:v>Downside</x:v>
      </x:c>
      <x:c r="B20" s="161" t="str">
        <x:v>Slower activity, weaker conversion, or higher risk/cost.</x:v>
      </x:c>
      <x:c r="C20" s="161" t="str">
        <x:v>Downside</x:v>
      </x:c>
      <x:c r="D20" s="162" t="str">
        <x:v>What breaks first and who acts?</x:v>
      </x:c>
    </x:row>
    <x:row r="22">
      <x:c r="A22" s="42" t="str">
        <x:v>Sensitivity outputs are analytical ranges, not forecasts or guarantees. Recheck directionality, boundaries, source quality, and the business narrative behind each driver before decision use.</x:v>
      </x:c>
      <x:c r="B22" s="43" t="str">
        <x:v>Sensitivity outputs are analytical ranges, not forecasts or guarantees. Recheck directionality, boundaries, source quality, and the business narrative behind each driver before decision use.</x:v>
      </x:c>
      <x:c r="C22" s="43" t="str">
        <x:v>Sensitivity outputs are analytical ranges, not forecasts or guarantees. Recheck directionality, boundaries, source quality, and the business narrative behind each driver before decision use.</x:v>
      </x:c>
      <x:c r="D22" s="43" t="str">
        <x:v>Sensitivity outputs are analytical ranges, not forecasts or guarantees. Recheck directionality, boundaries, source quality, and the business narrative behind each driver before decision use.</x:v>
      </x:c>
      <x:c r="E22" s="43" t="str">
        <x:v>Sensitivity outputs are analytical ranges, not forecasts or guarantees. Recheck directionality, boundaries, source quality, and the business narrative behind each driver before decision use.</x:v>
      </x:c>
      <x:c r="F22" s="43" t="str">
        <x:v>Sensitivity outputs are analytical ranges, not forecasts or guarantees. Recheck directionality, boundaries, source quality, and the business narrative behind each driver before decision use.</x:v>
      </x:c>
      <x:c r="G22" s="43" t="str">
        <x:v>Sensitivity outputs are analytical ranges, not forecasts or guarantees. Recheck directionality, boundaries, source quality, and the business narrative behind each driver before decision use.</x:v>
      </x:c>
      <x:c r="H22" s="43" t="str">
        <x:v>Sensitivity outputs are analytical ranges, not forecasts or guarantees. Recheck directionality, boundaries, source quality, and the business narrative behind each driver before decision use.</x:v>
      </x:c>
      <x:c r="I22" s="43" t="str">
        <x:v>Sensitivity outputs are analytical ranges, not forecasts or guarantees. Recheck directionality, boundaries, source quality, and the business narrative behind each driver before decision use.</x:v>
      </x:c>
      <x:c r="J22" s="44" t="str">
        <x:v>Sensitivity outputs are analytical ranges, not forecasts or guarantees. Recheck directionality, boundaries, source quality, and the business narrative behind each driver before decision use.</x:v>
      </x:c>
    </x:row>
    <x:row r="23">
      <x:c r="A23" s="45" t="str">
        <x:v>Sensitivity outputs are analytical ranges, not forecasts or guarantees. Recheck directionality, boundaries, source quality, and the business narrative behind each driver before decision use.</x:v>
      </x:c>
      <x:c r="B23" s="46" t="str">
        <x:v>Sensitivity outputs are analytical ranges, not forecasts or guarantees. Recheck directionality, boundaries, source quality, and the business narrative behind each driver before decision use.</x:v>
      </x:c>
      <x:c r="C23" s="46" t="str">
        <x:v>Sensitivity outputs are analytical ranges, not forecasts or guarantees. Recheck directionality, boundaries, source quality, and the business narrative behind each driver before decision use.</x:v>
      </x:c>
      <x:c r="D23" s="46" t="str">
        <x:v>Sensitivity outputs are analytical ranges, not forecasts or guarantees. Recheck directionality, boundaries, source quality, and the business narrative behind each driver before decision use.</x:v>
      </x:c>
      <x:c r="E23" s="46" t="str">
        <x:v>Sensitivity outputs are analytical ranges, not forecasts or guarantees. Recheck directionality, boundaries, source quality, and the business narrative behind each driver before decision use.</x:v>
      </x:c>
      <x:c r="F23" s="46" t="str">
        <x:v>Sensitivity outputs are analytical ranges, not forecasts or guarantees. Recheck directionality, boundaries, source quality, and the business narrative behind each driver before decision use.</x:v>
      </x:c>
      <x:c r="G23" s="46" t="str">
        <x:v>Sensitivity outputs are analytical ranges, not forecasts or guarantees. Recheck directionality, boundaries, source quality, and the business narrative behind each driver before decision use.</x:v>
      </x:c>
      <x:c r="H23" s="46" t="str">
        <x:v>Sensitivity outputs are analytical ranges, not forecasts or guarantees. Recheck directionality, boundaries, source quality, and the business narrative behind each driver before decision use.</x:v>
      </x:c>
      <x:c r="I23" s="46" t="str">
        <x:v>Sensitivity outputs are analytical ranges, not forecasts or guarantees. Recheck directionality, boundaries, source quality, and the business narrative behind each driver before decision use.</x:v>
      </x:c>
      <x:c r="J23" s="47" t="str">
        <x:v>Sensitivity outputs are analytical ranges, not forecasts or guarantees. Recheck directionality, boundaries, source quality, and the business narrative behind each driver before decision use.</x:v>
      </x:c>
    </x:row>
    <x:row r="24">
      <x:c r="A24" s="48" t="str">
        <x:v>Sensitivity outputs are analytical ranges, not forecasts or guarantees. Recheck directionality, boundaries, source quality, and the business narrative behind each driver before decision use.</x:v>
      </x:c>
      <x:c r="B24" s="49" t="str">
        <x:v>Sensitivity outputs are analytical ranges, not forecasts or guarantees. Recheck directionality, boundaries, source quality, and the business narrative behind each driver before decision use.</x:v>
      </x:c>
      <x:c r="C24" s="49" t="str">
        <x:v>Sensitivity outputs are analytical ranges, not forecasts or guarantees. Recheck directionality, boundaries, source quality, and the business narrative behind each driver before decision use.</x:v>
      </x:c>
      <x:c r="D24" s="49" t="str">
        <x:v>Sensitivity outputs are analytical ranges, not forecasts or guarantees. Recheck directionality, boundaries, source quality, and the business narrative behind each driver before decision use.</x:v>
      </x:c>
      <x:c r="E24" s="49" t="str">
        <x:v>Sensitivity outputs are analytical ranges, not forecasts or guarantees. Recheck directionality, boundaries, source quality, and the business narrative behind each driver before decision use.</x:v>
      </x:c>
      <x:c r="F24" s="49" t="str">
        <x:v>Sensitivity outputs are analytical ranges, not forecasts or guarantees. Recheck directionality, boundaries, source quality, and the business narrative behind each driver before decision use.</x:v>
      </x:c>
      <x:c r="G24" s="49" t="str">
        <x:v>Sensitivity outputs are analytical ranges, not forecasts or guarantees. Recheck directionality, boundaries, source quality, and the business narrative behind each driver before decision use.</x:v>
      </x:c>
      <x:c r="H24" s="49" t="str">
        <x:v>Sensitivity outputs are analytical ranges, not forecasts or guarantees. Recheck directionality, boundaries, source quality, and the business narrative behind each driver before decision use.</x:v>
      </x:c>
      <x:c r="I24" s="49" t="str">
        <x:v>Sensitivity outputs are analytical ranges, not forecasts or guarantees. Recheck directionality, boundaries, source quality, and the business narrative behind each driver before decision use.</x:v>
      </x:c>
      <x:c r="J24" s="50" t="str">
        <x:v>Sensitivity outputs are analytical ranges, not forecasts or guarantees. Recheck directionality, boundaries, source quality, and the business narrative behind each driver before decision use.</x:v>
      </x:c>
    </x:row>
    <x:row r="26">
      <x:c r="A26" s="53" t="str">
        <x:v>TDAT Model Library  |  Trust builds the brand. Insight builds the decision.</x:v>
      </x:c>
      <x:c r="B26" s="53" t="str">
        <x:v>TDAT Model Library  |  Trust builds the brand. Insight builds the decision.</x:v>
      </x:c>
      <x:c r="C26" s="53" t="str">
        <x:v>TDAT Model Library  |  Trust builds the brand. Insight builds the decision.</x:v>
      </x:c>
      <x:c r="D26" s="53" t="str">
        <x:v>TDAT Model Library  |  Trust builds the brand. Insight builds the decision.</x:v>
      </x:c>
      <x:c r="E26" s="53" t="str">
        <x:v>TDAT Model Library  |  Trust builds the brand. Insight builds the decision.</x:v>
      </x:c>
      <x:c r="F26" s="53" t="str">
        <x:v>TDAT Model Library  |  Trust builds the brand. Insight builds the decision.</x:v>
      </x:c>
      <x:c r="G26" s="53" t="str">
        <x:v>TDAT Model Library  |  Trust builds the brand. Insight builds the decision.</x:v>
      </x:c>
      <x:c r="H26" s="53" t="str">
        <x:v>TDAT Model Library  |  Trust builds the brand. Insight builds the decision.</x:v>
      </x:c>
      <x:c r="I26" s="53" t="str">
        <x:v>TDAT Model Library  |  Trust builds the brand. Insight builds the decision.</x:v>
      </x:c>
      <x:c r="J26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16:J16"/>
    <x:mergeCell ref="A22:J24"/>
    <x:mergeCell ref="A26:J26"/>
  </x:mergeCells>
  <x:conditionalFormatting sqref="B8:F12">
    <x:cfRule type="colorScale" priority="1">
      <x:colorScale>
        <x:cfvo type="min"/>
        <x:cfvo type="percentile" val="50"/>
        <x:cfvo type="max"/>
        <x:color rgb="FFFCE8E6"/>
        <x:color rgb="FFFFF4DB"/>
        <x:color rgb="FFE5F6F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EXECUTIVE SUMMARY</x:v>
      </x:c>
      <x:c r="B1" s="3" t="str">
        <x:v>EXECUTIVE SUMMARY</x:v>
      </x:c>
      <x:c r="C1" s="3" t="str">
        <x:v>EXECUTIVE SUMMARY</x:v>
      </x:c>
      <x:c r="D1" s="3" t="str">
        <x:v>EXECUTIVE SUMMARY</x:v>
      </x:c>
      <x:c r="E1" s="3" t="str">
        <x:v>EXECUTIVE SUMMARY</x:v>
      </x:c>
      <x:c r="F1" s="3" t="str">
        <x:v>EXECUTIVE SUMMARY</x:v>
      </x:c>
      <x:c r="G1" s="3" t="str">
        <x:v>EXECUTIVE SUMMARY</x:v>
      </x:c>
      <x:c r="H1" s="3" t="str">
        <x:v>EXECUTIVE SUMMARY</x:v>
      </x:c>
      <x:c r="I1" s="3" t="str">
        <x:v>EXECUTIVE SUMMARY</x:v>
      </x:c>
      <x:c r="J1" s="3" t="str">
        <x:v>EXECUTIVE SUMMARY</x:v>
      </x:c>
    </x:row>
    <x:row r="2" ht="24" customHeight="1">
      <x:c r="A2" s="6" t="str">
        <x:v>M&amp;A Accretion / Dilution  |  Decision outputs, trend, breakpoints, and action prompts</x:v>
      </x:c>
      <x:c r="B2" s="6" t="str">
        <x:v>M&amp;A Accretion / Dilution  |  Decision outputs, trend, breakpoints, and action prompts</x:v>
      </x:c>
      <x:c r="C2" s="6" t="str">
        <x:v>M&amp;A Accretion / Dilution  |  Decision outputs, trend, breakpoints, and action prompts</x:v>
      </x:c>
      <x:c r="D2" s="6" t="str">
        <x:v>M&amp;A Accretion / Dilution  |  Decision outputs, trend, breakpoints, and action prompts</x:v>
      </x:c>
      <x:c r="E2" s="6" t="str">
        <x:v>M&amp;A Accretion / Dilution  |  Decision outputs, trend, breakpoints, and action prompts</x:v>
      </x:c>
      <x:c r="F2" s="6" t="str">
        <x:v>M&amp;A Accretion / Dilution  |  Decision outputs, trend, breakpoints, and action prompts</x:v>
      </x:c>
      <x:c r="G2" s="6" t="str">
        <x:v>M&amp;A Accretion / Dilution  |  Decision outputs, trend, breakpoints, and action prompts</x:v>
      </x:c>
      <x:c r="H2" s="6" t="str">
        <x:v>M&amp;A Accretion / Dilution  |  Decision outputs, trend, breakpoints, and action prompts</x:v>
      </x:c>
      <x:c r="I2" s="6" t="str">
        <x:v>M&amp;A Accretion / Dilution  |  Decision outputs, trend, breakpoints, and action prompts</x:v>
      </x:c>
      <x:c r="J2" s="6" t="str">
        <x:v>M&amp;A Accretion / Dilution  |  Decision outputs, trend, breakpoints, and action prompts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64" t="str">
        <x:v>YEAR-ONE A/D</x:v>
      </x:c>
      <x:c r="B5" s="164" t="str">
        <x:v>YEAR-ONE A/D</x:v>
      </x:c>
      <x:c r="C5" s="164" t="str">
        <x:v>YEAR-ONE A/D</x:v>
      </x:c>
      <x:c r="D5" s="164" t="str">
        <x:v>YEAR-FIVE A/D</x:v>
      </x:c>
      <x:c r="E5" s="164" t="str">
        <x:v>YEAR-FIVE A/D</x:v>
      </x:c>
      <x:c r="F5" s="164" t="str">
        <x:v>YEAR-FIVE A/D</x:v>
      </x:c>
      <x:c r="G5" s="164" t="str">
        <x:v>PURCHASE EQUITY VALUE</x:v>
      </x:c>
      <x:c r="H5" s="164" t="str">
        <x:v>PURCHASE EQUITY VALUE</x:v>
      </x:c>
      <x:c r="I5" s="164" t="str">
        <x:v>PURCHASE EQUITY VALUE</x:v>
      </x:c>
      <x:c r="J5" s="182" t="str">
        <x:v>MODEL STATUS</x:v>
      </x:c>
    </x:row>
    <x:row r="6">
      <x:c r="A6" s="168" t="n">
        <x:f>'Accretion Dilution'!B$20</x:f>
        <x:v>-0.057961882092083084</x:v>
      </x:c>
      <x:c r="B6" s="168"/>
      <x:c r="C6" s="168"/>
      <x:c r="D6" s="172" t="n">
        <x:f>'Accretion Dilution'!F$20</x:f>
        <x:v>0.08937203388577619</x:v>
      </x:c>
      <x:c r="E6" s="172"/>
      <x:c r="F6" s="172"/>
      <x:c r="G6" s="176" t="n">
        <x:f>'Accretion Dilution'!F$6</x:f>
        <x:v>720</x:v>
      </x:c>
      <x:c r="H6" s="176"/>
      <x:c r="I6" s="176"/>
      <x:c r="J6" s="186" t="str">
        <x:f>'Checks'!$B$5</x:f>
        <x:v>PASS</x:v>
      </x:c>
    </x:row>
    <x:row r="7">
      <x:c r="A7" s="168"/>
      <x:c r="B7" s="168"/>
      <x:c r="C7" s="168"/>
      <x:c r="D7" s="172"/>
      <x:c r="E7" s="172"/>
      <x:c r="F7" s="172"/>
      <x:c r="G7" s="176"/>
      <x:c r="H7" s="176"/>
      <x:c r="I7" s="176"/>
      <x:c r="J7" s="186"/>
    </x:row>
    <x:row r="9">
      <x:c r="A9" s="164" t="str">
        <x:v>NEW SHARES ISSUED</x:v>
      </x:c>
      <x:c r="B9" s="164" t="str">
        <x:v>NEW SHARES ISSUED</x:v>
      </x:c>
      <x:c r="C9" s="164" t="str">
        <x:v>NEW SHARES ISSUED</x:v>
      </x:c>
      <x:c r="D9" s="164" t="str">
        <x:v>BUYER OWNERSHIP</x:v>
      </x:c>
      <x:c r="E9" s="164" t="str">
        <x:v>BUYER OWNERSHIP</x:v>
      </x:c>
      <x:c r="F9" s="164" t="str">
        <x:v>BUYER OWNERSHIP</x:v>
      </x:c>
      <x:c r="G9" s="164" t="str">
        <x:v>RUN-RATE SYNERGIES</x:v>
      </x:c>
      <x:c r="H9" s="164" t="str">
        <x:v>RUN-RATE SYNERGIES</x:v>
      </x:c>
      <x:c r="I9" s="164" t="str">
        <x:v>RUN-RATE SYNERGIES</x:v>
      </x:c>
      <x:c r="J9" s="182" t="str">
        <x:v>SCENARIO</x:v>
      </x:c>
    </x:row>
    <x:row r="10">
      <x:c r="A10" s="180" t="n">
        <x:f>'Accretion Dilution'!F$9</x:f>
        <x:v>11.52</x:v>
      </x:c>
      <x:c r="B10" s="180"/>
      <x:c r="C10" s="180"/>
      <x:c r="D10" s="168" t="n">
        <x:f>'Accretion Dilution'!F$21</x:f>
        <x:v>0.8985200845665963</x:v>
      </x:c>
      <x:c r="E10" s="168"/>
      <x:c r="F10" s="168"/>
      <x:c r="G10" s="176" t="n">
        <x:f>'Assumptions'!$F$11</x:f>
        <x:v>35</x:v>
      </x:c>
      <x:c r="H10" s="176"/>
      <x:c r="I10" s="176"/>
      <x:c r="J10" s="189" t="str">
        <x:f>'Assumptions'!$B$3</x:f>
        <x:v>Base</x:v>
      </x:c>
    </x:row>
    <x:row r="11">
      <x:c r="A11" s="180"/>
      <x:c r="B11" s="180"/>
      <x:c r="C11" s="180"/>
      <x:c r="D11" s="168"/>
      <x:c r="E11" s="168"/>
      <x:c r="F11" s="168"/>
      <x:c r="G11" s="176"/>
      <x:c r="H11" s="176"/>
      <x:c r="I11" s="176"/>
      <x:c r="J11" s="189"/>
    </x:row>
    <x:row r="14" ht="22" customHeight="1">
      <x:c r="A14" s="9" t="str">
        <x:v>TREND</x:v>
      </x:c>
      <x:c r="B14" s="9" t="str">
        <x:v>TREND</x:v>
      </x:c>
      <x:c r="C14" s="9" t="str">
        <x:v>TREND</x:v>
      </x:c>
      <x:c r="D14" s="9" t="str">
        <x:v>TREND</x:v>
      </x:c>
      <x:c r="E14" s="9" t="str">
        <x:v>TREND</x:v>
      </x:c>
    </x:row>
    <x:row r="15" ht="24" customHeight="1">
      <x:c r="A15" s="66" t="str">
        <x:v>Period</x:v>
      </x:c>
      <x:c r="B15" s="67" t="str">
        <x:v>Buyer standalone EPS</x:v>
      </x:c>
      <x:c r="C15" s="68" t="str">
        <x:v>Pro forma adjusted EPS</x:v>
      </x:c>
    </x:row>
    <x:row r="16">
      <x:c r="A16" t="str">
        <x:v>Y1</x:v>
      </x:c>
      <x:c r="B16" s="191" t="n">
        <x:f>'Accretion Dilution'!B$10</x:f>
        <x:v>2.2</x:v>
      </x:c>
      <x:c r="C16" s="191" t="n">
        <x:f>'Accretion Dilution'!B$19</x:f>
        <x:v>2.0724838593974173</x:v>
      </x:c>
    </x:row>
    <x:row r="17">
      <x:c r="A17" t="str">
        <x:v>Y2</x:v>
      </x:c>
      <x:c r="B17" s="191" t="n">
        <x:f>'Accretion Dilution'!C$10</x:f>
        <x:v>2.35</x:v>
      </x:c>
      <x:c r="C17" s="191" t="n">
        <x:f>'Accretion Dilution'!C$19</x:f>
        <x:v>2.430693149210904</x:v>
      </x:c>
    </x:row>
    <x:row r="18">
      <x:c r="A18" t="str">
        <x:v>Y3</x:v>
      </x:c>
      <x:c r="B18" s="191" t="n">
        <x:f>'Accretion Dilution'!D$10</x:f>
        <x:v>2.4752475247524752</x:v>
      </x:c>
      <x:c r="C18" s="191" t="n">
        <x:f>'Accretion Dilution'!D$19</x:f>
        <x:v>2.6236971205119093</x:v>
      </x:c>
    </x:row>
    <x:row r="19">
      <x:c r="A19" t="str">
        <x:v>Y4</x:v>
      </x:c>
      <x:c r="B19" s="191" t="n">
        <x:f>'Accretion Dilution'!E$10</x:f>
        <x:v>2.6534653465346536</x:v>
      </x:c>
      <x:c r="C19" s="191" t="n">
        <x:f>'Accretion Dilution'!E$19</x:f>
        <x:v>2.8649653394952006</x:v>
      </x:c>
    </x:row>
    <x:row r="20">
      <x:c r="A20" t="str">
        <x:v>Y5</x:v>
      </x:c>
      <x:c r="B20" s="191" t="n">
        <x:f>'Accretion Dilution'!F$10</x:f>
        <x:v>2.803921568627451</x:v>
      </x:c>
      <x:c r="C20" s="191" t="n">
        <x:f>'Accretion Dilution'!F$19</x:f>
        <x:v>3.0545137420718818</x:v>
      </x:c>
    </x:row>
    <x:row r="31" ht="22" customHeight="1">
      <x:c r="A31" s="9" t="str">
        <x:v>DECISION PROMPTS &amp; NEXT ACTIONS</x:v>
      </x:c>
      <x:c r="B31" s="9" t="str">
        <x:v>DECISION PROMPTS &amp; NEXT ACTIONS</x:v>
      </x:c>
      <x:c r="C31" s="9" t="str">
        <x:v>DECISION PROMPTS &amp; NEXT ACTIONS</x:v>
      </x:c>
      <x:c r="D31" s="9" t="str">
        <x:v>DECISION PROMPTS &amp; NEXT ACTIONS</x:v>
      </x:c>
      <x:c r="E31" s="9" t="str">
        <x:v>DECISION PROMPTS &amp; NEXT ACTIONS</x:v>
      </x:c>
      <x:c r="F31" s="9" t="str">
        <x:v>DECISION PROMPTS &amp; NEXT ACTIONS</x:v>
      </x:c>
      <x:c r="G31" s="9" t="str">
        <x:v>DECISION PROMPTS &amp; NEXT ACTIONS</x:v>
      </x:c>
      <x:c r="H31" s="9" t="str">
        <x:v>DECISION PROMPTS &amp; NEXT ACTIONS</x:v>
      </x:c>
      <x:c r="I31" s="9" t="str">
        <x:v>DECISION PROMPTS &amp; NEXT ACTIONS</x:v>
      </x:c>
      <x:c r="J31" s="9" t="str">
        <x:v>DECISION PROMPTS &amp; NEXT ACTIONS</x:v>
      </x:c>
    </x:row>
    <x:row r="32" ht="28" customHeight="1">
      <x:c r="A32" s="15" t="str">
        <x:v>Decision</x:v>
      </x:c>
      <x:c r="B32" s="17" t="str">
        <x:v>Does the transaction create or dilute earnings, and which funding or synergy assumptions matter most?</x:v>
      </x:c>
      <x:c r="C32" s="17" t="str"/>
      <x:c r="D32" s="17" t="str"/>
      <x:c r="E32" s="17" t="str"/>
      <x:c r="F32" s="17" t="str"/>
      <x:c r="G32" s="17" t="str"/>
      <x:c r="H32" s="193" t="str">
        <x:v>Decision owner</x:v>
      </x:c>
      <x:c r="I32" s="193" t="str"/>
      <x:c r="J32" s="193" t="str"/>
    </x:row>
    <x:row r="33" ht="28" customHeight="1">
      <x:c r="A33" s="15" t="str">
        <x:v>Driver</x:v>
      </x:c>
      <x:c r="B33" s="17" t="str">
        <x:v>Which assumption moves the answer most, and who owns it?</x:v>
      </x:c>
      <x:c r="C33" s="17" t="str"/>
      <x:c r="D33" s="17" t="str"/>
      <x:c r="E33" s="17" t="str"/>
      <x:c r="F33" s="17" t="str"/>
      <x:c r="G33" s="17" t="str"/>
      <x:c r="H33" s="193" t="str">
        <x:v>Finance / business owner</x:v>
      </x:c>
      <x:c r="I33" s="193" t="str"/>
      <x:c r="J33" s="193" t="str"/>
    </x:row>
    <x:row r="34" ht="28" customHeight="1">
      <x:c r="A34" s="15" t="str">
        <x:v>Downside</x:v>
      </x:c>
      <x:c r="B34" s="17" t="str">
        <x:v>What breaks first under Downside, and what action is triggered?</x:v>
      </x:c>
      <x:c r="C34" s="17" t="str"/>
      <x:c r="D34" s="17" t="str"/>
      <x:c r="E34" s="17" t="str"/>
      <x:c r="F34" s="17" t="str"/>
      <x:c r="G34" s="17" t="str"/>
      <x:c r="H34" s="193" t="str">
        <x:v>Finance leader</x:v>
      </x:c>
      <x:c r="I34" s="193" t="str"/>
      <x:c r="J34" s="193" t="str"/>
    </x:row>
    <x:row r="35" ht="28" customHeight="1">
      <x:c r="A35" s="15" t="str">
        <x:v>Source</x:v>
      </x:c>
      <x:c r="B35" s="17" t="str">
        <x:v>Are every material source, date, unit, and definition approved?</x:v>
      </x:c>
      <x:c r="C35" s="17" t="str"/>
      <x:c r="D35" s="17" t="str"/>
      <x:c r="E35" s="17" t="str"/>
      <x:c r="F35" s="17" t="str"/>
      <x:c r="G35" s="17" t="str"/>
      <x:c r="H35" s="193" t="str">
        <x:v>Model owner</x:v>
      </x:c>
      <x:c r="I35" s="193" t="str"/>
      <x:c r="J35" s="193" t="str"/>
    </x:row>
    <x:row r="36" ht="28" customHeight="1">
      <x:c r="A36" s="15" t="str">
        <x:v>Control</x:v>
      </x:c>
      <x:c r="B36" s="17" t="str">
        <x:v>Do all published checks pass after the latest input change?</x:v>
      </x:c>
      <x:c r="C36" s="17" t="str"/>
      <x:c r="D36" s="17" t="str"/>
      <x:c r="E36" s="17" t="str"/>
      <x:c r="F36" s="17" t="str"/>
      <x:c r="G36" s="17" t="str"/>
      <x:c r="H36" s="193" t="str">
        <x:v>Reviewer</x:v>
      </x:c>
      <x:c r="I36" s="193" t="str"/>
      <x:c r="J36" s="193" t="str"/>
    </x:row>
    <x:row r="37" ht="28" customHeight="1">
      <x:c r="A37" s="15" t="str">
        <x:v>Action</x:v>
      </x:c>
      <x:c r="B37" s="17" t="str">
        <x:v>What is the next action, owner, timing, and expected protection or upside?</x:v>
      </x:c>
      <x:c r="C37" s="17" t="str"/>
      <x:c r="D37" s="17" t="str"/>
      <x:c r="E37" s="17" t="str"/>
      <x:c r="F37" s="17" t="str"/>
      <x:c r="G37" s="17" t="str"/>
      <x:c r="H37" s="193" t="str">
        <x:v>Action owner</x:v>
      </x:c>
      <x:c r="I37" s="193" t="str"/>
      <x:c r="J37" s="193" t="str"/>
    </x:row>
    <x:row r="39">
      <x:c r="A39" s="42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39" s="44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0">
      <x:c r="A40" s="45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0" s="47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1">
      <x:c r="A41" s="48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1" s="50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3">
      <x:c r="A43" s="53" t="str">
        <x:v>TDAT Model Library  |  Trust builds the brand. Insight builds the decision.</x:v>
      </x:c>
      <x:c r="B43" s="53" t="str">
        <x:v>TDAT Model Library  |  Trust builds the brand. Insight builds the decision.</x:v>
      </x:c>
      <x:c r="C43" s="53" t="str">
        <x:v>TDAT Model Library  |  Trust builds the brand. Insight builds the decision.</x:v>
      </x:c>
      <x:c r="D43" s="53" t="str">
        <x:v>TDAT Model Library  |  Trust builds the brand. Insight builds the decision.</x:v>
      </x:c>
      <x:c r="E43" s="53" t="str">
        <x:v>TDAT Model Library  |  Trust builds the brand. Insight builds the decision.</x:v>
      </x:c>
      <x:c r="F43" s="53" t="str">
        <x:v>TDAT Model Library  |  Trust builds the brand. Insight builds the decision.</x:v>
      </x:c>
      <x:c r="G43" s="53" t="str">
        <x:v>TDAT Model Library  |  Trust builds the brand. Insight builds the decision.</x:v>
      </x:c>
      <x:c r="H43" s="53" t="str">
        <x:v>TDAT Model Library  |  Trust builds the brand. Insight builds the decision.</x:v>
      </x:c>
      <x:c r="I43" s="53" t="str">
        <x:v>TDAT Model Library  |  Trust builds the brand. Insight builds the decision.</x:v>
      </x:c>
      <x:c r="J43" s="53" t="str">
        <x:v>TDAT Model Library  |  Trust builds the brand. Insight builds the decision.</x:v>
      </x:c>
    </x:row>
  </x:sheetData>
  <x:mergeCells>
    <x:mergeCell ref="A1:J1"/>
    <x:mergeCell ref="A2:J2"/>
    <x:mergeCell ref="A5:C5"/>
    <x:mergeCell ref="A6:C7"/>
    <x:mergeCell ref="D5:F5"/>
    <x:mergeCell ref="D6:F7"/>
    <x:mergeCell ref="G5:I5"/>
    <x:mergeCell ref="G6:I7"/>
    <x:mergeCell ref="A9:C9"/>
    <x:mergeCell ref="A10:C11"/>
    <x:mergeCell ref="D9:F9"/>
    <x:mergeCell ref="D10:F11"/>
    <x:mergeCell ref="G9:I9"/>
    <x:mergeCell ref="G10:I11"/>
    <x:mergeCell ref="J6:J7"/>
    <x:mergeCell ref="J10:J11"/>
    <x:mergeCell ref="A14:E14"/>
    <x:mergeCell ref="A31:J31"/>
    <x:mergeCell ref="B32:G32"/>
    <x:mergeCell ref="B33:G33"/>
    <x:mergeCell ref="B34:G34"/>
    <x:mergeCell ref="B35:G35"/>
    <x:mergeCell ref="B36:G36"/>
    <x:mergeCell ref="B37:G37"/>
    <x:mergeCell ref="H32:J32"/>
    <x:mergeCell ref="H33:J33"/>
    <x:mergeCell ref="H34:J34"/>
    <x:mergeCell ref="H35:J35"/>
    <x:mergeCell ref="H36:J36"/>
    <x:mergeCell ref="H37:J37"/>
    <x:mergeCell ref="A39:J41"/>
    <x:mergeCell ref="A43:J43"/>
  </x:mergeCells>
  <x:pageMargins left="0.7" right="0.7" top="0.75" bottom="0.75" header="0.3" footer="0.3"/>
  <x:drawing xmlns:r="http://schemas.openxmlformats.org/officeDocument/2006/relationships" r:id="R4ea1336c5d0b4fd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30" hidden="0" customWidth="1"/>
    <x:col min="9" max="9" width="42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  <x:c r="I1" s="3" t="str">
        <x:v>MODEL CHECKS</x:v>
      </x:c>
    </x:row>
    <x:row r="2" ht="24" customHeight="1">
      <x:c r="A2" s="6" t="str">
        <x:v>M&amp;A Accretion / Dilution  |  One assertion per row — investigate every FAIL</x:v>
      </x:c>
      <x:c r="B2" s="6" t="str">
        <x:v>M&amp;A Accretion / Dilution  |  One assertion per row — investigate every FAIL</x:v>
      </x:c>
      <x:c r="C2" s="6" t="str">
        <x:v>M&amp;A Accretion / Dilution  |  One assertion per row — investigate every FAIL</x:v>
      </x:c>
      <x:c r="D2" s="6" t="str">
        <x:v>M&amp;A Accretion / Dilution  |  One assertion per row — investigate every FAIL</x:v>
      </x:c>
      <x:c r="E2" s="6" t="str">
        <x:v>M&amp;A Accretion / Dilution  |  One assertion per row — investigate every FAIL</x:v>
      </x:c>
      <x:c r="F2" s="6" t="str">
        <x:v>M&amp;A Accretion / Dilution  |  One assertion per row — investigate every FAIL</x:v>
      </x:c>
      <x:c r="G2" s="6" t="str">
        <x:v>M&amp;A Accretion / Dilution  |  One assertion per row — investigate every FAIL</x:v>
      </x:c>
      <x:c r="H2" s="6" t="str">
        <x:v>M&amp;A Accretion / Dilution  |  One assertion per row — investigate every FAIL</x:v>
      </x:c>
      <x:c r="I2" s="6" t="str">
        <x:v>M&amp;A Accretion / Dilution  |  One assertion per row — investigate every FAIL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>
      <x:c r="A5" s="54" t="str">
        <x:v>MODEL STATUS</x:v>
      </x:c>
      <x:c r="B5" s="195" t="str">
        <x:f>IF(COUNTIF(G8:G16,"FAIL")=0,"PASS","FAIL")</x:f>
        <x:v>PASS</x:v>
      </x:c>
      <x:c r="C5" s="195"/>
      <x:c r="D5" s="197" t="str">
        <x:v>Published controls: 9. PASS means the listed calculations tie within tolerance; source and decision readiness remain separate.</x:v>
      </x:c>
      <x:c r="E5" s="197" t="str">
        <x:v>Published controls: 9. PASS means the listed calculations tie within tolerance; source and decision readiness remain separate.</x:v>
      </x:c>
      <x:c r="F5" s="197" t="str">
        <x:v>Published controls: 9. PASS means the listed calculations tie within tolerance; source and decision readiness remain separate.</x:v>
      </x:c>
      <x:c r="G5" s="197" t="str">
        <x:v>Published controls: 9. PASS means the listed calculations tie within tolerance; source and decision readiness remain separate.</x:v>
      </x:c>
      <x:c r="H5" s="197" t="str">
        <x:v>Published controls: 9. PASS means the listed calculations tie within tolerance; source and decision readiness remain separate.</x:v>
      </x:c>
      <x:c r="I5" s="197" t="str">
        <x:v>Published controls: 9. PASS means the listed calculations tie within tolerance; source and decision readiness remain separate.</x:v>
      </x:c>
    </x:row>
    <x:row r="7" ht="24" customHeight="1">
      <x:c r="A7" s="66" t="str">
        <x:v>Check</x:v>
      </x:c>
      <x:c r="B7" s="67" t="str">
        <x:v>Period</x:v>
      </x:c>
      <x:c r="C7" s="67" t="str">
        <x:v>Actual</x:v>
      </x:c>
      <x:c r="D7" s="67" t="str">
        <x:v>Expected</x:v>
      </x:c>
      <x:c r="E7" s="67" t="str">
        <x:v>Difference</x:v>
      </x:c>
      <x:c r="F7" s="67" t="str">
        <x:v>Tolerance</x:v>
      </x:c>
      <x:c r="G7" s="67" t="str">
        <x:v>Status</x:v>
      </x:c>
      <x:c r="H7" s="67" t="str">
        <x:v>Where to fix</x:v>
      </x:c>
      <x:c r="I7" s="68" t="str">
        <x:v>Notes</x:v>
      </x:c>
    </x:row>
    <x:row r="8">
      <x:c r="A8" s="206" t="str">
        <x:v>Consideration mix equals 100%</x:v>
      </x:c>
      <x:c r="B8" s="206" t="str">
        <x:v>Model</x:v>
      </x:c>
      <x:c r="C8" s="207" t="n">
        <x:f>'Accretion Dilution'!B$22</x:f>
        <x:v>0</x:v>
      </x:c>
      <x:c r="D8" s="207" t="n">
        <x:v>0</x:v>
      </x:c>
      <x:c r="E8" s="207" t="n">
        <x:f>C8-D8</x:f>
        <x:v>0</x:v>
      </x:c>
      <x:c r="F8" s="207" t="n">
        <x:v>0.0001</x:v>
      </x:c>
      <x:c r="G8" s="208" t="str">
        <x:f>IF(ABS(E8)&lt;=F8,"PASS","FAIL")</x:f>
        <x:v>PASS</x:v>
      </x:c>
      <x:c r="H8" s="209" t="str">
        <x:v>Assumptions — cash / stock mix</x:v>
      </x:c>
      <x:c r="I8" s="209" t="str">
        <x:v>Cash plus stock consideration must equal 100%.</x:v>
      </x:c>
    </x:row>
    <x:row r="9">
      <x:c r="A9" s="210" t="str">
        <x:v>After-tax synergy ties pretax benefit</x:v>
      </x:c>
      <x:c r="B9" s="210" t="str">
        <x:v>Model</x:v>
      </x:c>
      <x:c r="C9" s="211" t="n">
        <x:f>SUM('Accretion Dilution'!B23:F23)</x:f>
        <x:v>0</x:v>
      </x:c>
      <x:c r="D9" s="211" t="n">
        <x:v>0</x:v>
      </x:c>
      <x:c r="E9" s="211" t="n">
        <x:f>C9-D9</x:f>
        <x:v>0</x:v>
      </x:c>
      <x:c r="F9" s="211" t="n">
        <x:v>0.01</x:v>
      </x:c>
      <x:c r="G9" s="212" t="str">
        <x:f>IF(ABS(E9)&lt;=F9,"PASS","FAIL")</x:f>
        <x:v>PASS</x:v>
      </x:c>
      <x:c r="H9" s="213" t="str">
        <x:v>Accretion Dilution — synergies</x:v>
      </x:c>
      <x:c r="I9" s="213" t="str">
        <x:v>Pretax synergy multiplied by one minus tax equals after-tax benefit.</x:v>
      </x:c>
    </x:row>
    <x:row r="10">
      <x:c r="A10" s="210" t="str">
        <x:v>Pro forma shares are positive</x:v>
      </x:c>
      <x:c r="B10" s="210" t="str">
        <x:v>Model</x:v>
      </x:c>
      <x:c r="C10" s="214" t="n">
        <x:f>MAX(0,0.0001-MIN('Accretion Dilution'!B18:F18))</x:f>
        <x:v>0</x:v>
      </x:c>
      <x:c r="D10" s="214" t="n">
        <x:v>0</x:v>
      </x:c>
      <x:c r="E10" s="214" t="n">
        <x:f>C10-D10</x:f>
        <x:v>0</x:v>
      </x:c>
      <x:c r="F10" s="214" t="n">
        <x:v>0.0001</x:v>
      </x:c>
      <x:c r="G10" s="212" t="str">
        <x:f>IF(ABS(E10)&lt;=F10,"PASS","FAIL")</x:f>
        <x:v>PASS</x:v>
      </x:c>
      <x:c r="H10" s="213" t="str">
        <x:v>Accretion Dilution — shares</x:v>
      </x:c>
      <x:c r="I10" s="213" t="str">
        <x:v>Pro forma denominator must be positive.</x:v>
      </x:c>
    </x:row>
    <x:row r="11">
      <x:c r="A11" s="210" t="str">
        <x:v>Pro forma EPS ties NI / shares</x:v>
      </x:c>
      <x:c r="B11" s="210" t="str">
        <x:v>Model</x:v>
      </x:c>
      <x:c r="C11" s="211" t="n">
        <x:f>SUM('Accretion Dilution'!B19-'Accretion Dilution'!B17/'Accretion Dilution'!B18,'Accretion Dilution'!C19-'Accretion Dilution'!C17/'Accretion Dilution'!C18,'Accretion Dilution'!D19-'Accretion Dilution'!D17/'Accretion Dilution'!D18,'Accretion Dilution'!E19-'Accretion Dilution'!E17/'Accretion Dilution'!E18,'Accretion Dilution'!F19-'Accretion Dilution'!F17/'Accretion Dilution'!F18)</x:f>
        <x:v>0</x:v>
      </x:c>
      <x:c r="D11" s="211" t="n">
        <x:v>0</x:v>
      </x:c>
      <x:c r="E11" s="211" t="n">
        <x:f>C11-D11</x:f>
        <x:v>0</x:v>
      </x:c>
      <x:c r="F11" s="211" t="n">
        <x:v>0.05</x:v>
      </x:c>
      <x:c r="G11" s="212" t="str">
        <x:f>IF(ABS(E11)&lt;=F11,"PASS","FAIL")</x:f>
        <x:v>PASS</x:v>
      </x:c>
      <x:c r="H11" s="213" t="str">
        <x:v>Accretion Dilution — EPS</x:v>
      </x:c>
      <x:c r="I11" s="213" t="str">
        <x:v>Adjusted EPS is formula-driven from pro forma NI and shares.</x:v>
      </x:c>
    </x:row>
    <x:row r="12">
      <x:c r="A12" s="210" t="str">
        <x:v>Scenario selector is valid</x:v>
      </x:c>
      <x:c r="B12" s="210" t="str">
        <x:v>Current</x:v>
      </x:c>
      <x:c r="C12" s="214" t="n">
        <x:f>COUNTIF('Assumptions'!$C$5:$E$5,'Assumptions'!$B$3)</x:f>
        <x:v>1</x:v>
      </x:c>
      <x:c r="D12" s="214" t="n">
        <x:v>1</x:v>
      </x:c>
      <x:c r="E12" s="214" t="n">
        <x:f>C12-D12</x:f>
        <x:v>0</x:v>
      </x:c>
      <x:c r="F12" s="214" t="n">
        <x:v>0</x:v>
      </x:c>
      <x:c r="G12" s="212" t="str">
        <x:f>IF(ABS(E12)&lt;=F12,"PASS","FAIL")</x:f>
        <x:v>PASS</x:v>
      </x:c>
      <x:c r="H12" s="213" t="str">
        <x:v>Assumptions B3</x:v>
      </x:c>
      <x:c r="I12" s="213" t="str">
        <x:v>Base, Upside, or Downside only.</x:v>
      </x:c>
    </x:row>
    <x:row r="13">
      <x:c r="A13" s="210" t="str">
        <x:v>Period headers are complete</x:v>
      </x:c>
      <x:c r="B13" s="210" t="str">
        <x:v>All periods</x:v>
      </x:c>
      <x:c r="C13" s="214" t="n">
        <x:f>COUNTA('Deal Inputs'!B5:F5)</x:f>
        <x:v>5</x:v>
      </x:c>
      <x:c r="D13" s="214" t="n">
        <x:v>5</x:v>
      </x:c>
      <x:c r="E13" s="214" t="n">
        <x:f>C13-D13</x:f>
        <x:v>0</x:v>
      </x:c>
      <x:c r="F13" s="214" t="n">
        <x:v>0</x:v>
      </x:c>
      <x:c r="G13" s="212" t="str">
        <x:f>IF(ABS(E13)&lt;=F13,"PASS","FAIL")</x:f>
        <x:v>PASS</x:v>
      </x:c>
      <x:c r="H13" s="213" t="str">
        <x:v>Deal Inputs row 5</x:v>
      </x:c>
      <x:c r="I13" s="213" t="str">
        <x:v>All modeled periods must have a visible header.</x:v>
      </x:c>
    </x:row>
    <x:row r="14">
      <x:c r="A14" s="210" t="str">
        <x:v>Source input grid is complete</x:v>
      </x:c>
      <x:c r="B14" s="210" t="str">
        <x:v>All periods</x:v>
      </x:c>
      <x:c r="C14" s="214" t="n">
        <x:f>COUNTA('Deal Inputs'!B6:F11)</x:f>
        <x:v>30</x:v>
      </x:c>
      <x:c r="D14" s="214" t="n">
        <x:v>30</x:v>
      </x:c>
      <x:c r="E14" s="214" t="n">
        <x:f>C14-D14</x:f>
        <x:v>0</x:v>
      </x:c>
      <x:c r="F14" s="214" t="n">
        <x:v>0</x:v>
      </x:c>
      <x:c r="G14" s="212" t="str">
        <x:f>IF(ABS(E14)&lt;=F14,"PASS","FAIL")</x:f>
        <x:v>PASS</x:v>
      </x:c>
      <x:c r="H14" s="213" t="str">
        <x:v>Deal Inputs</x:v>
      </x:c>
      <x:c r="I14" s="213" t="str">
        <x:v>Replace blanks with an approved value or an explicitly documented zero.</x:v>
      </x:c>
    </x:row>
    <x:row r="15">
      <x:c r="A15" s="210" t="str">
        <x:v>Selected assumptions are complete</x:v>
      </x:c>
      <x:c r="B15" s="210" t="str">
        <x:v>Current</x:v>
      </x:c>
      <x:c r="C15" s="214" t="n">
        <x:f>COUNT('Assumptions'!F6:F14)</x:f>
        <x:v>9</x:v>
      </x:c>
      <x:c r="D15" s="214" t="n">
        <x:v>9</x:v>
      </x:c>
      <x:c r="E15" s="214" t="n">
        <x:f>C15-D15</x:f>
        <x:v>0</x:v>
      </x:c>
      <x:c r="F15" s="214" t="n">
        <x:v>0</x:v>
      </x:c>
      <x:c r="G15" s="212" t="str">
        <x:f>IF(ABS(E15)&lt;=F15,"PASS","FAIL")</x:f>
        <x:v>PASS</x:v>
      </x:c>
      <x:c r="H15" s="213" t="str">
        <x:v>Assumptions column F</x:v>
      </x:c>
      <x:c r="I15" s="213" t="str">
        <x:v>Every scenario driver must resolve to a numeric selected value.</x:v>
      </x:c>
    </x:row>
    <x:row r="16">
      <x:c r="A16" s="215" t="str">
        <x:v>Core model cells calculate to numbers</x:v>
      </x:c>
      <x:c r="B16" s="215" t="str">
        <x:v>All periods</x:v>
      </x:c>
      <x:c r="C16" s="216" t="n">
        <x:f>COUNT('Accretion Dilution'!B6:F23)</x:f>
        <x:v>90</x:v>
      </x:c>
      <x:c r="D16" s="216" t="n">
        <x:v>90</x:v>
      </x:c>
      <x:c r="E16" s="216" t="n">
        <x:f>C16-D16</x:f>
        <x:v>0</x:v>
      </x:c>
      <x:c r="F16" s="216" t="n">
        <x:v>0</x:v>
      </x:c>
      <x:c r="G16" s="217" t="str">
        <x:f>IF(ABS(E16)&lt;=F16,"PASS","FAIL")</x:f>
        <x:v>PASS</x:v>
      </x:c>
      <x:c r="H16" s="218" t="str">
        <x:v>Accretion Dilution</x:v>
      </x:c>
      <x:c r="I16" s="218" t="str">
        <x:v>No blank or text output is permitted inside the calculation block.</x:v>
      </x:c>
    </x:row>
    <x:row r="18">
      <x:c r="A18" s="42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8" s="44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19">
      <x:c r="A19" s="45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9" s="47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0">
      <x:c r="A20" s="48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0" s="50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2">
      <x:c r="A22" s="53" t="str">
        <x:v>TDAT Model Library  |  Trust builds the brand. Insight builds the decision.</x:v>
      </x:c>
      <x:c r="B22" s="53" t="str">
        <x:v>TDAT Model Library  |  Trust builds the brand. Insight builds the decision.</x:v>
      </x:c>
      <x:c r="C22" s="53" t="str">
        <x:v>TDAT Model Library  |  Trust builds the brand. Insight builds the decision.</x:v>
      </x:c>
      <x:c r="D22" s="53" t="str">
        <x:v>TDAT Model Library  |  Trust builds the brand. Insight builds the decision.</x:v>
      </x:c>
      <x:c r="E22" s="53" t="str">
        <x:v>TDAT Model Library  |  Trust builds the brand. Insight builds the decision.</x:v>
      </x:c>
      <x:c r="F22" s="53" t="str">
        <x:v>TDAT Model Library  |  Trust builds the brand. Insight builds the decision.</x:v>
      </x:c>
      <x:c r="G22" s="53" t="str">
        <x:v>TDAT Model Library  |  Trust builds the brand. Insight builds the decision.</x:v>
      </x:c>
      <x:c r="H22" s="53" t="str">
        <x:v>TDAT Model Library  |  Trust builds the brand. Insight builds the decision.</x:v>
      </x:c>
      <x:c r="I22" s="53" t="str">
        <x:v>TDAT Model Library  |  Trust builds the brand. Insight builds the decision.</x:v>
      </x:c>
    </x:row>
  </x:sheetData>
  <x:mergeCells>
    <x:mergeCell ref="A1:I1"/>
    <x:mergeCell ref="A2:I2"/>
    <x:mergeCell ref="B5:C5"/>
    <x:mergeCell ref="D5:I5"/>
    <x:mergeCell ref="A18:I20"/>
    <x:mergeCell ref="A22:I22"/>
  </x:mergeCells>
  <x:conditionalFormatting sqref="G8:G16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4" customHeight="1">
      <x:c r="A1" s="3" t="str">
        <x:v>SOURCES &amp; VERSION</x:v>
      </x:c>
      <x:c r="B1" s="3" t="str">
        <x:v>SOURCES &amp; VERSION</x:v>
      </x:c>
      <x:c r="C1" s="3" t="str">
        <x:v>SOURCES &amp; VERSION</x:v>
      </x:c>
      <x:c r="D1" s="3" t="str">
        <x:v>SOURCES &amp; VERSION</x:v>
      </x:c>
      <x:c r="E1" s="3" t="str">
        <x:v>SOURCES &amp; VERSION</x:v>
      </x:c>
      <x:c r="F1" s="3" t="str">
        <x:v>SOURCES &amp; VERSION</x:v>
      </x:c>
      <x:c r="G1" s="3" t="str">
        <x:v>SOURCES &amp; VERSION</x:v>
      </x:c>
      <x:c r="H1" s="3" t="str">
        <x:v>SOURCES &amp; VERSION</x:v>
      </x:c>
      <x:c r="I1" s="3" t="str">
        <x:v>SOURCES &amp; VERSION</x:v>
      </x:c>
      <x:c r="J1" s="3" t="str">
        <x:v>SOURCES &amp; VERSION</x:v>
      </x:c>
    </x:row>
    <x:row r="2" ht="24" customHeight="1">
      <x:c r="A2" s="6" t="str">
        <x:v>M&amp;A Accretion / Dilution  |  Assumption register, release facts, and distribution controls</x:v>
      </x:c>
      <x:c r="B2" s="6" t="str">
        <x:v>M&amp;A Accretion / Dilution  |  Assumption register, release facts, and distribution controls</x:v>
      </x:c>
      <x:c r="C2" s="6" t="str">
        <x:v>M&amp;A Accretion / Dilution  |  Assumption register, release facts, and distribution controls</x:v>
      </x:c>
      <x:c r="D2" s="6" t="str">
        <x:v>M&amp;A Accretion / Dilution  |  Assumption register, release facts, and distribution controls</x:v>
      </x:c>
      <x:c r="E2" s="6" t="str">
        <x:v>M&amp;A Accretion / Dilution  |  Assumption register, release facts, and distribution controls</x:v>
      </x:c>
      <x:c r="F2" s="6" t="str">
        <x:v>M&amp;A Accretion / Dilution  |  Assumption register, release facts, and distribution controls</x:v>
      </x:c>
      <x:c r="G2" s="6" t="str">
        <x:v>M&amp;A Accretion / Dilution  |  Assumption register, release facts, and distribution controls</x:v>
      </x:c>
      <x:c r="H2" s="6" t="str">
        <x:v>M&amp;A Accretion / Dilution  |  Assumption register, release facts, and distribution controls</x:v>
      </x:c>
      <x:c r="I2" s="6" t="str">
        <x:v>M&amp;A Accretion / Dilution  |  Assumption register, release facts, and distribution controls</x:v>
      </x:c>
      <x:c r="J2" s="6" t="str">
        <x:v>M&amp;A Accretion / Dilution  |  Assumption register, release facts, and distribution controls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SOURCE / ASSUMPTION REGISTER</x:v>
      </x:c>
      <x:c r="B5" s="9" t="str">
        <x:v>SOURCE / ASSUMPTION REGISTER</x:v>
      </x:c>
      <x:c r="C5" s="9" t="str">
        <x:v>SOURCE / ASSUMPTION REGISTER</x:v>
      </x:c>
      <x:c r="D5" s="9" t="str">
        <x:v>SOURCE / ASSUMPTION REGISTER</x:v>
      </x:c>
      <x:c r="E5" s="9" t="str">
        <x:v>SOURCE / ASSUMPTION REGISTER</x:v>
      </x:c>
      <x:c r="F5" s="9" t="str">
        <x:v>SOURCE / ASSUMPTION REGISTER</x:v>
      </x:c>
      <x:c r="G5" s="9" t="str">
        <x:v>SOURCE / ASSUMPTION REGISTER</x:v>
      </x:c>
      <x:c r="H5" s="9" t="str">
        <x:v>SOURCE / ASSUMPTION REGISTER</x:v>
      </x:c>
      <x:c r="I5" s="9" t="str">
        <x:v>SOURCE / ASSUMPTION REGISTER</x:v>
      </x:c>
    </x:row>
    <x:row r="6" ht="24" customHeight="1">
      <x:c r="A6" s="66" t="str">
        <x:v>Item</x:v>
      </x:c>
      <x:c r="B6" s="67" t="str">
        <x:v>Value / definition</x:v>
      </x:c>
      <x:c r="C6" s="67" t="str">
        <x:v>Units</x:v>
      </x:c>
      <x:c r="D6" s="67" t="str">
        <x:v>Period / as-of</x:v>
      </x:c>
      <x:c r="E6" s="67" t="str">
        <x:v>Source type</x:v>
      </x:c>
      <x:c r="F6" s="67" t="str">
        <x:v>Source / owner</x:v>
      </x:c>
      <x:c r="G6" s="67" t="str">
        <x:v>Ref</x:v>
      </x:c>
      <x:c r="H6" s="67" t="str">
        <x:v>Confidence</x:v>
      </x:c>
      <x:c r="I6" s="68" t="str">
        <x:v>Notes</x:v>
      </x:c>
    </x:row>
    <x:row r="7">
      <x:c r="A7" s="154" t="str">
        <x:v>Worked example</x:v>
      </x:c>
      <x:c r="B7" s="155" t="str">
        <x:v>Synthetic case values</x:v>
      </x:c>
      <x:c r="C7" s="155" t="str">
        <x:v>LCY millions / shares millions</x:v>
      </x:c>
      <x:c r="D7" s="155" t="str">
        <x:v>2026-07-13</x:v>
      </x:c>
      <x:c r="E7" s="155" t="str">
        <x:v>Illustrative</x:v>
      </x:c>
      <x:c r="F7" s="155" t="str">
        <x:v>TDAT model build</x:v>
      </x:c>
      <x:c r="G7" s="155" t="str">
        <x:v>SYN-001</x:v>
      </x:c>
      <x:c r="H7" s="155" t="str">
        <x:v>Illustrative</x:v>
      </x:c>
      <x:c r="I7" s="156" t="str">
        <x:v>Replace before use.</x:v>
      </x:c>
    </x:row>
    <x:row r="8">
      <x:c r="A8" s="157" t="str">
        <x:v>Scenario drivers</x:v>
      </x:c>
      <x:c r="B8" s="158" t="str">
        <x:v>Base / Upside / Downside</x:v>
      </x:c>
      <x:c r="C8" s="158" t="str">
        <x:v>Mixed</x:v>
      </x:c>
      <x:c r="D8" s="158" t="str">
        <x:v>Model horizon</x:v>
      </x:c>
      <x:c r="E8" s="158" t="str">
        <x:v>Assumption</x:v>
      </x:c>
      <x:c r="F8" s="158" t="str">
        <x:v>User / finance owner</x:v>
      </x:c>
      <x:c r="G8" s="158" t="str">
        <x:v>ASM-001</x:v>
      </x:c>
      <x:c r="H8" s="158" t="str">
        <x:v>Open</x:v>
      </x:c>
      <x:c r="I8" s="159" t="str">
        <x:v>Confirm rationale and owner.</x:v>
      </x:c>
    </x:row>
    <x:row r="9">
      <x:c r="A9" s="160" t="str">
        <x:v>Method</x:v>
      </x:c>
      <x:c r="B9" s="161" t="str">
        <x:v>Accretion Dilution</x:v>
      </x:c>
      <x:c r="C9" s="161" t="str">
        <x:v>Method</x:v>
      </x:c>
      <x:c r="D9" s="161" t="str">
        <x:v>Version 1.0.0</x:v>
      </x:c>
      <x:c r="E9" s="161" t="str">
        <x:v>Model method</x:v>
      </x:c>
      <x:c r="F9" s="161" t="str">
        <x:v>Model Guide</x:v>
      </x:c>
      <x:c r="G9" s="161" t="str">
        <x:v>MTH-001</x:v>
      </x:c>
      <x:c r="H9" s="161" t="str">
        <x:v>Template</x:v>
      </x:c>
      <x:c r="I9" s="162" t="str">
        <x:v>Validate for the intended use and jurisdiction.</x:v>
      </x:c>
    </x:row>
    <x:row r="11" ht="22" customHeight="1">
      <x:c r="A11" s="9" t="str">
        <x:v>RELEASE FACTS</x:v>
      </x:c>
      <x:c r="B11" s="9" t="str">
        <x:v>RELEASE FACTS</x:v>
      </x:c>
      <x:c r="C11" s="9" t="str">
        <x:v>RELEASE FACTS</x:v>
      </x:c>
      <x:c r="D11" s="9" t="str">
        <x:v>RELEASE FACTS</x:v>
      </x:c>
      <x:c r="E11" s="9" t="str">
        <x:v>RELEASE FACTS</x:v>
      </x:c>
      <x:c r="F11" s="9" t="str">
        <x:v>RELEASE FACTS</x:v>
      </x:c>
      <x:c r="G11" s="9" t="str">
        <x:v>RELEASE FACTS</x:v>
      </x:c>
      <x:c r="H11" s="9" t="str">
        <x:v>RELEASE FACTS</x:v>
      </x:c>
      <x:c r="I11" s="9" t="str">
        <x:v>RELEASE FACTS</x:v>
      </x:c>
    </x:row>
    <x:row r="12">
      <x:c r="A12" s="219" t="str">
        <x:v>Owner</x:v>
      </x:c>
      <x:c r="B12" s="155" t="str">
        <x:v>Truong Dinh Anh Tu</x:v>
      </x:c>
      <x:c r="C12" s="221" t="str">
        <x:v>Version</x:v>
      </x:c>
      <x:c r="D12" s="155" t="str">
        <x:v>1.0.0</x:v>
      </x:c>
      <x:c r="E12" s="221" t="str">
        <x:v>Standard</x:v>
      </x:c>
      <x:c r="F12" s="155" t="str">
        <x:v>TDAT Model Standard 1.0</x:v>
      </x:c>
      <x:c r="G12" s="221" t="str">
        <x:v>Last QA</x:v>
      </x:c>
      <x:c r="H12" s="155" t="str">
        <x:v>2026-07-13</x:v>
      </x:c>
      <x:c r="I12" s="221" t="str">
        <x:v>Status</x:v>
      </x:c>
      <x:c r="J12" s="156" t="str">
        <x:v>Available after release gates</x:v>
      </x:c>
    </x:row>
    <x:row r="13">
      <x:c r="A13" s="220" t="str">
        <x:v>Compatibility</x:v>
      </x:c>
      <x:c r="B13" s="161" t="str">
        <x:v>Excel 365</x:v>
      </x:c>
      <x:c r="C13" s="222" t="str">
        <x:v>Macros</x:v>
      </x:c>
      <x:c r="D13" s="161" t="str">
        <x:v>None</x:v>
      </x:c>
      <x:c r="E13" s="222" t="str">
        <x:v>External links</x:v>
      </x:c>
      <x:c r="F13" s="161" t="str">
        <x:v>None</x:v>
      </x:c>
      <x:c r="G13" s="222" t="str">
        <x:v>Circularity</x:v>
      </x:c>
      <x:c r="H13" s="161" t="str">
        <x:v>None</x:v>
      </x:c>
      <x:c r="I13" s="222" t="str">
        <x:v>Evidence</x:v>
      </x:c>
      <x:c r="J13" s="162" t="str">
        <x:v>Synthetic worked template</x:v>
      </x:c>
    </x:row>
    <x:row r="15" ht="22" customHeight="1">
      <x:c r="A15" s="9" t="str">
        <x:v>CHANGE LOG</x:v>
      </x:c>
      <x:c r="B15" s="9" t="str">
        <x:v>CHANGE LOG</x:v>
      </x:c>
      <x:c r="C15" s="9" t="str">
        <x:v>CHANGE LOG</x:v>
      </x:c>
      <x:c r="D15" s="9" t="str">
        <x:v>CHANGE LOG</x:v>
      </x:c>
      <x:c r="E15" s="9" t="str">
        <x:v>CHANGE LOG</x:v>
      </x:c>
      <x:c r="F15" s="9" t="str">
        <x:v>CHANGE LOG</x:v>
      </x:c>
      <x:c r="G15" s="9" t="str">
        <x:v>CHANGE LOG</x:v>
      </x:c>
      <x:c r="H15" s="9" t="str">
        <x:v>CHANGE LOG</x:v>
      </x:c>
      <x:c r="I15" s="9" t="str">
        <x:v>CHANGE LOG</x:v>
      </x:c>
    </x:row>
    <x:row r="16" ht="24" customHeight="1">
      <x:c r="A16" s="66" t="str">
        <x:v>Version</x:v>
      </x:c>
      <x:c r="B16" s="67" t="str">
        <x:v>Date</x:v>
      </x:c>
      <x:c r="C16" s="67" t="str">
        <x:v>Changed sheets</x:v>
      </x:c>
      <x:c r="D16" s="67" t="str">
        <x:v>Change</x:v>
      </x:c>
      <x:c r="E16" s="67" t="str">
        <x:v>Impact</x:v>
      </x:c>
      <x:c r="F16" s="67" t="str">
        <x:v>Migration note</x:v>
      </x:c>
      <x:c r="G16" s="67" t="str">
        <x:v>Owner</x:v>
      </x:c>
      <x:c r="H16" s="67" t="str">
        <x:v>Reviewer</x:v>
      </x:c>
      <x:c r="I16" s="68" t="str">
        <x:v>Status</x:v>
      </x:c>
    </x:row>
    <x:row r="17">
      <x:c r="A17" s="226" t="str">
        <x:v>1.0.0</x:v>
      </x:c>
      <x:c r="B17" s="227" t="str">
        <x:v>2026-07-13</x:v>
      </x:c>
      <x:c r="C17" s="227" t="str">
        <x:v>All</x:v>
      </x:c>
      <x:c r="D17" s="227" t="str">
        <x:v>Initial public reusable template</x:v>
      </x:c>
      <x:c r="E17" s="227" t="str">
        <x:v>New model release</x:v>
      </x:c>
      <x:c r="F17" s="227" t="str">
        <x:v>None</x:v>
      </x:c>
      <x:c r="G17" s="227" t="str">
        <x:v>Truong Dinh Anh Tu</x:v>
      </x:c>
      <x:c r="H17" s="227" t="str">
        <x:v>TDAT QA review</x:v>
      </x:c>
      <x:c r="I17" s="228" t="str">
        <x:v>Released</x:v>
      </x:c>
    </x:row>
    <x:row r="19" ht="22" customHeight="1">
      <x:c r="A19" s="9" t="str">
        <x:v>DISTRIBUTION &amp; PRIVACY</x:v>
      </x:c>
      <x:c r="B19" s="9" t="str">
        <x:v>DISTRIBUTION &amp; PRIVACY</x:v>
      </x:c>
      <x:c r="C19" s="9" t="str">
        <x:v>DISTRIBUTION &amp; PRIVACY</x:v>
      </x:c>
      <x:c r="D19" s="9" t="str">
        <x:v>DISTRIBUTION &amp; PRIVACY</x:v>
      </x:c>
      <x:c r="E19" s="9" t="str">
        <x:v>DISTRIBUTION &amp; PRIVACY</x:v>
      </x:c>
      <x:c r="F19" s="9" t="str">
        <x:v>DISTRIBUTION &amp; PRIVACY</x:v>
      </x:c>
      <x:c r="G19" s="9" t="str">
        <x:v>DISTRIBUTION &amp; PRIVACY</x:v>
      </x:c>
      <x:c r="H19" s="9" t="str">
        <x:v>DISTRIBUTION &amp; PRIVACY</x:v>
      </x:c>
      <x:c r="I19" s="9" t="str">
        <x:v>DISTRIBUTION &amp; PRIVACY</x:v>
      </x:c>
    </x:row>
    <x:row r="20" ht="32" customHeight="1">
      <x:c r="A20" s="21" t="str">
        <x:v>Public-safe evidence</x:v>
      </x:c>
      <x:c r="B20" s="17" t="str">
        <x:v>Synthetic company/case values only</x:v>
      </x:c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21" t="str">
        <x:v>Excluded content</x:v>
      </x:c>
      <x:c r="B21" s="17" t="str">
        <x:v>No real customer, employee, vendor, borrower, issuer, position, policyholder, transaction, or household record</x:v>
      </x:c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21" t="str">
        <x:v>Dependencies</x:v>
      </x:c>
      <x:c r="B22" s="17" t="str">
        <x:v>Macro-free .xlsx; no external workbooks, add-ins, live connections, or intentional circular references</x:v>
      </x:c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21" t="str">
        <x:v>Usage</x:v>
      </x:c>
      <x:c r="B23" s="17" t="str">
        <x:v>Adapt for learning, interview cases, internal planning, or analysis. Do not resell an unchanged copy as your own product.</x:v>
      </x:c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21" t="str">
        <x:v>Responsibility</x:v>
      </x:c>
      <x:c r="B24" s="17" t="str">
        <x:v>SCREEN-GRADE adjusted EPS model. GAAP accretion/dilution is not presented without complete PPA, financing, post-close share actualization, tax, integration-cost, and accounting support.</x:v>
      </x:c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6">
      <x:c r="A26" s="42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6" s="44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7">
      <x:c r="A27" s="45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7" s="47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8">
      <x:c r="A28" s="48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8" s="50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30">
      <x:c r="A30" s="53" t="str">
        <x:v>TDAT Model Library  |  Trust builds the brand. Insight builds the decision.</x:v>
      </x:c>
      <x:c r="B30" s="53" t="str">
        <x:v>TDAT Model Library  |  Trust builds the brand. Insight builds the decision.</x:v>
      </x:c>
      <x:c r="C30" s="53" t="str">
        <x:v>TDAT Model Library  |  Trust builds the brand. Insight builds the decision.</x:v>
      </x:c>
      <x:c r="D30" s="53" t="str">
        <x:v>TDAT Model Library  |  Trust builds the brand. Insight builds the decision.</x:v>
      </x:c>
      <x:c r="E30" s="53" t="str">
        <x:v>TDAT Model Library  |  Trust builds the brand. Insight builds the decision.</x:v>
      </x:c>
      <x:c r="F30" s="53" t="str">
        <x:v>TDAT Model Library  |  Trust builds the brand. Insight builds the decision.</x:v>
      </x:c>
      <x:c r="G30" s="53" t="str">
        <x:v>TDAT Model Library  |  Trust builds the brand. Insight builds the decision.</x:v>
      </x:c>
      <x:c r="H30" s="53" t="str">
        <x:v>TDAT Model Library  |  Trust builds the brand. Insight builds the decision.</x:v>
      </x:c>
      <x:c r="I30" s="53" t="str">
        <x:v>TDAT Model Library  |  Trust builds the brand. Insight builds the decision.</x:v>
      </x:c>
      <x:c r="J30" s="53" t="str">
        <x:v>TDAT Model Library  |  Trust builds the brand. Insight builds the decision.</x:v>
      </x:c>
    </x:row>
  </x:sheetData>
  <x:mergeCells>
    <x:mergeCell ref="A1:J1"/>
    <x:mergeCell ref="A2:J2"/>
    <x:mergeCell ref="A5:I5"/>
    <x:mergeCell ref="A11:I11"/>
    <x:mergeCell ref="A15:I15"/>
    <x:mergeCell ref="A19:I19"/>
    <x:mergeCell ref="B20:I20"/>
    <x:mergeCell ref="B21:I21"/>
    <x:mergeCell ref="B22:I22"/>
    <x:mergeCell ref="B23:I23"/>
    <x:mergeCell ref="B24:I24"/>
    <x:mergeCell ref="A26:I28"/>
    <x:mergeCell ref="A30:J30"/>
  </x:mergeCells>
  <x:pageMargins left="0.7" right="0.7" top="0.75" bottom="0.75" header="0.3" footer="0.3"/>
</x:worksheet>
</file>