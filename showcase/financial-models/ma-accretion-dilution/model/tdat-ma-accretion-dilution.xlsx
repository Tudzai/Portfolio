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f94be4cf9cb42f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" sheetId="1" r:id="R5f8c7e268edb46dc"/>
    <x:sheet xmlns:r="http://schemas.openxmlformats.org/officeDocument/2006/relationships" name="Inputs" sheetId="2" r:id="R74029186f9c14596"/>
    <x:sheet xmlns:r="http://schemas.openxmlformats.org/officeDocument/2006/relationships" name="Model" sheetId="3" r:id="Rf9ff3b5d8ac44137"/>
    <x:sheet xmlns:r="http://schemas.openxmlformats.org/officeDocument/2006/relationships" name="Results" sheetId="4" r:id="R6ec6051c73e94641"/>
    <x:sheet xmlns:r="http://schemas.openxmlformats.org/officeDocument/2006/relationships" name="Checks" sheetId="5" r:id="R8bf3937b9d214dc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#,##0.0;[Red](#,##0.0);-"/>
    <x:numFmt numFmtId="201" formatCode="0.0%;[Red](0.0%);-"/>
    <x:numFmt numFmtId="202" formatCode="0.00;[Red](0.00);-"/>
    <x:numFmt numFmtId="203" formatCode="#,##0;[Red](#,##0);-"/>
  </x:numFmts>
  <x:fonts count="15">
    <x:font>
      <x:sz val="11"/>
      <x:name val="Carlito"/>
    </x:font>
    <x:font>
      <x:sz val="11"/>
      <x:color rgb="FF202833"/>
      <x:name val="Carlito"/>
    </x:font>
    <x:font>
      <x:b/>
      <x:sz val="11"/>
      <x:color rgb="FFFFFFFF"/>
      <x:name val="Carlito"/>
    </x:font>
    <x:font>
      <x:b/>
      <x:sz val="11"/>
      <x:color rgb="FF202833"/>
      <x:name val="Carlito"/>
    </x:font>
    <x:font>
      <x:b/>
      <x:sz val="11"/>
      <x:color rgb="FF0000FF"/>
      <x:name val="Carlito"/>
    </x:font>
    <x:font>
      <x:sz val="11"/>
      <x:color rgb="FF68717C"/>
      <x:name val="Carlito"/>
    </x:font>
    <x:font>
      <x:sz val="11"/>
      <x:color rgb="FF805C19"/>
      <x:name val="Carlito"/>
    </x:font>
    <x:font>
      <x:sz val="11"/>
      <x:color rgb="FF008000"/>
      <x:name val="Carlito"/>
    </x:font>
    <x:font>
      <x:b/>
      <x:sz val="11"/>
      <x:color rgb="FF008000"/>
      <x:name val="Carlito"/>
    </x:font>
    <x:font>
      <x:sz val="11"/>
      <x:color rgb="FF202833"/>
      <x:name val="Carlito"/>
    </x:font>
    <x:font>
      <x:b/>
      <x:sz val="11"/>
      <x:color rgb="FF68717C"/>
      <x:name val="Carlito"/>
    </x:font>
    <x:font>
      <x:b/>
      <x:sz val="11"/>
      <x:color rgb="FFB5883A"/>
      <x:name val="Carlito"/>
    </x:font>
    <x:font>
      <x:b/>
      <x:sz val="11"/>
      <x:color rgb="FF247252"/>
      <x:name val="Carlito"/>
    </x:font>
    <x:font>
      <x:b/>
      <x:sz val="11"/>
      <x:color rgb="FF805C19"/>
      <x:name val="Carlito"/>
    </x:font>
    <x:font>
      <x:sz val="11"/>
      <x:color rgb="FFF5F6F8"/>
      <x:name val="Carlito"/>
    </x:font>
  </x:fonts>
  <x:fills count="11">
    <x:fill>
      <x:patternFill patternType="none"/>
    </x:fill>
    <x:fill>
      <x:patternFill patternType="gray125"/>
    </x:fill>
    <x:fill>
      <x:patternFill patternType="solid">
        <x:fgColor rgb="FFF5F6F8"/>
      </x:patternFill>
    </x:fill>
    <x:fill>
      <x:patternFill patternType="solid">
        <x:fgColor rgb="FF1C2430"/>
      </x:patternFill>
    </x:fill>
    <x:fill>
      <x:patternFill patternType="solid">
        <x:fgColor rgb="FFB5883A"/>
      </x:patternFill>
    </x:fill>
    <x:fill>
      <x:patternFill patternType="solid">
        <x:fgColor rgb="FFF2E8D5"/>
      </x:patternFill>
    </x:fill>
    <x:fill>
      <x:patternFill patternType="solid">
        <x:fgColor rgb="FF303B49"/>
      </x:patternFill>
    </x:fill>
    <x:fill>
      <x:patternFill patternType="solid">
        <x:fgColor rgb="FFECEFF2"/>
      </x:patternFill>
    </x:fill>
    <x:fill>
      <x:patternFill patternType="solid">
        <x:fgColor rgb="FFFFFFFF"/>
      </x:patternFill>
    </x:fill>
    <x:fill>
      <x:patternFill patternType="solid">
        <x:fgColor rgb="FFF8EBCF"/>
      </x:patternFill>
    </x:fill>
    <x:fill>
      <x:patternFill patternType="solid">
        <x:fgColor rgb="FFE6F2EB"/>
      </x:patternFill>
    </x:fill>
  </x:fills>
  <x:borders count="31">
    <x:border/>
    <x:border>
      <x:left style="thin">
        <x:color rgb="FFD7DBE0"/>
      </x:left>
      <x:top style="thin">
        <x:color rgb="FFD7DBE0"/>
      </x:top>
    </x:border>
    <x:border>
      <x:top style="thin">
        <x:color rgb="FFD7DBE0"/>
      </x:top>
    </x:border>
    <x:border>
      <x:right style="thin">
        <x:color rgb="FFD7DBE0"/>
      </x:right>
      <x:top style="thin">
        <x:color rgb="FFD7DBE0"/>
      </x:top>
    </x:border>
    <x:border>
      <x:left style="thin">
        <x:color rgb="FFD7DBE0"/>
      </x:left>
      <x:bottom style="thin">
        <x:color rgb="FFD7DBE0"/>
      </x:bottom>
    </x:border>
    <x:border>
      <x:bottom style="thin">
        <x:color rgb="FFD7DBE0"/>
      </x:bottom>
    </x:border>
    <x:border>
      <x:right style="thin">
        <x:color rgb="FFD7DBE0"/>
      </x:right>
      <x:bottom style="thin">
        <x:color rgb="FFD7DBE0"/>
      </x:bottom>
    </x:border>
    <x:border>
      <x:bottom style="medium">
        <x:color rgb="FFB5883A"/>
      </x:bottom>
    </x:border>
    <x:border>
      <x:left style="thin">
        <x:color rgb="FFD3AE64"/>
      </x:left>
      <x:right style="thin">
        <x:color rgb="FFD3AE64"/>
      </x:right>
      <x:top style="thin">
        <x:color rgb="FFD3AE64"/>
      </x:top>
      <x:bottom style="thin">
        <x:color rgb="FFD3AE64"/>
      </x:bottom>
    </x:border>
    <x:border>
      <x:left style="thin">
        <x:color rgb="FFD3AE64"/>
      </x:left>
      <x:right style="thin">
        <x:color rgb="FFD3AE64"/>
      </x:right>
    </x:border>
    <x:border>
      <x:left style="thin">
        <x:color rgb="FFD3AE64"/>
      </x:left>
      <x:top style="thin">
        <x:color rgb="FFD3AE64"/>
      </x:top>
    </x:border>
    <x:border>
      <x:top style="thin">
        <x:color rgb="FFD3AE64"/>
      </x:top>
    </x:border>
    <x:border>
      <x:right style="thin">
        <x:color rgb="FFD3AE64"/>
      </x:right>
      <x:top style="thin">
        <x:color rgb="FFD3AE64"/>
      </x:top>
    </x:border>
    <x:border>
      <x:left style="thin">
        <x:color rgb="FFD3AE64"/>
      </x:left>
      <x:bottom style="thin">
        <x:color rgb="FFD3AE64"/>
      </x:bottom>
    </x:border>
    <x:border>
      <x:bottom style="thin">
        <x:color rgb="FFD3AE64"/>
      </x:bottom>
    </x:border>
    <x:border>
      <x:right style="thin">
        <x:color rgb="FFD3AE64"/>
      </x:right>
      <x:bottom style="thin">
        <x:color rgb="FFD3AE64"/>
      </x:bottom>
    </x:border>
    <x:border>
      <x:left style="thin">
        <x:color rgb="FF1C2430"/>
      </x:left>
      <x:top style="thin">
        <x:color rgb="FF1C2430"/>
      </x:top>
      <x:bottom style="thin">
        <x:color rgb="FF1C2430"/>
      </x:bottom>
    </x:border>
    <x:border>
      <x:right style="thin">
        <x:color rgb="FF1C2430"/>
      </x:right>
      <x:top style="thin">
        <x:color rgb="FF1C2430"/>
      </x:top>
      <x:bottom style="thin">
        <x:color rgb="FF1C2430"/>
      </x:bottom>
    </x:border>
    <x:border>
      <x:left style="thin">
        <x:color rgb="FFD7DBE0"/>
      </x:left>
    </x:border>
    <x:border>
      <x:right style="thin">
        <x:color rgb="FFD7DBE0"/>
      </x:right>
    </x:border>
    <x:border>
      <x:left style="thin">
        <x:color rgb="FFB5883A"/>
      </x:left>
      <x:top style="thin">
        <x:color rgb="FFB5883A"/>
      </x:top>
    </x:border>
    <x:border>
      <x:top style="thin">
        <x:color rgb="FFB5883A"/>
      </x:top>
    </x:border>
    <x:border>
      <x:right style="thin">
        <x:color rgb="FFB5883A"/>
      </x:right>
      <x:top style="thin">
        <x:color rgb="FFB5883A"/>
      </x:top>
    </x:border>
    <x:border>
      <x:left style="thin">
        <x:color rgb="FFB5883A"/>
      </x:left>
    </x:border>
    <x:border>
      <x:right style="thin">
        <x:color rgb="FFB5883A"/>
      </x:right>
    </x:border>
    <x:border>
      <x:left style="thin">
        <x:color rgb="FFB5883A"/>
      </x:left>
      <x:bottom style="thin">
        <x:color rgb="FFB5883A"/>
      </x:bottom>
    </x:border>
    <x:border>
      <x:bottom style="thin">
        <x:color rgb="FFB5883A"/>
      </x:bottom>
    </x:border>
    <x:border>
      <x:right style="thin">
        <x:color rgb="FFB5883A"/>
      </x:right>
      <x:bottom style="thin">
        <x:color rgb="FFB5883A"/>
      </x:bottom>
    </x:border>
    <x:border>
      <x:left style="thin">
        <x:color rgb="FFD7DBE0"/>
      </x:left>
      <x:top style="thin">
        <x:color rgb="FFD7DBE0"/>
      </x:top>
      <x:bottom style="thin">
        <x:color rgb="FFD7DBE0"/>
      </x:bottom>
    </x:border>
    <x:border>
      <x:right style="thin">
        <x:color rgb="FFD7DBE0"/>
      </x:right>
      <x:top style="thin">
        <x:color rgb="FFD7DBE0"/>
      </x:top>
      <x:bottom style="thin">
        <x:color rgb="FFD7DBE0"/>
      </x:bottom>
    </x:border>
    <x:border>
      <x:top style="thin">
        <x:color rgb="FFD7DBE0"/>
      </x:top>
      <x:bottom style="thin">
        <x:color rgb="FFD7DBE0"/>
      </x:bottom>
    </x:border>
  </x:borders>
  <x:cellStyleXfs count="1">
    <x:xf numFmtId="0" fontId="0" fillId="0" borderId="0"/>
  </x:cellStyleXfs>
  <x:cellXfs count="28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2" fillId="3" borderId="0" xfId="0" applyNumberFormat="1" applyFont="1" applyFill="1" applyBorder="1" applyAlignment="1">
      <x:alignment vertical="center"/>
    </x:xf>
    <x:xf numFmtId="0" fontId="2" fillId="3" borderId="0" xfId="0" applyNumberFormat="1" applyFont="1" applyFill="1" applyBorder="1" applyAlignment="1">
      <x:alignment horizontal="left" vertical="center"/>
    </x:xf>
    <x:xf numFmtId="0" fontId="1" fillId="4" borderId="0" xfId="0" applyNumberFormat="1" applyFont="1" applyFill="1" applyBorder="1" applyAlignment="1">
      <x:alignment vertical="center"/>
    </x:xf>
    <x:xf numFmtId="0" fontId="2" fillId="4" borderId="0" xfId="0" applyNumberFormat="1" applyFont="1" applyFill="1" applyBorder="1" applyAlignment="1">
      <x:alignment vertical="center"/>
    </x:xf>
    <x:xf numFmtId="0" fontId="2" fillId="4" borderId="0" xfId="0" applyNumberFormat="1" applyFont="1" applyFill="1" applyBorder="1" applyAlignment="1">
      <x:alignment horizontal="left" vertical="center"/>
    </x:xf>
    <x:xf numFmtId="0" fontId="1" fillId="5" borderId="0" xfId="0" applyNumberFormat="1" applyFont="1" applyFill="1" applyBorder="1" applyAlignment="1">
      <x:alignment vertical="center"/>
    </x:xf>
    <x:xf numFmtId="0" fontId="3" fillId="5" borderId="0" xfId="0" applyNumberFormat="1" applyFont="1" applyFill="1" applyBorder="1" applyAlignment="1">
      <x:alignment vertical="center"/>
    </x:xf>
    <x:xf numFmtId="0" fontId="3" fillId="5" borderId="1" xfId="0" applyNumberFormat="1" applyFont="1" applyFill="1" applyBorder="1" applyAlignment="1">
      <x:alignment vertical="center"/>
    </x:xf>
    <x:xf numFmtId="0" fontId="3" fillId="5" borderId="2" xfId="0" applyNumberFormat="1" applyFont="1" applyFill="1" applyBorder="1" applyAlignment="1">
      <x:alignment vertical="center"/>
    </x:xf>
    <x:xf numFmtId="0" fontId="3" fillId="5" borderId="3" xfId="0" applyNumberFormat="1" applyFont="1" applyFill="1" applyBorder="1" applyAlignment="1">
      <x:alignment vertical="center"/>
    </x:xf>
    <x:xf numFmtId="0" fontId="3" fillId="5" borderId="4" xfId="0" applyNumberFormat="1" applyFont="1" applyFill="1" applyBorder="1" applyAlignment="1">
      <x:alignment vertical="center"/>
    </x:xf>
    <x:xf numFmtId="0" fontId="3" fillId="5" borderId="5" xfId="0" applyNumberFormat="1" applyFont="1" applyFill="1" applyBorder="1" applyAlignment="1">
      <x:alignment vertical="center"/>
    </x:xf>
    <x:xf numFmtId="0" fontId="3" fillId="5" borderId="6" xfId="0" applyNumberFormat="1" applyFont="1" applyFill="1" applyBorder="1" applyAlignment="1">
      <x:alignment vertical="center"/>
    </x:xf>
    <x:xf numFmtId="0" fontId="3" fillId="5" borderId="1" xfId="0" applyNumberFormat="1" applyFont="1" applyFill="1" applyBorder="1" applyAlignment="1">
      <x:alignment vertical="center" wrapText="1"/>
    </x:xf>
    <x:xf numFmtId="0" fontId="3" fillId="5" borderId="2" xfId="0" applyNumberFormat="1" applyFont="1" applyFill="1" applyBorder="1" applyAlignment="1">
      <x:alignment vertical="center" wrapText="1"/>
    </x:xf>
    <x:xf numFmtId="0" fontId="3" fillId="5" borderId="3" xfId="0" applyNumberFormat="1" applyFont="1" applyFill="1" applyBorder="1" applyAlignment="1">
      <x:alignment vertical="center" wrapText="1"/>
    </x:xf>
    <x:xf numFmtId="0" fontId="3" fillId="5" borderId="4" xfId="0" applyNumberFormat="1" applyFont="1" applyFill="1" applyBorder="1" applyAlignment="1">
      <x:alignment vertical="center" wrapText="1"/>
    </x:xf>
    <x:xf numFmtId="0" fontId="3" fillId="5" borderId="5" xfId="0" applyNumberFormat="1" applyFont="1" applyFill="1" applyBorder="1" applyAlignment="1">
      <x:alignment vertical="center" wrapText="1"/>
    </x:xf>
    <x:xf numFmtId="0" fontId="3" fillId="5" borderId="6" xfId="0" applyNumberFormat="1" applyFont="1" applyFill="1" applyBorder="1" applyAlignment="1">
      <x:alignment vertical="center" wrapText="1"/>
    </x:xf>
    <x:xf numFmtId="0" fontId="1" fillId="6" borderId="0" xfId="0" applyNumberFormat="1" applyFont="1" applyFill="1" applyBorder="1" applyAlignment="1">
      <x:alignment vertical="center"/>
    </x:xf>
    <x:xf numFmtId="0" fontId="2" fillId="6" borderId="0" xfId="0" applyNumberFormat="1" applyFont="1" applyFill="1" applyBorder="1" applyAlignment="1">
      <x:alignment vertical="center"/>
    </x:xf>
    <x:xf numFmtId="0" fontId="2" fillId="6" borderId="7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/>
    </x:xf>
    <x:xf numFmtId="0" fontId="3" fillId="7" borderId="0" xfId="0" applyNumberFormat="1" applyFont="1" applyFill="1" applyBorder="1" applyAlignment="1">
      <x:alignment vertical="center"/>
    </x:xf>
    <x:xf numFmtId="0" fontId="1" fillId="8" borderId="0" xfId="0" applyNumberFormat="1" applyFont="1" applyFill="1" applyBorder="1" applyAlignment="1">
      <x:alignment vertical="center"/>
    </x:xf>
    <x:xf numFmtId="0" fontId="4" fillId="8" borderId="0" xfId="0" applyNumberFormat="1" applyFont="1" applyFill="1" applyBorder="1" applyAlignment="1">
      <x:alignment vertical="center"/>
    </x:xf>
    <x:xf numFmtId="0" fontId="4" fillId="8" borderId="8" xfId="0" applyNumberFormat="1" applyFont="1" applyFill="1" applyBorder="1" applyAlignment="1">
      <x:alignment vertical="center"/>
    </x:xf>
    <x:xf numFmtId="200" fontId="4" fillId="8" borderId="8" xfId="0" applyNumberFormat="1" applyFont="1" applyFill="1" applyBorder="1" applyAlignment="1">
      <x:alignment vertical="center"/>
    </x:xf>
    <x:xf numFmtId="200" fontId="4" fillId="8" borderId="8" xfId="0" applyNumberFormat="1" applyFont="1" applyFill="1" applyBorder="1" applyAlignment="1">
      <x:alignment horizontal="right" vertical="center"/>
    </x:xf>
    <x:xf numFmtId="0" fontId="5" fillId="8" borderId="0" xfId="0" applyNumberFormat="1" applyFont="1" applyFill="1" applyBorder="1" applyAlignment="1">
      <x:alignment vertical="center"/>
    </x:xf>
    <x:xf numFmtId="0" fontId="5" fillId="8" borderId="4" xfId="0" applyNumberFormat="1" applyFont="1" applyFill="1" applyBorder="1" applyAlignment="1">
      <x:alignment vertical="center"/>
    </x:xf>
    <x:xf numFmtId="0" fontId="5" fillId="8" borderId="5" xfId="0" applyNumberFormat="1" applyFont="1" applyFill="1" applyBorder="1" applyAlignment="1">
      <x:alignment vertical="center"/>
    </x:xf>
    <x:xf numFmtId="0" fontId="5" fillId="8" borderId="4" xfId="0" applyNumberFormat="1" applyFont="1" applyFill="1" applyBorder="1" applyAlignment="1">
      <x:alignment vertical="center" wrapText="1"/>
    </x:xf>
    <x:xf numFmtId="0" fontId="5" fillId="8" borderId="5" xfId="0" applyNumberFormat="1" applyFont="1" applyFill="1" applyBorder="1" applyAlignment="1">
      <x:alignment vertical="center" wrapText="1"/>
    </x:xf>
    <x:xf numFmtId="200" fontId="4" fillId="8" borderId="9" xfId="0" applyNumberFormat="1" applyFont="1" applyFill="1" applyBorder="1" applyAlignment="1">
      <x:alignment horizontal="right" vertical="center"/>
    </x:xf>
    <x:xf numFmtId="201" fontId="4" fillId="8" borderId="8" xfId="0" applyNumberFormat="1" applyFont="1" applyFill="1" applyBorder="1" applyAlignment="1">
      <x:alignment vertical="center"/>
    </x:xf>
    <x:xf numFmtId="201" fontId="4" fillId="8" borderId="8" xfId="0" applyNumberFormat="1" applyFont="1" applyFill="1" applyBorder="1" applyAlignment="1">
      <x:alignment horizontal="right" vertical="center"/>
    </x:xf>
    <x:xf numFmtId="201" fontId="4" fillId="8" borderId="9" xfId="0" applyNumberFormat="1" applyFont="1" applyFill="1" applyBorder="1" applyAlignment="1">
      <x:alignment horizontal="right" vertical="center"/>
    </x:xf>
    <x:xf numFmtId="202" fontId="4" fillId="8" borderId="8" xfId="0" applyNumberFormat="1" applyFont="1" applyFill="1" applyBorder="1" applyAlignment="1">
      <x:alignment vertical="center"/>
    </x:xf>
    <x:xf numFmtId="202" fontId="4" fillId="8" borderId="8" xfId="0" applyNumberFormat="1" applyFont="1" applyFill="1" applyBorder="1" applyAlignment="1">
      <x:alignment horizontal="right" vertical="center"/>
    </x:xf>
    <x:xf numFmtId="202" fontId="4" fillId="8" borderId="9" xfId="0" applyNumberFormat="1" applyFont="1" applyFill="1" applyBorder="1" applyAlignment="1">
      <x:alignment horizontal="right" vertical="center"/>
    </x:xf>
    <x:xf numFmtId="0" fontId="1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/>
    </x:xf>
    <x:xf numFmtId="0" fontId="6" fillId="9" borderId="10" xfId="0" applyNumberFormat="1" applyFont="1" applyFill="1" applyBorder="1" applyAlignment="1">
      <x:alignment vertical="center"/>
    </x:xf>
    <x:xf numFmtId="0" fontId="6" fillId="9" borderId="11" xfId="0" applyNumberFormat="1" applyFont="1" applyFill="1" applyBorder="1" applyAlignment="1">
      <x:alignment vertical="center"/>
    </x:xf>
    <x:xf numFmtId="0" fontId="6" fillId="9" borderId="12" xfId="0" applyNumberFormat="1" applyFont="1" applyFill="1" applyBorder="1" applyAlignment="1">
      <x:alignment vertical="center"/>
    </x:xf>
    <x:xf numFmtId="0" fontId="6" fillId="9" borderId="13" xfId="0" applyNumberFormat="1" applyFont="1" applyFill="1" applyBorder="1" applyAlignment="1">
      <x:alignment vertical="center"/>
    </x:xf>
    <x:xf numFmtId="0" fontId="6" fillId="9" borderId="14" xfId="0" applyNumberFormat="1" applyFont="1" applyFill="1" applyBorder="1" applyAlignment="1">
      <x:alignment vertical="center"/>
    </x:xf>
    <x:xf numFmtId="0" fontId="6" fillId="9" borderId="15" xfId="0" applyNumberFormat="1" applyFont="1" applyFill="1" applyBorder="1" applyAlignment="1">
      <x:alignment vertical="center"/>
    </x:xf>
    <x:xf numFmtId="0" fontId="6" fillId="9" borderId="10" xfId="0" applyNumberFormat="1" applyFont="1" applyFill="1" applyBorder="1" applyAlignment="1">
      <x:alignment vertical="center" wrapText="1"/>
    </x:xf>
    <x:xf numFmtId="0" fontId="6" fillId="9" borderId="11" xfId="0" applyNumberFormat="1" applyFont="1" applyFill="1" applyBorder="1" applyAlignment="1">
      <x:alignment vertical="center" wrapText="1"/>
    </x:xf>
    <x:xf numFmtId="0" fontId="6" fillId="9" borderId="12" xfId="0" applyNumberFormat="1" applyFont="1" applyFill="1" applyBorder="1" applyAlignment="1">
      <x:alignment vertical="center" wrapText="1"/>
    </x:xf>
    <x:xf numFmtId="0" fontId="6" fillId="9" borderId="13" xfId="0" applyNumberFormat="1" applyFont="1" applyFill="1" applyBorder="1" applyAlignment="1">
      <x:alignment vertical="center" wrapText="1"/>
    </x:xf>
    <x:xf numFmtId="0" fontId="6" fillId="9" borderId="14" xfId="0" applyNumberFormat="1" applyFont="1" applyFill="1" applyBorder="1" applyAlignment="1">
      <x:alignment vertical="center" wrapText="1"/>
    </x:xf>
    <x:xf numFmtId="0" fontId="6" fillId="9" borderId="15" xfId="0" applyNumberFormat="1" applyFont="1" applyFill="1" applyBorder="1" applyAlignment="1">
      <x:alignment vertical="center" wrapText="1"/>
    </x:xf>
    <x:xf numFmtId="0" fontId="2" fillId="3" borderId="0" xfId="0" applyNumberFormat="1" applyFont="1" applyFill="1" applyBorder="1" applyAlignment="1">
      <x:alignment horizontal="center" vertical="center"/>
    </x:xf>
    <x:xf numFmtId="0" fontId="2" fillId="6" borderId="7" xfId="0" applyNumberFormat="1" applyFont="1" applyFill="1" applyBorder="1" applyAlignment="1">
      <x:alignment horizontal="left" vertical="center"/>
    </x:xf>
    <x:xf numFmtId="0" fontId="3" fillId="7" borderId="4" xfId="0" applyNumberFormat="1" applyFont="1" applyFill="1" applyBorder="1" applyAlignment="1">
      <x:alignment vertical="center"/>
    </x:xf>
    <x:xf numFmtId="0" fontId="3" fillId="7" borderId="5" xfId="0" applyNumberFormat="1" applyFont="1" applyFill="1" applyBorder="1" applyAlignment="1">
      <x:alignment vertical="center"/>
    </x:xf>
    <x:xf numFmtId="0" fontId="7" fillId="8" borderId="0" xfId="0" applyNumberFormat="1" applyFont="1" applyFill="1" applyBorder="1" applyAlignment="1">
      <x:alignment vertical="center"/>
    </x:xf>
    <x:xf numFmtId="200" fontId="7" fillId="8" borderId="0" xfId="0" applyNumberFormat="1" applyFont="1" applyFill="1" applyBorder="1" applyAlignment="1">
      <x:alignment vertical="center"/>
    </x:xf>
    <x:xf numFmtId="200" fontId="7" fillId="8" borderId="0" xfId="0" applyNumberFormat="1" applyFont="1" applyFill="1" applyBorder="1" applyAlignment="1">
      <x:alignment horizontal="right" vertical="center"/>
    </x:xf>
    <x:xf numFmtId="0" fontId="8" fillId="5" borderId="0" xfId="0" applyNumberFormat="1" applyFont="1" applyFill="1" applyBorder="1" applyAlignment="1">
      <x:alignment vertical="center"/>
    </x:xf>
    <x:xf numFmtId="200" fontId="8" fillId="5" borderId="0" xfId="0" applyNumberFormat="1" applyFont="1" applyFill="1" applyBorder="1" applyAlignment="1">
      <x:alignment vertical="center"/>
    </x:xf>
    <x:xf numFmtId="200" fontId="8" fillId="5" borderId="0" xfId="0" applyNumberFormat="1" applyFont="1" applyFill="1" applyBorder="1" applyAlignment="1">
      <x:alignment horizontal="right" vertical="center"/>
    </x:xf>
    <x:xf numFmtId="0" fontId="5" fillId="5" borderId="0" xfId="0" applyNumberFormat="1" applyFont="1" applyFill="1" applyBorder="1" applyAlignment="1">
      <x:alignment vertical="center"/>
    </x:xf>
    <x:xf numFmtId="0" fontId="5" fillId="5" borderId="4" xfId="0" applyNumberFormat="1" applyFont="1" applyFill="1" applyBorder="1" applyAlignment="1">
      <x:alignment vertical="center"/>
    </x:xf>
    <x:xf numFmtId="0" fontId="5" fillId="5" borderId="5" xfId="0" applyNumberFormat="1" applyFont="1" applyFill="1" applyBorder="1" applyAlignment="1">
      <x:alignment vertical="center"/>
    </x:xf>
    <x:xf numFmtId="0" fontId="5" fillId="5" borderId="4" xfId="0" applyNumberFormat="1" applyFont="1" applyFill="1" applyBorder="1" applyAlignment="1">
      <x:alignment vertical="center" wrapText="1"/>
    </x:xf>
    <x:xf numFmtId="0" fontId="5" fillId="5" borderId="5" xfId="0" applyNumberFormat="1" applyFont="1" applyFill="1" applyBorder="1" applyAlignment="1">
      <x:alignment vertical="center" wrapText="1"/>
    </x:xf>
    <x:xf numFmtId="0" fontId="2" fillId="3" borderId="0" xfId="0" applyNumberFormat="1" applyFont="1" applyFill="1" applyBorder="1" applyAlignment="1">
      <x:alignment horizontal="right" vertical="center"/>
    </x:xf>
    <x:xf numFmtId="0" fontId="9" fillId="2" borderId="0" xfId="0" applyNumberFormat="1" applyFont="1" applyFill="1" applyBorder="1" applyAlignment="1">
      <x:alignment vertical="center"/>
    </x:xf>
    <x:xf numFmtId="200" fontId="9" fillId="2" borderId="0" xfId="0" applyNumberFormat="1" applyFont="1" applyFill="1" applyBorder="1" applyAlignment="1">
      <x:alignment vertical="center"/>
    </x:xf>
    <x:xf numFmtId="200" fontId="9" fillId="2" borderId="0" xfId="0" applyNumberFormat="1" applyFont="1" applyFill="1" applyBorder="1" applyAlignment="1">
      <x:alignment horizontal="right" vertical="center"/>
    </x:xf>
    <x:xf numFmtId="0" fontId="5" fillId="2" borderId="0" xfId="0" applyNumberFormat="1" applyFont="1" applyFill="1" applyBorder="1" applyAlignment="1">
      <x:alignment vertical="center"/>
    </x:xf>
    <x:xf numFmtId="0" fontId="5" fillId="2" borderId="0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 applyAlignment="1">
      <x:alignment horizontal="left" vertical="center" wrapText="1"/>
    </x:xf>
    <x:xf numFmtId="200" fontId="9" fillId="8" borderId="0" xfId="0" applyNumberFormat="1" applyFont="1" applyFill="1" applyBorder="1" applyAlignment="1">
      <x:alignment horizontal="right" vertical="center"/>
    </x:xf>
    <x:xf numFmtId="0" fontId="5" fillId="8" borderId="0" xfId="0" applyNumberFormat="1" applyFont="1" applyFill="1" applyBorder="1" applyAlignment="1">
      <x:alignment horizontal="left" vertical="center" wrapText="1"/>
    </x:xf>
    <x:xf numFmtId="0" fontId="3" fillId="2" borderId="0" xfId="0" applyNumberFormat="1" applyFont="1" applyFill="1" applyBorder="1" applyAlignment="1">
      <x:alignment vertical="center"/>
    </x:xf>
    <x:xf numFmtId="200" fontId="3" fillId="2" borderId="0" xfId="0" applyNumberFormat="1" applyFont="1" applyFill="1" applyBorder="1" applyAlignment="1">
      <x:alignment vertical="center"/>
    </x:xf>
    <x:xf numFmtId="200" fontId="3" fillId="2" borderId="0" xfId="0" applyNumberFormat="1" applyFont="1" applyFill="1" applyBorder="1" applyAlignment="1">
      <x:alignment horizontal="right" vertical="center"/>
    </x:xf>
    <x:xf numFmtId="200" fontId="3" fillId="5" borderId="0" xfId="0" applyNumberFormat="1" applyFont="1" applyFill="1" applyBorder="1" applyAlignment="1">
      <x:alignment horizontal="right" vertical="center"/>
    </x:xf>
    <x:xf numFmtId="0" fontId="5" fillId="5" borderId="0" xfId="0" applyNumberFormat="1" applyFont="1" applyFill="1" applyBorder="1" applyAlignment="1">
      <x:alignment horizontal="left" vertical="center" wrapText="1"/>
    </x:xf>
    <x:xf numFmtId="0" fontId="10" fillId="5" borderId="0" xfId="0" applyNumberFormat="1" applyFont="1" applyFill="1" applyBorder="1" applyAlignment="1">
      <x:alignment horizontal="left" vertical="center" wrapText="1"/>
    </x:xf>
    <x:xf numFmtId="200" fontId="3" fillId="8" borderId="0" xfId="0" applyNumberFormat="1" applyFont="1" applyFill="1" applyBorder="1" applyAlignment="1">
      <x:alignment horizontal="right" vertical="center"/>
    </x:xf>
    <x:xf numFmtId="0" fontId="3" fillId="8" borderId="0" xfId="0" applyNumberFormat="1" applyFont="1" applyFill="1" applyBorder="1" applyAlignment="1">
      <x:alignment vertical="center"/>
    </x:xf>
    <x:xf numFmtId="0" fontId="10" fillId="8" borderId="0" xfId="0" applyNumberFormat="1" applyFont="1" applyFill="1" applyBorder="1" applyAlignment="1">
      <x:alignment horizontal="left" vertical="center" wrapText="1"/>
    </x:xf>
    <x:xf numFmtId="202" fontId="9" fillId="2" borderId="0" xfId="0" applyNumberFormat="1" applyFont="1" applyFill="1" applyBorder="1" applyAlignment="1">
      <x:alignment vertical="center"/>
    </x:xf>
    <x:xf numFmtId="202" fontId="9" fillId="2" borderId="0" xfId="0" applyNumberFormat="1" applyFont="1" applyFill="1" applyBorder="1" applyAlignment="1">
      <x:alignment horizontal="right" vertical="center"/>
    </x:xf>
    <x:xf numFmtId="202" fontId="9" fillId="8" borderId="0" xfId="0" applyNumberFormat="1" applyFont="1" applyFill="1" applyBorder="1" applyAlignment="1">
      <x:alignment horizontal="right" vertical="center"/>
    </x:xf>
    <x:xf numFmtId="202" fontId="3" fillId="2" borderId="0" xfId="0" applyNumberFormat="1" applyFont="1" applyFill="1" applyBorder="1" applyAlignment="1">
      <x:alignment vertical="center"/>
    </x:xf>
    <x:xf numFmtId="202" fontId="3" fillId="2" borderId="0" xfId="0" applyNumberFormat="1" applyFont="1" applyFill="1" applyBorder="1" applyAlignment="1">
      <x:alignment horizontal="right" vertical="center"/>
    </x:xf>
    <x:xf numFmtId="0" fontId="1" fillId="10" borderId="0" xfId="0" applyNumberFormat="1" applyFont="1" applyFill="1" applyBorder="1" applyAlignment="1">
      <x:alignment vertical="center"/>
    </x:xf>
    <x:xf numFmtId="202" fontId="3" fillId="10" borderId="0" xfId="0" applyNumberFormat="1" applyFont="1" applyFill="1" applyBorder="1" applyAlignment="1">
      <x:alignment horizontal="right" vertical="center"/>
    </x:xf>
    <x:xf numFmtId="0" fontId="5" fillId="10" borderId="0" xfId="0" applyNumberFormat="1" applyFont="1" applyFill="1" applyBorder="1" applyAlignment="1">
      <x:alignment horizontal="left" vertical="center" wrapText="1"/>
    </x:xf>
    <x:xf numFmtId="0" fontId="3" fillId="10" borderId="0" xfId="0" applyNumberFormat="1" applyFont="1" applyFill="1" applyBorder="1" applyAlignment="1">
      <x:alignment vertical="center"/>
    </x:xf>
    <x:xf numFmtId="0" fontId="10" fillId="10" borderId="0" xfId="0" applyNumberFormat="1" applyFont="1" applyFill="1" applyBorder="1" applyAlignment="1">
      <x:alignment horizontal="left" vertical="center" wrapText="1"/>
    </x:xf>
    <x:xf numFmtId="201" fontId="3" fillId="2" borderId="0" xfId="0" applyNumberFormat="1" applyFont="1" applyFill="1" applyBorder="1" applyAlignment="1">
      <x:alignment vertical="center"/>
    </x:xf>
    <x:xf numFmtId="201" fontId="3" fillId="2" borderId="0" xfId="0" applyNumberFormat="1" applyFont="1" applyFill="1" applyBorder="1" applyAlignment="1">
      <x:alignment horizontal="right" vertical="center"/>
    </x:xf>
    <x:xf numFmtId="201" fontId="3" fillId="8" borderId="0" xfId="0" applyNumberFormat="1" applyFont="1" applyFill="1" applyBorder="1" applyAlignment="1">
      <x:alignment horizontal="right" vertical="center"/>
    </x:xf>
    <x:xf numFmtId="0" fontId="2" fillId="3" borderId="16" xfId="0" applyNumberFormat="1" applyFont="1" applyFill="1" applyBorder="1" applyAlignment="1">
      <x:alignment vertical="center"/>
    </x:xf>
    <x:xf numFmtId="0" fontId="2" fillId="3" borderId="17" xfId="0" applyNumberFormat="1" applyFont="1" applyFill="1" applyBorder="1" applyAlignment="1">
      <x:alignment vertical="center"/>
    </x:xf>
    <x:xf numFmtId="0" fontId="2" fillId="3" borderId="16" xfId="0" applyNumberFormat="1" applyFont="1" applyFill="1" applyBorder="1" applyAlignment="1">
      <x:alignment horizontal="center" vertical="center"/>
    </x:xf>
    <x:xf numFmtId="0" fontId="2" fillId="3" borderId="17" xfId="0" applyNumberFormat="1" applyFont="1" applyFill="1" applyBorder="1" applyAlignment="1">
      <x:alignment horizontal="center" vertical="center"/>
    </x:xf>
    <x:xf numFmtId="0" fontId="11" fillId="8" borderId="0" xfId="0" applyNumberFormat="1" applyFont="1" applyFill="1" applyBorder="1" applyAlignment="1">
      <x:alignment vertical="center"/>
    </x:xf>
    <x:xf numFmtId="0" fontId="11" fillId="8" borderId="1" xfId="0" applyNumberFormat="1" applyFont="1" applyFill="1" applyBorder="1" applyAlignment="1">
      <x:alignment vertical="center"/>
    </x:xf>
    <x:xf numFmtId="0" fontId="11" fillId="8" borderId="3" xfId="0" applyNumberFormat="1" applyFont="1" applyFill="1" applyBorder="1" applyAlignment="1">
      <x:alignment vertical="center"/>
    </x:xf>
    <x:xf numFmtId="0" fontId="11" fillId="8" borderId="18" xfId="0" applyNumberFormat="1" applyFont="1" applyFill="1" applyBorder="1" applyAlignment="1">
      <x:alignment vertical="center"/>
    </x:xf>
    <x:xf numFmtId="0" fontId="11" fillId="8" borderId="19" xfId="0" applyNumberFormat="1" applyFont="1" applyFill="1" applyBorder="1" applyAlignment="1">
      <x:alignment vertical="center"/>
    </x:xf>
    <x:xf numFmtId="0" fontId="11" fillId="8" borderId="4" xfId="0" applyNumberFormat="1" applyFont="1" applyFill="1" applyBorder="1" applyAlignment="1">
      <x:alignment vertical="center"/>
    </x:xf>
    <x:xf numFmtId="0" fontId="11" fillId="8" borderId="6" xfId="0" applyNumberFormat="1" applyFont="1" applyFill="1" applyBorder="1" applyAlignment="1">
      <x:alignment vertical="center"/>
    </x:xf>
    <x:xf numFmtId="201" fontId="11" fillId="8" borderId="1" xfId="0" applyNumberFormat="1" applyFont="1" applyFill="1" applyBorder="1" applyAlignment="1">
      <x:alignment vertical="center"/>
    </x:xf>
    <x:xf numFmtId="201" fontId="11" fillId="8" borderId="3" xfId="0" applyNumberFormat="1" applyFont="1" applyFill="1" applyBorder="1" applyAlignment="1">
      <x:alignment vertical="center"/>
    </x:xf>
    <x:xf numFmtId="201" fontId="11" fillId="8" borderId="18" xfId="0" applyNumberFormat="1" applyFont="1" applyFill="1" applyBorder="1" applyAlignment="1">
      <x:alignment vertical="center"/>
    </x:xf>
    <x:xf numFmtId="201" fontId="11" fillId="8" borderId="19" xfId="0" applyNumberFormat="1" applyFont="1" applyFill="1" applyBorder="1" applyAlignment="1">
      <x:alignment vertical="center"/>
    </x:xf>
    <x:xf numFmtId="201" fontId="11" fillId="8" borderId="4" xfId="0" applyNumberFormat="1" applyFont="1" applyFill="1" applyBorder="1" applyAlignment="1">
      <x:alignment vertical="center"/>
    </x:xf>
    <x:xf numFmtId="201" fontId="11" fillId="8" borderId="6" xfId="0" applyNumberFormat="1" applyFont="1" applyFill="1" applyBorder="1" applyAlignment="1">
      <x:alignment vertical="center"/>
    </x:xf>
    <x:xf numFmtId="201" fontId="11" fillId="8" borderId="1" xfId="0" applyNumberFormat="1" applyFont="1" applyFill="1" applyBorder="1" applyAlignment="1">
      <x:alignment horizontal="center" vertical="center"/>
    </x:xf>
    <x:xf numFmtId="201" fontId="11" fillId="8" borderId="3" xfId="0" applyNumberFormat="1" applyFont="1" applyFill="1" applyBorder="1" applyAlignment="1">
      <x:alignment horizontal="center" vertical="center"/>
    </x:xf>
    <x:xf numFmtId="201" fontId="11" fillId="8" borderId="18" xfId="0" applyNumberFormat="1" applyFont="1" applyFill="1" applyBorder="1" applyAlignment="1">
      <x:alignment horizontal="center" vertical="center"/>
    </x:xf>
    <x:xf numFmtId="201" fontId="11" fillId="8" borderId="19" xfId="0" applyNumberFormat="1" applyFont="1" applyFill="1" applyBorder="1" applyAlignment="1">
      <x:alignment horizontal="center" vertical="center"/>
    </x:xf>
    <x:xf numFmtId="201" fontId="11" fillId="8" borderId="4" xfId="0" applyNumberFormat="1" applyFont="1" applyFill="1" applyBorder="1" applyAlignment="1">
      <x:alignment horizontal="center" vertical="center"/>
    </x:xf>
    <x:xf numFmtId="201" fontId="11" fillId="8" borderId="6" xfId="0" applyNumberFormat="1" applyFont="1" applyFill="1" applyBorder="1" applyAlignment="1">
      <x:alignment horizontal="center" vertical="center"/>
    </x:xf>
    <x:xf numFmtId="202" fontId="11" fillId="8" borderId="1" xfId="0" applyNumberFormat="1" applyFont="1" applyFill="1" applyBorder="1" applyAlignment="1">
      <x:alignment vertical="center"/>
    </x:xf>
    <x:xf numFmtId="202" fontId="11" fillId="8" borderId="3" xfId="0" applyNumberFormat="1" applyFont="1" applyFill="1" applyBorder="1" applyAlignment="1">
      <x:alignment vertical="center"/>
    </x:xf>
    <x:xf numFmtId="202" fontId="11" fillId="8" borderId="18" xfId="0" applyNumberFormat="1" applyFont="1" applyFill="1" applyBorder="1" applyAlignment="1">
      <x:alignment vertical="center"/>
    </x:xf>
    <x:xf numFmtId="202" fontId="11" fillId="8" borderId="19" xfId="0" applyNumberFormat="1" applyFont="1" applyFill="1" applyBorder="1" applyAlignment="1">
      <x:alignment vertical="center"/>
    </x:xf>
    <x:xf numFmtId="202" fontId="11" fillId="8" borderId="4" xfId="0" applyNumberFormat="1" applyFont="1" applyFill="1" applyBorder="1" applyAlignment="1">
      <x:alignment vertical="center"/>
    </x:xf>
    <x:xf numFmtId="202" fontId="11" fillId="8" borderId="6" xfId="0" applyNumberFormat="1" applyFont="1" applyFill="1" applyBorder="1" applyAlignment="1">
      <x:alignment vertical="center"/>
    </x:xf>
    <x:xf numFmtId="202" fontId="11" fillId="8" borderId="1" xfId="0" applyNumberFormat="1" applyFont="1" applyFill="1" applyBorder="1" applyAlignment="1">
      <x:alignment horizontal="center" vertical="center"/>
    </x:xf>
    <x:xf numFmtId="202" fontId="11" fillId="8" borderId="3" xfId="0" applyNumberFormat="1" applyFont="1" applyFill="1" applyBorder="1" applyAlignment="1">
      <x:alignment horizontal="center" vertical="center"/>
    </x:xf>
    <x:xf numFmtId="202" fontId="11" fillId="8" borderId="18" xfId="0" applyNumberFormat="1" applyFont="1" applyFill="1" applyBorder="1" applyAlignment="1">
      <x:alignment horizontal="center" vertical="center"/>
    </x:xf>
    <x:xf numFmtId="202" fontId="11" fillId="8" borderId="19" xfId="0" applyNumberFormat="1" applyFont="1" applyFill="1" applyBorder="1" applyAlignment="1">
      <x:alignment horizontal="center" vertical="center"/>
    </x:xf>
    <x:xf numFmtId="202" fontId="11" fillId="8" borderId="4" xfId="0" applyNumberFormat="1" applyFont="1" applyFill="1" applyBorder="1" applyAlignment="1">
      <x:alignment horizontal="center" vertical="center"/>
    </x:xf>
    <x:xf numFmtId="202" fontId="11" fillId="8" borderId="6" xfId="0" applyNumberFormat="1" applyFont="1" applyFill="1" applyBorder="1" applyAlignment="1">
      <x:alignment horizontal="center" vertical="center"/>
    </x:xf>
    <x:xf numFmtId="200" fontId="11" fillId="8" borderId="1" xfId="0" applyNumberFormat="1" applyFont="1" applyFill="1" applyBorder="1" applyAlignment="1">
      <x:alignment vertical="center"/>
    </x:xf>
    <x:xf numFmtId="200" fontId="11" fillId="8" borderId="3" xfId="0" applyNumberFormat="1" applyFont="1" applyFill="1" applyBorder="1" applyAlignment="1">
      <x:alignment vertical="center"/>
    </x:xf>
    <x:xf numFmtId="200" fontId="11" fillId="8" borderId="18" xfId="0" applyNumberFormat="1" applyFont="1" applyFill="1" applyBorder="1" applyAlignment="1">
      <x:alignment vertical="center"/>
    </x:xf>
    <x:xf numFmtId="200" fontId="11" fillId="8" borderId="19" xfId="0" applyNumberFormat="1" applyFont="1" applyFill="1" applyBorder="1" applyAlignment="1">
      <x:alignment vertical="center"/>
    </x:xf>
    <x:xf numFmtId="200" fontId="11" fillId="8" borderId="4" xfId="0" applyNumberFormat="1" applyFont="1" applyFill="1" applyBorder="1" applyAlignment="1">
      <x:alignment vertical="center"/>
    </x:xf>
    <x:xf numFmtId="200" fontId="11" fillId="8" borderId="6" xfId="0" applyNumberFormat="1" applyFont="1" applyFill="1" applyBorder="1" applyAlignment="1">
      <x:alignment vertical="center"/>
    </x:xf>
    <x:xf numFmtId="200" fontId="11" fillId="8" borderId="1" xfId="0" applyNumberFormat="1" applyFont="1" applyFill="1" applyBorder="1" applyAlignment="1">
      <x:alignment horizontal="center" vertical="center"/>
    </x:xf>
    <x:xf numFmtId="200" fontId="11" fillId="8" borderId="3" xfId="0" applyNumberFormat="1" applyFont="1" applyFill="1" applyBorder="1" applyAlignment="1">
      <x:alignment horizontal="center" vertical="center"/>
    </x:xf>
    <x:xf numFmtId="200" fontId="11" fillId="8" borderId="18" xfId="0" applyNumberFormat="1" applyFont="1" applyFill="1" applyBorder="1" applyAlignment="1">
      <x:alignment horizontal="center" vertical="center"/>
    </x:xf>
    <x:xf numFmtId="200" fontId="11" fillId="8" borderId="19" xfId="0" applyNumberFormat="1" applyFont="1" applyFill="1" applyBorder="1" applyAlignment="1">
      <x:alignment horizontal="center" vertical="center"/>
    </x:xf>
    <x:xf numFmtId="200" fontId="11" fillId="8" borderId="4" xfId="0" applyNumberFormat="1" applyFont="1" applyFill="1" applyBorder="1" applyAlignment="1">
      <x:alignment horizontal="center" vertical="center"/>
    </x:xf>
    <x:xf numFmtId="200" fontId="11" fillId="8" borderId="6" xfId="0" applyNumberFormat="1" applyFont="1" applyFill="1" applyBorder="1" applyAlignment="1">
      <x:alignment horizontal="center" vertical="center"/>
    </x:xf>
    <x:xf numFmtId="0" fontId="11" fillId="5" borderId="0" xfId="0" applyNumberFormat="1" applyFont="1" applyFill="1" applyBorder="1" applyAlignment="1">
      <x:alignment vertical="center"/>
    </x:xf>
    <x:xf numFmtId="0" fontId="11" fillId="5" borderId="20" xfId="0" applyNumberFormat="1" applyFont="1" applyFill="1" applyBorder="1" applyAlignment="1">
      <x:alignment vertical="center"/>
    </x:xf>
    <x:xf numFmtId="0" fontId="11" fillId="5" borderId="21" xfId="0" applyNumberFormat="1" applyFont="1" applyFill="1" applyBorder="1" applyAlignment="1">
      <x:alignment vertical="center"/>
    </x:xf>
    <x:xf numFmtId="0" fontId="11" fillId="5" borderId="22" xfId="0" applyNumberFormat="1" applyFont="1" applyFill="1" applyBorder="1" applyAlignment="1">
      <x:alignment vertical="center"/>
    </x:xf>
    <x:xf numFmtId="0" fontId="11" fillId="5" borderId="23" xfId="0" applyNumberFormat="1" applyFont="1" applyFill="1" applyBorder="1" applyAlignment="1">
      <x:alignment vertical="center"/>
    </x:xf>
    <x:xf numFmtId="0" fontId="11" fillId="5" borderId="24" xfId="0" applyNumberFormat="1" applyFont="1" applyFill="1" applyBorder="1" applyAlignment="1">
      <x:alignment vertical="center"/>
    </x:xf>
    <x:xf numFmtId="0" fontId="11" fillId="5" borderId="25" xfId="0" applyNumberFormat="1" applyFont="1" applyFill="1" applyBorder="1" applyAlignment="1">
      <x:alignment vertical="center"/>
    </x:xf>
    <x:xf numFmtId="0" fontId="11" fillId="5" borderId="26" xfId="0" applyNumberFormat="1" applyFont="1" applyFill="1" applyBorder="1" applyAlignment="1">
      <x:alignment vertical="center"/>
    </x:xf>
    <x:xf numFmtId="0" fontId="11" fillId="5" borderId="27" xfId="0" applyNumberFormat="1" applyFont="1" applyFill="1" applyBorder="1" applyAlignment="1">
      <x:alignment vertical="center"/>
    </x:xf>
    <x:xf numFmtId="0" fontId="11" fillId="5" borderId="20" xfId="0" applyNumberFormat="1" applyFont="1" applyFill="1" applyBorder="1" applyAlignment="1">
      <x:alignment vertical="center" wrapText="1"/>
    </x:xf>
    <x:xf numFmtId="0" fontId="11" fillId="5" borderId="21" xfId="0" applyNumberFormat="1" applyFont="1" applyFill="1" applyBorder="1" applyAlignment="1">
      <x:alignment vertical="center" wrapText="1"/>
    </x:xf>
    <x:xf numFmtId="0" fontId="11" fillId="5" borderId="22" xfId="0" applyNumberFormat="1" applyFont="1" applyFill="1" applyBorder="1" applyAlignment="1">
      <x:alignment vertical="center" wrapText="1"/>
    </x:xf>
    <x:xf numFmtId="0" fontId="11" fillId="5" borderId="23" xfId="0" applyNumberFormat="1" applyFont="1" applyFill="1" applyBorder="1" applyAlignment="1">
      <x:alignment vertical="center" wrapText="1"/>
    </x:xf>
    <x:xf numFmtId="0" fontId="11" fillId="5" borderId="0" xfId="0" applyNumberFormat="1" applyFont="1" applyFill="1" applyBorder="1" applyAlignment="1">
      <x:alignment vertical="center" wrapText="1"/>
    </x:xf>
    <x:xf numFmtId="0" fontId="11" fillId="5" borderId="24" xfId="0" applyNumberFormat="1" applyFont="1" applyFill="1" applyBorder="1" applyAlignment="1">
      <x:alignment vertical="center" wrapText="1"/>
    </x:xf>
    <x:xf numFmtId="0" fontId="11" fillId="5" borderId="25" xfId="0" applyNumberFormat="1" applyFont="1" applyFill="1" applyBorder="1" applyAlignment="1">
      <x:alignment vertical="center" wrapText="1"/>
    </x:xf>
    <x:xf numFmtId="0" fontId="11" fillId="5" borderId="26" xfId="0" applyNumberFormat="1" applyFont="1" applyFill="1" applyBorder="1" applyAlignment="1">
      <x:alignment vertical="center" wrapText="1"/>
    </x:xf>
    <x:xf numFmtId="0" fontId="11" fillId="5" borderId="27" xfId="0" applyNumberFormat="1" applyFont="1" applyFill="1" applyBorder="1" applyAlignment="1">
      <x:alignment vertical="center" wrapText="1"/>
    </x:xf>
    <x:xf numFmtId="0" fontId="11" fillId="5" borderId="20" xfId="0" applyNumberFormat="1" applyFont="1" applyFill="1" applyBorder="1" applyAlignment="1">
      <x:alignment horizontal="center" vertical="center" wrapText="1"/>
    </x:xf>
    <x:xf numFmtId="0" fontId="11" fillId="5" borderId="21" xfId="0" applyNumberFormat="1" applyFont="1" applyFill="1" applyBorder="1" applyAlignment="1">
      <x:alignment horizontal="center" vertical="center" wrapText="1"/>
    </x:xf>
    <x:xf numFmtId="0" fontId="11" fillId="5" borderId="22" xfId="0" applyNumberFormat="1" applyFont="1" applyFill="1" applyBorder="1" applyAlignment="1">
      <x:alignment horizontal="center" vertical="center" wrapText="1"/>
    </x:xf>
    <x:xf numFmtId="0" fontId="11" fillId="5" borderId="23" xfId="0" applyNumberFormat="1" applyFont="1" applyFill="1" applyBorder="1" applyAlignment="1">
      <x:alignment horizontal="center" vertical="center" wrapText="1"/>
    </x:xf>
    <x:xf numFmtId="0" fontId="11" fillId="5" borderId="0" xfId="0" applyNumberFormat="1" applyFont="1" applyFill="1" applyBorder="1" applyAlignment="1">
      <x:alignment horizontal="center" vertical="center" wrapText="1"/>
    </x:xf>
    <x:xf numFmtId="0" fontId="11" fillId="5" borderId="24" xfId="0" applyNumberFormat="1" applyFont="1" applyFill="1" applyBorder="1" applyAlignment="1">
      <x:alignment horizontal="center" vertical="center" wrapText="1"/>
    </x:xf>
    <x:xf numFmtId="0" fontId="11" fillId="5" borderId="25" xfId="0" applyNumberFormat="1" applyFont="1" applyFill="1" applyBorder="1" applyAlignment="1">
      <x:alignment horizontal="center" vertical="center" wrapText="1"/>
    </x:xf>
    <x:xf numFmtId="0" fontId="11" fillId="5" borderId="26" xfId="0" applyNumberFormat="1" applyFont="1" applyFill="1" applyBorder="1" applyAlignment="1">
      <x:alignment horizontal="center" vertical="center" wrapText="1"/>
    </x:xf>
    <x:xf numFmtId="0" fontId="11" fillId="5" borderId="27" xfId="0" applyNumberFormat="1" applyFont="1" applyFill="1" applyBorder="1" applyAlignment="1">
      <x:alignment horizontal="center" vertical="center" wrapText="1"/>
    </x:xf>
    <x:xf numFmtId="0" fontId="10" fillId="7" borderId="0" xfId="0" applyNumberFormat="1" applyFont="1" applyFill="1" applyBorder="1" applyAlignment="1">
      <x:alignment vertical="center"/>
    </x:xf>
    <x:xf numFmtId="0" fontId="10" fillId="7" borderId="0" xfId="0" applyNumberFormat="1" applyFont="1" applyFill="1" applyBorder="1" applyAlignment="1">
      <x:alignment horizontal="center" vertical="center"/>
    </x:xf>
    <x:xf numFmtId="0" fontId="12" fillId="8" borderId="0" xfId="0" applyNumberFormat="1" applyFont="1" applyFill="1" applyBorder="1" applyAlignment="1">
      <x:alignment vertical="center"/>
    </x:xf>
    <x:xf numFmtId="0" fontId="12" fillId="8" borderId="28" xfId="0" applyNumberFormat="1" applyFont="1" applyFill="1" applyBorder="1" applyAlignment="1">
      <x:alignment vertical="center"/>
    </x:xf>
    <x:xf numFmtId="0" fontId="12" fillId="8" borderId="29" xfId="0" applyNumberFormat="1" applyFont="1" applyFill="1" applyBorder="1" applyAlignment="1">
      <x:alignment vertical="center"/>
    </x:xf>
    <x:xf numFmtId="0" fontId="12" fillId="8" borderId="28" xfId="0" applyNumberFormat="1" applyFont="1" applyFill="1" applyBorder="1" applyAlignment="1">
      <x:alignment horizontal="center" vertical="center"/>
    </x:xf>
    <x:xf numFmtId="0" fontId="12" fillId="8" borderId="29" xfId="0" applyNumberFormat="1" applyFont="1" applyFill="1" applyBorder="1" applyAlignment="1">
      <x:alignment horizontal="center" vertical="center"/>
    </x:xf>
    <x:xf numFmtId="0" fontId="13" fillId="9" borderId="0" xfId="0" applyNumberFormat="1" applyFont="1" applyFill="1" applyBorder="1" applyAlignment="1">
      <x:alignment vertical="center"/>
    </x:xf>
    <x:xf numFmtId="0" fontId="13" fillId="9" borderId="28" xfId="0" applyNumberFormat="1" applyFont="1" applyFill="1" applyBorder="1" applyAlignment="1">
      <x:alignment vertical="center"/>
    </x:xf>
    <x:xf numFmtId="0" fontId="13" fillId="9" borderId="29" xfId="0" applyNumberFormat="1" applyFont="1" applyFill="1" applyBorder="1" applyAlignment="1">
      <x:alignment vertical="center"/>
    </x:xf>
    <x:xf numFmtId="0" fontId="13" fillId="9" borderId="28" xfId="0" applyNumberFormat="1" applyFont="1" applyFill="1" applyBorder="1" applyAlignment="1">
      <x:alignment vertical="center" wrapText="1"/>
    </x:xf>
    <x:xf numFmtId="0" fontId="13" fillId="9" borderId="29" xfId="0" applyNumberFormat="1" applyFont="1" applyFill="1" applyBorder="1" applyAlignment="1">
      <x:alignment vertical="center" wrapText="1"/>
    </x:xf>
    <x:xf numFmtId="0" fontId="13" fillId="9" borderId="28" xfId="0" applyNumberFormat="1" applyFont="1" applyFill="1" applyBorder="1" applyAlignment="1">
      <x:alignment horizontal="center" vertical="center" wrapText="1"/>
    </x:xf>
    <x:xf numFmtId="0" fontId="13" fillId="9" borderId="29" xfId="0" applyNumberFormat="1" applyFont="1" applyFill="1" applyBorder="1" applyAlignment="1">
      <x:alignment horizontal="center" vertical="center" wrapText="1"/>
    </x:xf>
    <x:xf numFmtId="0" fontId="3" fillId="8" borderId="1" xfId="0" applyNumberFormat="1" applyFont="1" applyFill="1" applyBorder="1" applyAlignment="1">
      <x:alignment vertical="center"/>
    </x:xf>
    <x:xf numFmtId="0" fontId="3" fillId="8" borderId="2" xfId="0" applyNumberFormat="1" applyFont="1" applyFill="1" applyBorder="1" applyAlignment="1">
      <x:alignment vertical="center"/>
    </x:xf>
    <x:xf numFmtId="0" fontId="3" fillId="8" borderId="3" xfId="0" applyNumberFormat="1" applyFont="1" applyFill="1" applyBorder="1" applyAlignment="1">
      <x:alignment vertical="center"/>
    </x:xf>
    <x:xf numFmtId="0" fontId="3" fillId="8" borderId="4" xfId="0" applyNumberFormat="1" applyFont="1" applyFill="1" applyBorder="1" applyAlignment="1">
      <x:alignment vertical="center"/>
    </x:xf>
    <x:xf numFmtId="0" fontId="3" fillId="8" borderId="5" xfId="0" applyNumberFormat="1" applyFont="1" applyFill="1" applyBorder="1" applyAlignment="1">
      <x:alignment vertical="center"/>
    </x:xf>
    <x:xf numFmtId="0" fontId="3" fillId="8" borderId="6" xfId="0" applyNumberFormat="1" applyFont="1" applyFill="1" applyBorder="1" applyAlignment="1">
      <x:alignment vertical="center"/>
    </x:xf>
    <x:xf numFmtId="0" fontId="3" fillId="8" borderId="1" xfId="0" applyNumberFormat="1" applyFont="1" applyFill="1" applyBorder="1" applyAlignment="1">
      <x:alignment vertical="center" wrapText="1"/>
    </x:xf>
    <x:xf numFmtId="0" fontId="3" fillId="8" borderId="2" xfId="0" applyNumberFormat="1" applyFont="1" applyFill="1" applyBorder="1" applyAlignment="1">
      <x:alignment vertical="center" wrapText="1"/>
    </x:xf>
    <x:xf numFmtId="0" fontId="3" fillId="8" borderId="3" xfId="0" applyNumberFormat="1" applyFont="1" applyFill="1" applyBorder="1" applyAlignment="1">
      <x:alignment vertical="center" wrapText="1"/>
    </x:xf>
    <x:xf numFmtId="0" fontId="3" fillId="8" borderId="4" xfId="0" applyNumberFormat="1" applyFont="1" applyFill="1" applyBorder="1" applyAlignment="1">
      <x:alignment vertical="center" wrapText="1"/>
    </x:xf>
    <x:xf numFmtId="0" fontId="3" fillId="8" borderId="5" xfId="0" applyNumberFormat="1" applyFont="1" applyFill="1" applyBorder="1" applyAlignment="1">
      <x:alignment vertical="center" wrapText="1"/>
    </x:xf>
    <x:xf numFmtId="0" fontId="3" fillId="8" borderId="6" xfId="0" applyNumberFormat="1" applyFont="1" applyFill="1" applyBorder="1" applyAlignment="1">
      <x:alignment vertical="center" wrapText="1"/>
    </x:xf>
    <x:xf numFmtId="0" fontId="1" fillId="8" borderId="1" xfId="0" applyNumberFormat="1" applyFont="1" applyFill="1" applyBorder="1" applyAlignment="1">
      <x:alignment vertical="center"/>
    </x:xf>
    <x:xf numFmtId="0" fontId="1" fillId="8" borderId="2" xfId="0" applyNumberFormat="1" applyFont="1" applyFill="1" applyBorder="1" applyAlignment="1">
      <x:alignment vertical="center"/>
    </x:xf>
    <x:xf numFmtId="0" fontId="1" fillId="8" borderId="3" xfId="0" applyNumberFormat="1" applyFont="1" applyFill="1" applyBorder="1" applyAlignment="1">
      <x:alignment vertical="center"/>
    </x:xf>
    <x:xf numFmtId="0" fontId="1" fillId="8" borderId="18" xfId="0" applyNumberFormat="1" applyFont="1" applyFill="1" applyBorder="1" applyAlignment="1">
      <x:alignment vertical="center"/>
    </x:xf>
    <x:xf numFmtId="0" fontId="1" fillId="8" borderId="19" xfId="0" applyNumberFormat="1" applyFont="1" applyFill="1" applyBorder="1" applyAlignment="1">
      <x:alignment vertical="center"/>
    </x:xf>
    <x:xf numFmtId="0" fontId="1" fillId="8" borderId="4" xfId="0" applyNumberFormat="1" applyFont="1" applyFill="1" applyBorder="1" applyAlignment="1">
      <x:alignment vertical="center"/>
    </x:xf>
    <x:xf numFmtId="0" fontId="1" fillId="8" borderId="5" xfId="0" applyNumberFormat="1" applyFont="1" applyFill="1" applyBorder="1" applyAlignment="1">
      <x:alignment vertical="center"/>
    </x:xf>
    <x:xf numFmtId="0" fontId="1" fillId="8" borderId="6" xfId="0" applyNumberFormat="1" applyFont="1" applyFill="1" applyBorder="1" applyAlignment="1">
      <x:alignment vertical="center"/>
    </x:xf>
    <x:xf numFmtId="0" fontId="1" fillId="8" borderId="1" xfId="0" applyNumberFormat="1" applyFont="1" applyFill="1" applyBorder="1" applyAlignment="1">
      <x:alignment vertical="center" wrapText="1"/>
    </x:xf>
    <x:xf numFmtId="0" fontId="1" fillId="8" borderId="2" xfId="0" applyNumberFormat="1" applyFont="1" applyFill="1" applyBorder="1" applyAlignment="1">
      <x:alignment vertical="center" wrapText="1"/>
    </x:xf>
    <x:xf numFmtId="0" fontId="1" fillId="8" borderId="3" xfId="0" applyNumberFormat="1" applyFont="1" applyFill="1" applyBorder="1" applyAlignment="1">
      <x:alignment vertical="center" wrapText="1"/>
    </x:xf>
    <x:xf numFmtId="0" fontId="1" fillId="8" borderId="18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0" fontId="1" fillId="8" borderId="19" xfId="0" applyNumberFormat="1" applyFont="1" applyFill="1" applyBorder="1" applyAlignment="1">
      <x:alignment vertical="center" wrapText="1"/>
    </x:xf>
    <x:xf numFmtId="0" fontId="1" fillId="8" borderId="4" xfId="0" applyNumberFormat="1" applyFont="1" applyFill="1" applyBorder="1" applyAlignment="1">
      <x:alignment vertical="center" wrapText="1"/>
    </x:xf>
    <x:xf numFmtId="0" fontId="1" fillId="8" borderId="5" xfId="0" applyNumberFormat="1" applyFont="1" applyFill="1" applyBorder="1" applyAlignment="1">
      <x:alignment vertical="center" wrapText="1"/>
    </x:xf>
    <x:xf numFmtId="0" fontId="1" fillId="8" borderId="6" xfId="0" applyNumberFormat="1" applyFont="1" applyFill="1" applyBorder="1" applyAlignment="1">
      <x:alignment vertical="center" wrapText="1"/>
    </x:xf>
    <x:xf numFmtId="0" fontId="3" fillId="5" borderId="28" xfId="0" applyNumberFormat="1" applyFont="1" applyFill="1" applyBorder="1" applyAlignment="1">
      <x:alignment vertical="center"/>
    </x:xf>
    <x:xf numFmtId="0" fontId="3" fillId="5" borderId="30" xfId="0" applyNumberFormat="1" applyFont="1" applyFill="1" applyBorder="1" applyAlignment="1">
      <x:alignment vertical="center"/>
    </x:xf>
    <x:xf numFmtId="0" fontId="3" fillId="5" borderId="29" xfId="0" applyNumberFormat="1" applyFont="1" applyFill="1" applyBorder="1" applyAlignment="1">
      <x:alignment vertical="center"/>
    </x:xf>
    <x:xf numFmtId="0" fontId="3" fillId="5" borderId="28" xfId="0" applyNumberFormat="1" applyFont="1" applyFill="1" applyBorder="1" applyAlignment="1">
      <x:alignment horizontal="center" vertical="center"/>
    </x:xf>
    <x:xf numFmtId="0" fontId="3" fillId="5" borderId="30" xfId="0" applyNumberFormat="1" applyFont="1" applyFill="1" applyBorder="1" applyAlignment="1">
      <x:alignment horizontal="center" vertical="center"/>
    </x:xf>
    <x:xf numFmtId="0" fontId="3" fillId="5" borderId="29" xfId="0" applyNumberFormat="1" applyFont="1" applyFill="1" applyBorder="1" applyAlignment="1">
      <x:alignment horizontal="center" vertical="center"/>
    </x:xf>
    <x:xf numFmtId="0" fontId="14" fillId="2" borderId="0" xfId="0" applyNumberFormat="1" applyFont="1" applyFill="1" applyBorder="1" applyAlignment="1">
      <x:alignment vertical="center"/>
    </x:xf>
    <x:xf numFmtId="0" fontId="12" fillId="8" borderId="30" xfId="0" applyNumberFormat="1" applyFont="1" applyFill="1" applyBorder="1" applyAlignment="1">
      <x:alignment vertical="center"/>
    </x:xf>
    <x:xf numFmtId="0" fontId="12" fillId="8" borderId="30" xfId="0" applyNumberFormat="1" applyFont="1" applyFill="1" applyBorder="1" applyAlignment="1">
      <x:alignment horizontal="center" vertical="center"/>
    </x:xf>
    <x:xf numFmtId="203" fontId="1" fillId="2" borderId="0" xfId="0" applyNumberFormat="1" applyFont="1" applyFill="1" applyBorder="1" applyAlignment="1">
      <x:alignment vertical="center"/>
    </x:xf>
    <x:xf numFmtId="203" fontId="1" fillId="8" borderId="0" xfId="0" applyNumberFormat="1" applyFont="1" applyFill="1" applyBorder="1" applyAlignment="1">
      <x:alignment vertical="center"/>
    </x:xf>
    <x:xf numFmtId="203" fontId="1" fillId="8" borderId="0" xfId="0" applyNumberFormat="1" applyFont="1" applyFill="1" applyBorder="1" applyAlignment="1">
      <x:alignment vertical="center" wrapText="1"/>
    </x:xf>
    <x:xf numFmtId="0" fontId="12" fillId="8" borderId="0" xfId="0" applyNumberFormat="1" applyFont="1" applyFill="1" applyBorder="1" applyAlignment="1">
      <x:alignment vertical="center" wrapText="1"/>
    </x:xf>
    <x:xf numFmtId="202" fontId="1" fillId="2" borderId="0" xfId="0" applyNumberFormat="1" applyFont="1" applyFill="1" applyBorder="1" applyAlignment="1">
      <x:alignment vertical="center"/>
    </x:xf>
    <x:xf numFmtId="202" fontId="1" fillId="8" borderId="0" xfId="0" applyNumberFormat="1" applyFont="1" applyFill="1" applyBorder="1" applyAlignment="1">
      <x:alignment vertical="center"/>
    </x:xf>
    <x:xf numFmtId="202" fontId="1" fillId="8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/>
    </x:xf>
    <x:xf numFmtId="200" fontId="1" fillId="8" borderId="0" xfId="0" applyNumberFormat="1" applyFont="1" applyFill="1" applyBorder="1" applyAlignment="1">
      <x:alignment vertical="center"/>
    </x:xf>
    <x:xf numFmtId="200" fontId="1" fillId="8" borderId="0" xfId="0" applyNumberFormat="1" applyFont="1" applyFill="1" applyBorder="1" applyAlignment="1">
      <x:alignment vertical="center" wrapText="1"/>
    </x:xf>
    <x:xf numFmtId="0" fontId="6" fillId="9" borderId="28" xfId="0" applyNumberFormat="1" applyFont="1" applyFill="1" applyBorder="1" applyAlignment="1">
      <x:alignment vertical="center"/>
    </x:xf>
    <x:xf numFmtId="0" fontId="6" fillId="9" borderId="30" xfId="0" applyNumberFormat="1" applyFont="1" applyFill="1" applyBorder="1" applyAlignment="1">
      <x:alignment vertical="center"/>
    </x:xf>
    <x:xf numFmtId="0" fontId="6" fillId="9" borderId="29" xfId="0" applyNumberFormat="1" applyFont="1" applyFill="1" applyBorder="1" applyAlignment="1">
      <x:alignment vertical="center"/>
    </x:xf>
    <x:xf numFmtId="0" fontId="6" fillId="9" borderId="28" xfId="0" applyNumberFormat="1" applyFont="1" applyFill="1" applyBorder="1" applyAlignment="1">
      <x:alignment horizontal="center" vertical="center"/>
    </x:xf>
    <x:xf numFmtId="0" fontId="6" fillId="9" borderId="30" xfId="0" applyNumberFormat="1" applyFont="1" applyFill="1" applyBorder="1" applyAlignment="1">
      <x:alignment horizontal="center" vertical="center"/>
    </x:xf>
    <x:xf numFmtId="0" fontId="6" fillId="9" borderId="29" xfId="0" applyNumberFormat="1" applyFont="1" applyFill="1" applyBorder="1" applyAlignment="1">
      <x:alignment horizontal="center" vertical="center"/>
    </x:xf>
    <x:xf numFmtId="0" fontId="3" fillId="5" borderId="18" xfId="0" applyNumberFormat="1" applyFont="1" applyFill="1" applyBorder="1" applyAlignment="1">
      <x:alignment vertical="center"/>
    </x:xf>
    <x:xf numFmtId="0" fontId="3" fillId="5" borderId="19" xfId="0" applyNumberFormat="1" applyFont="1" applyFill="1" applyBorder="1" applyAlignment="1">
      <x:alignment vertical="center"/>
    </x:xf>
    <x:xf numFmtId="0" fontId="3" fillId="5" borderId="1" xfId="0" applyNumberFormat="1" applyFont="1" applyFill="1" applyBorder="1" applyAlignment="1">
      <x:alignment horizontal="left" vertical="center"/>
    </x:xf>
    <x:xf numFmtId="0" fontId="3" fillId="5" borderId="2" xfId="0" applyNumberFormat="1" applyFont="1" applyFill="1" applyBorder="1" applyAlignment="1">
      <x:alignment horizontal="left" vertical="center"/>
    </x:xf>
    <x:xf numFmtId="0" fontId="3" fillId="5" borderId="3" xfId="0" applyNumberFormat="1" applyFont="1" applyFill="1" applyBorder="1" applyAlignment="1">
      <x:alignment horizontal="left" vertical="center"/>
    </x:xf>
    <x:xf numFmtId="0" fontId="3" fillId="5" borderId="18" xfId="0" applyNumberFormat="1" applyFont="1" applyFill="1" applyBorder="1" applyAlignment="1">
      <x:alignment horizontal="left" vertical="center"/>
    </x:xf>
    <x:xf numFmtId="0" fontId="3" fillId="5" borderId="0" xfId="0" applyNumberFormat="1" applyFont="1" applyFill="1" applyBorder="1" applyAlignment="1">
      <x:alignment horizontal="left" vertical="center"/>
    </x:xf>
    <x:xf numFmtId="0" fontId="3" fillId="5" borderId="19" xfId="0" applyNumberFormat="1" applyFont="1" applyFill="1" applyBorder="1" applyAlignment="1">
      <x:alignment horizontal="left" vertical="center"/>
    </x:xf>
    <x:xf numFmtId="0" fontId="3" fillId="5" borderId="4" xfId="0" applyNumberFormat="1" applyFont="1" applyFill="1" applyBorder="1" applyAlignment="1">
      <x:alignment horizontal="left" vertical="center"/>
    </x:xf>
    <x:xf numFmtId="0" fontId="3" fillId="5" borderId="5" xfId="0" applyNumberFormat="1" applyFont="1" applyFill="1" applyBorder="1" applyAlignment="1">
      <x:alignment horizontal="left" vertical="center"/>
    </x:xf>
    <x:xf numFmtId="0" fontId="3" fillId="5" borderId="6" xfId="0" applyNumberFormat="1" applyFont="1" applyFill="1" applyBorder="1" applyAlignment="1">
      <x:alignment horizontal="left" vertical="center"/>
    </x:xf>
    <x:xf numFmtId="0" fontId="12" fillId="8" borderId="1" xfId="0" applyNumberFormat="1" applyFont="1" applyFill="1" applyBorder="1" applyAlignment="1">
      <x:alignment vertical="center"/>
    </x:xf>
    <x:xf numFmtId="0" fontId="12" fillId="8" borderId="3" xfId="0" applyNumberFormat="1" applyFont="1" applyFill="1" applyBorder="1" applyAlignment="1">
      <x:alignment vertical="center"/>
    </x:xf>
    <x:xf numFmtId="0" fontId="12" fillId="8" borderId="4" xfId="0" applyNumberFormat="1" applyFont="1" applyFill="1" applyBorder="1" applyAlignment="1">
      <x:alignment vertical="center"/>
    </x:xf>
    <x:xf numFmtId="0" fontId="12" fillId="8" borderId="6" xfId="0" applyNumberFormat="1" applyFont="1" applyFill="1" applyBorder="1" applyAlignment="1">
      <x:alignment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8" borderId="3" xfId="0" applyNumberFormat="1" applyFont="1" applyFill="1" applyBorder="1" applyAlignment="1">
      <x:alignment horizontal="center" vertical="center"/>
    </x:xf>
    <x:xf numFmtId="0" fontId="12" fillId="8" borderId="4" xfId="0" applyNumberFormat="1" applyFont="1" applyFill="1" applyBorder="1" applyAlignment="1">
      <x:alignment horizontal="center" vertical="center"/>
    </x:xf>
    <x:xf numFmtId="0" fontId="12" fillId="8" borderId="6" xfId="0" applyNumberFormat="1" applyFont="1" applyFill="1" applyBorder="1" applyAlignment="1">
      <x:alignment horizontal="center" vertical="center"/>
    </x:xf>
    <x:xf numFmtId="0" fontId="11" fillId="5" borderId="28" xfId="0" applyNumberFormat="1" applyFont="1" applyFill="1" applyBorder="1" applyAlignment="1">
      <x:alignment vertical="center"/>
    </x:xf>
    <x:xf numFmtId="0" fontId="11" fillId="5" borderId="29" xfId="0" applyNumberFormat="1" applyFont="1" applyFill="1" applyBorder="1" applyAlignment="1">
      <x:alignment vertical="center"/>
    </x:xf>
    <x:xf numFmtId="0" fontId="11" fillId="5" borderId="28" xfId="0" applyNumberFormat="1" applyFont="1" applyFill="1" applyBorder="1" applyAlignment="1">
      <x:alignment horizontal="center" vertical="center"/>
    </x:xf>
    <x:xf numFmtId="0" fontId="11" fillId="5" borderId="29" xfId="0" applyNumberFormat="1" applyFont="1" applyFill="1" applyBorder="1" applyAlignment="1">
      <x:alignment horizontal="center" vertical="center"/>
    </x:xf>
    <x:xf numFmtId="0" fontId="1" fillId="8" borderId="1" xfId="0" applyNumberFormat="1" applyFont="1" applyFill="1" applyBorder="1" applyAlignment="1">
      <x:alignment horizontal="center" vertical="center" wrapText="1"/>
    </x:xf>
    <x:xf numFmtId="0" fontId="1" fillId="8" borderId="3" xfId="0" applyNumberFormat="1" applyFont="1" applyFill="1" applyBorder="1" applyAlignment="1">
      <x:alignment horizontal="center" vertical="center" wrapText="1"/>
    </x:xf>
    <x:xf numFmtId="0" fontId="1" fillId="8" borderId="4" xfId="0" applyNumberFormat="1" applyFont="1" applyFill="1" applyBorder="1" applyAlignment="1">
      <x:alignment horizontal="center" vertical="center" wrapText="1"/>
    </x:xf>
    <x:xf numFmtId="0" fontId="1" fillId="8" borderId="6" xfId="0" applyNumberFormat="1" applyFont="1" applyFill="1" applyBorder="1" applyAlignment="1">
      <x:alignment horizontal="center" vertical="center" wrapText="1"/>
    </x:xf>
    <x:xf numFmtId="0" fontId="6" fillId="9" borderId="1" xfId="0" applyNumberFormat="1" applyFont="1" applyFill="1" applyBorder="1" applyAlignment="1">
      <x:alignment vertical="center"/>
    </x:xf>
    <x:xf numFmtId="0" fontId="6" fillId="9" borderId="2" xfId="0" applyNumberFormat="1" applyFont="1" applyFill="1" applyBorder="1" applyAlignment="1">
      <x:alignment vertical="center"/>
    </x:xf>
    <x:xf numFmtId="0" fontId="6" fillId="9" borderId="3" xfId="0" applyNumberFormat="1" applyFont="1" applyFill="1" applyBorder="1" applyAlignment="1">
      <x:alignment vertical="center"/>
    </x:xf>
    <x:xf numFmtId="0" fontId="6" fillId="9" borderId="4" xfId="0" applyNumberFormat="1" applyFont="1" applyFill="1" applyBorder="1" applyAlignment="1">
      <x:alignment vertical="center"/>
    </x:xf>
    <x:xf numFmtId="0" fontId="6" fillId="9" borderId="5" xfId="0" applyNumberFormat="1" applyFont="1" applyFill="1" applyBorder="1" applyAlignment="1">
      <x:alignment vertical="center"/>
    </x:xf>
    <x:xf numFmtId="0" fontId="6" fillId="9" borderId="6" xfId="0" applyNumberFormat="1" applyFont="1" applyFill="1" applyBorder="1" applyAlignment="1">
      <x:alignment vertical="center"/>
    </x:xf>
    <x:xf numFmtId="0" fontId="6" fillId="9" borderId="1" xfId="0" applyNumberFormat="1" applyFont="1" applyFill="1" applyBorder="1" applyAlignment="1">
      <x:alignment vertical="center" wrapText="1"/>
    </x:xf>
    <x:xf numFmtId="0" fontId="6" fillId="9" borderId="2" xfId="0" applyNumberFormat="1" applyFont="1" applyFill="1" applyBorder="1" applyAlignment="1">
      <x:alignment vertical="center" wrapText="1"/>
    </x:xf>
    <x:xf numFmtId="0" fontId="6" fillId="9" borderId="3" xfId="0" applyNumberFormat="1" applyFont="1" applyFill="1" applyBorder="1" applyAlignment="1">
      <x:alignment vertical="center" wrapText="1"/>
    </x:xf>
    <x:xf numFmtId="0" fontId="6" fillId="9" borderId="4" xfId="0" applyNumberFormat="1" applyFont="1" applyFill="1" applyBorder="1" applyAlignment="1">
      <x:alignment vertical="center" wrapText="1"/>
    </x:xf>
    <x:xf numFmtId="0" fontId="6" fillId="9" borderId="5" xfId="0" applyNumberFormat="1" applyFont="1" applyFill="1" applyBorder="1" applyAlignment="1">
      <x:alignment vertical="center" wrapText="1"/>
    </x:xf>
    <x:xf numFmtId="0" fontId="6" fillId="9" borderId="6" xfId="0" applyNumberFormat="1" applyFont="1" applyFill="1" applyBorder="1" applyAlignment="1">
      <x:alignment vertical="center" wrapText="1"/>
    </x:xf>
    <x:xf numFmtId="0" fontId="10" fillId="8" borderId="0" xfId="0" applyNumberFormat="1" applyFont="1" applyFill="1" applyBorder="1" applyAlignment="1">
      <x:alignment vertical="center"/>
    </x:xf>
    <x:xf numFmtId="0" fontId="10" fillId="8" borderId="0" xfId="0" applyNumberFormat="1" applyFont="1" applyFill="1" applyBorder="1" applyAlignment="1">
      <x:alignment horizontal="center" vertical="center"/>
    </x:xf>
  </x:cellXfs>
  <x:cellStyles count="1">
    <x:cellStyle name="Normal" xfId="0"/>
  </x:cellStyles>
  <x:dxfs count="26">
    <x:dxf>
      <x:font>
        <x:b/>
        <x:color rgb="FFB42318"/>
      </x:font>
      <x:fill>
        <x:patternFill patternType="solid">
          <x:bgColor rgb="FFFDECEA"/>
        </x:patternFill>
      </x:fill>
    </x:dxf>
    <x:dxf>
      <x:font>
        <x:b/>
        <x:color rgb="FF247252"/>
      </x:font>
      <x:fill>
        <x:patternFill patternType="solid">
          <x:bgColor rgb="FFE6F2EB"/>
        </x:patternFill>
      </x:fill>
    </x:dxf>
    <x:dxf>
      <x:font>
        <x:b/>
        <x:color rgb="FFB42318"/>
      </x:font>
      <x:fill>
        <x:patternFill patternType="solid">
          <x:bgColor rgb="FFFDECEA"/>
        </x:patternFill>
      </x:fill>
    </x:dxf>
    <x:dxf>
      <x:font>
        <x:b/>
        <x:color rgb="FF247252"/>
      </x:font>
      <x:fill>
        <x:patternFill patternType="solid">
          <x:bgColor rgb="FFE6F2EB"/>
        </x:patternFill>
      </x:fill>
    </x:dxf>
    <x:dxf>
      <x:font>
        <x:b/>
        <x:color rgb="FFB42318"/>
      </x:font>
      <x:fill>
        <x:patternFill patternType="solid">
          <x:bgColor rgb="FFFDECEA"/>
        </x:patternFill>
      </x:fill>
    </x:dxf>
    <x:dxf>
      <x:font>
        <x:b/>
        <x:color rgb="FF247252"/>
      </x:font>
      <x:fill>
        <x:patternFill patternType="solid">
          <x:bgColor rgb="FFE6F2EB"/>
        </x:patternFill>
      </x:fill>
    </x:dxf>
    <x:dxf>
      <x:font>
        <x:b/>
        <x:color rgb="FFB42318"/>
      </x:font>
      <x:fill>
        <x:patternFill patternType="solid">
          <x:bgColor rgb="FFFDECEA"/>
        </x:patternFill>
      </x:fill>
    </x:dxf>
    <x:dxf>
      <x:font>
        <x:b/>
        <x:color rgb="FF247252"/>
      </x:font>
      <x:fill>
        <x:patternFill patternType="solid">
          <x:bgColor rgb="FFE6F2EB"/>
        </x:patternFill>
      </x:fill>
    </x:dxf>
    <x:dxf>
      <x:font>
        <x:b/>
        <x:color rgb="FFB42318"/>
      </x:font>
      <x:fill>
        <x:patternFill patternType="solid">
          <x:bgColor rgb="FFFDECEA"/>
        </x:patternFill>
      </x:fill>
    </x:dxf>
    <x:dxf>
      <x:font>
        <x:b/>
        <x:color rgb="FF247252"/>
      </x:font>
      <x:fill>
        <x:patternFill patternType="solid">
          <x:bgColor rgb="FFE6F2EB"/>
        </x:patternFill>
      </x:fill>
    </x:dxf>
    <x:dxf>
      <x:font>
        <x:b/>
        <x:color rgb="FFB42318"/>
      </x:font>
      <x:fill>
        <x:patternFill patternType="solid">
          <x:bgColor rgb="FFFDECEA"/>
        </x:patternFill>
      </x:fill>
    </x:dxf>
    <x:dxf>
      <x:font>
        <x:b/>
        <x:color rgb="FF247252"/>
      </x:font>
      <x:fill>
        <x:patternFill patternType="solid">
          <x:bgColor rgb="FFE6F2EB"/>
        </x:patternFill>
      </x:fill>
    </x:dxf>
    <x:dxf>
      <x:font>
        <x:b/>
        <x:color rgb="FFB42318"/>
      </x:font>
      <x:fill>
        <x:patternFill patternType="solid">
          <x:bgColor rgb="FFFDECEA"/>
        </x:patternFill>
      </x:fill>
    </x:dxf>
    <x:dxf>
      <x:font>
        <x:b/>
        <x:color rgb="FF247252"/>
      </x:font>
      <x:fill>
        <x:patternFill patternType="solid">
          <x:bgColor rgb="FFE6F2EB"/>
        </x:patternFill>
      </x:fill>
    </x:dxf>
    <x:dxf>
      <x:font>
        <x:b/>
        <x:color rgb="FFB42318"/>
      </x:font>
      <x:fill>
        <x:patternFill patternType="solid">
          <x:bgColor rgb="FFFDECEA"/>
        </x:patternFill>
      </x:fill>
    </x:dxf>
    <x:dxf>
      <x:font>
        <x:b/>
        <x:color rgb="FF247252"/>
      </x:font>
      <x:fill>
        <x:patternFill patternType="solid">
          <x:bgColor rgb="FFE6F2EB"/>
        </x:patternFill>
      </x:fill>
    </x:dxf>
    <x:dxf>
      <x:font>
        <x:b/>
        <x:color rgb="FFB42318"/>
      </x:font>
      <x:fill>
        <x:patternFill patternType="solid">
          <x:bgColor rgb="FFFDECEA"/>
        </x:patternFill>
      </x:fill>
    </x:dxf>
    <x:dxf>
      <x:font>
        <x:b/>
        <x:color rgb="FF247252"/>
      </x:font>
      <x:fill>
        <x:patternFill patternType="solid">
          <x:bgColor rgb="FFE6F2EB"/>
        </x:patternFill>
      </x:fill>
    </x:dxf>
    <x:dxf>
      <x:font>
        <x:b/>
        <x:color rgb="FFB42318"/>
      </x:font>
      <x:fill>
        <x:patternFill patternType="solid">
          <x:bgColor rgb="FFFDECEA"/>
        </x:patternFill>
      </x:fill>
    </x:dxf>
    <x:dxf>
      <x:font>
        <x:b/>
        <x:color rgb="FF247252"/>
      </x:font>
      <x:fill>
        <x:patternFill patternType="solid">
          <x:bgColor rgb="FFE6F2EB"/>
        </x:patternFill>
      </x:fill>
    </x:dxf>
    <x:dxf>
      <x:font>
        <x:b/>
        <x:color rgb="FFB42318"/>
      </x:font>
      <x:fill>
        <x:patternFill patternType="solid">
          <x:bgColor rgb="FFFDECEA"/>
        </x:patternFill>
      </x:fill>
    </x:dxf>
    <x:dxf>
      <x:font>
        <x:b/>
        <x:color rgb="FF247252"/>
      </x:font>
      <x:fill>
        <x:patternFill patternType="solid">
          <x:bgColor rgb="FFE6F2EB"/>
        </x:patternFill>
      </x:fill>
    </x:dxf>
    <x:dxf>
      <x:font>
        <x:b/>
        <x:color rgb="FFB42318"/>
      </x:font>
      <x:fill>
        <x:patternFill patternType="solid">
          <x:bgColor rgb="FFFDECEA"/>
        </x:patternFill>
      </x:fill>
    </x:dxf>
    <x:dxf>
      <x:font>
        <x:b/>
        <x:color rgb="FF247252"/>
      </x:font>
      <x:fill>
        <x:patternFill patternType="solid">
          <x:bgColor rgb="FFE6F2EB"/>
        </x:patternFill>
      </x:fill>
    </x:dxf>
    <x:dxf>
      <x:font>
        <x:b/>
        <x:color rgb="FFB42318"/>
      </x:font>
      <x:fill>
        <x:patternFill patternType="solid">
          <x:bgColor rgb="FFFDECEA"/>
        </x:patternFill>
      </x:fill>
    </x:dxf>
    <x:dxf>
      <x:font>
        <x:b/>
        <x:color rgb="FF247252"/>
      </x:font>
      <x:fill>
        <x:patternFill patternType="solid">
          <x:bgColor rgb="FFE6F2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07d7c00f87e44b1" /><Relationship Type="http://schemas.openxmlformats.org/officeDocument/2006/relationships/theme" Target="/xl/theme/theme1.xml" Id="R2494ce0e2dc94515" /><Relationship Type="http://schemas.openxmlformats.org/officeDocument/2006/relationships/sharedStrings" Target="/xl/sharedStrings.xml" Id="R753f2c6510694c83" /><Relationship Type="http://schemas.openxmlformats.org/officeDocument/2006/relationships/worksheet" Target="/xl/worksheets/sheet1.xml" Id="R5f8c7e268edb46dc" /><Relationship Type="http://schemas.openxmlformats.org/officeDocument/2006/relationships/worksheet" Target="/xl/worksheets/sheet2.xml" Id="R74029186f9c14596" /><Relationship Type="http://schemas.openxmlformats.org/officeDocument/2006/relationships/worksheet" Target="/xl/worksheets/sheet3.xml" Id="Rf9ff3b5d8ac44137" /><Relationship Type="http://schemas.openxmlformats.org/officeDocument/2006/relationships/worksheet" Target="/xl/worksheets/sheet4.xml" Id="R6ec6051c73e94641" /><Relationship Type="http://schemas.openxmlformats.org/officeDocument/2006/relationships/worksheet" Target="/xl/worksheets/sheet5.xml" Id="R8bf3937b9d214dc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</x:cols>
  <x:sheetData>
    <x:row r="1" ht="27" customHeight="1">
      <x:c r="A1" s="6" t="str">
        <x:v>TDAT FINANCIAL MODEL</x:v>
      </x:c>
      <x:c r="B1" s="6"/>
      <x:c r="C1" s="6"/>
      <x:c r="D1" s="6"/>
      <x:c r="E1" s="6"/>
      <x:c r="F1" s="6"/>
      <x:c r="G1" s="6"/>
      <x:c r="H1" s="6"/>
    </x:row>
    <x:row r="2" ht="27" customHeight="1">
      <x:c r="A2" s="6"/>
      <x:c r="B2" s="6"/>
      <x:c r="C2" s="6"/>
      <x:c r="D2" s="6"/>
      <x:c r="E2" s="6"/>
      <x:c r="F2" s="6"/>
      <x:c r="G2" s="6"/>
      <x:c r="H2" s="6"/>
    </x:row>
    <x:row r="3" ht="20" customHeight="1">
      <x:c r="A3" s="9" t="str">
        <x:v>TDAT-FM-MA-001 · Base plus five forecast years · v1.4.0 · Five visible tabs</x:v>
      </x:c>
      <x:c r="B3" s="9"/>
      <x:c r="C3" s="9"/>
      <x:c r="D3" s="9"/>
      <x:c r="E3" s="9"/>
      <x:c r="F3" s="9"/>
      <x:c r="G3" s="9"/>
      <x:c r="H3" s="9"/>
    </x:row>
    <x:row r="4" ht="20" customHeight="1">
      <x:c r="A4" s="3"/>
      <x:c r="B4" s="3"/>
      <x:c r="C4" s="3"/>
      <x:c r="D4" s="3"/>
      <x:c r="E4" s="3"/>
      <x:c r="F4" s="3"/>
      <x:c r="G4" s="3"/>
      <x:c r="H4" s="3"/>
    </x:row>
    <x:row r="5" ht="20" customHeight="1">
      <x:c r="A5" s="250" t="str">
        <x:v>M&amp;A Accretion / Dilution</x:v>
      </x:c>
      <x:c r="B5" s="251"/>
      <x:c r="C5" s="251"/>
      <x:c r="D5" s="251"/>
      <x:c r="E5" s="251"/>
      <x:c r="F5" s="252"/>
      <x:c r="G5" s="60" t="str">
        <x:v>MODEL STATUS</x:v>
      </x:c>
      <x:c r="H5" s="60"/>
    </x:row>
    <x:row r="6" ht="20" customHeight="1">
      <x:c r="A6" s="253"/>
      <x:c r="B6" s="254"/>
      <x:c r="C6" s="254"/>
      <x:c r="D6" s="254"/>
      <x:c r="E6" s="254"/>
      <x:c r="F6" s="255"/>
      <x:c r="G6" s="263" t="str">
        <x:f>'Checks'!B4</x:f>
        <x:v>PASS</x:v>
      </x:c>
      <x:c r="H6" s="264"/>
    </x:row>
    <x:row r="7" ht="20" customHeight="1">
      <x:c r="A7" s="256"/>
      <x:c r="B7" s="257"/>
      <x:c r="C7" s="257"/>
      <x:c r="D7" s="257"/>
      <x:c r="E7" s="257"/>
      <x:c r="F7" s="258"/>
      <x:c r="G7" s="265"/>
      <x:c r="H7" s="266"/>
    </x:row>
    <x:row r="8" ht="20" customHeight="1">
      <x:c r="A8" s="3"/>
      <x:c r="B8" s="3"/>
      <x:c r="C8" s="3"/>
      <x:c r="D8" s="3"/>
      <x:c r="E8" s="3"/>
      <x:c r="F8" s="3"/>
      <x:c r="G8" s="3"/>
      <x:c r="H8" s="3"/>
    </x:row>
    <x:row r="9" ht="20" customHeight="1">
      <x:c r="A9" s="61" t="str">
        <x:v>WHAT THIS MODEL IS FOR</x:v>
      </x:c>
      <x:c r="B9" s="61"/>
      <x:c r="C9" s="61"/>
      <x:c r="D9" s="61"/>
      <x:c r="E9" s="61"/>
      <x:c r="F9" s="61"/>
      <x:c r="G9" s="61"/>
      <x:c r="H9" s="61"/>
    </x:row>
    <x:row r="10" ht="20" customHeight="1">
      <x:c r="A10" s="200" t="str">
        <x:v>How do funding, synergy capture, and debt paydown affect EPS accretion over five years?</x:v>
      </x:c>
      <x:c r="B10" s="201"/>
      <x:c r="C10" s="201"/>
      <x:c r="D10" s="201"/>
      <x:c r="E10" s="201"/>
      <x:c r="F10" s="201"/>
      <x:c r="G10" s="201"/>
      <x:c r="H10" s="202"/>
    </x:row>
    <x:row r="11" ht="20" customHeight="1">
      <x:c r="A11" s="203"/>
      <x:c r="B11" s="204"/>
      <x:c r="C11" s="204"/>
      <x:c r="D11" s="204"/>
      <x:c r="E11" s="204"/>
      <x:c r="F11" s="204"/>
      <x:c r="G11" s="204"/>
      <x:c r="H11" s="205"/>
    </x:row>
    <x:row r="12" ht="20" customHeight="1">
      <x:c r="A12" s="3"/>
      <x:c r="B12" s="3"/>
      <x:c r="C12" s="3"/>
      <x:c r="D12" s="3"/>
      <x:c r="E12" s="3"/>
      <x:c r="F12" s="3"/>
      <x:c r="G12" s="3"/>
      <x:c r="H12" s="3"/>
    </x:row>
    <x:row r="13" ht="20" customHeight="1">
      <x:c r="A13" s="61" t="str">
        <x:v>USE IT IN FOUR STEPS</x:v>
      </x:c>
      <x:c r="B13" s="61"/>
      <x:c r="C13" s="61"/>
      <x:c r="D13" s="61"/>
      <x:c r="E13" s="61"/>
      <x:c r="F13" s="61"/>
      <x:c r="G13" s="61"/>
      <x:c r="H13" s="61"/>
    </x:row>
    <x:row r="14" ht="20" customHeight="1">
      <x:c r="A14" s="269" t="str">
        <x:v>1 · INPUTS</x:v>
      </x:c>
      <x:c r="B14" s="270"/>
      <x:c r="C14" s="269" t="str">
        <x:v>2 · MODEL</x:v>
      </x:c>
      <x:c r="D14" s="270"/>
      <x:c r="E14" s="269" t="str">
        <x:v>3 · RESULTS</x:v>
      </x:c>
      <x:c r="F14" s="270"/>
      <x:c r="G14" s="269" t="str">
        <x:v>4 · CHECKS</x:v>
      </x:c>
      <x:c r="H14" s="270"/>
    </x:row>
    <x:row r="15" ht="20" customHeight="1">
      <x:c r="A15" s="271" t="str">
        <x:v>Edit only blue cells</x:v>
      </x:c>
      <x:c r="B15" s="272"/>
      <x:c r="C15" s="271" t="str">
        <x:v>Trace schedules and formulas</x:v>
      </x:c>
      <x:c r="D15" s="272"/>
      <x:c r="E15" s="271" t="str">
        <x:v>Read the linked decision view</x:v>
      </x:c>
      <x:c r="F15" s="272"/>
      <x:c r="G15" s="271" t="str">
        <x:v>Resolve every FAIL</x:v>
      </x:c>
      <x:c r="H15" s="272"/>
    </x:row>
    <x:row r="16" ht="20" customHeight="1">
      <x:c r="A16" s="273"/>
      <x:c r="B16" s="274"/>
      <x:c r="C16" s="273"/>
      <x:c r="D16" s="274"/>
      <x:c r="E16" s="273"/>
      <x:c r="F16" s="274"/>
      <x:c r="G16" s="273"/>
      <x:c r="H16" s="274"/>
    </x:row>
    <x:row r="17" ht="20" customHeight="1">
      <x:c r="A17" s="3"/>
      <x:c r="B17" s="3"/>
      <x:c r="C17" s="3"/>
      <x:c r="D17" s="3"/>
      <x:c r="E17" s="3"/>
      <x:c r="F17" s="3"/>
      <x:c r="G17" s="3"/>
      <x:c r="H17" s="3"/>
    </x:row>
    <x:row r="18" ht="20" customHeight="1">
      <x:c r="A18" s="61" t="str">
        <x:v>DEPTH WITHOUT EXTRA TABS</x:v>
      </x:c>
      <x:c r="B18" s="61"/>
      <x:c r="C18" s="61"/>
      <x:c r="D18" s="61"/>
      <x:c r="E18" s="61"/>
      <x:c r="F18" s="61"/>
      <x:c r="G18" s="61"/>
      <x:c r="H18" s="61"/>
    </x:row>
    <x:row r="19" ht="20" customHeight="1">
      <x:c r="A19" s="180" t="str">
        <x:v>Forecast</x:v>
      </x:c>
      <x:c r="B19" s="180"/>
      <x:c r="C19" s="91" t="str">
        <x:v>Base plus five forecast years</x:v>
      </x:c>
      <x:c r="D19" s="91"/>
      <x:c r="E19" s="91"/>
      <x:c r="F19" s="91"/>
      <x:c r="G19" s="91"/>
      <x:c r="H19" s="91"/>
    </x:row>
    <x:row r="20" ht="20" customHeight="1">
      <x:c r="A20" s="180" t="str">
        <x:v>Editable inputs</x:v>
      </x:c>
      <x:c r="B20" s="180"/>
      <x:c r="C20" s="91" t="str">
        <x:v>14</x:v>
      </x:c>
      <x:c r="D20" s="91"/>
      <x:c r="E20" s="91"/>
      <x:c r="F20" s="91"/>
      <x:c r="G20" s="91"/>
      <x:c r="H20" s="91"/>
    </x:row>
    <x:row r="21" ht="20" customHeight="1">
      <x:c r="A21" s="180" t="str">
        <x:v>Visible sheets</x:v>
      </x:c>
      <x:c r="B21" s="180"/>
      <x:c r="C21" s="91" t="str">
        <x:v>5</x:v>
      </x:c>
      <x:c r="D21" s="91"/>
      <x:c r="E21" s="91"/>
      <x:c r="F21" s="91"/>
      <x:c r="G21" s="91"/>
      <x:c r="H21" s="91"/>
    </x:row>
    <x:row r="22" ht="20" customHeight="1">
      <x:c r="A22" s="180" t="str">
        <x:v>Setup</x:v>
      </x:c>
      <x:c r="B22" s="180"/>
      <x:c r="C22" s="91" t="str">
        <x:v>15–20 minutes</x:v>
      </x:c>
      <x:c r="D22" s="91"/>
      <x:c r="E22" s="91"/>
      <x:c r="F22" s="91"/>
      <x:c r="G22" s="91"/>
      <x:c r="H22" s="91"/>
    </x:row>
    <x:row r="23" ht="20" customHeight="1">
      <x:c r="A23" s="3"/>
      <x:c r="B23" s="3"/>
      <x:c r="C23" s="3"/>
      <x:c r="D23" s="3"/>
      <x:c r="E23" s="3"/>
      <x:c r="F23" s="3"/>
      <x:c r="G23" s="3"/>
      <x:c r="H23" s="3"/>
    </x:row>
    <x:row r="24" ht="20" customHeight="1">
      <x:c r="A24" s="61" t="str">
        <x:v>FIT &amp; SCOPE</x:v>
      </x:c>
      <x:c r="B24" s="61"/>
      <x:c r="C24" s="61"/>
      <x:c r="D24" s="61"/>
      <x:c r="E24" s="61"/>
      <x:c r="F24" s="61"/>
      <x:c r="G24" s="61"/>
      <x:c r="H24" s="61"/>
    </x:row>
    <x:row r="25" ht="20" customHeight="1">
      <x:c r="A25" s="214" t="str">
        <x:v>Included: Cash-and-stock consideration bridge · Five-year earnings, synergy, and acquisition-debt schedule · Pro forma EPS and accretion / dilution by year</x:v>
      </x:c>
      <x:c r="B25" s="215"/>
      <x:c r="C25" s="215"/>
      <x:c r="D25" s="215"/>
      <x:c r="E25" s="215"/>
      <x:c r="F25" s="215"/>
      <x:c r="G25" s="215"/>
      <x:c r="H25" s="216"/>
    </x:row>
    <x:row r="26" ht="20" customHeight="1">
      <x:c r="A26" s="220"/>
      <x:c r="B26" s="221"/>
      <x:c r="C26" s="221"/>
      <x:c r="D26" s="221"/>
      <x:c r="E26" s="221"/>
      <x:c r="F26" s="221"/>
      <x:c r="G26" s="221"/>
      <x:c r="H26" s="222"/>
    </x:row>
    <x:row r="27" ht="20" customHeight="1">
      <x:c r="A27" s="281" t="str">
        <x:v>Scope boundary: Detailed purchase accounting, goodwill impairment, integration workstreams, tax attributes, and transaction advice.</x:v>
      </x:c>
      <x:c r="B27" s="282"/>
      <x:c r="C27" s="282"/>
      <x:c r="D27" s="282"/>
      <x:c r="E27" s="282"/>
      <x:c r="F27" s="282"/>
      <x:c r="G27" s="282"/>
      <x:c r="H27" s="283"/>
    </x:row>
    <x:row r="28" ht="20" customHeight="1">
      <x:c r="A28" s="284"/>
      <x:c r="B28" s="285"/>
      <x:c r="C28" s="285"/>
      <x:c r="D28" s="285"/>
      <x:c r="E28" s="285"/>
      <x:c r="F28" s="285"/>
      <x:c r="G28" s="285"/>
      <x:c r="H28" s="286"/>
    </x:row>
    <x:row r="29" ht="20" customHeight="1">
      <x:c r="A29" s="288" t="str">
        <x:v>Synthetic demonstration only · Tested 2026-08-17 · Excel 365 · Macro-free · No external links</x:v>
      </x:c>
      <x:c r="B29" s="288"/>
      <x:c r="C29" s="288"/>
      <x:c r="D29" s="288"/>
      <x:c r="E29" s="288"/>
      <x:c r="F29" s="288"/>
      <x:c r="G29" s="288"/>
      <x:c r="H29" s="288"/>
    </x:row>
    <x:row r="30" ht="20" customHeight="1">
      <x:c r="A30" s="3"/>
      <x:c r="B30" s="3"/>
      <x:c r="C30" s="3"/>
      <x:c r="D30" s="3"/>
      <x:c r="E30" s="3"/>
      <x:c r="F30" s="3"/>
      <x:c r="G30" s="3"/>
      <x:c r="H30" s="3"/>
    </x:row>
    <x:row r="31" ht="20" customHeight="1">
      <x:c r="A31" s="60" t="str">
        <x:v>M&amp;A Accretion / Dilution · Start → Inputs → Model → Results → Checks</x:v>
      </x:c>
      <x:c r="B31" s="60"/>
      <x:c r="C31" s="60"/>
      <x:c r="D31" s="60"/>
      <x:c r="E31" s="60"/>
      <x:c r="F31" s="60"/>
      <x:c r="G31" s="60"/>
      <x:c r="H31" s="60"/>
    </x:row>
  </x:sheetData>
  <x:mergeCells>
    <x:mergeCell ref="A1:H2"/>
    <x:mergeCell ref="A3:H3"/>
    <x:mergeCell ref="A5:F7"/>
    <x:mergeCell ref="G5:H5"/>
    <x:mergeCell ref="G6:H7"/>
    <x:mergeCell ref="A9:H9"/>
    <x:mergeCell ref="A10:H11"/>
    <x:mergeCell ref="A13:H13"/>
    <x:mergeCell ref="A14:B14"/>
    <x:mergeCell ref="A15:B16"/>
    <x:mergeCell ref="C14:D14"/>
    <x:mergeCell ref="C15:D16"/>
    <x:mergeCell ref="E14:F14"/>
    <x:mergeCell ref="E15:F16"/>
    <x:mergeCell ref="G14:H14"/>
    <x:mergeCell ref="G15:H16"/>
    <x:mergeCell ref="A18:H18"/>
    <x:mergeCell ref="A19:B19"/>
    <x:mergeCell ref="C19:H19"/>
    <x:mergeCell ref="A20:B20"/>
    <x:mergeCell ref="C20:H20"/>
    <x:mergeCell ref="A21:B21"/>
    <x:mergeCell ref="C21:H21"/>
    <x:mergeCell ref="A22:B22"/>
    <x:mergeCell ref="C22:H22"/>
    <x:mergeCell ref="A24:H24"/>
    <x:mergeCell ref="A25:H26"/>
    <x:mergeCell ref="A27:H28"/>
    <x:mergeCell ref="A29:H29"/>
    <x:mergeCell ref="A31:H31"/>
  </x:mergeCells>
  <x:conditionalFormatting sqref="G6:H7">
    <x:cfRule type="containsText" dxfId="24" priority="1" operator="containsText" text="FAIL"/>
    <x:cfRule type="containsText" dxfId="25" priority="2" operator="containsText" text="PASS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4" hidden="0" customWidth="1"/>
    <x:col min="3" max="3" width="20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1" ht="27" customHeight="1">
      <x:c r="A1" s="6" t="str">
        <x:v>INPUTS</x:v>
      </x:c>
      <x:c r="B1" s="6"/>
      <x:c r="C1" s="6"/>
      <x:c r="D1" s="6"/>
      <x:c r="E1" s="6"/>
      <x:c r="F1" s="6"/>
      <x:c r="G1" s="6"/>
      <x:c r="H1" s="6"/>
    </x:row>
    <x:row r="2" ht="27" customHeight="1">
      <x:c r="A2" s="6"/>
      <x:c r="B2" s="6"/>
      <x:c r="C2" s="6"/>
      <x:c r="D2" s="6"/>
      <x:c r="E2" s="6"/>
      <x:c r="F2" s="6"/>
      <x:c r="G2" s="6"/>
      <x:c r="H2" s="6"/>
    </x:row>
    <x:row r="3" ht="20" customHeight="1">
      <x:c r="A3" s="9" t="str">
        <x:v>M&amp;A Accretion / Dilution · Only blue cells are editable</x:v>
      </x:c>
      <x:c r="B3" s="9"/>
      <x:c r="C3" s="9"/>
      <x:c r="D3" s="9"/>
      <x:c r="E3" s="9"/>
      <x:c r="F3" s="9"/>
      <x:c r="G3" s="9"/>
      <x:c r="H3" s="9"/>
    </x:row>
    <x:row r="4" ht="20" customHeight="1">
      <x:c r="A4" s="3"/>
      <x:c r="B4" s="3"/>
      <x:c r="C4" s="3"/>
      <x:c r="D4" s="3"/>
      <x:c r="E4" s="3"/>
      <x:c r="F4" s="3"/>
      <x:c r="G4" s="3"/>
      <x:c r="H4" s="3"/>
    </x:row>
    <x:row r="5" ht="20" customHeight="1">
      <x:c r="A5" s="18" t="str">
        <x:v>Change the blue assumptions below. The Model sheet expands them into visible formulas, schedules, and roll-forwards.</x:v>
      </x:c>
      <x:c r="B5" s="19"/>
      <x:c r="C5" s="19"/>
      <x:c r="D5" s="19"/>
      <x:c r="E5" s="19"/>
      <x:c r="F5" s="19"/>
      <x:c r="G5" s="19"/>
      <x:c r="H5" s="20"/>
    </x:row>
    <x:row r="6" ht="20" customHeight="1">
      <x:c r="A6" s="21"/>
      <x:c r="B6" s="22"/>
      <x:c r="C6" s="22"/>
      <x:c r="D6" s="22"/>
      <x:c r="E6" s="22"/>
      <x:c r="F6" s="22"/>
      <x:c r="G6" s="22"/>
      <x:c r="H6" s="23"/>
    </x:row>
    <x:row r="7" ht="20" customHeight="1">
      <x:c r="A7" s="3"/>
      <x:c r="B7" s="3"/>
      <x:c r="C7" s="3"/>
      <x:c r="D7" s="3"/>
      <x:c r="E7" s="3"/>
      <x:c r="F7" s="3"/>
      <x:c r="G7" s="3"/>
      <x:c r="H7" s="3"/>
    </x:row>
    <x:row r="8" ht="20" customHeight="1">
      <x:c r="A8" s="26" t="str">
        <x:v>CORE ASSUMPTIONS</x:v>
      </x:c>
      <x:c r="B8" s="26"/>
      <x:c r="C8" s="26"/>
      <x:c r="D8" s="26"/>
      <x:c r="E8" s="26"/>
      <x:c r="F8" s="26"/>
      <x:c r="G8" s="26"/>
      <x:c r="H8" s="26"/>
    </x:row>
    <x:row r="9" ht="20" customHeight="1">
      <x:c r="A9" s="28" t="str">
        <x:v>Input</x:v>
      </x:c>
      <x:c r="B9" s="28" t="str">
        <x:v>Value</x:v>
      </x:c>
      <x:c r="C9" s="28" t="str">
        <x:v>Unit</x:v>
      </x:c>
      <x:c r="D9" s="28" t="str">
        <x:v>Purpose</x:v>
      </x:c>
      <x:c r="E9" s="28"/>
      <x:c r="F9" s="28"/>
      <x:c r="G9" s="28"/>
      <x:c r="H9" s="28"/>
    </x:row>
    <x:row r="10" ht="20" customHeight="1">
      <x:c r="A10" s="3" t="str">
        <x:v>Buyer base net income</x:v>
      </x:c>
      <x:c r="B10" s="39" t="n">
        <x:v>220</x:v>
      </x:c>
      <x:c r="C10" s="3" t="str">
        <x:v>LCY m</x:v>
      </x:c>
      <x:c r="D10" s="37" t="str">
        <x:v>Standalone earnings at entry</x:v>
      </x:c>
      <x:c r="E10" s="38"/>
      <x:c r="F10" s="38"/>
      <x:c r="G10" s="38"/>
      <x:c r="H10" s="38"/>
    </x:row>
    <x:row r="11" ht="20" customHeight="1">
      <x:c r="A11" s="3" t="str">
        <x:v>Buyer net-income growth</x:v>
      </x:c>
      <x:c r="B11" s="42" t="n">
        <x:v>0.04</x:v>
      </x:c>
      <x:c r="C11" s="3" t="str">
        <x:v>%</x:v>
      </x:c>
      <x:c r="D11" s="37" t="str">
        <x:v>Applied annually through Year 5</x:v>
      </x:c>
      <x:c r="E11" s="38"/>
      <x:c r="F11" s="38"/>
      <x:c r="G11" s="38"/>
      <x:c r="H11" s="38"/>
    </x:row>
    <x:row r="12" ht="20" customHeight="1">
      <x:c r="A12" s="3" t="str">
        <x:v>Buyer diluted shares</x:v>
      </x:c>
      <x:c r="B12" s="39" t="n">
        <x:v>100</x:v>
      </x:c>
      <x:c r="C12" s="3" t="str">
        <x:v>m</x:v>
      </x:c>
      <x:c r="D12" s="37" t="str">
        <x:v>Standalone shares</x:v>
      </x:c>
      <x:c r="E12" s="38"/>
      <x:c r="F12" s="38"/>
      <x:c r="G12" s="38"/>
      <x:c r="H12" s="38"/>
    </x:row>
    <x:row r="13" ht="20" customHeight="1">
      <x:c r="A13" s="3" t="str">
        <x:v>Buyer share price</x:v>
      </x:c>
      <x:c r="B13" s="45" t="n">
        <x:v>25</x:v>
      </x:c>
      <x:c r="C13" s="3" t="str">
        <x:v>LCY</x:v>
      </x:c>
      <x:c r="D13" s="37" t="str">
        <x:v>Stock consideration price</x:v>
      </x:c>
      <x:c r="E13" s="38"/>
      <x:c r="F13" s="38"/>
      <x:c r="G13" s="38"/>
      <x:c r="H13" s="38"/>
    </x:row>
    <x:row r="14" ht="20" customHeight="1">
      <x:c r="A14" s="3" t="str">
        <x:v>Target base net income</x:v>
      </x:c>
      <x:c r="B14" s="39" t="n">
        <x:v>55</x:v>
      </x:c>
      <x:c r="C14" s="3" t="str">
        <x:v>LCY m</x:v>
      </x:c>
      <x:c r="D14" s="37" t="str">
        <x:v>Target standalone earnings</x:v>
      </x:c>
      <x:c r="E14" s="38"/>
      <x:c r="F14" s="38"/>
      <x:c r="G14" s="38"/>
      <x:c r="H14" s="38"/>
    </x:row>
    <x:row r="15" ht="20" customHeight="1">
      <x:c r="A15" s="3" t="str">
        <x:v>Target net-income growth</x:v>
      </x:c>
      <x:c r="B15" s="42" t="n">
        <x:v>0.05</x:v>
      </x:c>
      <x:c r="C15" s="3" t="str">
        <x:v>%</x:v>
      </x:c>
      <x:c r="D15" s="37" t="str">
        <x:v>Applied annually through Year 5</x:v>
      </x:c>
      <x:c r="E15" s="38"/>
      <x:c r="F15" s="38"/>
      <x:c r="G15" s="38"/>
      <x:c r="H15" s="38"/>
    </x:row>
    <x:row r="16" ht="20" customHeight="1">
      <x:c r="A16" s="3" t="str">
        <x:v>Purchase equity value</x:v>
      </x:c>
      <x:c r="B16" s="39" t="n">
        <x:v>720</x:v>
      </x:c>
      <x:c r="C16" s="3" t="str">
        <x:v>LCY m</x:v>
      </x:c>
      <x:c r="D16" s="37" t="str">
        <x:v>Total offer value</x:v>
      </x:c>
      <x:c r="E16" s="38"/>
      <x:c r="F16" s="38"/>
      <x:c r="G16" s="38"/>
      <x:c r="H16" s="38"/>
    </x:row>
    <x:row r="17" ht="20" customHeight="1">
      <x:c r="A17" s="3" t="str">
        <x:v>Cash consideration</x:v>
      </x:c>
      <x:c r="B17" s="42" t="n">
        <x:v>0.6</x:v>
      </x:c>
      <x:c r="C17" s="3" t="str">
        <x:v>%</x:v>
      </x:c>
      <x:c r="D17" s="37" t="str">
        <x:v>Stock funds the remainder</x:v>
      </x:c>
      <x:c r="E17" s="38"/>
      <x:c r="F17" s="38"/>
      <x:c r="G17" s="38"/>
      <x:c r="H17" s="38"/>
    </x:row>
    <x:row r="18" ht="20" customHeight="1">
      <x:c r="A18" s="3" t="str">
        <x:v>Acquisition debt rate</x:v>
      </x:c>
      <x:c r="B18" s="42" t="n">
        <x:v>0.07</x:v>
      </x:c>
      <x:c r="C18" s="3" t="str">
        <x:v>%</x:v>
      </x:c>
      <x:c r="D18" s="37" t="str">
        <x:v>Applied to average acquisition debt</x:v>
      </x:c>
      <x:c r="E18" s="38"/>
      <x:c r="F18" s="38"/>
      <x:c r="G18" s="38"/>
      <x:c r="H18" s="38"/>
    </x:row>
    <x:row r="19" ht="20" customHeight="1">
      <x:c r="A19" s="3" t="str">
        <x:v>Annual acquisition-debt repayment</x:v>
      </x:c>
      <x:c r="B19" s="39" t="n">
        <x:v>50</x:v>
      </x:c>
      <x:c r="C19" s="3" t="str">
        <x:v>LCY m</x:v>
      </x:c>
      <x:c r="D19" s="37" t="str">
        <x:v>Capped at debt outstanding</x:v>
      </x:c>
      <x:c r="E19" s="38"/>
      <x:c r="F19" s="38"/>
      <x:c r="G19" s="38"/>
      <x:c r="H19" s="38"/>
    </x:row>
    <x:row r="20" ht="20" customHeight="1">
      <x:c r="A20" s="3" t="str">
        <x:v>Tax rate</x:v>
      </x:c>
      <x:c r="B20" s="42" t="n">
        <x:v>0.21</x:v>
      </x:c>
      <x:c r="C20" s="3" t="str">
        <x:v>%</x:v>
      </x:c>
      <x:c r="D20" s="37" t="str">
        <x:v>Applied to synergy and interest</x:v>
      </x:c>
      <x:c r="E20" s="38"/>
      <x:c r="F20" s="38"/>
      <x:c r="G20" s="38"/>
      <x:c r="H20" s="38"/>
    </x:row>
    <x:row r="21" ht="20" customHeight="1">
      <x:c r="A21" s="3" t="str">
        <x:v>Year-1 pretax synergies</x:v>
      </x:c>
      <x:c r="B21" s="39" t="n">
        <x:v>17.5</x:v>
      </x:c>
      <x:c r="C21" s="3" t="str">
        <x:v>LCY m</x:v>
      </x:c>
      <x:c r="D21" s="37" t="str">
        <x:v>First-year captured benefit</x:v>
      </x:c>
      <x:c r="E21" s="38"/>
      <x:c r="F21" s="38"/>
      <x:c r="G21" s="38"/>
      <x:c r="H21" s="38"/>
    </x:row>
    <x:row r="22" ht="20" customHeight="1">
      <x:c r="A22" s="3" t="str">
        <x:v>Year-5 pretax synergies</x:v>
      </x:c>
      <x:c r="B22" s="39" t="n">
        <x:v>35</x:v>
      </x:c>
      <x:c r="C22" s="3" t="str">
        <x:v>LCY m</x:v>
      </x:c>
      <x:c r="D22" s="37" t="str">
        <x:v>Straight-line ramp endpoint</x:v>
      </x:c>
      <x:c r="E22" s="38"/>
      <x:c r="F22" s="38"/>
      <x:c r="G22" s="38"/>
      <x:c r="H22" s="38"/>
    </x:row>
    <x:row r="23" ht="20" customHeight="1">
      <x:c r="A23" s="3" t="str">
        <x:v>Year-1 after-tax deal costs</x:v>
      </x:c>
      <x:c r="B23" s="39" t="n">
        <x:v>33.8</x:v>
      </x:c>
      <x:c r="C23" s="3" t="str">
        <x:v>LCY m</x:v>
      </x:c>
      <x:c r="D23" s="37" t="str">
        <x:v>One-time PPA, fees, and lost yield</x:v>
      </x:c>
      <x:c r="E23" s="38"/>
      <x:c r="F23" s="38"/>
      <x:c r="G23" s="38"/>
      <x:c r="H23" s="38"/>
    </x:row>
    <x:row r="24" ht="20" customHeight="1">
      <x:c r="A24" s="3"/>
      <x:c r="B24" s="3"/>
      <x:c r="C24" s="3"/>
      <x:c r="D24" s="3"/>
      <x:c r="E24" s="3"/>
      <x:c r="F24" s="3"/>
      <x:c r="G24" s="3"/>
      <x:c r="H24" s="3"/>
    </x:row>
    <x:row r="25" ht="20" customHeight="1">
      <x:c r="A25" s="54" t="str">
        <x:v>Synthetic example. Replace only the blue values, trace the calculation on Model, then review Results and Checks.</x:v>
      </x:c>
      <x:c r="B25" s="55"/>
      <x:c r="C25" s="55"/>
      <x:c r="D25" s="55"/>
      <x:c r="E25" s="55"/>
      <x:c r="F25" s="55"/>
      <x:c r="G25" s="55"/>
      <x:c r="H25" s="56"/>
    </x:row>
    <x:row r="26" ht="20" customHeight="1">
      <x:c r="A26" s="57"/>
      <x:c r="B26" s="58"/>
      <x:c r="C26" s="58"/>
      <x:c r="D26" s="58"/>
      <x:c r="E26" s="58"/>
      <x:c r="F26" s="58"/>
      <x:c r="G26" s="58"/>
      <x:c r="H26" s="59"/>
    </x:row>
    <x:row r="27" ht="20" customHeight="1">
      <x:c r="A27" s="3"/>
      <x:c r="B27" s="3"/>
      <x:c r="C27" s="3"/>
      <x:c r="D27" s="3"/>
      <x:c r="E27" s="3"/>
      <x:c r="F27" s="3"/>
      <x:c r="G27" s="3"/>
      <x:c r="H27" s="3"/>
    </x:row>
    <x:row r="28" ht="20" customHeight="1">
      <x:c r="A28" s="3"/>
      <x:c r="B28" s="3"/>
      <x:c r="C28" s="3"/>
      <x:c r="D28" s="3"/>
      <x:c r="E28" s="3"/>
      <x:c r="F28" s="3"/>
      <x:c r="G28" s="3"/>
      <x:c r="H28" s="3"/>
    </x:row>
    <x:row r="29" ht="20" customHeight="1">
      <x:c r="A29" s="3"/>
      <x:c r="B29" s="3"/>
      <x:c r="C29" s="3"/>
      <x:c r="D29" s="3"/>
      <x:c r="E29" s="3"/>
      <x:c r="F29" s="3"/>
      <x:c r="G29" s="3"/>
      <x:c r="H29" s="3"/>
    </x:row>
    <x:row r="30" ht="20" customHeight="1">
      <x:c r="A30" s="60" t="str">
        <x:v>M&amp;A Accretion / Dilution · 14 editable assumptions · v1.4.0</x:v>
      </x:c>
      <x:c r="B30" s="60"/>
      <x:c r="C30" s="60"/>
      <x:c r="D30" s="60"/>
      <x:c r="E30" s="60"/>
      <x:c r="F30" s="60"/>
      <x:c r="G30" s="60"/>
      <x:c r="H30" s="60"/>
    </x:row>
  </x:sheetData>
  <x:mergeCells>
    <x:mergeCell ref="A1:H2"/>
    <x:mergeCell ref="A3:H3"/>
    <x:mergeCell ref="A5:H6"/>
    <x:mergeCell ref="A8:H8"/>
    <x:mergeCell ref="D9:H9"/>
    <x:mergeCell ref="D10:H10"/>
    <x:mergeCell ref="D11:H11"/>
    <x:mergeCell ref="D12:H12"/>
    <x:mergeCell ref="D13:H13"/>
    <x:mergeCell ref="D14:H14"/>
    <x:mergeCell ref="D15:H15"/>
    <x:mergeCell ref="D16:H16"/>
    <x:mergeCell ref="D17:H17"/>
    <x:mergeCell ref="D18:H18"/>
    <x:mergeCell ref="D19:H19"/>
    <x:mergeCell ref="D20:H20"/>
    <x:mergeCell ref="D21:H21"/>
    <x:mergeCell ref="D22:H22"/>
    <x:mergeCell ref="D23:H23"/>
    <x:mergeCell ref="A25:H26"/>
    <x:mergeCell ref="A30:H30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4" hidden="0" customWidth="1"/>
    <x:col min="3" max="3" width="20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30" hidden="0" customWidth="1"/>
  </x:cols>
  <x:sheetData>
    <x:row r="1" ht="27" customHeight="1">
      <x:c r="A1" s="6" t="str">
        <x:v>MODEL DETAIL</x:v>
      </x:c>
      <x:c r="B1" s="6"/>
      <x:c r="C1" s="6"/>
      <x:c r="D1" s="6"/>
      <x:c r="E1" s="6"/>
      <x:c r="F1" s="6"/>
      <x:c r="G1" s="6"/>
      <x:c r="H1" s="6"/>
    </x:row>
    <x:row r="2" ht="27" customHeight="1">
      <x:c r="A2" s="6"/>
      <x:c r="B2" s="6"/>
      <x:c r="C2" s="6"/>
      <x:c r="D2" s="6"/>
      <x:c r="E2" s="6"/>
      <x:c r="F2" s="6"/>
      <x:c r="G2" s="6"/>
      <x:c r="H2" s="6"/>
    </x:row>
    <x:row r="3" ht="20" customHeight="1">
      <x:c r="A3" s="9" t="str">
        <x:v>M&amp;A Accretion / Dilution · Five-year EPS and funding bridge</x:v>
      </x:c>
      <x:c r="B3" s="9"/>
      <x:c r="C3" s="9"/>
      <x:c r="D3" s="9"/>
      <x:c r="E3" s="9"/>
      <x:c r="F3" s="9"/>
      <x:c r="G3" s="9"/>
      <x:c r="H3" s="9"/>
    </x:row>
    <x:row r="4" ht="20" customHeight="1">
      <x:c r="A4" s="3"/>
      <x:c r="B4" s="3"/>
      <x:c r="C4" s="3"/>
      <x:c r="D4" s="3"/>
      <x:c r="E4" s="3"/>
      <x:c r="F4" s="3"/>
      <x:c r="G4" s="3"/>
      <x:c r="H4" s="3"/>
    </x:row>
    <x:row r="5" ht="20" customHeight="1">
      <x:c r="A5" s="108" t="str">
        <x:v>YEAR-5 EPS A / (D)</x:v>
      </x:c>
      <x:c r="B5" s="109"/>
      <x:c r="C5" s="108" t="str">
        <x:v>YEAR-5 PRO FORMA EPS</x:v>
      </x:c>
      <x:c r="D5" s="109"/>
      <x:c r="E5" s="108" t="str">
        <x:v>NEW SHARES</x:v>
      </x:c>
      <x:c r="F5" s="109"/>
      <x:c r="G5" s="108" t="str">
        <x:v>YEAR-5 ACQUISITION DEBT</x:v>
      </x:c>
      <x:c r="H5" s="109"/>
    </x:row>
    <x:row r="6" ht="20" customHeight="1">
      <x:c r="A6" s="123" t="n">
        <x:f>G33</x:f>
        <x:v>0.18614343689793622</x:v>
      </x:c>
      <x:c r="B6" s="124"/>
      <x:c r="C6" s="135" t="n">
        <x:f>G32</x:f>
        <x:v>3.174874681362088</x:v>
      </x:c>
      <x:c r="D6" s="136"/>
      <x:c r="E6" s="147" t="n">
        <x:f>B14</x:f>
        <x:v>11.52</x:v>
      </x:c>
      <x:c r="F6" s="148"/>
      <x:c r="G6" s="147" t="n">
        <x:f>G26</x:f>
        <x:v>182</x:v>
      </x:c>
      <x:c r="H6" s="148"/>
    </x:row>
    <x:row r="7" ht="20" customHeight="1">
      <x:c r="A7" s="125"/>
      <x:c r="B7" s="126"/>
      <x:c r="C7" s="137"/>
      <x:c r="D7" s="138"/>
      <x:c r="E7" s="149"/>
      <x:c r="F7" s="150"/>
      <x:c r="G7" s="149"/>
      <x:c r="H7" s="150"/>
    </x:row>
    <x:row r="8" ht="20" customHeight="1">
      <x:c r="A8" s="127"/>
      <x:c r="B8" s="128"/>
      <x:c r="C8" s="139"/>
      <x:c r="D8" s="140"/>
      <x:c r="E8" s="151"/>
      <x:c r="F8" s="152"/>
      <x:c r="G8" s="151"/>
      <x:c r="H8" s="152"/>
    </x:row>
    <x:row r="9" ht="20" customHeight="1">
      <x:c r="A9" s="3"/>
      <x:c r="B9" s="3"/>
      <x:c r="C9" s="3"/>
      <x:c r="D9" s="3"/>
      <x:c r="E9" s="3"/>
      <x:c r="F9" s="3"/>
      <x:c r="G9" s="3"/>
      <x:c r="H9" s="3"/>
    </x:row>
    <x:row r="10" ht="20" customHeight="1">
      <x:c r="A10" s="61" t="str">
        <x:v>CONSIDERATION &amp; SHARE ISSUANCE</x:v>
      </x:c>
      <x:c r="B10" s="61"/>
      <x:c r="C10" s="61"/>
      <x:c r="D10" s="61"/>
      <x:c r="E10" s="61"/>
      <x:c r="F10" s="61"/>
      <x:c r="G10" s="61"/>
      <x:c r="H10" s="61"/>
    </x:row>
    <x:row r="11" ht="20" customHeight="1">
      <x:c r="A11" s="28" t="str">
        <x:v>Metric</x:v>
      </x:c>
      <x:c r="B11" s="28" t="str">
        <x:v>Value</x:v>
      </x:c>
      <x:c r="C11" s="28" t="str">
        <x:v>Unit</x:v>
      </x:c>
      <x:c r="D11" s="62" t="str">
        <x:v>Notes</x:v>
      </x:c>
      <x:c r="E11" s="63"/>
      <x:c r="F11" s="63"/>
      <x:c r="G11" s="63"/>
      <x:c r="H11" s="63"/>
    </x:row>
    <x:row r="12" ht="20" customHeight="1">
      <x:c r="A12" s="29" t="str">
        <x:v>Cash consideration</x:v>
      </x:c>
      <x:c r="B12" s="66" t="n">
        <x:f>'Inputs'!$B$16*'Inputs'!$B$17</x:f>
        <x:v>432</x:v>
      </x:c>
      <x:c r="C12" s="29" t="str">
        <x:v>LCY m</x:v>
      </x:c>
      <x:c r="D12" s="37" t="str">
        <x:v>Acquisition debt funded</x:v>
      </x:c>
      <x:c r="E12" s="38"/>
      <x:c r="F12" s="38"/>
      <x:c r="G12" s="38"/>
      <x:c r="H12" s="38"/>
    </x:row>
    <x:row r="13" ht="20" customHeight="1">
      <x:c r="A13" s="29" t="str">
        <x:v>Stock consideration</x:v>
      </x:c>
      <x:c r="B13" s="66" t="n">
        <x:f>'Inputs'!$B$16-B12</x:f>
        <x:v>288</x:v>
      </x:c>
      <x:c r="C13" s="29" t="str">
        <x:v>LCY m</x:v>
      </x:c>
      <x:c r="D13" s="37" t="str">
        <x:v>Offer value not funded with cash</x:v>
      </x:c>
      <x:c r="E13" s="38"/>
      <x:c r="F13" s="38"/>
      <x:c r="G13" s="38"/>
      <x:c r="H13" s="38"/>
    </x:row>
    <x:row r="14" ht="20" customHeight="1">
      <x:c r="A14" s="11" t="str">
        <x:v>New buyer shares</x:v>
      </x:c>
      <x:c r="B14" s="69" t="n">
        <x:f>IF('Inputs'!$B$13&lt;=0,0,B13/'Inputs'!$B$13)</x:f>
        <x:v>11.52</x:v>
      </x:c>
      <x:c r="C14" s="11" t="str">
        <x:v>m</x:v>
      </x:c>
      <x:c r="D14" s="73" t="str">
        <x:v>Stock consideration / buyer price</x:v>
      </x:c>
      <x:c r="E14" s="74"/>
      <x:c r="F14" s="74"/>
      <x:c r="G14" s="74"/>
      <x:c r="H14" s="74"/>
    </x:row>
    <x:row r="15" ht="20" customHeight="1">
      <x:c r="A15" s="11" t="str">
        <x:v>Pro forma diluted shares</x:v>
      </x:c>
      <x:c r="B15" s="69" t="n">
        <x:f>'Inputs'!$B$12+B14</x:f>
        <x:v>111.52</x:v>
      </x:c>
      <x:c r="C15" s="11" t="str">
        <x:v>m</x:v>
      </x:c>
      <x:c r="D15" s="73" t="str">
        <x:v>Buyer shares plus issued shares</x:v>
      </x:c>
      <x:c r="E15" s="74"/>
      <x:c r="F15" s="74"/>
      <x:c r="G15" s="74"/>
      <x:c r="H15" s="74"/>
    </x:row>
    <x:row r="16" ht="20" customHeight="1">
      <x:c r="A16" s="3"/>
      <x:c r="B16" s="3"/>
      <x:c r="C16" s="3"/>
      <x:c r="D16" s="3"/>
      <x:c r="E16" s="3"/>
      <x:c r="F16" s="3"/>
      <x:c r="G16" s="3"/>
      <x:c r="H16" s="3"/>
    </x:row>
    <x:row r="17" ht="20" customHeight="1">
      <x:c r="A17" s="3"/>
      <x:c r="B17" s="3"/>
      <x:c r="C17" s="3"/>
      <x:c r="D17" s="3"/>
      <x:c r="E17" s="3"/>
      <x:c r="F17" s="3"/>
      <x:c r="G17" s="3"/>
      <x:c r="H17" s="3"/>
    </x:row>
    <x:row r="18" ht="20" customHeight="1">
      <x:c r="A18" s="61" t="str">
        <x:v>FIVE-YEAR ACCRETION / DILUTION</x:v>
      </x:c>
      <x:c r="B18" s="61"/>
      <x:c r="C18" s="61"/>
      <x:c r="D18" s="61"/>
      <x:c r="E18" s="61"/>
      <x:c r="F18" s="61"/>
      <x:c r="G18" s="61"/>
      <x:c r="H18" s="61"/>
    </x:row>
    <x:row r="19" ht="20" customHeight="1">
      <x:c r="A19" s="6" t="str">
        <x:v>Metric</x:v>
      </x:c>
      <x:c r="B19" s="75" t="str">
        <x:v>BASE / ENTRY</x:v>
      </x:c>
      <x:c r="C19" s="75" t="str">
        <x:v>YEAR 1</x:v>
      </x:c>
      <x:c r="D19" s="75" t="str">
        <x:v>YEAR 2</x:v>
      </x:c>
      <x:c r="E19" s="75" t="str">
        <x:v>YEAR 3</x:v>
      </x:c>
      <x:c r="F19" s="75" t="str">
        <x:v>YEAR 4</x:v>
      </x:c>
      <x:c r="G19" s="75" t="str">
        <x:v>YEAR 5</x:v>
      </x:c>
      <x:c r="H19" s="6" t="str">
        <x:v>How to read it</x:v>
      </x:c>
    </x:row>
    <x:row r="20" ht="28" customHeight="1">
      <x:c r="A20" s="29" t="str">
        <x:v>Buyer net income</x:v>
      </x:c>
      <x:c r="B20" s="82" t="n">
        <x:f>'Inputs'!$B$10</x:f>
        <x:v>220</x:v>
      </x:c>
      <x:c r="C20" s="82" t="n">
        <x:f>B20*(1+'Inputs'!$B$11)</x:f>
        <x:v>228.8</x:v>
      </x:c>
      <x:c r="D20" s="82" t="n">
        <x:f>C20*(1+'Inputs'!$B$11)</x:f>
        <x:v>237.95200000000003</x:v>
      </x:c>
      <x:c r="E20" s="82" t="n">
        <x:f>D20*(1+'Inputs'!$B$11)</x:f>
        <x:v>247.47008000000002</x:v>
      </x:c>
      <x:c r="F20" s="82" t="n">
        <x:f>E20*(1+'Inputs'!$B$11)</x:f>
        <x:v>257.3688832</x:v>
      </x:c>
      <x:c r="G20" s="82" t="n">
        <x:f>F20*(1+'Inputs'!$B$11)</x:f>
        <x:v>267.66363852800004</x:v>
      </x:c>
      <x:c r="H20" s="83" t="str">
        <x:v>Standalone buyer earnings compound annually.</x:v>
      </x:c>
    </x:row>
    <x:row r="21" ht="28" customHeight="1">
      <x:c r="A21" s="29" t="str">
        <x:v>Target net income</x:v>
      </x:c>
      <x:c r="B21" s="82" t="n">
        <x:f>'Inputs'!$B$14</x:f>
        <x:v>55</x:v>
      </x:c>
      <x:c r="C21" s="82" t="n">
        <x:f>B21*(1+'Inputs'!$B$15)</x:f>
        <x:v>57.75</x:v>
      </x:c>
      <x:c r="D21" s="82" t="n">
        <x:f>C21*(1+'Inputs'!$B$15)</x:f>
        <x:v>60.6375</x:v>
      </x:c>
      <x:c r="E21" s="82" t="n">
        <x:f>D21*(1+'Inputs'!$B$15)</x:f>
        <x:v>63.669375</x:v>
      </x:c>
      <x:c r="F21" s="82" t="n">
        <x:f>E21*(1+'Inputs'!$B$15)</x:f>
        <x:v>66.85284375</x:v>
      </x:c>
      <x:c r="G21" s="82" t="n">
        <x:f>F21*(1+'Inputs'!$B$15)</x:f>
        <x:v>70.19548593750001</x:v>
      </x:c>
      <x:c r="H21" s="83" t="str">
        <x:v>Standalone target earnings compound annually.</x:v>
      </x:c>
    </x:row>
    <x:row r="22" ht="28" customHeight="1">
      <x:c r="A22" s="29" t="str">
        <x:v>Pretax synergies</x:v>
      </x:c>
      <x:c r="B22" s="82" t="n">
        <x:f>0</x:f>
        <x:v>0</x:v>
      </x:c>
      <x:c r="C22" s="82" t="n">
        <x:f>'Inputs'!$B$21+('Inputs'!$B$22-'Inputs'!$B$21)*(1-1)/4</x:f>
        <x:v>17.5</x:v>
      </x:c>
      <x:c r="D22" s="82" t="n">
        <x:f>'Inputs'!$B$21+('Inputs'!$B$22-'Inputs'!$B$21)*(2-1)/4</x:f>
        <x:v>21.875</x:v>
      </x:c>
      <x:c r="E22" s="82" t="n">
        <x:f>'Inputs'!$B$21+('Inputs'!$B$22-'Inputs'!$B$21)*(3-1)/4</x:f>
        <x:v>26.25</x:v>
      </x:c>
      <x:c r="F22" s="82" t="n">
        <x:f>'Inputs'!$B$21+('Inputs'!$B$22-'Inputs'!$B$21)*(4-1)/4</x:f>
        <x:v>30.625</x:v>
      </x:c>
      <x:c r="G22" s="82" t="n">
        <x:f>'Inputs'!$B$21+('Inputs'!$B$22-'Inputs'!$B$21)*(5-1)/4</x:f>
        <x:v>35</x:v>
      </x:c>
      <x:c r="H22" s="83" t="str">
        <x:v>Straight-line ramp from Year 1 to Year 5.</x:v>
      </x:c>
    </x:row>
    <x:row r="23" ht="28" customHeight="1">
      <x:c r="A23" s="29" t="str">
        <x:v>After-tax synergies</x:v>
      </x:c>
      <x:c r="B23" s="82" t="n">
        <x:f>B22*(1-'Inputs'!$B$20)</x:f>
        <x:v>0</x:v>
      </x:c>
      <x:c r="C23" s="82" t="n">
        <x:f>C22*(1-'Inputs'!$B$20)</x:f>
        <x:v>13.825000000000001</x:v>
      </x:c>
      <x:c r="D23" s="82" t="n">
        <x:f>D22*(1-'Inputs'!$B$20)</x:f>
        <x:v>17.28125</x:v>
      </x:c>
      <x:c r="E23" s="82" t="n">
        <x:f>E22*(1-'Inputs'!$B$20)</x:f>
        <x:v>20.7375</x:v>
      </x:c>
      <x:c r="F23" s="82" t="n">
        <x:f>F22*(1-'Inputs'!$B$20)</x:f>
        <x:v>24.19375</x:v>
      </x:c>
      <x:c r="G23" s="82" t="n">
        <x:f>G22*(1-'Inputs'!$B$20)</x:f>
        <x:v>27.650000000000002</x:v>
      </x:c>
      <x:c r="H23" s="83" t="str">
        <x:v>Pretax synergies after the selected tax rate.</x:v>
      </x:c>
    </x:row>
    <x:row r="24" ht="42" customHeight="1">
      <x:c r="A24" s="29" t="str">
        <x:v>Opening acquisition debt</x:v>
      </x:c>
      <x:c r="B24" s="82" t="n">
        <x:f>0</x:f>
        <x:v>0</x:v>
      </x:c>
      <x:c r="C24" s="82" t="n">
        <x:f>B12</x:f>
        <x:v>432</x:v>
      </x:c>
      <x:c r="D24" s="82" t="n">
        <x:f>C26</x:f>
        <x:v>382</x:v>
      </x:c>
      <x:c r="E24" s="82" t="n">
        <x:f>D26</x:f>
        <x:v>332</x:v>
      </x:c>
      <x:c r="F24" s="82" t="n">
        <x:f>E26</x:f>
        <x:v>282</x:v>
      </x:c>
      <x:c r="G24" s="82" t="n">
        <x:f>F26</x:f>
        <x:v>232</x:v>
      </x:c>
      <x:c r="H24" s="83" t="str">
        <x:v>Cash consideration is drawn at entry; later years roll from prior close.</x:v>
      </x:c>
    </x:row>
    <x:row r="25" ht="42" customHeight="1">
      <x:c r="A25" s="29" t="str">
        <x:v>Debt repayment</x:v>
      </x:c>
      <x:c r="B25" s="82" t="n">
        <x:f>0</x:f>
        <x:v>0</x:v>
      </x:c>
      <x:c r="C25" s="82" t="n">
        <x:f>MIN(MAX(0,C24),MAX(0,'Inputs'!$B$19))</x:f>
        <x:v>50</x:v>
      </x:c>
      <x:c r="D25" s="82" t="n">
        <x:f>MIN(MAX(0,D24),MAX(0,'Inputs'!$B$19))</x:f>
        <x:v>50</x:v>
      </x:c>
      <x:c r="E25" s="82" t="n">
        <x:f>MIN(MAX(0,E24),MAX(0,'Inputs'!$B$19))</x:f>
        <x:v>50</x:v>
      </x:c>
      <x:c r="F25" s="82" t="n">
        <x:f>MIN(MAX(0,F24),MAX(0,'Inputs'!$B$19))</x:f>
        <x:v>50</x:v>
      </x:c>
      <x:c r="G25" s="82" t="n">
        <x:f>MIN(MAX(0,G24),MAX(0,'Inputs'!$B$19))</x:f>
        <x:v>50</x:v>
      </x:c>
      <x:c r="H25" s="83" t="str">
        <x:v>Positive schedule amount; capped at opening debt.</x:v>
      </x:c>
    </x:row>
    <x:row r="26" ht="28" customHeight="1">
      <x:c r="A26" s="11" t="str">
        <x:v>Closing acquisition debt</x:v>
      </x:c>
      <x:c r="B26" s="87" t="n">
        <x:f>B12</x:f>
        <x:v>432</x:v>
      </x:c>
      <x:c r="C26" s="87" t="n">
        <x:f>MAX(0,C24-C25)</x:f>
        <x:v>382</x:v>
      </x:c>
      <x:c r="D26" s="87" t="n">
        <x:f>MAX(0,D24-D25)</x:f>
        <x:v>332</x:v>
      </x:c>
      <x:c r="E26" s="87" t="n">
        <x:f>MAX(0,E24-E25)</x:f>
        <x:v>282</x:v>
      </x:c>
      <x:c r="F26" s="87" t="n">
        <x:f>MAX(0,F24-F25)</x:f>
        <x:v>232</x:v>
      </x:c>
      <x:c r="G26" s="87" t="n">
        <x:f>MAX(0,G24-G25)</x:f>
        <x:v>182</x:v>
      </x:c>
      <x:c r="H26" s="89" t="str">
        <x:v>Opening acquisition debt less repayment.</x:v>
      </x:c>
    </x:row>
    <x:row r="27" ht="42" customHeight="1">
      <x:c r="A27" s="29" t="str">
        <x:v>Average acquisition debt</x:v>
      </x:c>
      <x:c r="B27" s="82" t="n">
        <x:f>B26</x:f>
        <x:v>432</x:v>
      </x:c>
      <x:c r="C27" s="82" t="n">
        <x:f>AVERAGE(C24,C26)</x:f>
        <x:v>407</x:v>
      </x:c>
      <x:c r="D27" s="82" t="n">
        <x:f>AVERAGE(D24,D26)</x:f>
        <x:v>357</x:v>
      </x:c>
      <x:c r="E27" s="82" t="n">
        <x:f>AVERAGE(E24,E26)</x:f>
        <x:v>307</x:v>
      </x:c>
      <x:c r="F27" s="82" t="n">
        <x:f>AVERAGE(F24,F26)</x:f>
        <x:v>257</x:v>
      </x:c>
      <x:c r="G27" s="82" t="n">
        <x:f>AVERAGE(G24,G26)</x:f>
        <x:v>207</x:v>
      </x:c>
      <x:c r="H27" s="83" t="str">
        <x:v>Average opening and closing balance for interest.</x:v>
      </x:c>
    </x:row>
    <x:row r="28" ht="28" customHeight="1">
      <x:c r="A28" s="29" t="str">
        <x:v>After-tax funding cost</x:v>
      </x:c>
      <x:c r="B28" s="82" t="n">
        <x:f>0</x:f>
        <x:v>0</x:v>
      </x:c>
      <x:c r="C28" s="82" t="n">
        <x:f>C27*'Inputs'!$B$18*(1-'Inputs'!$B$20)</x:f>
        <x:v>22.5071</x:v>
      </x:c>
      <x:c r="D28" s="82" t="n">
        <x:f>D27*'Inputs'!$B$18*(1-'Inputs'!$B$20)</x:f>
        <x:v>19.742100000000004</x:v>
      </x:c>
      <x:c r="E28" s="82" t="n">
        <x:f>E27*'Inputs'!$B$18*(1-'Inputs'!$B$20)</x:f>
        <x:v>16.977100000000004</x:v>
      </x:c>
      <x:c r="F28" s="82" t="n">
        <x:f>F27*'Inputs'!$B$18*(1-'Inputs'!$B$20)</x:f>
        <x:v>14.212100000000003</x:v>
      </x:c>
      <x:c r="G28" s="82" t="n">
        <x:f>G27*'Inputs'!$B$18*(1-'Inputs'!$B$20)</x:f>
        <x:v>11.447100000000002</x:v>
      </x:c>
      <x:c r="H28" s="83" t="str">
        <x:v>Average debt × rate × (1 − tax rate).</x:v>
      </x:c>
    </x:row>
    <x:row r="29" ht="28" customHeight="1">
      <x:c r="A29" s="29" t="str">
        <x:v>After-tax deal costs</x:v>
      </x:c>
      <x:c r="B29" s="82" t="n">
        <x:f>0</x:f>
        <x:v>0</x:v>
      </x:c>
      <x:c r="C29" s="82" t="n">
        <x:f>'Inputs'!$B$23</x:f>
        <x:v>33.8</x:v>
      </x:c>
      <x:c r="D29" s="82" t="n">
        <x:f>0</x:f>
        <x:v>0</x:v>
      </x:c>
      <x:c r="E29" s="82" t="n">
        <x:f>0</x:f>
        <x:v>0</x:v>
      </x:c>
      <x:c r="F29" s="82" t="n">
        <x:f>0</x:f>
        <x:v>0</x:v>
      </x:c>
      <x:c r="G29" s="82" t="n">
        <x:f>0</x:f>
        <x:v>0</x:v>
      </x:c>
      <x:c r="H29" s="83" t="str">
        <x:v>One-time cost in Year 1 only.</x:v>
      </x:c>
    </x:row>
    <x:row r="30" ht="42" customHeight="1">
      <x:c r="A30" s="91" t="str">
        <x:v>Pro forma net income</x:v>
      </x:c>
      <x:c r="B30" s="90" t="n">
        <x:f>B20</x:f>
        <x:v>220</x:v>
      </x:c>
      <x:c r="C30" s="90" t="n">
        <x:f>C20+C21+C23-C28-C29</x:f>
        <x:v>244.0679</x:v>
      </x:c>
      <x:c r="D30" s="90" t="n">
        <x:f>D20+D21+D23-D28-D29</x:f>
        <x:v>296.12865000000005</x:v>
      </x:c>
      <x:c r="E30" s="90" t="n">
        <x:f>E20+E21+E23-E28-E29</x:f>
        <x:v>314.899855</x:v>
      </x:c>
      <x:c r="F30" s="90" t="n">
        <x:f>F20+F21+F23-F28-F29</x:f>
        <x:v>334.20337695000006</x:v>
      </x:c>
      <x:c r="G30" s="90" t="n">
        <x:f>G20+G21+G23-G28-G29</x:f>
        <x:v>354.06202446550003</x:v>
      </x:c>
      <x:c r="H30" s="92" t="str">
        <x:v>Buyer + target + synergy − funding cost − deal costs.</x:v>
      </x:c>
    </x:row>
    <x:row r="31" ht="28" customHeight="1">
      <x:c r="A31" s="29" t="str">
        <x:v>Buyer standalone EPS</x:v>
      </x:c>
      <x:c r="B31" s="95" t="n">
        <x:f>IF('Inputs'!$B$12&lt;=0,0,B20/'Inputs'!$B$12)</x:f>
        <x:v>2.2</x:v>
      </x:c>
      <x:c r="C31" s="95" t="n">
        <x:f>IF('Inputs'!$B$12&lt;=0,0,C20/'Inputs'!$B$12)</x:f>
        <x:v>2.2880000000000003</x:v>
      </x:c>
      <x:c r="D31" s="95" t="n">
        <x:f>IF('Inputs'!$B$12&lt;=0,0,D20/'Inputs'!$B$12)</x:f>
        <x:v>2.3795200000000003</x:v>
      </x:c>
      <x:c r="E31" s="95" t="n">
        <x:f>IF('Inputs'!$B$12&lt;=0,0,E20/'Inputs'!$B$12)</x:f>
        <x:v>2.4747008000000004</x:v>
      </x:c>
      <x:c r="F31" s="95" t="n">
        <x:f>IF('Inputs'!$B$12&lt;=0,0,F20/'Inputs'!$B$12)</x:f>
        <x:v>2.573688832</x:v>
      </x:c>
      <x:c r="G31" s="95" t="n">
        <x:f>IF('Inputs'!$B$12&lt;=0,0,G20/'Inputs'!$B$12)</x:f>
        <x:v>2.67663638528</x:v>
      </x:c>
      <x:c r="H31" s="83" t="str">
        <x:v>Buyer net income / original diluted shares.</x:v>
      </x:c>
    </x:row>
    <x:row r="32" ht="28" customHeight="1">
      <x:c r="A32" s="101" t="str">
        <x:v>Pro forma EPS</x:v>
      </x:c>
      <x:c r="B32" s="99" t="n">
        <x:f>B31</x:f>
        <x:v>2.2</x:v>
      </x:c>
      <x:c r="C32" s="99" t="n">
        <x:f>IF(B15&lt;=0,0,C30/B15)</x:f>
        <x:v>2.188557209469154</x:v>
      </x:c>
      <x:c r="D32" s="99" t="n">
        <x:f>IF(B15&lt;=0,0,D30/B15)</x:f>
        <x:v>2.655386029411765</x:v>
      </x:c>
      <x:c r="E32" s="99" t="n">
        <x:f>IF(B15&lt;=0,0,E30/B15)</x:f>
        <x:v>2.8237074515781924</x:v>
      </x:c>
      <x:c r="F32" s="99" t="n">
        <x:f>IF(B15&lt;=0,0,F30/B15)</x:f>
        <x:v>2.9968021605989965</x:v>
      </x:c>
      <x:c r="G32" s="99" t="n">
        <x:f>IF(B15&lt;=0,0,G30/B15)</x:f>
        <x:v>3.174874681362088</x:v>
      </x:c>
      <x:c r="H32" s="102" t="str">
        <x:v>Pro forma net income / pro forma diluted shares.</x:v>
      </x:c>
    </x:row>
    <x:row r="33" ht="28" customHeight="1">
      <x:c r="A33" s="91" t="str">
        <x:v>EPS accretion / (dilution)</x:v>
      </x:c>
      <x:c r="B33" s="105" t="n">
        <x:f>0</x:f>
        <x:v>0</x:v>
      </x:c>
      <x:c r="C33" s="105" t="n">
        <x:f>IF(C31=0,0,C32/C31-1)</x:f>
        <x:v>-0.043462758099146126</x:v>
      </x:c>
      <x:c r="D33" s="105" t="n">
        <x:f>IF(D31=0,0,D32/D31-1)</x:f>
        <x:v>0.11593347793326592</x:v>
      </x:c>
      <x:c r="E33" s="105" t="n">
        <x:f>IF(E31=0,0,E32/E31-1)</x:f>
        <x:v>0.14102983745679154</x:v>
      </x:c>
      <x:c r="F33" s="105" t="n">
        <x:f>IF(F31=0,0,F32/F31-1)</x:f>
        <x:v>0.16439956662134536</x:v>
      </x:c>
      <x:c r="G33" s="105" t="n">
        <x:f>IF(G31=0,0,G32/G31-1)</x:f>
        <x:v>0.18614343689793622</x:v>
      </x:c>
      <x:c r="H33" s="92" t="str">
        <x:v>Pro forma EPS relative to standalone buyer EPS.</x:v>
      </x:c>
    </x:row>
    <x:row r="34" ht="28" customHeight="1">
      <x:c r="A34" s="29" t="str">
        <x:v>Debt roll-forward check</x:v>
      </x:c>
      <x:c r="B34" s="82" t="n">
        <x:f>ROUND(B26-B12,6)</x:f>
        <x:v>0</x:v>
      </x:c>
      <x:c r="C34" s="82" t="n">
        <x:f>ROUND(C26-C24+C25,6)</x:f>
        <x:v>0</x:v>
      </x:c>
      <x:c r="D34" s="82" t="n">
        <x:f>ROUND(D26-D24+D25,6)</x:f>
        <x:v>0</x:v>
      </x:c>
      <x:c r="E34" s="82" t="n">
        <x:f>ROUND(E26-E24+E25,6)</x:f>
        <x:v>0</x:v>
      </x:c>
      <x:c r="F34" s="82" t="n">
        <x:f>ROUND(F26-F24+F25,6)</x:f>
        <x:v>0</x:v>
      </x:c>
      <x:c r="G34" s="82" t="n">
        <x:f>ROUND(G26-G24+G25,6)</x:f>
        <x:v>0</x:v>
      </x:c>
      <x:c r="H34" s="83" t="str">
        <x:v>Must equal zero in every forecast year.</x:v>
      </x:c>
    </x:row>
    <x:row r="35" ht="42" customHeight="1">
      <x:c r="A35" s="29" t="str">
        <x:v>Net-income bridge check</x:v>
      </x:c>
      <x:c r="B35" s="82" t="n">
        <x:f>ROUND(0,6)</x:f>
        <x:v>0</x:v>
      </x:c>
      <x:c r="C35" s="82" t="n">
        <x:f>ROUND(C30-C20-C21-C23+C28+C29,6)</x:f>
        <x:v>0</x:v>
      </x:c>
      <x:c r="D35" s="82" t="n">
        <x:f>ROUND(D30-D20-D21-D23+D28+D29,6)</x:f>
        <x:v>0</x:v>
      </x:c>
      <x:c r="E35" s="82" t="n">
        <x:f>ROUND(E30-E20-E21-E23+E28+E29,6)</x:f>
        <x:v>0</x:v>
      </x:c>
      <x:c r="F35" s="82" t="n">
        <x:f>ROUND(F30-F20-F21-F23+F28+F29,6)</x:f>
        <x:v>0</x:v>
      </x:c>
      <x:c r="G35" s="82" t="n">
        <x:f>ROUND(G30-G20-G21-G23+G28+G29,6)</x:f>
        <x:v>0</x:v>
      </x:c>
      <x:c r="H35" s="83" t="str">
        <x:v>Must equal zero against the visible earnings bridge.</x:v>
      </x:c>
    </x:row>
    <x:row r="36" ht="42" customHeight="1">
      <x:c r="A36" s="29" t="str">
        <x:v>EPS bridge check</x:v>
      </x:c>
      <x:c r="B36" s="95" t="n">
        <x:f>ROUND(0,6)</x:f>
        <x:v>0</x:v>
      </x:c>
      <x:c r="C36" s="95" t="n">
        <x:f>ROUND(C32-IF(B15&lt;=0,0,C30/B15),6)</x:f>
        <x:v>0</x:v>
      </x:c>
      <x:c r="D36" s="95" t="n">
        <x:f>ROUND(D32-IF(B15&lt;=0,0,D30/B15),6)</x:f>
        <x:v>0</x:v>
      </x:c>
      <x:c r="E36" s="95" t="n">
        <x:f>ROUND(E32-IF(B15&lt;=0,0,E30/B15),6)</x:f>
        <x:v>0</x:v>
      </x:c>
      <x:c r="F36" s="95" t="n">
        <x:f>ROUND(F32-IF(B15&lt;=0,0,F30/B15),6)</x:f>
        <x:v>0</x:v>
      </x:c>
      <x:c r="G36" s="95" t="n">
        <x:f>ROUND(G32-IF(B15&lt;=0,0,G30/B15),6)</x:f>
        <x:v>0</x:v>
      </x:c>
      <x:c r="H36" s="83" t="str">
        <x:v>Must equal zero against pro forma income and shares.</x:v>
      </x:c>
    </x:row>
    <x:row r="37" ht="20" customHeight="1">
      <x:c r="A37" s="3"/>
      <x:c r="B37" s="3"/>
      <x:c r="C37" s="3"/>
      <x:c r="D37" s="3"/>
      <x:c r="E37" s="3"/>
      <x:c r="F37" s="3"/>
      <x:c r="G37" s="3"/>
      <x:c r="H37" s="3"/>
    </x:row>
    <x:row r="38" ht="20" customHeight="1">
      <x:c r="A38" s="3"/>
      <x:c r="B38" s="3"/>
      <x:c r="C38" s="3"/>
      <x:c r="D38" s="3"/>
      <x:c r="E38" s="3"/>
      <x:c r="F38" s="3"/>
      <x:c r="G38" s="3"/>
      <x:c r="H38" s="3"/>
    </x:row>
    <x:row r="39" ht="20" customHeight="1">
      <x:c r="A39" s="171" t="str">
        <x:f>IF(G33&gt;=0,"YEAR-5 ACCRETIVE · challenge timing and funding assumptions","YEAR-5 DILUTIVE · review price, mix, synergies, and costs")</x:f>
        <x:v>YEAR-5 ACCRETIVE · challenge timing and funding assumptions</x:v>
      </x:c>
      <x:c r="B39" s="172"/>
      <x:c r="C39" s="172"/>
      <x:c r="D39" s="172"/>
      <x:c r="E39" s="172"/>
      <x:c r="F39" s="172"/>
      <x:c r="G39" s="172"/>
      <x:c r="H39" s="173"/>
    </x:row>
    <x:row r="40" ht="20" customHeight="1">
      <x:c r="A40" s="174"/>
      <x:c r="B40" s="175"/>
      <x:c r="C40" s="175"/>
      <x:c r="D40" s="175"/>
      <x:c r="E40" s="175"/>
      <x:c r="F40" s="175"/>
      <x:c r="G40" s="175"/>
      <x:c r="H40" s="176"/>
    </x:row>
    <x:row r="41" ht="20" customHeight="1">
      <x:c r="A41" s="177"/>
      <x:c r="B41" s="178"/>
      <x:c r="C41" s="178"/>
      <x:c r="D41" s="178"/>
      <x:c r="E41" s="178"/>
      <x:c r="F41" s="178"/>
      <x:c r="G41" s="178"/>
      <x:c r="H41" s="179"/>
    </x:row>
    <x:row r="42" ht="20" customHeight="1">
      <x:c r="A42" s="3"/>
      <x:c r="B42" s="3"/>
      <x:c r="C42" s="3"/>
      <x:c r="D42" s="3"/>
      <x:c r="E42" s="3"/>
      <x:c r="F42" s="3"/>
      <x:c r="G42" s="3"/>
      <x:c r="H42" s="3"/>
    </x:row>
    <x:row r="43" ht="20" customHeight="1">
      <x:c r="A43" s="3"/>
      <x:c r="B43" s="3"/>
      <x:c r="C43" s="3"/>
      <x:c r="D43" s="3"/>
      <x:c r="E43" s="3"/>
      <x:c r="F43" s="3"/>
      <x:c r="G43" s="3"/>
      <x:c r="H43" s="3"/>
    </x:row>
    <x:row r="44" ht="20" customHeight="1">
      <x:c r="A44" s="3"/>
      <x:c r="B44" s="3"/>
      <x:c r="C44" s="3"/>
      <x:c r="D44" s="3"/>
      <x:c r="E44" s="3"/>
      <x:c r="F44" s="3"/>
      <x:c r="G44" s="3"/>
      <x:c r="H44" s="3"/>
    </x:row>
    <x:row r="45" ht="20" customHeight="1">
      <x:c r="A45" s="3"/>
      <x:c r="B45" s="3"/>
      <x:c r="C45" s="3"/>
      <x:c r="D45" s="3"/>
      <x:c r="E45" s="3"/>
      <x:c r="F45" s="3"/>
      <x:c r="G45" s="3"/>
      <x:c r="H45" s="3"/>
    </x:row>
    <x:row r="46" ht="20" customHeight="1">
      <x:c r="A46" s="3"/>
      <x:c r="B46" s="3"/>
      <x:c r="C46" s="3"/>
      <x:c r="D46" s="3"/>
      <x:c r="E46" s="3"/>
      <x:c r="F46" s="3"/>
      <x:c r="G46" s="3"/>
      <x:c r="H46" s="3"/>
    </x:row>
    <x:row r="47" ht="20" customHeight="1">
      <x:c r="A47" s="3"/>
      <x:c r="B47" s="3"/>
      <x:c r="C47" s="3"/>
      <x:c r="D47" s="3"/>
      <x:c r="E47" s="3"/>
      <x:c r="F47" s="3"/>
      <x:c r="G47" s="3"/>
      <x:c r="H47" s="3"/>
    </x:row>
    <x:row r="48" ht="20" customHeight="1">
      <x:c r="A48" s="3"/>
      <x:c r="B48" s="3"/>
      <x:c r="C48" s="3"/>
      <x:c r="D48" s="3"/>
      <x:c r="E48" s="3"/>
      <x:c r="F48" s="3"/>
      <x:c r="G48" s="3"/>
      <x:c r="H48" s="3"/>
    </x:row>
    <x:row r="49" ht="20" customHeight="1">
      <x:c r="A49" s="3"/>
      <x:c r="B49" s="3"/>
      <x:c r="C49" s="3"/>
      <x:c r="D49" s="3"/>
      <x:c r="E49" s="3"/>
      <x:c r="F49" s="3"/>
      <x:c r="G49" s="3"/>
      <x:c r="H49" s="3"/>
    </x:row>
    <x:row r="50" ht="20" customHeight="1">
      <x:c r="A50" s="3"/>
      <x:c r="B50" s="3"/>
      <x:c r="C50" s="3"/>
      <x:c r="D50" s="3"/>
      <x:c r="E50" s="3"/>
      <x:c r="F50" s="3"/>
      <x:c r="G50" s="3"/>
      <x:c r="H50" s="3"/>
    </x:row>
    <x:row r="51" ht="20" customHeight="1">
      <x:c r="A51" s="3"/>
      <x:c r="B51" s="3"/>
      <x:c r="C51" s="3"/>
      <x:c r="D51" s="3"/>
      <x:c r="E51" s="3"/>
      <x:c r="F51" s="3"/>
      <x:c r="G51" s="3"/>
      <x:c r="H51" s="3"/>
    </x:row>
    <x:row r="52" ht="20" customHeight="1">
      <x:c r="A52" s="3"/>
      <x:c r="B52" s="3"/>
      <x:c r="C52" s="3"/>
      <x:c r="D52" s="3"/>
      <x:c r="E52" s="3"/>
      <x:c r="F52" s="3"/>
      <x:c r="G52" s="3"/>
      <x:c r="H52" s="3"/>
    </x:row>
    <x:row r="53" ht="20" customHeight="1">
      <x:c r="A53" s="3"/>
      <x:c r="B53" s="3"/>
      <x:c r="C53" s="3"/>
      <x:c r="D53" s="3"/>
      <x:c r="E53" s="3"/>
      <x:c r="F53" s="3"/>
      <x:c r="G53" s="3"/>
      <x:c r="H53" s="3"/>
    </x:row>
    <x:row r="54" ht="20" customHeight="1">
      <x:c r="A54" s="60" t="str">
        <x:v>M&amp;A Accretion / Dilution · Option C standard · Base + five years</x:v>
      </x:c>
      <x:c r="B54" s="60"/>
      <x:c r="C54" s="60"/>
      <x:c r="D54" s="60"/>
      <x:c r="E54" s="60"/>
      <x:c r="F54" s="60"/>
      <x:c r="G54" s="60"/>
      <x:c r="H54" s="60"/>
    </x:row>
  </x:sheetData>
  <x:mergeCells>
    <x:mergeCell ref="A1:H2"/>
    <x:mergeCell ref="A3:H3"/>
    <x:mergeCell ref="A10:H10"/>
    <x:mergeCell ref="D11:H11"/>
    <x:mergeCell ref="D12:H12"/>
    <x:mergeCell ref="D13:H13"/>
    <x:mergeCell ref="D14:H14"/>
    <x:mergeCell ref="D15:H15"/>
    <x:mergeCell ref="A18:H18"/>
    <x:mergeCell ref="A5:B5"/>
    <x:mergeCell ref="A6:B8"/>
    <x:mergeCell ref="C5:D5"/>
    <x:mergeCell ref="C6:D8"/>
    <x:mergeCell ref="E5:F5"/>
    <x:mergeCell ref="E6:F8"/>
    <x:mergeCell ref="G5:H5"/>
    <x:mergeCell ref="G6:H8"/>
    <x:mergeCell ref="A39:H41"/>
    <x:mergeCell ref="A54:H54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</x:cols>
  <x:sheetData>
    <x:row r="1" ht="27" customHeight="1">
      <x:c r="A1" s="6" t="str">
        <x:v>RESULTS</x:v>
      </x:c>
      <x:c r="B1" s="6"/>
      <x:c r="C1" s="6"/>
      <x:c r="D1" s="6"/>
      <x:c r="E1" s="6"/>
      <x:c r="F1" s="6"/>
      <x:c r="G1" s="6"/>
      <x:c r="H1" s="6"/>
    </x:row>
    <x:row r="2" ht="27" customHeight="1">
      <x:c r="A2" s="6"/>
      <x:c r="B2" s="6"/>
      <x:c r="C2" s="6"/>
      <x:c r="D2" s="6"/>
      <x:c r="E2" s="6"/>
      <x:c r="F2" s="6"/>
      <x:c r="G2" s="6"/>
      <x:c r="H2" s="6"/>
    </x:row>
    <x:row r="3" ht="20" customHeight="1">
      <x:c r="A3" s="9" t="str">
        <x:v>M&amp;A Accretion / Dilution · Decision view linked to the detailed Model sheet</x:v>
      </x:c>
      <x:c r="B3" s="9"/>
      <x:c r="C3" s="9"/>
      <x:c r="D3" s="9"/>
      <x:c r="E3" s="9"/>
      <x:c r="F3" s="9"/>
      <x:c r="G3" s="9"/>
      <x:c r="H3" s="9"/>
    </x:row>
    <x:row r="4" ht="20" customHeight="1">
      <x:c r="A4" s="3"/>
      <x:c r="B4" s="3"/>
      <x:c r="C4" s="3"/>
      <x:c r="D4" s="3"/>
      <x:c r="E4" s="3"/>
      <x:c r="F4" s="3"/>
      <x:c r="G4" s="3"/>
      <x:c r="H4" s="3"/>
    </x:row>
    <x:row r="5" ht="20" customHeight="1">
      <x:c r="A5" s="108" t="str">
        <x:v>YEAR-5 EPS A / (D)</x:v>
      </x:c>
      <x:c r="B5" s="109"/>
      <x:c r="C5" s="108" t="str">
        <x:v>YEAR-5 PRO FORMA EPS</x:v>
      </x:c>
      <x:c r="D5" s="109"/>
      <x:c r="E5" s="108" t="str">
        <x:v>NEW SHARES</x:v>
      </x:c>
      <x:c r="F5" s="109"/>
      <x:c r="G5" s="108" t="str">
        <x:v>YEAR-5 ACQUISITION DEBT</x:v>
      </x:c>
      <x:c r="H5" s="109"/>
    </x:row>
    <x:row r="6" ht="20" customHeight="1">
      <x:c r="A6" s="123" t="n">
        <x:f>'Model'!A6</x:f>
        <x:v>0.18614343689793622</x:v>
      </x:c>
      <x:c r="B6" s="124"/>
      <x:c r="C6" s="135" t="n">
        <x:f>'Model'!C6</x:f>
        <x:v>3.174874681362088</x:v>
      </x:c>
      <x:c r="D6" s="136"/>
      <x:c r="E6" s="147" t="n">
        <x:f>'Model'!E6</x:f>
        <x:v>11.52</x:v>
      </x:c>
      <x:c r="F6" s="148"/>
      <x:c r="G6" s="147" t="n">
        <x:f>'Model'!G6</x:f>
        <x:v>182</x:v>
      </x:c>
      <x:c r="H6" s="148"/>
    </x:row>
    <x:row r="7" ht="20" customHeight="1">
      <x:c r="A7" s="125"/>
      <x:c r="B7" s="126"/>
      <x:c r="C7" s="137"/>
      <x:c r="D7" s="138"/>
      <x:c r="E7" s="149"/>
      <x:c r="F7" s="150"/>
      <x:c r="G7" s="149"/>
      <x:c r="H7" s="150"/>
    </x:row>
    <x:row r="8" ht="20" customHeight="1">
      <x:c r="A8" s="127"/>
      <x:c r="B8" s="128"/>
      <x:c r="C8" s="139"/>
      <x:c r="D8" s="140"/>
      <x:c r="E8" s="151"/>
      <x:c r="F8" s="152"/>
      <x:c r="G8" s="151"/>
      <x:c r="H8" s="152"/>
    </x:row>
    <x:row r="9" ht="20" customHeight="1">
      <x:c r="A9" s="3"/>
      <x:c r="B9" s="3"/>
      <x:c r="C9" s="3"/>
      <x:c r="D9" s="3"/>
      <x:c r="E9" s="3"/>
      <x:c r="F9" s="3"/>
      <x:c r="G9" s="3"/>
      <x:c r="H9" s="3"/>
    </x:row>
    <x:row r="10" ht="20" customHeight="1">
      <x:c r="A10" s="61" t="str">
        <x:v>DECISION VIEW</x:v>
      </x:c>
      <x:c r="B10" s="61"/>
      <x:c r="C10" s="61"/>
      <x:c r="D10" s="61"/>
      <x:c r="E10" s="61"/>
      <x:c r="F10" s="61"/>
      <x:c r="G10" s="61"/>
      <x:c r="H10" s="61"/>
    </x:row>
    <x:row r="11" ht="34" customHeight="1">
      <x:c r="A11" s="181" t="str">
        <x:v>CALCULATION STATUS</x:v>
      </x:c>
      <x:c r="B11" s="181"/>
      <x:c r="C11" s="185" t="str">
        <x:f>'Checks'!B4</x:f>
        <x:v>PASS</x:v>
      </x:c>
      <x:c r="D11" s="186"/>
      <x:c r="E11" s="181" t="str">
        <x:v>EPS OUTCOME</x:v>
      </x:c>
      <x:c r="F11" s="181"/>
      <x:c r="G11" s="192" t="str">
        <x:f>'Model'!A39</x:f>
        <x:v>YEAR-5 ACCRETIVE · challenge timing and funding assumptions</x:v>
      </x:c>
      <x:c r="H11" s="193"/>
    </x:row>
    <x:row r="12" ht="20" customHeight="1">
      <x:c r="A12" s="3"/>
      <x:c r="B12" s="3"/>
      <x:c r="C12" s="3"/>
      <x:c r="D12" s="3"/>
      <x:c r="E12" s="3"/>
      <x:c r="F12" s="3"/>
      <x:c r="G12" s="3"/>
      <x:c r="H12" s="3"/>
    </x:row>
    <x:row r="13" ht="20" customHeight="1">
      <x:c r="A13" s="61" t="str">
        <x:v>WHAT IT ANSWERS</x:v>
      </x:c>
      <x:c r="B13" s="61"/>
      <x:c r="C13" s="61"/>
      <x:c r="D13" s="61"/>
      <x:c r="E13" s="61"/>
      <x:c r="F13" s="61"/>
      <x:c r="G13" s="61"/>
      <x:c r="H13" s="61"/>
    </x:row>
    <x:row r="14" ht="20" customHeight="1">
      <x:c r="A14" s="200" t="str">
        <x:v>How do funding, synergy capture, and debt paydown affect EPS accretion over five years?</x:v>
      </x:c>
      <x:c r="B14" s="201"/>
      <x:c r="C14" s="201"/>
      <x:c r="D14" s="201"/>
      <x:c r="E14" s="201"/>
      <x:c r="F14" s="201"/>
      <x:c r="G14" s="201"/>
      <x:c r="H14" s="202"/>
    </x:row>
    <x:row r="15" ht="20" customHeight="1">
      <x:c r="A15" s="203"/>
      <x:c r="B15" s="204"/>
      <x:c r="C15" s="204"/>
      <x:c r="D15" s="204"/>
      <x:c r="E15" s="204"/>
      <x:c r="F15" s="204"/>
      <x:c r="G15" s="204"/>
      <x:c r="H15" s="205"/>
    </x:row>
    <x:row r="16" ht="20" customHeight="1">
      <x:c r="A16" s="3"/>
      <x:c r="B16" s="3"/>
      <x:c r="C16" s="3"/>
      <x:c r="D16" s="3"/>
      <x:c r="E16" s="3"/>
      <x:c r="F16" s="3"/>
      <x:c r="G16" s="3"/>
      <x:c r="H16" s="3"/>
    </x:row>
    <x:row r="17" ht="20" customHeight="1">
      <x:c r="A17" s="61" t="str">
        <x:v>MODEL DEPTH</x:v>
      </x:c>
      <x:c r="B17" s="61"/>
      <x:c r="C17" s="61"/>
      <x:c r="D17" s="61"/>
      <x:c r="E17" s="61"/>
      <x:c r="F17" s="61"/>
      <x:c r="G17" s="61"/>
      <x:c r="H17" s="61"/>
    </x:row>
    <x:row r="18" ht="20" customHeight="1">
      <x:c r="A18" s="180" t="str">
        <x:v>Forecast</x:v>
      </x:c>
      <x:c r="B18" s="180"/>
      <x:c r="C18" s="91" t="str">
        <x:v>Base plus five forecast years</x:v>
      </x:c>
      <x:c r="D18" s="91"/>
      <x:c r="E18" s="91"/>
      <x:c r="F18" s="91"/>
      <x:c r="G18" s="91"/>
      <x:c r="H18" s="91"/>
    </x:row>
    <x:row r="19" ht="20" customHeight="1">
      <x:c r="A19" s="180" t="str">
        <x:v>Editable inputs</x:v>
      </x:c>
      <x:c r="B19" s="180"/>
      <x:c r="C19" s="91" t="str">
        <x:v>14</x:v>
      </x:c>
      <x:c r="D19" s="91"/>
      <x:c r="E19" s="91"/>
      <x:c r="F19" s="91"/>
      <x:c r="G19" s="91"/>
      <x:c r="H19" s="91"/>
    </x:row>
    <x:row r="20" ht="20" customHeight="1">
      <x:c r="A20" s="180" t="str">
        <x:v>Calculation detail</x:v>
      </x:c>
      <x:c r="B20" s="180"/>
      <x:c r="C20" s="91" t="str">
        <x:v>Visible formulas, schedules, roll-forwards, and bridges</x:v>
      </x:c>
      <x:c r="D20" s="91"/>
      <x:c r="E20" s="91"/>
      <x:c r="F20" s="91"/>
      <x:c r="G20" s="91"/>
      <x:c r="H20" s="91"/>
    </x:row>
    <x:row r="21" ht="20" customHeight="1">
      <x:c r="A21" s="180" t="str">
        <x:v>Workbook flow</x:v>
      </x:c>
      <x:c r="B21" s="180"/>
      <x:c r="C21" s="91" t="str">
        <x:v>Start → Inputs → Model → Results → Checks</x:v>
      </x:c>
      <x:c r="D21" s="91"/>
      <x:c r="E21" s="91"/>
      <x:c r="F21" s="91"/>
      <x:c r="G21" s="91"/>
      <x:c r="H21" s="91"/>
    </x:row>
    <x:row r="22" ht="20" customHeight="1">
      <x:c r="A22" s="3"/>
      <x:c r="B22" s="3"/>
      <x:c r="C22" s="3"/>
      <x:c r="D22" s="3"/>
      <x:c r="E22" s="3"/>
      <x:c r="F22" s="3"/>
      <x:c r="G22" s="3"/>
      <x:c r="H22" s="3"/>
    </x:row>
    <x:row r="23" ht="20" customHeight="1">
      <x:c r="A23" s="61" t="str">
        <x:v>SCOPE</x:v>
      </x:c>
      <x:c r="B23" s="61"/>
      <x:c r="C23" s="61"/>
      <x:c r="D23" s="61"/>
      <x:c r="E23" s="61"/>
      <x:c r="F23" s="61"/>
      <x:c r="G23" s="61"/>
      <x:c r="H23" s="61"/>
    </x:row>
    <x:row r="24" ht="20" customHeight="1">
      <x:c r="A24" s="214" t="str">
        <x:v>Included: Cash-and-stock consideration bridge · Five-year earnings, synergy, and acquisition-debt schedule · Pro forma EPS and accretion / dilution by year</x:v>
      </x:c>
      <x:c r="B24" s="215"/>
      <x:c r="C24" s="215"/>
      <x:c r="D24" s="215"/>
      <x:c r="E24" s="215"/>
      <x:c r="F24" s="215"/>
      <x:c r="G24" s="215"/>
      <x:c r="H24" s="216"/>
    </x:row>
    <x:row r="25" ht="20" customHeight="1">
      <x:c r="A25" s="217"/>
      <x:c r="B25" s="218"/>
      <x:c r="C25" s="218"/>
      <x:c r="D25" s="218"/>
      <x:c r="E25" s="218"/>
      <x:c r="F25" s="218"/>
      <x:c r="G25" s="218"/>
      <x:c r="H25" s="219"/>
    </x:row>
    <x:row r="26" ht="20" customHeight="1">
      <x:c r="A26" s="220"/>
      <x:c r="B26" s="221"/>
      <x:c r="C26" s="221"/>
      <x:c r="D26" s="221"/>
      <x:c r="E26" s="221"/>
      <x:c r="F26" s="221"/>
      <x:c r="G26" s="221"/>
      <x:c r="H26" s="222"/>
    </x:row>
    <x:row r="27" ht="20" customHeight="1">
      <x:c r="A27" s="54" t="str">
        <x:v>Outside this model: Detailed purchase accounting, goodwill impairment, integration workstreams, tax attributes, and transaction advice.</x:v>
      </x:c>
      <x:c r="B27" s="55"/>
      <x:c r="C27" s="55"/>
      <x:c r="D27" s="55"/>
      <x:c r="E27" s="55"/>
      <x:c r="F27" s="55"/>
      <x:c r="G27" s="55"/>
      <x:c r="H27" s="56"/>
    </x:row>
    <x:row r="28" ht="20" customHeight="1">
      <x:c r="A28" s="57"/>
      <x:c r="B28" s="58"/>
      <x:c r="C28" s="58"/>
      <x:c r="D28" s="58"/>
      <x:c r="E28" s="58"/>
      <x:c r="F28" s="58"/>
      <x:c r="G28" s="58"/>
      <x:c r="H28" s="59"/>
    </x:row>
    <x:row r="29" ht="20" customHeight="1">
      <x:c r="A29" s="226" t="str">
        <x:v>Five visible tabs · No hidden calculations · Calculation status and business outcome are reported separately.</x:v>
      </x:c>
      <x:c r="B29" s="227"/>
      <x:c r="C29" s="227"/>
      <x:c r="D29" s="227"/>
      <x:c r="E29" s="227"/>
      <x:c r="F29" s="227"/>
      <x:c r="G29" s="227"/>
      <x:c r="H29" s="228"/>
    </x:row>
    <x:row r="30" ht="20" customHeight="1">
      <x:c r="A30" s="3"/>
      <x:c r="B30" s="3"/>
      <x:c r="C30" s="3"/>
      <x:c r="D30" s="3"/>
      <x:c r="E30" s="3"/>
      <x:c r="F30" s="3"/>
      <x:c r="G30" s="3"/>
      <x:c r="H30" s="3"/>
    </x:row>
    <x:row r="31" ht="20" customHeight="1">
      <x:c r="A31" s="60" t="str">
        <x:v>M&amp;A Accretion / Dilution · v1.4.0 · Linked summary only · Trace all formulas on Model</x:v>
      </x:c>
      <x:c r="B31" s="60"/>
      <x:c r="C31" s="60"/>
      <x:c r="D31" s="60"/>
      <x:c r="E31" s="60"/>
      <x:c r="F31" s="60"/>
      <x:c r="G31" s="60"/>
      <x:c r="H31" s="60"/>
    </x:row>
  </x:sheetData>
  <x:mergeCells>
    <x:mergeCell ref="A1:H2"/>
    <x:mergeCell ref="A3:H3"/>
    <x:mergeCell ref="A5:B5"/>
    <x:mergeCell ref="A6:B8"/>
    <x:mergeCell ref="C5:D5"/>
    <x:mergeCell ref="C6:D8"/>
    <x:mergeCell ref="E5:F5"/>
    <x:mergeCell ref="E6:F8"/>
    <x:mergeCell ref="G5:H5"/>
    <x:mergeCell ref="G6:H8"/>
    <x:mergeCell ref="A10:H10"/>
    <x:mergeCell ref="A11:B11"/>
    <x:mergeCell ref="C11:D11"/>
    <x:mergeCell ref="E11:F11"/>
    <x:mergeCell ref="G11:H11"/>
    <x:mergeCell ref="A13:H13"/>
    <x:mergeCell ref="A14:H15"/>
    <x:mergeCell ref="A17:H17"/>
    <x:mergeCell ref="A18:B18"/>
    <x:mergeCell ref="C18:H18"/>
    <x:mergeCell ref="A19:B19"/>
    <x:mergeCell ref="C19:H19"/>
    <x:mergeCell ref="A20:B20"/>
    <x:mergeCell ref="C20:H20"/>
    <x:mergeCell ref="A21:B21"/>
    <x:mergeCell ref="C21:H21"/>
    <x:mergeCell ref="A23:H23"/>
    <x:mergeCell ref="A24:H26"/>
    <x:mergeCell ref="A27:H28"/>
    <x:mergeCell ref="A29:H29"/>
    <x:mergeCell ref="A31:H31"/>
  </x:mergeCells>
  <x:conditionalFormatting sqref="C11:D11">
    <x:cfRule type="containsText" dxfId="0" priority="1" operator="containsText" text="FAIL"/>
    <x:cfRule type="containsText" dxfId="1" priority="2" operator="containsText" text="PASS"/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23" hidden="0" customWidth="1"/>
    <x:col min="8" max="8" width="16" hidden="0" customWidth="1"/>
  </x:cols>
  <x:sheetData>
    <x:row r="1" ht="27" customHeight="1">
      <x:c r="A1" s="6" t="str">
        <x:v>CHECKS</x:v>
      </x:c>
      <x:c r="B1" s="6"/>
      <x:c r="C1" s="6"/>
      <x:c r="D1" s="6"/>
      <x:c r="E1" s="6"/>
      <x:c r="F1" s="6"/>
      <x:c r="G1" s="6"/>
      <x:c r="H1" s="6"/>
    </x:row>
    <x:row r="2" ht="27" customHeight="1">
      <x:c r="A2" s="6"/>
      <x:c r="B2" s="6"/>
      <x:c r="C2" s="6"/>
      <x:c r="D2" s="6"/>
      <x:c r="E2" s="6"/>
      <x:c r="F2" s="6"/>
      <x:c r="G2" s="6"/>
      <x:c r="H2" s="6"/>
    </x:row>
    <x:row r="3" ht="20" customHeight="1">
      <x:c r="A3" s="9" t="str">
        <x:v>M&amp;A Accretion / Dilution · Calculation controls only; business outcomes are shown separately</x:v>
      </x:c>
      <x:c r="B3" s="9"/>
      <x:c r="C3" s="9"/>
      <x:c r="D3" s="9"/>
      <x:c r="E3" s="9"/>
      <x:c r="F3" s="9"/>
      <x:c r="G3" s="9"/>
      <x:c r="H3" s="9"/>
    </x:row>
    <x:row r="4" ht="12" customHeight="1">
      <x:c r="A4" s="3"/>
      <x:c r="B4" s="229" t="str">
        <x:f>IF(COUNTIF(F9:F18,"PASS")=10,"PASS","FAIL")</x:f>
        <x:v>PASS</x:v>
      </x:c>
      <x:c r="C4" s="229"/>
      <x:c r="D4" s="229"/>
      <x:c r="E4" s="229"/>
      <x:c r="F4" s="229"/>
      <x:c r="G4" s="229"/>
      <x:c r="H4" s="229"/>
    </x:row>
    <x:row r="5" ht="20" customHeight="1">
      <x:c r="A5" s="60" t="str">
        <x:v>MODEL STATUS</x:v>
      </x:c>
      <x:c r="B5" s="60"/>
      <x:c r="C5" s="185" t="str">
        <x:f>B4</x:f>
        <x:v>PASS</x:v>
      </x:c>
      <x:c r="D5" s="231"/>
      <x:c r="E5" s="231"/>
      <x:c r="F5" s="231"/>
      <x:c r="G5" s="231"/>
      <x:c r="H5" s="186"/>
    </x:row>
    <x:row r="6" ht="20" customHeight="1">
      <x:c r="A6" s="3"/>
      <x:c r="B6" s="3"/>
      <x:c r="C6" s="3"/>
      <x:c r="D6" s="3"/>
      <x:c r="E6" s="3"/>
      <x:c r="F6" s="3"/>
      <x:c r="G6" s="3"/>
      <x:c r="H6" s="3"/>
    </x:row>
    <x:row r="7" ht="20" customHeight="1">
      <x:c r="A7" s="61" t="str">
        <x:v>10 CALCULATION CONTROLS</x:v>
      </x:c>
      <x:c r="B7" s="61"/>
      <x:c r="C7" s="61"/>
      <x:c r="D7" s="61"/>
      <x:c r="E7" s="61"/>
      <x:c r="F7" s="61"/>
      <x:c r="G7" s="61"/>
      <x:c r="H7" s="61"/>
    </x:row>
    <x:row r="8" ht="20" customHeight="1">
      <x:c r="A8" s="28" t="str">
        <x:v>Control</x:v>
      </x:c>
      <x:c r="B8" s="28" t="str">
        <x:v>Actual</x:v>
      </x:c>
      <x:c r="C8" s="28" t="str">
        <x:v>Expected</x:v>
      </x:c>
      <x:c r="D8" s="28" t="str">
        <x:v>Difference</x:v>
      </x:c>
      <x:c r="E8" s="28" t="str">
        <x:v>Tolerance</x:v>
      </x:c>
      <x:c r="F8" s="28" t="str">
        <x:v>Status</x:v>
      </x:c>
      <x:c r="G8" s="28" t="str">
        <x:v>Where to fix</x:v>
      </x:c>
      <x:c r="H8" s="28"/>
    </x:row>
    <x:row r="9" ht="26" customHeight="1">
      <x:c r="A9" s="218" t="str">
        <x:v>All editable inputs are numeric</x:v>
      </x:c>
      <x:c r="B9" s="234" t="n">
        <x:f>ROUND(COUNT('Inputs'!B10,'Inputs'!B11,'Inputs'!B12,'Inputs'!B13,'Inputs'!B14,'Inputs'!B15,'Inputs'!B16,'Inputs'!B17,'Inputs'!B18,'Inputs'!B19,'Inputs'!B20,'Inputs'!B21,'Inputs'!B22,'Inputs'!B23),6)</x:f>
        <x:v>14</x:v>
      </x:c>
      <x:c r="C9" s="234" t="n">
        <x:f>14</x:f>
        <x:v>14</x:v>
      </x:c>
      <x:c r="D9" s="234" t="n">
        <x:f>ROUND(B9-C9,6)</x:f>
        <x:v>0</x:v>
      </x:c>
      <x:c r="E9" s="234" t="n">
        <x:f>0</x:f>
        <x:v>0</x:v>
      </x:c>
      <x:c r="F9" s="235" t="str">
        <x:f>IF(ABS(ROUND(D9,6))&lt;=E9,"PASS","FAIL")</x:f>
        <x:v>PASS</x:v>
      </x:c>
      <x:c r="G9" s="218" t="str">
        <x:v>Complete the blue cells on Inputs</x:v>
      </x:c>
      <x:c r="H9" s="218"/>
    </x:row>
    <x:row r="10" ht="26" customHeight="1">
      <x:c r="A10" s="218" t="str">
        <x:v>Results headline KPIs reconcile to Model</x:v>
      </x:c>
      <x:c r="B10" s="238" t="n">
        <x:f>ROUND(IFERROR(SUM(ABS('Results'!A6-'Model'!A6),ABS('Results'!C6-'Model'!C6),ABS('Results'!E6-'Model'!E6),ABS('Results'!G6-'Model'!G6)),1E+99),6)</x:f>
        <x:v>0</x:v>
      </x:c>
      <x:c r="C10" s="238" t="n">
        <x:f>0</x:f>
        <x:v>0</x:v>
      </x:c>
      <x:c r="D10" s="238" t="n">
        <x:f>ROUND(B10-C10,6)</x:f>
        <x:v>0</x:v>
      </x:c>
      <x:c r="E10" s="238" t="n">
        <x:f>0.0001</x:f>
        <x:v>0.0001</x:v>
      </x:c>
      <x:c r="F10" s="235" t="str">
        <x:f>IF(ABS(ROUND(D10,6))&lt;=E10,"PASS","FAIL")</x:f>
        <x:v>PASS</x:v>
      </x:c>
      <x:c r="G10" s="218" t="str">
        <x:v>Review Results-to-Model links</x:v>
      </x:c>
      <x:c r="H10" s="218"/>
    </x:row>
    <x:row r="11" ht="26" customHeight="1">
      <x:c r="A11" s="218" t="str">
        <x:v>Funding, growth, and tax inputs are valid</x:v>
      </x:c>
      <x:c r="B11" s="238" t="n">
        <x:f>ROUND(IF(AND('Inputs'!$B$10&gt;=0,'Inputs'!$B$11&gt;-1,'Inputs'!$B$12&gt;0,'Inputs'!$B$13&gt;0,'Inputs'!$B$14&gt;=0,'Inputs'!$B$15&gt;-1,'Inputs'!$B$16&gt;=0,'Inputs'!$B$17&gt;=0,'Inputs'!$B$17&lt;=1,'Inputs'!$B$18&gt;=0,'Inputs'!$B$19&gt;=0,'Inputs'!$B$20&gt;=0,'Inputs'!$B$20&lt;1,'Inputs'!$B$21&gt;=0,'Inputs'!$B$22&gt;=0,'Inputs'!$B$23&gt;=0),1,0),6)</x:f>
        <x:v>1</x:v>
      </x:c>
      <x:c r="C11" s="238" t="n">
        <x:f>1</x:f>
        <x:v>1</x:v>
      </x:c>
      <x:c r="D11" s="238" t="n">
        <x:f>ROUND(B11-C11,6)</x:f>
        <x:v>0</x:v>
      </x:c>
      <x:c r="E11" s="238" t="n">
        <x:f>0.0001</x:f>
        <x:v>0.0001</x:v>
      </x:c>
      <x:c r="F11" s="235" t="str">
        <x:f>IF(ABS(ROUND(D11,6))&lt;=E11,"PASS","FAIL")</x:f>
        <x:v>PASS</x:v>
      </x:c>
      <x:c r="G11" s="218" t="str">
        <x:v>Inputs: operating, funding, tax, and synergy assumptions</x:v>
      </x:c>
      <x:c r="H11" s="218"/>
    </x:row>
    <x:row r="12" ht="26" customHeight="1">
      <x:c r="A12" s="218" t="str">
        <x:v>Consideration bridge ties</x:v>
      </x:c>
      <x:c r="B12" s="241" t="n">
        <x:f>ROUND('Model'!B12+'Model'!B13,6)</x:f>
        <x:v>720</x:v>
      </x:c>
      <x:c r="C12" s="241" t="n">
        <x:f>'Inputs'!$B$16</x:f>
        <x:v>720</x:v>
      </x:c>
      <x:c r="D12" s="241" t="n">
        <x:f>ROUND(B12-C12,6)</x:f>
        <x:v>0</x:v>
      </x:c>
      <x:c r="E12" s="241" t="n">
        <x:f>0.01</x:f>
        <x:v>0.01</x:v>
      </x:c>
      <x:c r="F12" s="235" t="str">
        <x:f>IF(ABS(ROUND(D12,6))&lt;=E12,"PASS","FAIL")</x:f>
        <x:v>PASS</x:v>
      </x:c>
      <x:c r="G12" s="218" t="str">
        <x:v>Model: consideration bridge</x:v>
      </x:c>
      <x:c r="H12" s="218"/>
    </x:row>
    <x:row r="13" ht="26" customHeight="1">
      <x:c r="A13" s="218" t="str">
        <x:v>Share issuance bridge ties</x:v>
      </x:c>
      <x:c r="B13" s="241" t="n">
        <x:f>ROUND('Model'!B14,6)</x:f>
        <x:v>11.52</x:v>
      </x:c>
      <x:c r="C13" s="241" t="n">
        <x:f>IF('Inputs'!$B$13&lt;=0,0,'Model'!B13/'Inputs'!$B$13)</x:f>
        <x:v>11.52</x:v>
      </x:c>
      <x:c r="D13" s="241" t="n">
        <x:f>ROUND(B13-C13,6)</x:f>
        <x:v>0</x:v>
      </x:c>
      <x:c r="E13" s="241" t="n">
        <x:f>0.001</x:f>
        <x:v>0.001</x:v>
      </x:c>
      <x:c r="F13" s="235" t="str">
        <x:f>IF(ABS(ROUND(D13,6))&lt;=E13,"PASS","FAIL")</x:f>
        <x:v>PASS</x:v>
      </x:c>
      <x:c r="G13" s="218" t="str">
        <x:v>Model: share issuance</x:v>
      </x:c>
      <x:c r="H13" s="218"/>
    </x:row>
    <x:row r="14" ht="26" customHeight="1">
      <x:c r="A14" s="218" t="str">
        <x:v>Acquisition-debt roll-forward ties</x:v>
      </x:c>
      <x:c r="B14" s="241" t="n">
        <x:f>ROUND(MAX(ABS('Model'!C34),ABS('Model'!D34),ABS('Model'!E34),ABS('Model'!F34),ABS('Model'!G34)),6)</x:f>
        <x:v>0</x:v>
      </x:c>
      <x:c r="C14" s="241" t="n">
        <x:f>0</x:f>
        <x:v>0</x:v>
      </x:c>
      <x:c r="D14" s="241" t="n">
        <x:f>ROUND(B14-C14,6)</x:f>
        <x:v>0</x:v>
      </x:c>
      <x:c r="E14" s="241" t="n">
        <x:f>0.01</x:f>
        <x:v>0.01</x:v>
      </x:c>
      <x:c r="F14" s="235" t="str">
        <x:f>IF(ABS(ROUND(D14,6))&lt;=E14,"PASS","FAIL")</x:f>
        <x:v>PASS</x:v>
      </x:c>
      <x:c r="G14" s="218" t="str">
        <x:v>Model: acquisition debt</x:v>
      </x:c>
      <x:c r="H14" s="218"/>
    </x:row>
    <x:row r="15" ht="26" customHeight="1">
      <x:c r="A15" s="218" t="str">
        <x:v>Pro forma income bridge ties</x:v>
      </x:c>
      <x:c r="B15" s="241" t="n">
        <x:f>ROUND(MAX(ABS('Model'!C35),ABS('Model'!D35),ABS('Model'!E35),ABS('Model'!F35),ABS('Model'!G35)),6)</x:f>
        <x:v>0</x:v>
      </x:c>
      <x:c r="C15" s="241" t="n">
        <x:f>0</x:f>
        <x:v>0</x:v>
      </x:c>
      <x:c r="D15" s="241" t="n">
        <x:f>ROUND(B15-C15,6)</x:f>
        <x:v>0</x:v>
      </x:c>
      <x:c r="E15" s="241" t="n">
        <x:f>0.01</x:f>
        <x:v>0.01</x:v>
      </x:c>
      <x:c r="F15" s="235" t="str">
        <x:f>IF(ABS(ROUND(D15,6))&lt;=E15,"PASS","FAIL")</x:f>
        <x:v>PASS</x:v>
      </x:c>
      <x:c r="G15" s="218" t="str">
        <x:v>Model: net-income bridge</x:v>
      </x:c>
      <x:c r="H15" s="218"/>
    </x:row>
    <x:row r="16" ht="26" customHeight="1">
      <x:c r="A16" s="218" t="str">
        <x:v>Pro forma EPS bridge ties</x:v>
      </x:c>
      <x:c r="B16" s="238" t="n">
        <x:f>ROUND(MAX(ABS('Model'!C36),ABS('Model'!D36),ABS('Model'!E36),ABS('Model'!F36),ABS('Model'!G36)),6)</x:f>
        <x:v>0</x:v>
      </x:c>
      <x:c r="C16" s="238" t="n">
        <x:f>0</x:f>
        <x:v>0</x:v>
      </x:c>
      <x:c r="D16" s="238" t="n">
        <x:f>ROUND(B16-C16,6)</x:f>
        <x:v>0</x:v>
      </x:c>
      <x:c r="E16" s="238" t="n">
        <x:f>0.001</x:f>
        <x:v>0.001</x:v>
      </x:c>
      <x:c r="F16" s="235" t="str">
        <x:f>IF(ABS(ROUND(D16,6))&lt;=E16,"PASS","FAIL")</x:f>
        <x:v>PASS</x:v>
      </x:c>
      <x:c r="G16" s="218" t="str">
        <x:v>Model: EPS bridge</x:v>
      </x:c>
      <x:c r="H16" s="218"/>
    </x:row>
    <x:row r="17" ht="26" customHeight="1">
      <x:c r="A17" s="218" t="str">
        <x:v>Synergy ramp reaches Year 5</x:v>
      </x:c>
      <x:c r="B17" s="241" t="n">
        <x:f>ROUND('Model'!G22,6)</x:f>
        <x:v>35</x:v>
      </x:c>
      <x:c r="C17" s="241" t="n">
        <x:f>'Inputs'!$B$22</x:f>
        <x:v>35</x:v>
      </x:c>
      <x:c r="D17" s="241" t="n">
        <x:f>ROUND(B17-C17,6)</x:f>
        <x:v>0</x:v>
      </x:c>
      <x:c r="E17" s="241" t="n">
        <x:f>0.01</x:f>
        <x:v>0.01</x:v>
      </x:c>
      <x:c r="F17" s="235" t="str">
        <x:f>IF(ABS(ROUND(D17,6))&lt;=E17,"PASS","FAIL")</x:f>
        <x:v>PASS</x:v>
      </x:c>
      <x:c r="G17" s="218" t="str">
        <x:v>Inputs: synergy ramp</x:v>
      </x:c>
      <x:c r="H17" s="218"/>
    </x:row>
    <x:row r="18" ht="26" customHeight="1">
      <x:c r="A18" s="218" t="str">
        <x:v>Debt and shares remain non-negative</x:v>
      </x:c>
      <x:c r="B18" s="238" t="n">
        <x:f>ROUND(IF(AND(MIN('Model'!C26,'Model'!D26,'Model'!E26,'Model'!F26,'Model'!G26)&gt;=0,'Model'!B15&gt;0),1,0),6)</x:f>
        <x:v>1</x:v>
      </x:c>
      <x:c r="C18" s="238" t="n">
        <x:f>1</x:f>
        <x:v>1</x:v>
      </x:c>
      <x:c r="D18" s="238" t="n">
        <x:f>ROUND(B18-C18,6)</x:f>
        <x:v>0</x:v>
      </x:c>
      <x:c r="E18" s="238" t="n">
        <x:f>0.0001</x:f>
        <x:v>0.0001</x:v>
      </x:c>
      <x:c r="F18" s="235" t="str">
        <x:f>IF(ABS(ROUND(D18,6))&lt;=E18,"PASS","FAIL")</x:f>
        <x:v>PASS</x:v>
      </x:c>
      <x:c r="G18" s="218" t="str">
        <x:v>Model: debt and share schedules</x:v>
      </x:c>
      <x:c r="H18" s="218"/>
    </x:row>
    <x:row r="19" ht="20" customHeight="1">
      <x:c r="A19" s="245" t="str">
        <x:v>A warning business outcome can still pass these controls; review Model and Results before making a decision.</x:v>
      </x:c>
      <x:c r="B19" s="246"/>
      <x:c r="C19" s="246"/>
      <x:c r="D19" s="246"/>
      <x:c r="E19" s="246"/>
      <x:c r="F19" s="246"/>
      <x:c r="G19" s="246"/>
      <x:c r="H19" s="247"/>
    </x:row>
    <x:row r="20" ht="20" customHeight="1">
      <x:c r="A20" s="60" t="str">
        <x:v>M&amp;A Accretion / Dilution · 10 / 10 controls should show PASS · v1.4.0</x:v>
      </x:c>
      <x:c r="B20" s="60"/>
      <x:c r="C20" s="60"/>
      <x:c r="D20" s="60"/>
      <x:c r="E20" s="60"/>
      <x:c r="F20" s="60"/>
      <x:c r="G20" s="60"/>
      <x:c r="H20" s="60"/>
    </x:row>
  </x:sheetData>
  <x:mergeCells>
    <x:mergeCell ref="A1:H2"/>
    <x:mergeCell ref="A3:H3"/>
    <x:mergeCell ref="B4:H4"/>
    <x:mergeCell ref="A5:B5"/>
    <x:mergeCell ref="C5:H5"/>
    <x:mergeCell ref="A7:H7"/>
    <x:mergeCell ref="G8:H8"/>
    <x:mergeCell ref="G9:H9"/>
    <x:mergeCell ref="G10:H10"/>
    <x:mergeCell ref="G11:H11"/>
    <x:mergeCell ref="G12:H12"/>
    <x:mergeCell ref="G13:H13"/>
    <x:mergeCell ref="G14:H14"/>
    <x:mergeCell ref="G15:H15"/>
    <x:mergeCell ref="G16:H16"/>
    <x:mergeCell ref="G17:H17"/>
    <x:mergeCell ref="G18:H18"/>
    <x:mergeCell ref="A19:H19"/>
    <x:mergeCell ref="A20:H20"/>
  </x:mergeCells>
  <x:conditionalFormatting sqref="C5:H5">
    <x:cfRule type="containsText" dxfId="2" priority="1" operator="containsText" text="FAIL"/>
    <x:cfRule type="containsText" dxfId="3" priority="2" operator="containsText" text="PASS"/>
  </x:conditionalFormatting>
  <x:conditionalFormatting sqref="F9:F9">
    <x:cfRule type="containsText" dxfId="4" priority="3" operator="containsText" text="FAIL"/>
    <x:cfRule type="containsText" dxfId="5" priority="4" operator="containsText" text="PASS"/>
  </x:conditionalFormatting>
  <x:conditionalFormatting sqref="F10:F10">
    <x:cfRule type="containsText" dxfId="6" priority="5" operator="containsText" text="FAIL"/>
    <x:cfRule type="containsText" dxfId="7" priority="6" operator="containsText" text="PASS"/>
  </x:conditionalFormatting>
  <x:conditionalFormatting sqref="F11:F11">
    <x:cfRule type="containsText" dxfId="8" priority="7" operator="containsText" text="FAIL"/>
    <x:cfRule type="containsText" dxfId="9" priority="8" operator="containsText" text="PASS"/>
  </x:conditionalFormatting>
  <x:conditionalFormatting sqref="F12:F12">
    <x:cfRule type="containsText" dxfId="10" priority="9" operator="containsText" text="FAIL"/>
    <x:cfRule type="containsText" dxfId="11" priority="10" operator="containsText" text="PASS"/>
  </x:conditionalFormatting>
  <x:conditionalFormatting sqref="F13:F13">
    <x:cfRule type="containsText" dxfId="12" priority="11" operator="containsText" text="FAIL"/>
    <x:cfRule type="containsText" dxfId="13" priority="12" operator="containsText" text="PASS"/>
  </x:conditionalFormatting>
  <x:conditionalFormatting sqref="F14:F14">
    <x:cfRule type="containsText" dxfId="14" priority="13" operator="containsText" text="FAIL"/>
    <x:cfRule type="containsText" dxfId="15" priority="14" operator="containsText" text="PASS"/>
  </x:conditionalFormatting>
  <x:conditionalFormatting sqref="F15:F15">
    <x:cfRule type="containsText" dxfId="16" priority="15" operator="containsText" text="FAIL"/>
    <x:cfRule type="containsText" dxfId="17" priority="16" operator="containsText" text="PASS"/>
  </x:conditionalFormatting>
  <x:conditionalFormatting sqref="F16:F16">
    <x:cfRule type="containsText" dxfId="18" priority="17" operator="containsText" text="FAIL"/>
    <x:cfRule type="containsText" dxfId="19" priority="18" operator="containsText" text="PASS"/>
  </x:conditionalFormatting>
  <x:conditionalFormatting sqref="F17:F17">
    <x:cfRule type="containsText" dxfId="20" priority="19" operator="containsText" text="FAIL"/>
    <x:cfRule type="containsText" dxfId="21" priority="20" operator="containsText" text="PASS"/>
  </x:conditionalFormatting>
  <x:conditionalFormatting sqref="F18:F18">
    <x:cfRule type="containsText" dxfId="22" priority="21" operator="containsText" text="FAIL"/>
    <x:cfRule type="containsText" dxfId="23" priority="22" operator="containsText" text="PASS"/>
  </x:conditionalFormatting>
  <x:pageMargins left="0.7" right="0.7" top="0.75" bottom="0.75" header="0.3" footer="0.3"/>
</x:worksheet>
</file>