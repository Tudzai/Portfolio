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bc94105f142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d7cbb441e71a4369"/>
    <x:sheet xmlns:r="http://schemas.openxmlformats.org/officeDocument/2006/relationships" name="Inputs" sheetId="2" r:id="Re2e45baf8d164899"/>
    <x:sheet xmlns:r="http://schemas.openxmlformats.org/officeDocument/2006/relationships" name="Model" sheetId="3" r:id="Rcb972ec424714d2b"/>
    <x:sheet xmlns:r="http://schemas.openxmlformats.org/officeDocument/2006/relationships" name="Results" sheetId="4" r:id="Ra4ce830da6a2498d"/>
    <x:sheet xmlns:r="http://schemas.openxmlformats.org/officeDocument/2006/relationships" name="Checks" sheetId="5" r:id="Rcd07afe814684f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[Red](#,##0.0);-"/>
    <x:numFmt numFmtId="201" formatCode="0.0%;[Red](0.0%);-"/>
    <x:numFmt numFmtId="202" formatCode="#,##0;[Red](#,##0);-"/>
    <x:numFmt numFmtId="203" formatCode="0.00;[Red](0.00);-"/>
  </x:numFmts>
  <x:fonts count="14">
    <x:font>
      <x:sz val="11"/>
      <x:name val="Carlito"/>
    </x:font>
    <x:font>
      <x:sz val="11"/>
      <x:color rgb="FF202833"/>
      <x:name val="Carlito"/>
    </x:font>
    <x:font>
      <x:b/>
      <x:sz val="11"/>
      <x:color rgb="FFFFFFFF"/>
      <x:name val="Carlito"/>
    </x:font>
    <x:font>
      <x:b/>
      <x:sz val="11"/>
      <x:color rgb="FF202833"/>
      <x:name val="Carlito"/>
    </x:font>
    <x:font>
      <x:b/>
      <x:sz val="11"/>
      <x:color rgb="FF0000FF"/>
      <x:name val="Carlito"/>
    </x:font>
    <x:font>
      <x:sz val="11"/>
      <x:color rgb="FF68717C"/>
      <x:name val="Carlito"/>
    </x:font>
    <x:font>
      <x:sz val="11"/>
      <x:color rgb="FF805C19"/>
      <x:name val="Carlito"/>
    </x:font>
    <x:font>
      <x:b/>
      <x:sz val="11"/>
      <x:color rgb="FF008000"/>
      <x:name val="Carlito"/>
    </x:font>
    <x:font>
      <x:sz val="11"/>
      <x:color rgb="FF008000"/>
      <x:name val="Carlito"/>
    </x:font>
    <x:font>
      <x:b/>
      <x:sz val="11"/>
      <x:color rgb="FFB5883A"/>
      <x:name val="Carlito"/>
    </x:font>
    <x:font>
      <x:b/>
      <x:sz val="11"/>
      <x:color rgb="FF68717C"/>
      <x:name val="Carlito"/>
    </x:font>
    <x:font>
      <x:b/>
      <x:sz val="11"/>
      <x:color rgb="FF247252"/>
      <x:name val="Carlito"/>
    </x:font>
    <x:font>
      <x:b/>
      <x:sz val="11"/>
      <x:color rgb="FF805C19"/>
      <x:name val="Carlito"/>
    </x:font>
    <x:font>
      <x:sz val="11"/>
      <x:color rgb="FFF5F6F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F5F6F8"/>
      </x:patternFill>
    </x:fill>
    <x:fill>
      <x:patternFill patternType="solid">
        <x:fgColor rgb="FF1C2430"/>
      </x:patternFill>
    </x:fill>
    <x:fill>
      <x:patternFill patternType="solid">
        <x:fgColor rgb="FFB5883A"/>
      </x:patternFill>
    </x:fill>
    <x:fill>
      <x:patternFill patternType="solid">
        <x:fgColor rgb="FFF2E8D5"/>
      </x:patternFill>
    </x:fill>
    <x:fill>
      <x:patternFill patternType="solid">
        <x:fgColor rgb="FF303B49"/>
      </x:patternFill>
    </x:fill>
    <x:fill>
      <x:patternFill patternType="solid">
        <x:fgColor rgb="FFECEFF2"/>
      </x:patternFill>
    </x:fill>
    <x:fill>
      <x:patternFill patternType="solid">
        <x:fgColor rgb="FFFFFFFF"/>
      </x:patternFill>
    </x:fill>
    <x:fill>
      <x:patternFill patternType="solid">
        <x:fgColor rgb="FFF8EBCF"/>
      </x:patternFill>
    </x:fill>
  </x:fills>
  <x:borders count="30">
    <x:border/>
    <x:border>
      <x:left style="thin">
        <x:color rgb="FFD7DBE0"/>
      </x:left>
      <x:top style="thin">
        <x:color rgb="FFD7DBE0"/>
      </x:top>
    </x:border>
    <x:border>
      <x:top style="thin">
        <x:color rgb="FFD7DBE0"/>
      </x:top>
    </x:border>
    <x:border>
      <x:right style="thin">
        <x:color rgb="FFD7DBE0"/>
      </x:right>
      <x:top style="thin">
        <x:color rgb="FFD7DBE0"/>
      </x:top>
    </x:border>
    <x:border>
      <x:left style="thin">
        <x:color rgb="FFD7DBE0"/>
      </x:left>
      <x:bottom style="thin">
        <x:color rgb="FFD7DBE0"/>
      </x:bottom>
    </x:border>
    <x:border>
      <x:bottom style="thin">
        <x:color rgb="FFD7DBE0"/>
      </x:bottom>
    </x:border>
    <x:border>
      <x:right style="thin">
        <x:color rgb="FFD7DBE0"/>
      </x:right>
      <x:bottom style="thin">
        <x:color rgb="FFD7DBE0"/>
      </x:bottom>
    </x:border>
    <x:border>
      <x:bottom style="medium">
        <x:color rgb="FFB5883A"/>
      </x:bottom>
    </x:border>
    <x:border>
      <x:left style="thin">
        <x:color rgb="FFD3AE64"/>
      </x:left>
      <x:right style="thin">
        <x:color rgb="FFD3AE64"/>
      </x:right>
      <x:top style="thin">
        <x:color rgb="FFD3AE64"/>
      </x:top>
      <x:bottom style="thin">
        <x:color rgb="FFD3AE64"/>
      </x:bottom>
    </x:border>
    <x:border>
      <x:left style="thin">
        <x:color rgb="FFD3AE64"/>
      </x:left>
      <x:right style="thin">
        <x:color rgb="FFD3AE64"/>
      </x:right>
    </x:border>
    <x:border>
      <x:left style="thin">
        <x:color rgb="FFD3AE64"/>
      </x:left>
      <x:top style="thin">
        <x:color rgb="FFD3AE64"/>
      </x:top>
    </x:border>
    <x:border>
      <x:top style="thin">
        <x:color rgb="FFD3AE64"/>
      </x:top>
    </x:border>
    <x:border>
      <x:right style="thin">
        <x:color rgb="FFD3AE64"/>
      </x:right>
      <x:top style="thin">
        <x:color rgb="FFD3AE64"/>
      </x:top>
    </x:border>
    <x:border>
      <x:left style="thin">
        <x:color rgb="FFD3AE64"/>
      </x:left>
      <x:bottom style="thin">
        <x:color rgb="FFD3AE64"/>
      </x:bottom>
    </x:border>
    <x:border>
      <x:bottom style="thin">
        <x:color rgb="FFD3AE64"/>
      </x:bottom>
    </x:border>
    <x:border>
      <x:right style="thin">
        <x:color rgb="FFD3AE64"/>
      </x:right>
      <x:bottom style="thin">
        <x:color rgb="FFD3AE64"/>
      </x:bottom>
    </x:border>
    <x:border>
      <x:bottom style="thin">
        <x:color rgb="FFB5883A"/>
      </x:bottom>
    </x:border>
    <x:border>
      <x:left style="thin">
        <x:color rgb="FFD7DBE0"/>
      </x:left>
      <x:bottom style="thin">
        <x:color rgb="FFB5883A"/>
      </x:bottom>
    </x:border>
    <x:border>
      <x:left style="thin">
        <x:color rgb="FF1C2430"/>
      </x:left>
      <x:top style="thin">
        <x:color rgb="FF1C2430"/>
      </x:top>
      <x:bottom style="thin">
        <x:color rgb="FF1C2430"/>
      </x:bottom>
    </x:border>
    <x:border>
      <x:right style="thin">
        <x:color rgb="FF1C2430"/>
      </x:right>
      <x:top style="thin">
        <x:color rgb="FF1C2430"/>
      </x:top>
      <x:bottom style="thin">
        <x:color rgb="FF1C2430"/>
      </x:bottom>
    </x:border>
    <x:border>
      <x:left style="thin">
        <x:color rgb="FFD7DBE0"/>
      </x:left>
    </x:border>
    <x:border>
      <x:right style="thin">
        <x:color rgb="FFD7DBE0"/>
      </x:right>
    </x:border>
    <x:border>
      <x:left style="thin">
        <x:color rgb="FFB5883A"/>
      </x:left>
      <x:top style="thin">
        <x:color rgb="FFB5883A"/>
      </x:top>
    </x:border>
    <x:border>
      <x:top style="thin">
        <x:color rgb="FFB5883A"/>
      </x:top>
    </x:border>
    <x:border>
      <x:right style="thin">
        <x:color rgb="FFB5883A"/>
      </x:right>
      <x:top style="thin">
        <x:color rgb="FFB5883A"/>
      </x:top>
    </x:border>
    <x:border>
      <x:left style="thin">
        <x:color rgb="FFB5883A"/>
      </x:left>
      <x:bottom style="thin">
        <x:color rgb="FFB5883A"/>
      </x:bottom>
    </x:border>
    <x:border>
      <x:right style="thin">
        <x:color rgb="FFB5883A"/>
      </x:right>
      <x:bottom style="thin">
        <x:color rgb="FFB5883A"/>
      </x:bottom>
    </x:border>
    <x:border>
      <x:left style="thin">
        <x:color rgb="FFD7DBE0"/>
      </x:left>
      <x:top style="thin">
        <x:color rgb="FFD7DBE0"/>
      </x:top>
      <x:bottom style="thin">
        <x:color rgb="FFD7DBE0"/>
      </x:bottom>
    </x:border>
    <x:border>
      <x:right style="thin">
        <x:color rgb="FFD7DBE0"/>
      </x:right>
      <x:top style="thin">
        <x:color rgb="FFD7DBE0"/>
      </x:top>
      <x:bottom style="thin">
        <x:color rgb="FFD7DBE0"/>
      </x:bottom>
    </x:border>
    <x:border>
      <x:top style="thin">
        <x:color rgb="FFD7DBE0"/>
      </x:top>
      <x:bottom style="thin">
        <x:color rgb="FFD7DBE0"/>
      </x:bottom>
    </x:border>
  </x:borders>
  <x:cellStyleXfs count="1">
    <x:xf numFmtId="0" fontId="0" fillId="0" borderId="0"/>
  </x:cellStyleXfs>
  <x:cellXfs count="2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7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200" fontId="4" fillId="8" borderId="9" xfId="0" applyNumberFormat="1" applyFont="1" applyFill="1" applyBorder="1" applyAlignment="1">
      <x:alignment horizontal="right" vertical="center"/>
    </x:xf>
    <x:xf numFmtId="201" fontId="4" fillId="8" borderId="8" xfId="0" applyNumberFormat="1" applyFont="1" applyFill="1" applyBorder="1" applyAlignment="1">
      <x:alignment vertical="center"/>
    </x:xf>
    <x:xf numFmtId="201" fontId="4" fillId="8" borderId="8" xfId="0" applyNumberFormat="1" applyFont="1" applyFill="1" applyBorder="1" applyAlignment="1">
      <x:alignment horizontal="right" vertical="center"/>
    </x:xf>
    <x:xf numFmtId="201" fontId="4" fillId="8" borderId="9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/>
    </x:xf>
    <x:xf numFmtId="0" fontId="6" fillId="9" borderId="11" xfId="0" applyNumberFormat="1" applyFont="1" applyFill="1" applyBorder="1" applyAlignment="1">
      <x:alignment vertical="center"/>
    </x:xf>
    <x:xf numFmtId="0" fontId="6" fillId="9" borderId="12" xfId="0" applyNumberFormat="1" applyFont="1" applyFill="1" applyBorder="1" applyAlignment="1">
      <x:alignment vertical="center"/>
    </x:xf>
    <x:xf numFmtId="0" fontId="6" fillId="9" borderId="13" xfId="0" applyNumberFormat="1" applyFont="1" applyFill="1" applyBorder="1" applyAlignment="1">
      <x:alignment vertical="center"/>
    </x:xf>
    <x:xf numFmtId="0" fontId="6" fillId="9" borderId="14" xfId="0" applyNumberFormat="1" applyFont="1" applyFill="1" applyBorder="1" applyAlignment="1">
      <x:alignment vertical="center"/>
    </x:xf>
    <x:xf numFmtId="0" fontId="6" fillId="9" borderId="15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 wrapText="1"/>
    </x:xf>
    <x:xf numFmtId="0" fontId="6" fillId="9" borderId="11" xfId="0" applyNumberFormat="1" applyFont="1" applyFill="1" applyBorder="1" applyAlignment="1">
      <x:alignment vertical="center" wrapText="1"/>
    </x:xf>
    <x:xf numFmtId="0" fontId="6" fillId="9" borderId="12" xfId="0" applyNumberFormat="1" applyFont="1" applyFill="1" applyBorder="1" applyAlignment="1">
      <x:alignment vertical="center" wrapText="1"/>
    </x:xf>
    <x:xf numFmtId="0" fontId="6" fillId="9" borderId="13" xfId="0" applyNumberFormat="1" applyFont="1" applyFill="1" applyBorder="1" applyAlignment="1">
      <x:alignment vertical="center" wrapText="1"/>
    </x:xf>
    <x:xf numFmtId="0" fontId="6" fillId="9" borderId="14" xfId="0" applyNumberFormat="1" applyFont="1" applyFill="1" applyBorder="1" applyAlignment="1">
      <x:alignment vertical="center" wrapText="1"/>
    </x:xf>
    <x:xf numFmtId="0" fontId="6" fillId="9" borderId="1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6" borderId="7" xfId="0" applyNumberFormat="1" applyFont="1" applyFill="1" applyBorder="1" applyAlignment="1">
      <x:alignment horizontal="left" vertical="center"/>
    </x:xf>
    <x:xf numFmtId="0" fontId="2" fillId="6" borderId="16" xfId="0" applyNumberFormat="1" applyFont="1" applyFill="1" applyBorder="1" applyAlignment="1">
      <x:alignment horizontal="left" vertical="center"/>
    </x:xf>
    <x:xf numFmtId="0" fontId="3" fillId="7" borderId="4" xfId="0" applyNumberFormat="1" applyFont="1" applyFill="1" applyBorder="1" applyAlignment="1">
      <x:alignment vertical="center"/>
    </x:xf>
    <x:xf numFmtId="0" fontId="3" fillId="7" borderId="5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/>
    </x:xf>
    <x:xf numFmtId="200" fontId="8" fillId="8" borderId="0" xfId="0" applyNumberFormat="1" applyFont="1" applyFill="1" applyBorder="1" applyAlignment="1">
      <x:alignment vertical="center"/>
    </x:xf>
    <x:xf numFmtId="200" fontId="8" fillId="8" borderId="0" xfId="0" applyNumberFormat="1" applyFont="1" applyFill="1" applyBorder="1" applyAlignment="1">
      <x:alignment horizontal="right" vertical="center"/>
    </x:xf>
    <x:xf numFmtId="200" fontId="3" fillId="5" borderId="0" xfId="0" applyNumberFormat="1" applyFont="1" applyFill="1" applyBorder="1" applyAlignment="1">
      <x:alignment vertical="center"/>
    </x:xf>
    <x:xf numFmtId="200" fontId="3" fillId="5" borderId="0" xfId="0" applyNumberFormat="1" applyFont="1" applyFill="1" applyBorder="1" applyAlignment="1">
      <x:alignment horizontal="right" vertical="center"/>
    </x:xf>
    <x:xf numFmtId="201" fontId="3" fillId="5" borderId="0" xfId="0" applyNumberFormat="1" applyFont="1" applyFill="1" applyBorder="1" applyAlignment="1">
      <x:alignment vertical="center"/>
    </x:xf>
    <x:xf numFmtId="201" fontId="3" fillId="5" borderId="0" xfId="0" applyNumberFormat="1" applyFont="1" applyFill="1" applyBorder="1" applyAlignment="1">
      <x:alignment horizontal="right" vertical="center"/>
    </x:xf>
    <x:xf numFmtId="201" fontId="8" fillId="8" borderId="0" xfId="0" applyNumberFormat="1" applyFont="1" applyFill="1" applyBorder="1" applyAlignment="1">
      <x:alignment vertical="center"/>
    </x:xf>
    <x:xf numFmtId="201" fontId="8" fillId="8" borderId="0" xfId="0" applyNumberFormat="1" applyFont="1" applyFill="1" applyBorder="1" applyAlignment="1">
      <x:alignment horizontal="right"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vertical="center"/>
    </x:xf>
    <x:xf numFmtId="0" fontId="2" fillId="6" borderId="4" xfId="0" applyNumberFormat="1" applyFont="1" applyFill="1" applyBorder="1" applyAlignment="1">
      <x:alignment vertical="center"/>
    </x:xf>
    <x:xf numFmtId="0" fontId="2" fillId="6" borderId="5" xfId="0" applyNumberFormat="1" applyFont="1" applyFill="1" applyBorder="1" applyAlignment="1">
      <x:alignment vertical="center"/>
    </x:xf>
    <x:xf numFmtId="0" fontId="2" fillId="6" borderId="16" xfId="0" applyNumberFormat="1" applyFont="1" applyFill="1" applyBorder="1" applyAlignment="1">
      <x:alignment vertical="center"/>
    </x:xf>
    <x:xf numFmtId="0" fontId="2" fillId="6" borderId="17" xfId="0" applyNumberFormat="1" applyFont="1" applyFill="1" applyBorder="1" applyAlignment="1">
      <x:alignment vertical="center"/>
    </x:xf>
    <x:xf numFmtId="0" fontId="2" fillId="3" borderId="18" xfId="0" applyNumberFormat="1" applyFont="1" applyFill="1" applyBorder="1" applyAlignment="1">
      <x:alignment vertical="center"/>
    </x:xf>
    <x:xf numFmtId="0" fontId="2" fillId="3" borderId="19" xfId="0" applyNumberFormat="1" applyFont="1" applyFill="1" applyBorder="1" applyAlignment="1">
      <x:alignment vertical="center"/>
    </x:xf>
    <x:xf numFmtId="0" fontId="2" fillId="3" borderId="18" xfId="0" applyNumberFormat="1" applyFont="1" applyFill="1" applyBorder="1" applyAlignment="1">
      <x:alignment horizontal="center" vertical="center"/>
    </x:xf>
    <x:xf numFmtId="0" fontId="2" fillId="3" borderId="19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1" xfId="0" applyNumberFormat="1" applyFont="1" applyFill="1" applyBorder="1" applyAlignment="1">
      <x:alignment vertical="center"/>
    </x:xf>
    <x:xf numFmtId="0" fontId="9" fillId="8" borderId="3" xfId="0" applyNumberFormat="1" applyFont="1" applyFill="1" applyBorder="1" applyAlignment="1">
      <x:alignment vertical="center"/>
    </x:xf>
    <x:xf numFmtId="0" fontId="9" fillId="8" borderId="20" xfId="0" applyNumberFormat="1" applyFont="1" applyFill="1" applyBorder="1" applyAlignment="1">
      <x:alignment vertical="center"/>
    </x:xf>
    <x:xf numFmtId="0" fontId="9" fillId="8" borderId="21" xfId="0" applyNumberFormat="1" applyFont="1" applyFill="1" applyBorder="1" applyAlignment="1">
      <x:alignment vertical="center"/>
    </x:xf>
    <x:xf numFmtId="0" fontId="9" fillId="8" borderId="4" xfId="0" applyNumberFormat="1" applyFont="1" applyFill="1" applyBorder="1" applyAlignment="1">
      <x:alignment vertical="center"/>
    </x:xf>
    <x:xf numFmtId="0" fontId="9" fillId="8" borderId="6" xfId="0" applyNumberFormat="1" applyFont="1" applyFill="1" applyBorder="1" applyAlignment="1">
      <x:alignment vertical="center"/>
    </x:xf>
    <x:xf numFmtId="200" fontId="9" fillId="8" borderId="1" xfId="0" applyNumberFormat="1" applyFont="1" applyFill="1" applyBorder="1" applyAlignment="1">
      <x:alignment vertical="center"/>
    </x:xf>
    <x:xf numFmtId="200" fontId="9" fillId="8" borderId="3" xfId="0" applyNumberFormat="1" applyFont="1" applyFill="1" applyBorder="1" applyAlignment="1">
      <x:alignment vertical="center"/>
    </x:xf>
    <x:xf numFmtId="200" fontId="9" fillId="8" borderId="20" xfId="0" applyNumberFormat="1" applyFont="1" applyFill="1" applyBorder="1" applyAlignment="1">
      <x:alignment vertical="center"/>
    </x:xf>
    <x:xf numFmtId="200" fontId="9" fillId="8" borderId="21" xfId="0" applyNumberFormat="1" applyFont="1" applyFill="1" applyBorder="1" applyAlignment="1">
      <x:alignment vertical="center"/>
    </x:xf>
    <x:xf numFmtId="200" fontId="9" fillId="8" borderId="4" xfId="0" applyNumberFormat="1" applyFont="1" applyFill="1" applyBorder="1" applyAlignment="1">
      <x:alignment vertical="center"/>
    </x:xf>
    <x:xf numFmtId="200" fontId="9" fillId="8" borderId="6" xfId="0" applyNumberFormat="1" applyFont="1" applyFill="1" applyBorder="1" applyAlignment="1">
      <x:alignment vertical="center"/>
    </x:xf>
    <x:xf numFmtId="200" fontId="9" fillId="8" borderId="1" xfId="0" applyNumberFormat="1" applyFont="1" applyFill="1" applyBorder="1" applyAlignment="1">
      <x:alignment horizontal="center" vertical="center"/>
    </x:xf>
    <x:xf numFmtId="200" fontId="9" fillId="8" borderId="3" xfId="0" applyNumberFormat="1" applyFont="1" applyFill="1" applyBorder="1" applyAlignment="1">
      <x:alignment horizontal="center" vertical="center"/>
    </x:xf>
    <x:xf numFmtId="200" fontId="9" fillId="8" borderId="20" xfId="0" applyNumberFormat="1" applyFont="1" applyFill="1" applyBorder="1" applyAlignment="1">
      <x:alignment horizontal="center" vertical="center"/>
    </x:xf>
    <x:xf numFmtId="200" fontId="9" fillId="8" borderId="21" xfId="0" applyNumberFormat="1" applyFont="1" applyFill="1" applyBorder="1" applyAlignment="1">
      <x:alignment horizontal="center" vertical="center"/>
    </x:xf>
    <x:xf numFmtId="200" fontId="9" fillId="8" borderId="4" xfId="0" applyNumberFormat="1" applyFont="1" applyFill="1" applyBorder="1" applyAlignment="1">
      <x:alignment horizontal="center" vertical="center"/>
    </x:xf>
    <x:xf numFmtId="200" fontId="9" fillId="8" borderId="6" xfId="0" applyNumberFormat="1" applyFont="1" applyFill="1" applyBorder="1" applyAlignment="1">
      <x:alignment horizontal="center" vertical="center"/>
    </x:xf>
    <x:xf numFmtId="201" fontId="9" fillId="8" borderId="1" xfId="0" applyNumberFormat="1" applyFont="1" applyFill="1" applyBorder="1" applyAlignment="1">
      <x:alignment vertical="center"/>
    </x:xf>
    <x:xf numFmtId="201" fontId="9" fillId="8" borderId="3" xfId="0" applyNumberFormat="1" applyFont="1" applyFill="1" applyBorder="1" applyAlignment="1">
      <x:alignment vertical="center"/>
    </x:xf>
    <x:xf numFmtId="201" fontId="9" fillId="8" borderId="20" xfId="0" applyNumberFormat="1" applyFont="1" applyFill="1" applyBorder="1" applyAlignment="1">
      <x:alignment vertical="center"/>
    </x:xf>
    <x:xf numFmtId="201" fontId="9" fillId="8" borderId="21" xfId="0" applyNumberFormat="1" applyFont="1" applyFill="1" applyBorder="1" applyAlignment="1">
      <x:alignment vertical="center"/>
    </x:xf>
    <x:xf numFmtId="201" fontId="9" fillId="8" borderId="4" xfId="0" applyNumberFormat="1" applyFont="1" applyFill="1" applyBorder="1" applyAlignment="1">
      <x:alignment vertical="center"/>
    </x:xf>
    <x:xf numFmtId="201" fontId="9" fillId="8" borderId="6" xfId="0" applyNumberFormat="1" applyFont="1" applyFill="1" applyBorder="1" applyAlignment="1">
      <x:alignment vertical="center"/>
    </x:xf>
    <x:xf numFmtId="201" fontId="9" fillId="8" borderId="1" xfId="0" applyNumberFormat="1" applyFont="1" applyFill="1" applyBorder="1" applyAlignment="1">
      <x:alignment horizontal="center" vertical="center"/>
    </x:xf>
    <x:xf numFmtId="201" fontId="9" fillId="8" borderId="3" xfId="0" applyNumberFormat="1" applyFont="1" applyFill="1" applyBorder="1" applyAlignment="1">
      <x:alignment horizontal="center" vertical="center"/>
    </x:xf>
    <x:xf numFmtId="201" fontId="9" fillId="8" borderId="20" xfId="0" applyNumberFormat="1" applyFont="1" applyFill="1" applyBorder="1" applyAlignment="1">
      <x:alignment horizontal="center" vertical="center"/>
    </x:xf>
    <x:xf numFmtId="201" fontId="9" fillId="8" borderId="21" xfId="0" applyNumberFormat="1" applyFont="1" applyFill="1" applyBorder="1" applyAlignment="1">
      <x:alignment horizontal="center" vertical="center"/>
    </x:xf>
    <x:xf numFmtId="201" fontId="9" fillId="8" borderId="4" xfId="0" applyNumberFormat="1" applyFont="1" applyFill="1" applyBorder="1" applyAlignment="1">
      <x:alignment horizontal="center" vertical="center"/>
    </x:xf>
    <x:xf numFmtId="201" fontId="9" fillId="8" borderId="6" xfId="0" applyNumberFormat="1" applyFont="1" applyFill="1" applyBorder="1" applyAlignment="1">
      <x:alignment horizontal="center" vertical="center"/>
    </x:xf>
    <x:xf numFmtId="0" fontId="2" fillId="6" borderId="16" xfId="0" applyNumberFormat="1" applyFont="1" applyFill="1" applyBorder="1" applyAlignment="1">
      <x:alignment horizontal="right" vertical="center"/>
    </x:xf>
    <x:xf numFmtId="200" fontId="1" fillId="8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horizontal="right" vertical="center"/>
    </x:xf>
    <x:xf numFmtId="201" fontId="1" fillId="8" borderId="0" xfId="0" applyNumberFormat="1" applyFont="1" applyFill="1" applyBorder="1" applyAlignment="1">
      <x:alignment vertical="center"/>
    </x:xf>
    <x:xf numFmtId="201" fontId="1" fillId="8" borderId="0" xfId="0" applyNumberFormat="1" applyFont="1" applyFill="1" applyBorder="1" applyAlignment="1">
      <x:alignment horizontal="right"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22" xfId="0" applyNumberFormat="1" applyFont="1" applyFill="1" applyBorder="1" applyAlignment="1">
      <x:alignment vertical="center"/>
    </x:xf>
    <x:xf numFmtId="0" fontId="9" fillId="5" borderId="23" xfId="0" applyNumberFormat="1" applyFont="1" applyFill="1" applyBorder="1" applyAlignment="1">
      <x:alignment vertical="center"/>
    </x:xf>
    <x:xf numFmtId="0" fontId="9" fillId="5" borderId="24" xfId="0" applyNumberFormat="1" applyFont="1" applyFill="1" applyBorder="1" applyAlignment="1">
      <x:alignment vertical="center"/>
    </x:xf>
    <x:xf numFmtId="0" fontId="9" fillId="5" borderId="25" xfId="0" applyNumberFormat="1" applyFont="1" applyFill="1" applyBorder="1" applyAlignment="1">
      <x:alignment vertical="center"/>
    </x:xf>
    <x:xf numFmtId="0" fontId="9" fillId="5" borderId="16" xfId="0" applyNumberFormat="1" applyFont="1" applyFill="1" applyBorder="1" applyAlignment="1">
      <x:alignment vertical="center"/>
    </x:xf>
    <x:xf numFmtId="0" fontId="9" fillId="5" borderId="26" xfId="0" applyNumberFormat="1" applyFont="1" applyFill="1" applyBorder="1" applyAlignment="1">
      <x:alignment vertical="center"/>
    </x:xf>
    <x:xf numFmtId="0" fontId="9" fillId="5" borderId="22" xfId="0" applyNumberFormat="1" applyFont="1" applyFill="1" applyBorder="1" applyAlignment="1">
      <x:alignment vertical="center" wrapText="1"/>
    </x:xf>
    <x:xf numFmtId="0" fontId="9" fillId="5" borderId="23" xfId="0" applyNumberFormat="1" applyFont="1" applyFill="1" applyBorder="1" applyAlignment="1">
      <x:alignment vertical="center" wrapText="1"/>
    </x:xf>
    <x:xf numFmtId="0" fontId="9" fillId="5" borderId="24" xfId="0" applyNumberFormat="1" applyFont="1" applyFill="1" applyBorder="1" applyAlignment="1">
      <x:alignment vertical="center" wrapText="1"/>
    </x:xf>
    <x:xf numFmtId="0" fontId="9" fillId="5" borderId="25" xfId="0" applyNumberFormat="1" applyFont="1" applyFill="1" applyBorder="1" applyAlignment="1">
      <x:alignment vertical="center" wrapText="1"/>
    </x:xf>
    <x:xf numFmtId="0" fontId="9" fillId="5" borderId="16" xfId="0" applyNumberFormat="1" applyFont="1" applyFill="1" applyBorder="1" applyAlignment="1">
      <x:alignment vertical="center" wrapText="1"/>
    </x:xf>
    <x:xf numFmtId="0" fontId="9" fillId="5" borderId="26" xfId="0" applyNumberFormat="1" applyFont="1" applyFill="1" applyBorder="1" applyAlignment="1">
      <x:alignment vertical="center" wrapText="1"/>
    </x:xf>
    <x:xf numFmtId="0" fontId="9" fillId="5" borderId="22" xfId="0" applyNumberFormat="1" applyFont="1" applyFill="1" applyBorder="1" applyAlignment="1">
      <x:alignment horizontal="center" vertical="center" wrapText="1"/>
    </x:xf>
    <x:xf numFmtId="0" fontId="9" fillId="5" borderId="23" xfId="0" applyNumberFormat="1" applyFont="1" applyFill="1" applyBorder="1" applyAlignment="1">
      <x:alignment horizontal="center" vertical="center" wrapText="1"/>
    </x:xf>
    <x:xf numFmtId="0" fontId="9" fillId="5" borderId="24" xfId="0" applyNumberFormat="1" applyFont="1" applyFill="1" applyBorder="1" applyAlignment="1">
      <x:alignment horizontal="center" vertical="center" wrapText="1"/>
    </x:xf>
    <x:xf numFmtId="0" fontId="9" fillId="5" borderId="25" xfId="0" applyNumberFormat="1" applyFont="1" applyFill="1" applyBorder="1" applyAlignment="1">
      <x:alignment horizontal="center" vertical="center" wrapText="1"/>
    </x:xf>
    <x:xf numFmtId="0" fontId="9" fillId="5" borderId="16" xfId="0" applyNumberFormat="1" applyFont="1" applyFill="1" applyBorder="1" applyAlignment="1">
      <x:alignment horizontal="center" vertical="center" wrapText="1"/>
    </x:xf>
    <x:xf numFmtId="0" fontId="9" fillId="5" borderId="26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 applyAlignment="1">
      <x:alignment vertical="center"/>
    </x:xf>
    <x:xf numFmtId="0" fontId="11" fillId="8" borderId="27" xfId="0" applyNumberFormat="1" applyFont="1" applyFill="1" applyBorder="1" applyAlignment="1">
      <x:alignment vertical="center"/>
    </x:xf>
    <x:xf numFmtId="0" fontId="11" fillId="8" borderId="28" xfId="0" applyNumberFormat="1" applyFont="1" applyFill="1" applyBorder="1" applyAlignment="1">
      <x:alignment vertical="center"/>
    </x:xf>
    <x:xf numFmtId="0" fontId="11" fillId="8" borderId="27" xfId="0" applyNumberFormat="1" applyFont="1" applyFill="1" applyBorder="1" applyAlignment="1">
      <x:alignment horizontal="center" vertical="center"/>
    </x:xf>
    <x:xf numFmtId="0" fontId="11" fillId="8" borderId="28" xfId="0" applyNumberFormat="1" applyFont="1" applyFill="1" applyBorder="1" applyAlignment="1">
      <x:alignment horizontal="center" vertical="center"/>
    </x:xf>
    <x:xf numFmtId="0" fontId="12" fillId="9" borderId="0" xfId="0" applyNumberFormat="1" applyFont="1" applyFill="1" applyBorder="1" applyAlignment="1">
      <x:alignment vertical="center"/>
    </x:xf>
    <x:xf numFmtId="0" fontId="12" fillId="9" borderId="27" xfId="0" applyNumberFormat="1" applyFont="1" applyFill="1" applyBorder="1" applyAlignment="1">
      <x:alignment vertical="center"/>
    </x:xf>
    <x:xf numFmtId="0" fontId="12" fillId="9" borderId="28" xfId="0" applyNumberFormat="1" applyFont="1" applyFill="1" applyBorder="1" applyAlignment="1">
      <x:alignment vertical="center"/>
    </x:xf>
    <x:xf numFmtId="0" fontId="12" fillId="9" borderId="27" xfId="0" applyNumberFormat="1" applyFont="1" applyFill="1" applyBorder="1" applyAlignment="1">
      <x:alignment vertical="center" wrapText="1"/>
    </x:xf>
    <x:xf numFmtId="0" fontId="12" fillId="9" borderId="28" xfId="0" applyNumberFormat="1" applyFont="1" applyFill="1" applyBorder="1" applyAlignment="1">
      <x:alignment vertical="center" wrapText="1"/>
    </x:xf>
    <x:xf numFmtId="0" fontId="12" fillId="9" borderId="27" xfId="0" applyNumberFormat="1" applyFont="1" applyFill="1" applyBorder="1" applyAlignment="1">
      <x:alignment horizontal="center" vertical="center" wrapText="1"/>
    </x:xf>
    <x:xf numFmtId="0" fontId="12" fillId="9" borderId="28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vertical="center"/>
    </x:xf>
    <x:xf numFmtId="0" fontId="3" fillId="8" borderId="3" xfId="0" applyNumberFormat="1" applyFont="1" applyFill="1" applyBorder="1" applyAlignment="1">
      <x:alignment vertical="center"/>
    </x:xf>
    <x:xf numFmtId="0" fontId="3" fillId="8" borderId="4" xfId="0" applyNumberFormat="1" applyFont="1" applyFill="1" applyBorder="1" applyAlignment="1">
      <x:alignment vertical="center"/>
    </x:xf>
    <x:xf numFmtId="0" fontId="3" fillId="8" borderId="5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4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3" fillId="8" borderId="6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0" fontId="1" fillId="8" borderId="3" xfId="0" applyNumberFormat="1" applyFont="1" applyFill="1" applyBorder="1" applyAlignment="1">
      <x:alignment vertical="center"/>
    </x:xf>
    <x:xf numFmtId="0" fontId="1" fillId="8" borderId="20" xfId="0" applyNumberFormat="1" applyFont="1" applyFill="1" applyBorder="1" applyAlignment="1">
      <x:alignment vertical="center"/>
    </x:xf>
    <x:xf numFmtId="0" fontId="1" fillId="8" borderId="21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8" borderId="5" xfId="0" applyNumberFormat="1" applyFont="1" applyFill="1" applyBorder="1" applyAlignment="1">
      <x:alignment vertical="center"/>
    </x:xf>
    <x:xf numFmtId="0" fontId="1" fillId="8" borderId="6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1" fillId="8" borderId="2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21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0" fontId="1" fillId="8" borderId="5" xfId="0" applyNumberFormat="1" applyFont="1" applyFill="1" applyBorder="1" applyAlignment="1">
      <x:alignment vertical="center" wrapText="1"/>
    </x:xf>
    <x:xf numFmtId="0" fontId="1" fillId="8" borderId="6" xfId="0" applyNumberFormat="1" applyFont="1" applyFill="1" applyBorder="1" applyAlignment="1">
      <x:alignment vertical="center" wrapText="1"/>
    </x:xf>
    <x:xf numFmtId="0" fontId="3" fillId="5" borderId="27" xfId="0" applyNumberFormat="1" applyFont="1" applyFill="1" applyBorder="1" applyAlignment="1">
      <x:alignment vertical="center"/>
    </x:xf>
    <x:xf numFmtId="0" fontId="3" fillId="5" borderId="29" xfId="0" applyNumberFormat="1" applyFont="1" applyFill="1" applyBorder="1" applyAlignment="1">
      <x:alignment vertical="center"/>
    </x:xf>
    <x:xf numFmtId="0" fontId="3" fillId="5" borderId="28" xfId="0" applyNumberFormat="1" applyFont="1" applyFill="1" applyBorder="1" applyAlignment="1">
      <x:alignment vertical="center"/>
    </x:xf>
    <x:xf numFmtId="0" fontId="3" fillId="5" borderId="27" xfId="0" applyNumberFormat="1" applyFont="1" applyFill="1" applyBorder="1" applyAlignment="1">
      <x:alignment horizontal="center" vertical="center"/>
    </x:xf>
    <x:xf numFmtId="0" fontId="3" fillId="5" borderId="29" xfId="0" applyNumberFormat="1" applyFont="1" applyFill="1" applyBorder="1" applyAlignment="1">
      <x:alignment horizontal="center" vertical="center"/>
    </x:xf>
    <x:xf numFmtId="0" fontId="3" fillId="5" borderId="28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 applyAlignment="1">
      <x:alignment vertical="center"/>
    </x:xf>
    <x:xf numFmtId="0" fontId="11" fillId="8" borderId="29" xfId="0" applyNumberFormat="1" applyFont="1" applyFill="1" applyBorder="1" applyAlignment="1">
      <x:alignment vertical="center"/>
    </x:xf>
    <x:xf numFmtId="0" fontId="11" fillId="8" borderId="29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/>
    </x:xf>
    <x:xf numFmtId="201" fontId="1" fillId="8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 wrapText="1"/>
    </x:xf>
    <x:xf numFmtId="0" fontId="6" fillId="9" borderId="27" xfId="0" applyNumberFormat="1" applyFont="1" applyFill="1" applyBorder="1" applyAlignment="1">
      <x:alignment vertical="center"/>
    </x:xf>
    <x:xf numFmtId="0" fontId="6" fillId="9" borderId="29" xfId="0" applyNumberFormat="1" applyFont="1" applyFill="1" applyBorder="1" applyAlignment="1">
      <x:alignment vertical="center"/>
    </x:xf>
    <x:xf numFmtId="0" fontId="6" fillId="9" borderId="28" xfId="0" applyNumberFormat="1" applyFont="1" applyFill="1" applyBorder="1" applyAlignment="1">
      <x:alignment vertical="center"/>
    </x:xf>
    <x:xf numFmtId="0" fontId="6" fillId="9" borderId="27" xfId="0" applyNumberFormat="1" applyFont="1" applyFill="1" applyBorder="1" applyAlignment="1">
      <x:alignment horizontal="center" vertical="center"/>
    </x:xf>
    <x:xf numFmtId="0" fontId="6" fillId="9" borderId="29" xfId="0" applyNumberFormat="1" applyFont="1" applyFill="1" applyBorder="1" applyAlignment="1">
      <x:alignment horizontal="center" vertical="center"/>
    </x:xf>
    <x:xf numFmtId="0" fontId="6" fillId="9" borderId="28" xfId="0" applyNumberFormat="1" applyFont="1" applyFill="1" applyBorder="1" applyAlignment="1">
      <x:alignment horizontal="center" vertical="center"/>
    </x:xf>
    <x:xf numFmtId="0" fontId="3" fillId="5" borderId="20" xfId="0" applyNumberFormat="1" applyFont="1" applyFill="1" applyBorder="1" applyAlignment="1">
      <x:alignment vertical="center"/>
    </x:xf>
    <x:xf numFmtId="0" fontId="3" fillId="5" borderId="2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3" fillId="5" borderId="2" xfId="0" applyNumberFormat="1" applyFont="1" applyFill="1" applyBorder="1" applyAlignment="1">
      <x:alignment horizontal="left" vertical="center"/>
    </x:xf>
    <x:xf numFmtId="0" fontId="3" fillId="5" borderId="3" xfId="0" applyNumberFormat="1" applyFont="1" applyFill="1" applyBorder="1" applyAlignment="1">
      <x:alignment horizontal="left" vertical="center"/>
    </x:xf>
    <x:xf numFmtId="0" fontId="3" fillId="5" borderId="20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horizontal="left" vertical="center"/>
    </x:xf>
    <x:xf numFmtId="0" fontId="3" fillId="5" borderId="21" xfId="0" applyNumberFormat="1" applyFont="1" applyFill="1" applyBorder="1" applyAlignment="1">
      <x:alignment horizontal="left" vertical="center"/>
    </x:xf>
    <x:xf numFmtId="0" fontId="3" fillId="5" borderId="4" xfId="0" applyNumberFormat="1" applyFont="1" applyFill="1" applyBorder="1" applyAlignment="1">
      <x:alignment horizontal="left" vertical="center"/>
    </x:xf>
    <x:xf numFmtId="0" fontId="3" fillId="5" borderId="5" xfId="0" applyNumberFormat="1" applyFont="1" applyFill="1" applyBorder="1" applyAlignment="1">
      <x:alignment horizontal="left" vertical="center"/>
    </x:xf>
    <x:xf numFmtId="0" fontId="3" fillId="5" borderId="6" xfId="0" applyNumberFormat="1" applyFont="1" applyFill="1" applyBorder="1" applyAlignment="1">
      <x:alignment horizontal="left" vertical="center"/>
    </x:xf>
    <x:xf numFmtId="0" fontId="11" fillId="8" borderId="1" xfId="0" applyNumberFormat="1" applyFont="1" applyFill="1" applyBorder="1" applyAlignment="1">
      <x:alignment vertical="center"/>
    </x:xf>
    <x:xf numFmtId="0" fontId="11" fillId="8" borderId="3" xfId="0" applyNumberFormat="1" applyFont="1" applyFill="1" applyBorder="1" applyAlignment="1">
      <x:alignment vertical="center"/>
    </x:xf>
    <x:xf numFmtId="0" fontId="11" fillId="8" borderId="4" xfId="0" applyNumberFormat="1" applyFont="1" applyFill="1" applyBorder="1" applyAlignment="1">
      <x:alignment vertical="center"/>
    </x:xf>
    <x:xf numFmtId="0" fontId="11" fillId="8" borderId="6" xfId="0" applyNumberFormat="1" applyFont="1" applyFill="1" applyBorder="1" applyAlignment="1">
      <x:alignment vertical="center"/>
    </x:xf>
    <x:xf numFmtId="0" fontId="11" fillId="8" borderId="1" xfId="0" applyNumberFormat="1" applyFont="1" applyFill="1" applyBorder="1" applyAlignment="1">
      <x:alignment horizontal="center" vertical="center"/>
    </x:xf>
    <x:xf numFmtId="0" fontId="11" fillId="8" borderId="3" xfId="0" applyNumberFormat="1" applyFont="1" applyFill="1" applyBorder="1" applyAlignment="1">
      <x:alignment horizontal="center" vertical="center"/>
    </x:xf>
    <x:xf numFmtId="0" fontId="11" fillId="8" borderId="4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9" fillId="5" borderId="27" xfId="0" applyNumberFormat="1" applyFont="1" applyFill="1" applyBorder="1" applyAlignment="1">
      <x:alignment vertical="center"/>
    </x:xf>
    <x:xf numFmtId="0" fontId="9" fillId="5" borderId="28" xfId="0" applyNumberFormat="1" applyFont="1" applyFill="1" applyBorder="1" applyAlignment="1">
      <x:alignment vertical="center"/>
    </x:xf>
    <x:xf numFmtId="0" fontId="9" fillId="5" borderId="27" xfId="0" applyNumberFormat="1" applyFont="1" applyFill="1" applyBorder="1" applyAlignment="1">
      <x:alignment horizontal="center" vertical="center"/>
    </x:xf>
    <x:xf numFmtId="0" fontId="9" fillId="5" borderId="28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8" borderId="6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vertical="center"/>
    </x:xf>
    <x:xf numFmtId="0" fontId="6" fillId="9" borderId="2" xfId="0" applyNumberFormat="1" applyFont="1" applyFill="1" applyBorder="1" applyAlignment="1">
      <x:alignment vertical="center"/>
    </x:xf>
    <x:xf numFmtId="0" fontId="6" fillId="9" borderId="3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vertical="center"/>
    </x:xf>
    <x:xf numFmtId="0" fontId="6" fillId="9" borderId="6" xfId="0" applyNumberFormat="1" applyFont="1" applyFill="1" applyBorder="1" applyAlignment="1">
      <x:alignment vertical="center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6"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841ab396064bd5" /><Relationship Type="http://schemas.openxmlformats.org/officeDocument/2006/relationships/theme" Target="/xl/theme/theme1.xml" Id="Rc8a4631e472e408f" /><Relationship Type="http://schemas.openxmlformats.org/officeDocument/2006/relationships/sharedStrings" Target="/xl/sharedStrings.xml" Id="R57ed2432f18c48e0" /><Relationship Type="http://schemas.openxmlformats.org/officeDocument/2006/relationships/worksheet" Target="/xl/worksheets/sheet1.xml" Id="Rd7cbb441e71a4369" /><Relationship Type="http://schemas.openxmlformats.org/officeDocument/2006/relationships/worksheet" Target="/xl/worksheets/sheet2.xml" Id="Re2e45baf8d164899" /><Relationship Type="http://schemas.openxmlformats.org/officeDocument/2006/relationships/worksheet" Target="/xl/worksheets/sheet3.xml" Id="Rcb972ec424714d2b" /><Relationship Type="http://schemas.openxmlformats.org/officeDocument/2006/relationships/worksheet" Target="/xl/worksheets/sheet4.xml" Id="Ra4ce830da6a2498d" /><Relationship Type="http://schemas.openxmlformats.org/officeDocument/2006/relationships/worksheet" Target="/xl/worksheets/sheet5.xml" Id="Rcd07afe814684f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TDAT FINANCIAL MODEL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TDAT-FM-RSK-003 · One stress date · v1.4.0 · Five visible tabs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219" t="str">
        <x:v>Market Risk / Portfolio Stress</x:v>
      </x:c>
      <x:c r="B5" s="220"/>
      <x:c r="C5" s="220"/>
      <x:c r="D5" s="220"/>
      <x:c r="E5" s="220"/>
      <x:c r="F5" s="221"/>
      <x:c r="G5" s="57" t="str">
        <x:v>MODEL STATUS</x:v>
      </x:c>
      <x:c r="H5" s="57"/>
    </x:row>
    <x:row r="6" ht="20" customHeight="1">
      <x:c r="A6" s="222"/>
      <x:c r="B6" s="223"/>
      <x:c r="C6" s="223"/>
      <x:c r="D6" s="223"/>
      <x:c r="E6" s="223"/>
      <x:c r="F6" s="224"/>
      <x:c r="G6" s="232" t="str">
        <x:f>'Checks'!B4</x:f>
        <x:v>PASS</x:v>
      </x:c>
      <x:c r="H6" s="233"/>
    </x:row>
    <x:row r="7" ht="20" customHeight="1">
      <x:c r="A7" s="225"/>
      <x:c r="B7" s="226"/>
      <x:c r="C7" s="226"/>
      <x:c r="D7" s="226"/>
      <x:c r="E7" s="226"/>
      <x:c r="F7" s="227"/>
      <x:c r="G7" s="234"/>
      <x:c r="H7" s="235"/>
    </x:row>
    <x:row r="8" ht="20" customHeight="1">
      <x:c r="A8" s="3"/>
      <x:c r="B8" s="3"/>
      <x:c r="C8" s="3"/>
      <x:c r="D8" s="3"/>
      <x:c r="E8" s="3"/>
      <x:c r="F8" s="3"/>
      <x:c r="G8" s="3"/>
      <x:c r="H8" s="3"/>
    </x:row>
    <x:row r="9" ht="20" customHeight="1">
      <x:c r="A9" s="58" t="str">
        <x:v>WHAT THIS MODEL IS FOR</x:v>
      </x:c>
      <x:c r="B9" s="58"/>
      <x:c r="C9" s="58"/>
      <x:c r="D9" s="58"/>
      <x:c r="E9" s="58"/>
      <x:c r="F9" s="58"/>
      <x:c r="G9" s="58"/>
      <x:c r="H9" s="58"/>
    </x:row>
    <x:row r="10" ht="20" customHeight="1">
      <x:c r="A10" s="168" t="str">
        <x:v>How much could a three-asset portfolio lose under direct shocks?</x:v>
      </x:c>
      <x:c r="B10" s="169"/>
      <x:c r="C10" s="169"/>
      <x:c r="D10" s="169"/>
      <x:c r="E10" s="169"/>
      <x:c r="F10" s="169"/>
      <x:c r="G10" s="169"/>
      <x:c r="H10" s="170"/>
    </x:row>
    <x:row r="11" ht="20" customHeight="1">
      <x:c r="A11" s="171"/>
      <x:c r="B11" s="172"/>
      <x:c r="C11" s="172"/>
      <x:c r="D11" s="172"/>
      <x:c r="E11" s="172"/>
      <x:c r="F11" s="172"/>
      <x:c r="G11" s="172"/>
      <x:c r="H11" s="173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58" t="str">
        <x:v>USE IT IN FOUR STEPS</x:v>
      </x:c>
      <x:c r="B13" s="58"/>
      <x:c r="C13" s="58"/>
      <x:c r="D13" s="58"/>
      <x:c r="E13" s="58"/>
      <x:c r="F13" s="58"/>
      <x:c r="G13" s="58"/>
      <x:c r="H13" s="58"/>
    </x:row>
    <x:row r="14" ht="20" customHeight="1">
      <x:c r="A14" s="238" t="str">
        <x:v>1 · INPUTS</x:v>
      </x:c>
      <x:c r="B14" s="239"/>
      <x:c r="C14" s="238" t="str">
        <x:v>2 · MODEL</x:v>
      </x:c>
      <x:c r="D14" s="239"/>
      <x:c r="E14" s="238" t="str">
        <x:v>3 · RESULTS</x:v>
      </x:c>
      <x:c r="F14" s="239"/>
      <x:c r="G14" s="238" t="str">
        <x:v>4 · CHECKS</x:v>
      </x:c>
      <x:c r="H14" s="239"/>
    </x:row>
    <x:row r="15" ht="20" customHeight="1">
      <x:c r="A15" s="240" t="str">
        <x:v>Edit only blue cells</x:v>
      </x:c>
      <x:c r="B15" s="241"/>
      <x:c r="C15" s="240" t="str">
        <x:v>Trace schedules and formulas</x:v>
      </x:c>
      <x:c r="D15" s="241"/>
      <x:c r="E15" s="240" t="str">
        <x:v>Read the linked decision view</x:v>
      </x:c>
      <x:c r="F15" s="241"/>
      <x:c r="G15" s="240" t="str">
        <x:v>Resolve every FAIL</x:v>
      </x:c>
      <x:c r="H15" s="241"/>
    </x:row>
    <x:row r="16" ht="20" customHeight="1">
      <x:c r="A16" s="242"/>
      <x:c r="B16" s="243"/>
      <x:c r="C16" s="242"/>
      <x:c r="D16" s="243"/>
      <x:c r="E16" s="242"/>
      <x:c r="F16" s="243"/>
      <x:c r="G16" s="242"/>
      <x:c r="H16" s="243"/>
    </x:row>
    <x:row r="17" ht="20" customHeight="1">
      <x:c r="A17" s="3"/>
      <x:c r="B17" s="3"/>
      <x:c r="C17" s="3"/>
      <x:c r="D17" s="3"/>
      <x:c r="E17" s="3"/>
      <x:c r="F17" s="3"/>
      <x:c r="G17" s="3"/>
      <x:c r="H17" s="3"/>
    </x:row>
    <x:row r="18" ht="20" customHeight="1">
      <x:c r="A18" s="58" t="str">
        <x:v>DEPTH WITHOUT EXTRA TABS</x:v>
      </x:c>
      <x:c r="B18" s="58"/>
      <x:c r="C18" s="58"/>
      <x:c r="D18" s="58"/>
      <x:c r="E18" s="58"/>
      <x:c r="F18" s="58"/>
      <x:c r="G18" s="58"/>
      <x:c r="H18" s="58"/>
    </x:row>
    <x:row r="19" ht="20" customHeight="1">
      <x:c r="A19" s="147" t="str">
        <x:v>Forecast</x:v>
      </x:c>
      <x:c r="B19" s="147"/>
      <x:c r="C19" s="161" t="str">
        <x:v>One stress date</x:v>
      </x:c>
      <x:c r="D19" s="161"/>
      <x:c r="E19" s="161"/>
      <x:c r="F19" s="161"/>
      <x:c r="G19" s="161"/>
      <x:c r="H19" s="161"/>
    </x:row>
    <x:row r="20" ht="20" customHeight="1">
      <x:c r="A20" s="147" t="str">
        <x:v>Editable inputs</x:v>
      </x:c>
      <x:c r="B20" s="147"/>
      <x:c r="C20" s="161" t="str">
        <x:v>9</x:v>
      </x:c>
      <x:c r="D20" s="161"/>
      <x:c r="E20" s="161"/>
      <x:c r="F20" s="161"/>
      <x:c r="G20" s="161"/>
      <x:c r="H20" s="161"/>
    </x:row>
    <x:row r="21" ht="20" customHeight="1">
      <x:c r="A21" s="147" t="str">
        <x:v>Visible sheets</x:v>
      </x:c>
      <x:c r="B21" s="147"/>
      <x:c r="C21" s="161" t="str">
        <x:v>5</x:v>
      </x:c>
      <x:c r="D21" s="161"/>
      <x:c r="E21" s="161"/>
      <x:c r="F21" s="161"/>
      <x:c r="G21" s="161"/>
      <x:c r="H21" s="161"/>
    </x:row>
    <x:row r="22" ht="20" customHeight="1">
      <x:c r="A22" s="147" t="str">
        <x:v>Setup</x:v>
      </x:c>
      <x:c r="B22" s="147"/>
      <x:c r="C22" s="161" t="str">
        <x:v>10–15 minutes</x:v>
      </x:c>
      <x:c r="D22" s="161"/>
      <x:c r="E22" s="161"/>
      <x:c r="F22" s="161"/>
      <x:c r="G22" s="161"/>
      <x:c r="H22" s="161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58" t="str">
        <x:v>FIT &amp; SCOPE</x:v>
      </x:c>
      <x:c r="B24" s="58"/>
      <x:c r="C24" s="58"/>
      <x:c r="D24" s="58"/>
      <x:c r="E24" s="58"/>
      <x:c r="F24" s="58"/>
      <x:c r="G24" s="58"/>
      <x:c r="H24" s="58"/>
    </x:row>
    <x:row r="25" ht="20" customHeight="1">
      <x:c r="A25" s="182" t="str">
        <x:v>Included: Three asset buckets and direct price shocks · Four-line asset and liquidity loss attribution · Stress and concentration limit headroom</x:v>
      </x:c>
      <x:c r="B25" s="183"/>
      <x:c r="C25" s="183"/>
      <x:c r="D25" s="183"/>
      <x:c r="E25" s="183"/>
      <x:c r="F25" s="183"/>
      <x:c r="G25" s="183"/>
      <x:c r="H25" s="184"/>
    </x:row>
    <x:row r="26" ht="20" customHeight="1">
      <x:c r="A26" s="188"/>
      <x:c r="B26" s="189"/>
      <x:c r="C26" s="189"/>
      <x:c r="D26" s="189"/>
      <x:c r="E26" s="189"/>
      <x:c r="F26" s="189"/>
      <x:c r="G26" s="189"/>
      <x:c r="H26" s="190"/>
    </x:row>
    <x:row r="27" ht="20" customHeight="1">
      <x:c r="A27" s="250" t="str">
        <x:v>Scope boundary: VaR, expected shortfall, duration, greeks, correlations, full revaluation, and advice.</x:v>
      </x:c>
      <x:c r="B27" s="251"/>
      <x:c r="C27" s="251"/>
      <x:c r="D27" s="251"/>
      <x:c r="E27" s="251"/>
      <x:c r="F27" s="251"/>
      <x:c r="G27" s="251"/>
      <x:c r="H27" s="252"/>
    </x:row>
    <x:row r="28" ht="20" customHeight="1">
      <x:c r="A28" s="253"/>
      <x:c r="B28" s="254"/>
      <x:c r="C28" s="254"/>
      <x:c r="D28" s="254"/>
      <x:c r="E28" s="254"/>
      <x:c r="F28" s="254"/>
      <x:c r="G28" s="254"/>
      <x:c r="H28" s="255"/>
    </x:row>
    <x:row r="29" ht="20" customHeight="1">
      <x:c r="A29" s="257" t="str">
        <x:v>Synthetic demonstration only · Tested 2026-08-17 · Excel 365 · Macro-free · No external links</x:v>
      </x:c>
      <x:c r="B29" s="257"/>
      <x:c r="C29" s="257"/>
      <x:c r="D29" s="257"/>
      <x:c r="E29" s="257"/>
      <x:c r="F29" s="257"/>
      <x:c r="G29" s="257"/>
      <x:c r="H29" s="257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57" t="str">
        <x:v>Market Risk / Portfolio Stress · Start → Inputs → Model → Results → Checks</x:v>
      </x:c>
      <x:c r="B31" s="57"/>
      <x:c r="C31" s="57"/>
      <x:c r="D31" s="57"/>
      <x:c r="E31" s="57"/>
      <x:c r="F31" s="57"/>
      <x:c r="G31" s="57"/>
      <x:c r="H31" s="57"/>
    </x:row>
  </x:sheetData>
  <x:mergeCells>
    <x:mergeCell ref="A1:H2"/>
    <x:mergeCell ref="A3:H3"/>
    <x:mergeCell ref="A5:F7"/>
    <x:mergeCell ref="G5:H5"/>
    <x:mergeCell ref="G6:H7"/>
    <x:mergeCell ref="A9:H9"/>
    <x:mergeCell ref="A10:H11"/>
    <x:mergeCell ref="A13:H13"/>
    <x:mergeCell ref="A14:B14"/>
    <x:mergeCell ref="A15:B16"/>
    <x:mergeCell ref="C14:D14"/>
    <x:mergeCell ref="C15:D16"/>
    <x:mergeCell ref="E14:F14"/>
    <x:mergeCell ref="E15:F16"/>
    <x:mergeCell ref="G14:H14"/>
    <x:mergeCell ref="G15:H16"/>
    <x:mergeCell ref="A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4:H24"/>
    <x:mergeCell ref="A25:H26"/>
    <x:mergeCell ref="A27:H28"/>
    <x:mergeCell ref="A29:H29"/>
    <x:mergeCell ref="A31:H31"/>
  </x:mergeCells>
  <x:conditionalFormatting sqref="G6:H7">
    <x:cfRule type="containsText" dxfId="24" priority="1" operator="containsText" text="FAIL"/>
    <x:cfRule type="containsText" dxfId="25" priority="2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INPUTS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Market Risk / Portfolio Stress · Only blue cells are editable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8" t="str">
        <x:v>Change the blue assumptions below. The Model sheet expands them into visible formulas, schedules, and roll-forwards.</x:v>
      </x:c>
      <x:c r="B5" s="19"/>
      <x:c r="C5" s="19"/>
      <x:c r="D5" s="19"/>
      <x:c r="E5" s="19"/>
      <x:c r="F5" s="19"/>
      <x:c r="G5" s="19"/>
      <x:c r="H5" s="20"/>
    </x:row>
    <x:row r="6" ht="20" customHeight="1">
      <x:c r="A6" s="21"/>
      <x:c r="B6" s="22"/>
      <x:c r="C6" s="22"/>
      <x:c r="D6" s="22"/>
      <x:c r="E6" s="22"/>
      <x:c r="F6" s="22"/>
      <x:c r="G6" s="22"/>
      <x:c r="H6" s="23"/>
    </x:row>
    <x:row r="7" ht="20" customHeight="1">
      <x:c r="A7" s="3"/>
      <x:c r="B7" s="3"/>
      <x:c r="C7" s="3"/>
      <x:c r="D7" s="3"/>
      <x:c r="E7" s="3"/>
      <x:c r="F7" s="3"/>
      <x:c r="G7" s="3"/>
      <x:c r="H7" s="3"/>
    </x:row>
    <x:row r="8" ht="20" customHeight="1">
      <x:c r="A8" s="26" t="str">
        <x:v>CORE ASSUMPTIONS</x:v>
      </x:c>
      <x:c r="B8" s="26"/>
      <x:c r="C8" s="26"/>
      <x:c r="D8" s="26"/>
      <x:c r="E8" s="26"/>
      <x:c r="F8" s="26"/>
      <x:c r="G8" s="26"/>
      <x:c r="H8" s="26"/>
    </x:row>
    <x:row r="9" ht="20" customHeight="1">
      <x:c r="A9" s="28" t="str">
        <x:v>Input</x:v>
      </x:c>
      <x:c r="B9" s="28" t="str">
        <x:v>Value</x:v>
      </x:c>
      <x:c r="C9" s="28" t="str">
        <x:v>Unit</x:v>
      </x:c>
      <x:c r="D9" s="28" t="str">
        <x:v>Purpose</x:v>
      </x:c>
      <x:c r="E9" s="28"/>
      <x:c r="F9" s="28"/>
      <x:c r="G9" s="28"/>
      <x:c r="H9" s="28"/>
    </x:row>
    <x:row r="10" ht="20" customHeight="1">
      <x:c r="A10" s="3" t="str">
        <x:v>Equities</x:v>
      </x:c>
      <x:c r="B10" s="39" t="n">
        <x:v>500</x:v>
      </x:c>
      <x:c r="C10" s="3" t="str">
        <x:v>LCY 000</x:v>
      </x:c>
      <x:c r="D10" s="37" t="str">
        <x:v>Current market value</x:v>
      </x:c>
      <x:c r="E10" s="38"/>
      <x:c r="F10" s="38"/>
      <x:c r="G10" s="38"/>
      <x:c r="H10" s="38"/>
    </x:row>
    <x:row r="11" ht="20" customHeight="1">
      <x:c r="A11" s="3" t="str">
        <x:v>Bonds</x:v>
      </x:c>
      <x:c r="B11" s="39" t="n">
        <x:v>300</x:v>
      </x:c>
      <x:c r="C11" s="3" t="str">
        <x:v>LCY 000</x:v>
      </x:c>
      <x:c r="D11" s="37" t="str">
        <x:v>Current market value</x:v>
      </x:c>
      <x:c r="E11" s="38"/>
      <x:c r="F11" s="38"/>
      <x:c r="G11" s="38"/>
      <x:c r="H11" s="38"/>
    </x:row>
    <x:row r="12" ht="20" customHeight="1">
      <x:c r="A12" s="3" t="str">
        <x:v>Other assets</x:v>
      </x:c>
      <x:c r="B12" s="39" t="n">
        <x:v>200</x:v>
      </x:c>
      <x:c r="C12" s="3" t="str">
        <x:v>LCY 000</x:v>
      </x:c>
      <x:c r="D12" s="37" t="str">
        <x:v>Current market value</x:v>
      </x:c>
      <x:c r="E12" s="38"/>
      <x:c r="F12" s="38"/>
      <x:c r="G12" s="38"/>
      <x:c r="H12" s="38"/>
    </x:row>
    <x:row r="13" ht="20" customHeight="1">
      <x:c r="A13" s="3" t="str">
        <x:v>Equity shock</x:v>
      </x:c>
      <x:c r="B13" s="42" t="n">
        <x:v>-0.25</x:v>
      </x:c>
      <x:c r="C13" s="3" t="str">
        <x:v>%</x:v>
      </x:c>
      <x:c r="D13" s="37" t="str">
        <x:v>Direct change in equity value</x:v>
      </x:c>
      <x:c r="E13" s="38"/>
      <x:c r="F13" s="38"/>
      <x:c r="G13" s="38"/>
      <x:c r="H13" s="38"/>
    </x:row>
    <x:row r="14" ht="20" customHeight="1">
      <x:c r="A14" s="3" t="str">
        <x:v>Bond shock</x:v>
      </x:c>
      <x:c r="B14" s="42" t="n">
        <x:v>-0.08</x:v>
      </x:c>
      <x:c r="C14" s="3" t="str">
        <x:v>%</x:v>
      </x:c>
      <x:c r="D14" s="37" t="str">
        <x:v>Direct change in bond value</x:v>
      </x:c>
      <x:c r="E14" s="38"/>
      <x:c r="F14" s="38"/>
      <x:c r="G14" s="38"/>
      <x:c r="H14" s="38"/>
    </x:row>
    <x:row r="15" ht="20" customHeight="1">
      <x:c r="A15" s="3" t="str">
        <x:v>Other-asset shock</x:v>
      </x:c>
      <x:c r="B15" s="42" t="n">
        <x:v>-0.15</x:v>
      </x:c>
      <x:c r="C15" s="3" t="str">
        <x:v>%</x:v>
      </x:c>
      <x:c r="D15" s="37" t="str">
        <x:v>Direct change in other assets</x:v>
      </x:c>
      <x:c r="E15" s="38"/>
      <x:c r="F15" s="38"/>
      <x:c r="G15" s="38"/>
      <x:c r="H15" s="38"/>
    </x:row>
    <x:row r="16" ht="20" customHeight="1">
      <x:c r="A16" s="3" t="str">
        <x:v>Liquidity haircut</x:v>
      </x:c>
      <x:c r="B16" s="42" t="n">
        <x:v>0.02</x:v>
      </x:c>
      <x:c r="C16" s="3" t="str">
        <x:v>%</x:v>
      </x:c>
      <x:c r="D16" s="37" t="str">
        <x:v>Extra portfolio-wide loss</x:v>
      </x:c>
      <x:c r="E16" s="38"/>
      <x:c r="F16" s="38"/>
      <x:c r="G16" s="38"/>
      <x:c r="H16" s="38"/>
    </x:row>
    <x:row r="17" ht="20" customHeight="1">
      <x:c r="A17" s="3" t="str">
        <x:v>Stress-loss limit</x:v>
      </x:c>
      <x:c r="B17" s="42" t="n">
        <x:v>0.2</x:v>
      </x:c>
      <x:c r="C17" s="3" t="str">
        <x:v>% portfolio</x:v>
      </x:c>
      <x:c r="D17" s="37" t="str">
        <x:v>Maximum accepted stressed loss</x:v>
      </x:c>
      <x:c r="E17" s="38"/>
      <x:c r="F17" s="38"/>
      <x:c r="G17" s="38"/>
      <x:c r="H17" s="38"/>
    </x:row>
    <x:row r="18" ht="20" customHeight="1">
      <x:c r="A18" s="3" t="str">
        <x:v>Concentration limit</x:v>
      </x:c>
      <x:c r="B18" s="42" t="n">
        <x:v>0.55</x:v>
      </x:c>
      <x:c r="C18" s="3" t="str">
        <x:v>% portfolio</x:v>
      </x:c>
      <x:c r="D18" s="37" t="str">
        <x:v>Maximum one-asset weight</x:v>
      </x:c>
      <x:c r="E18" s="38"/>
      <x:c r="F18" s="38"/>
      <x:c r="G18" s="38"/>
      <x:c r="H18" s="38"/>
    </x:row>
    <x:row r="19" ht="20" customHeight="1">
      <x:c r="A19" s="3"/>
      <x:c r="B19" s="3"/>
      <x:c r="C19" s="3"/>
      <x:c r="D19" s="3"/>
      <x:c r="E19" s="3"/>
      <x:c r="F19" s="3"/>
      <x:c r="G19" s="3"/>
      <x:c r="H19" s="3"/>
    </x:row>
    <x:row r="20" ht="20" customHeight="1">
      <x:c r="A20" s="51" t="str">
        <x:v>Synthetic example. Replace only the blue values, trace the calculation on Model, then review Results and Checks.</x:v>
      </x:c>
      <x:c r="B20" s="52"/>
      <x:c r="C20" s="52"/>
      <x:c r="D20" s="52"/>
      <x:c r="E20" s="52"/>
      <x:c r="F20" s="52"/>
      <x:c r="G20" s="52"/>
      <x:c r="H20" s="53"/>
    </x:row>
    <x:row r="21" ht="20" customHeight="1">
      <x:c r="A21" s="54"/>
      <x:c r="B21" s="55"/>
      <x:c r="C21" s="55"/>
      <x:c r="D21" s="55"/>
      <x:c r="E21" s="55"/>
      <x:c r="F21" s="55"/>
      <x:c r="G21" s="55"/>
      <x:c r="H21" s="56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3"/>
      <x:c r="B24" s="3"/>
      <x:c r="C24" s="3"/>
      <x:c r="D24" s="3"/>
      <x:c r="E24" s="3"/>
      <x:c r="F24" s="3"/>
      <x:c r="G24" s="3"/>
      <x:c r="H24" s="3"/>
    </x:row>
    <x:row r="25" ht="20" customHeight="1">
      <x:c r="A25" s="57" t="str">
        <x:v>Market Risk / Portfolio Stress · 9 editable assumptions · v1.4.0</x:v>
      </x:c>
      <x:c r="B25" s="57"/>
      <x:c r="C25" s="57"/>
      <x:c r="D25" s="57"/>
      <x:c r="E25" s="57"/>
      <x:c r="F25" s="57"/>
      <x:c r="G25" s="57"/>
      <x:c r="H25" s="57"/>
    </x:row>
  </x:sheetData>
  <x:mergeCells>
    <x:mergeCell ref="A1:H2"/>
    <x:mergeCell ref="A3:H3"/>
    <x:mergeCell ref="A5:H6"/>
    <x:mergeCell ref="A8:H8"/>
    <x:mergeCell ref="D9:H9"/>
    <x:mergeCell ref="D10:H10"/>
    <x:mergeCell ref="D11:H11"/>
    <x:mergeCell ref="D12:H12"/>
    <x:mergeCell ref="D13:H13"/>
    <x:mergeCell ref="D14:H14"/>
    <x:mergeCell ref="D15:H15"/>
    <x:mergeCell ref="D16:H16"/>
    <x:mergeCell ref="D17:H17"/>
    <x:mergeCell ref="D18:H18"/>
    <x:mergeCell ref="A20:H21"/>
    <x:mergeCell ref="A25:H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MODEL DETAIL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Market Risk / Portfolio Stress · Three-asset downside and limit attribution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88" t="str">
        <x:v>PORTFOLIO VALUE</x:v>
      </x:c>
      <x:c r="B5" s="89"/>
      <x:c r="C5" s="88" t="str">
        <x:v>STRESSED LOSS</x:v>
      </x:c>
      <x:c r="D5" s="89"/>
      <x:c r="E5" s="88" t="str">
        <x:v>STRESS LOSS %</x:v>
      </x:c>
      <x:c r="F5" s="89"/>
      <x:c r="G5" s="88" t="str">
        <x:v>LOSS HEADROOM</x:v>
      </x:c>
      <x:c r="H5" s="89"/>
    </x:row>
    <x:row r="6" ht="20" customHeight="1">
      <x:c r="A6" s="103" t="n">
        <x:f>B12</x:f>
        <x:v>1000</x:v>
      </x:c>
      <x:c r="B6" s="104"/>
      <x:c r="C6" s="103" t="n">
        <x:f>MAX(0,-B17)</x:f>
        <x:v>199</x:v>
      </x:c>
      <x:c r="D6" s="104"/>
      <x:c r="E6" s="115" t="n">
        <x:f>B18</x:f>
        <x:v>0.199</x:v>
      </x:c>
      <x:c r="F6" s="116"/>
      <x:c r="G6" s="115" t="n">
        <x:f>B20</x:f>
        <x:v>0.0010000000000000009</x:v>
      </x:c>
      <x:c r="H6" s="116"/>
    </x:row>
    <x:row r="7" ht="20" customHeight="1">
      <x:c r="A7" s="105"/>
      <x:c r="B7" s="106"/>
      <x:c r="C7" s="105"/>
      <x:c r="D7" s="106"/>
      <x:c r="E7" s="117"/>
      <x:c r="F7" s="118"/>
      <x:c r="G7" s="117"/>
      <x:c r="H7" s="118"/>
    </x:row>
    <x:row r="8" ht="20" customHeight="1">
      <x:c r="A8" s="107"/>
      <x:c r="B8" s="108"/>
      <x:c r="C8" s="107"/>
      <x:c r="D8" s="108"/>
      <x:c r="E8" s="119"/>
      <x:c r="F8" s="120"/>
      <x:c r="G8" s="119"/>
      <x:c r="H8" s="120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59" t="str">
        <x:v>STRESS ATTRIBUTION</x:v>
      </x:c>
      <x:c r="B10" s="59"/>
      <x:c r="C10" s="59"/>
      <x:c r="D10" s="59"/>
      <x:c r="E10" s="59"/>
      <x:c r="F10" s="59"/>
      <x:c r="G10" s="59"/>
      <x:c r="H10" s="59"/>
    </x:row>
    <x:row r="11" ht="20" customHeight="1">
      <x:c r="A11" s="84" t="str">
        <x:v>Metric</x:v>
      </x:c>
      <x:c r="B11" s="84" t="str">
        <x:v>Value</x:v>
      </x:c>
      <x:c r="C11" s="84" t="str">
        <x:v>Unit</x:v>
      </x:c>
      <x:c r="D11" s="85" t="str">
        <x:v>Notes</x:v>
      </x:c>
      <x:c r="E11" s="84"/>
      <x:c r="F11" s="84"/>
      <x:c r="G11" s="84"/>
      <x:c r="H11" s="84"/>
    </x:row>
    <x:row r="12" ht="20" customHeight="1">
      <x:c r="A12" s="11" t="str">
        <x:v>Portfolio market value</x:v>
      </x:c>
      <x:c r="B12" s="64" t="n">
        <x:f>SUM('Inputs'!$B$10,'Inputs'!$B$11,'Inputs'!$B$12)</x:f>
        <x:v>1000</x:v>
      </x:c>
      <x:c r="C12" s="11" t="str">
        <x:v>LCY 000</x:v>
      </x:c>
      <x:c r="D12" s="68" t="str">
        <x:v>Total current value</x:v>
      </x:c>
      <x:c r="E12" s="69"/>
      <x:c r="F12" s="69"/>
      <x:c r="G12" s="69"/>
      <x:c r="H12" s="69"/>
    </x:row>
    <x:row r="13" ht="20" customHeight="1">
      <x:c r="A13" s="29" t="str">
        <x:v>Equity impact</x:v>
      </x:c>
      <x:c r="B13" s="72" t="n">
        <x:f>'Inputs'!$B$10*'Inputs'!$B$13</x:f>
        <x:v>-125</x:v>
      </x:c>
      <x:c r="C13" s="29" t="str">
        <x:v>LCY 000</x:v>
      </x:c>
      <x:c r="D13" s="37" t="str">
        <x:v>Equity value × shock</x:v>
      </x:c>
      <x:c r="E13" s="38"/>
      <x:c r="F13" s="38"/>
      <x:c r="G13" s="38"/>
      <x:c r="H13" s="38"/>
    </x:row>
    <x:row r="14" ht="20" customHeight="1">
      <x:c r="A14" s="29" t="str">
        <x:v>Bond impact</x:v>
      </x:c>
      <x:c r="B14" s="72" t="n">
        <x:f>'Inputs'!$B$11*'Inputs'!$B$14</x:f>
        <x:v>-24</x:v>
      </x:c>
      <x:c r="C14" s="29" t="str">
        <x:v>LCY 000</x:v>
      </x:c>
      <x:c r="D14" s="37" t="str">
        <x:v>Bond value × shock</x:v>
      </x:c>
      <x:c r="E14" s="38"/>
      <x:c r="F14" s="38"/>
      <x:c r="G14" s="38"/>
      <x:c r="H14" s="38"/>
    </x:row>
    <x:row r="15" ht="20" customHeight="1">
      <x:c r="A15" s="29" t="str">
        <x:v>Other-asset impact</x:v>
      </x:c>
      <x:c r="B15" s="72" t="n">
        <x:f>'Inputs'!$B$12*'Inputs'!$B$15</x:f>
        <x:v>-30</x:v>
      </x:c>
      <x:c r="C15" s="29" t="str">
        <x:v>LCY 000</x:v>
      </x:c>
      <x:c r="D15" s="37" t="str">
        <x:v>Other value × shock</x:v>
      </x:c>
      <x:c r="E15" s="38"/>
      <x:c r="F15" s="38"/>
      <x:c r="G15" s="38"/>
      <x:c r="H15" s="38"/>
    </x:row>
    <x:row r="16" ht="20" customHeight="1">
      <x:c r="A16" s="29" t="str">
        <x:v>Liquidity impact</x:v>
      </x:c>
      <x:c r="B16" s="72" t="n">
        <x:f>-B12*'Inputs'!$B$16</x:f>
        <x:v>-20</x:v>
      </x:c>
      <x:c r="C16" s="29" t="str">
        <x:v>LCY 000</x:v>
      </x:c>
      <x:c r="D16" s="37" t="str">
        <x:v>Portfolio value × haircut</x:v>
      </x:c>
      <x:c r="E16" s="38"/>
      <x:c r="F16" s="38"/>
      <x:c r="G16" s="38"/>
      <x:c r="H16" s="38"/>
    </x:row>
    <x:row r="17" ht="20" customHeight="1">
      <x:c r="A17" s="11" t="str">
        <x:v>Total stressed impact</x:v>
      </x:c>
      <x:c r="B17" s="74" t="n">
        <x:f>SUM(B13:B16)</x:f>
        <x:v>-199</x:v>
      </x:c>
      <x:c r="C17" s="11" t="str">
        <x:v>LCY 000</x:v>
      </x:c>
      <x:c r="D17" s="68" t="str">
        <x:v>Sum of all stress impacts</x:v>
      </x:c>
      <x:c r="E17" s="69"/>
      <x:c r="F17" s="69"/>
      <x:c r="G17" s="69"/>
      <x:c r="H17" s="69"/>
    </x:row>
    <x:row r="18" ht="20" customHeight="1">
      <x:c r="A18" s="11" t="str">
        <x:v>Stress loss / portfolio</x:v>
      </x:c>
      <x:c r="B18" s="76" t="n">
        <x:f>IF(B12=0,0,MAX(0,-B17)/B12)</x:f>
        <x:v>0.199</x:v>
      </x:c>
      <x:c r="C18" s="11" t="str">
        <x:v>%</x:v>
      </x:c>
      <x:c r="D18" s="68" t="str">
        <x:v>Downside loss as a share of value</x:v>
      </x:c>
      <x:c r="E18" s="69"/>
      <x:c r="F18" s="69"/>
      <x:c r="G18" s="69"/>
      <x:c r="H18" s="69"/>
    </x:row>
    <x:row r="19" ht="20" customHeight="1">
      <x:c r="A19" s="29" t="str">
        <x:v>Largest asset weight</x:v>
      </x:c>
      <x:c r="B19" s="78" t="n">
        <x:f>IF(B12=0,0,MAX('Inputs'!$B$10,'Inputs'!$B$11,'Inputs'!$B$12)/B12)</x:f>
        <x:v>0.5</x:v>
      </x:c>
      <x:c r="C19" s="29" t="str">
        <x:v>%</x:v>
      </x:c>
      <x:c r="D19" s="37" t="str">
        <x:v>Largest asset value divided by total</x:v>
      </x:c>
      <x:c r="E19" s="38"/>
      <x:c r="F19" s="38"/>
      <x:c r="G19" s="38"/>
      <x:c r="H19" s="38"/>
    </x:row>
    <x:row r="20" ht="20" customHeight="1">
      <x:c r="A20" s="29" t="str">
        <x:v>Loss-limit headroom</x:v>
      </x:c>
      <x:c r="B20" s="78" t="n">
        <x:f>'Inputs'!$B$17-B18</x:f>
        <x:v>0.0010000000000000009</x:v>
      </x:c>
      <x:c r="C20" s="29" t="str">
        <x:v>% pts</x:v>
      </x:c>
      <x:c r="D20" s="37" t="str">
        <x:v>Positive means within the stress limit</x:v>
      </x:c>
      <x:c r="E20" s="38"/>
      <x:c r="F20" s="38"/>
      <x:c r="G20" s="38"/>
      <x:c r="H20" s="38"/>
    </x:row>
    <x:row r="21" ht="20" customHeight="1">
      <x:c r="A21" s="29" t="str">
        <x:v>Concentration headroom</x:v>
      </x:c>
      <x:c r="B21" s="78" t="n">
        <x:f>'Inputs'!$B$18-B19</x:f>
        <x:v>0.050000000000000044</x:v>
      </x:c>
      <x:c r="C21" s="29" t="str">
        <x:v>% pts</x:v>
      </x:c>
      <x:c r="D21" s="37" t="str">
        <x:v>Positive means within concentration limit</x:v>
      </x:c>
      <x:c r="E21" s="38"/>
      <x:c r="F21" s="38"/>
      <x:c r="G21" s="38"/>
      <x:c r="H21" s="38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59" t="str">
        <x:v>ASSET LOSS ATTRIBUTION</x:v>
      </x:c>
      <x:c r="B24" s="59"/>
      <x:c r="C24" s="59"/>
      <x:c r="D24" s="59"/>
      <x:c r="E24" s="59"/>
      <x:c r="F24" s="59"/>
      <x:c r="G24" s="59"/>
      <x:c r="H24" s="59"/>
    </x:row>
    <x:row r="25" ht="20" customHeight="1">
      <x:c r="A25" s="59" t="str">
        <x:v>Asset / layer</x:v>
      </x:c>
      <x:c r="B25" s="121" t="str">
        <x:v>Market value</x:v>
      </x:c>
      <x:c r="C25" s="121" t="str">
        <x:v>Weight</x:v>
      </x:c>
      <x:c r="D25" s="121" t="str">
        <x:v>Shock / haircut</x:v>
      </x:c>
      <x:c r="E25" s="121" t="str">
        <x:v>Impact</x:v>
      </x:c>
      <x:c r="F25" s="121" t="str">
        <x:v>Share of loss</x:v>
      </x:c>
      <x:c r="G25" s="121" t="str">
        <x:v>Stressed value</x:v>
      </x:c>
      <x:c r="H25" s="121" t="str">
        <x:v>Limit view</x:v>
      </x:c>
    </x:row>
    <x:row r="26" ht="20" customHeight="1">
      <x:c r="A26" s="29" t="str">
        <x:v>Equities</x:v>
      </x:c>
      <x:c r="B26" s="123" t="n">
        <x:f>'Inputs'!$B$10</x:f>
        <x:v>500</x:v>
      </x:c>
      <x:c r="C26" s="125" t="n">
        <x:f>IF(B12=0,0,B26/B12)</x:f>
        <x:v>0.5</x:v>
      </x:c>
      <x:c r="D26" s="125" t="n">
        <x:f>'Inputs'!$B$13</x:f>
        <x:v>-0.25</x:v>
      </x:c>
      <x:c r="E26" s="123" t="n">
        <x:f>B13</x:f>
        <x:v>-125</x:v>
      </x:c>
      <x:c r="F26" s="125" t="n">
        <x:f>IF(B17=0,0,E26/B17)</x:f>
        <x:v>0.628140703517588</x:v>
      </x:c>
      <x:c r="G26" s="123" t="n">
        <x:f>B26+E26</x:f>
        <x:v>375</x:v>
      </x:c>
      <x:c r="H26" s="29" t="str">
        <x:f>IF(C26&gt;'Inputs'!$B$18,"CONCENTRATION BREACH","Within concentration")</x:f>
        <x:v>Within concentration</x:v>
      </x:c>
    </x:row>
    <x:row r="27" ht="20" customHeight="1">
      <x:c r="A27" s="29" t="str">
        <x:v>Bonds</x:v>
      </x:c>
      <x:c r="B27" s="123" t="n">
        <x:f>'Inputs'!$B$11</x:f>
        <x:v>300</x:v>
      </x:c>
      <x:c r="C27" s="125" t="n">
        <x:f>IF(B12=0,0,B27/B12)</x:f>
        <x:v>0.3</x:v>
      </x:c>
      <x:c r="D27" s="125" t="n">
        <x:f>'Inputs'!$B$14</x:f>
        <x:v>-0.08</x:v>
      </x:c>
      <x:c r="E27" s="123" t="n">
        <x:f>B14</x:f>
        <x:v>-24</x:v>
      </x:c>
      <x:c r="F27" s="125" t="n">
        <x:f>IF(B17=0,0,E27/B17)</x:f>
        <x:v>0.12060301507537688</x:v>
      </x:c>
      <x:c r="G27" s="123" t="n">
        <x:f>B27+E27</x:f>
        <x:v>276</x:v>
      </x:c>
      <x:c r="H27" s="29" t="str">
        <x:f>IF(C27&gt;'Inputs'!$B$18,"CONCENTRATION BREACH","Within concentration")</x:f>
        <x:v>Within concentration</x:v>
      </x:c>
    </x:row>
    <x:row r="28" ht="20" customHeight="1">
      <x:c r="A28" s="29" t="str">
        <x:v>Other assets</x:v>
      </x:c>
      <x:c r="B28" s="123" t="n">
        <x:f>'Inputs'!$B$12</x:f>
        <x:v>200</x:v>
      </x:c>
      <x:c r="C28" s="125" t="n">
        <x:f>IF(B12=0,0,B28/B12)</x:f>
        <x:v>0.2</x:v>
      </x:c>
      <x:c r="D28" s="125" t="n">
        <x:f>'Inputs'!$B$15</x:f>
        <x:v>-0.15</x:v>
      </x:c>
      <x:c r="E28" s="123" t="n">
        <x:f>B15</x:f>
        <x:v>-30</x:v>
      </x:c>
      <x:c r="F28" s="125" t="n">
        <x:f>IF(B17=0,0,E28/B17)</x:f>
        <x:v>0.1507537688442211</x:v>
      </x:c>
      <x:c r="G28" s="123" t="n">
        <x:f>B28+E28</x:f>
        <x:v>170</x:v>
      </x:c>
      <x:c r="H28" s="29" t="str">
        <x:f>IF(C28&gt;'Inputs'!$B$18,"CONCENTRATION BREACH","Within concentration")</x:f>
        <x:v>Within concentration</x:v>
      </x:c>
    </x:row>
    <x:row r="29" ht="20" customHeight="1">
      <x:c r="A29" s="29" t="str">
        <x:v>Liquidity overlay</x:v>
      </x:c>
      <x:c r="B29" s="123" t="n">
        <x:f>B12</x:f>
        <x:v>1000</x:v>
      </x:c>
      <x:c r="C29" s="125" t="n">
        <x:f>1</x:f>
        <x:v>1</x:v>
      </x:c>
      <x:c r="D29" s="125" t="n">
        <x:f>-'Inputs'!$B$16</x:f>
        <x:v>-0.02</x:v>
      </x:c>
      <x:c r="E29" s="123" t="n">
        <x:f>B16</x:f>
        <x:v>-20</x:v>
      </x:c>
      <x:c r="F29" s="125" t="n">
        <x:f>IF(B17=0,0,E29/B17)</x:f>
        <x:v>0.10050251256281408</x:v>
      </x:c>
      <x:c r="G29" s="123" t="n">
        <x:f>B29+E29</x:f>
        <x:v>980</x:v>
      </x:c>
      <x:c r="H29" s="29" t="str">
        <x:v>Portfolio-wide overlay</x:v>
      </x:c>
    </x:row>
    <x:row r="30" ht="20" customHeight="1">
      <x:c r="A30" s="11" t="str">
        <x:v>TOTAL PORTFOLIO</x:v>
      </x:c>
      <x:c r="B30" s="74" t="n">
        <x:f>B12</x:f>
        <x:v>1000</x:v>
      </x:c>
      <x:c r="C30" s="76" t="n">
        <x:f>SUM(C26:C28)</x:f>
        <x:v>1</x:v>
      </x:c>
      <x:c r="D30" s="11"/>
      <x:c r="E30" s="74" t="n">
        <x:f>SUM(E26:E29)</x:f>
        <x:v>-199</x:v>
      </x:c>
      <x:c r="F30" s="76" t="n">
        <x:f>SUM(F26:F29)</x:f>
        <x:v>1</x:v>
      </x:c>
      <x:c r="G30" s="74" t="n">
        <x:f>B30+E30</x:f>
        <x:v>801</x:v>
      </x:c>
      <x:c r="H30" s="11" t="str">
        <x:f>IF(AND(B20&gt;=0,B21&gt;=0),"WITHIN LIMITS","LIMIT BREACH")</x:f>
        <x:v>WITHIN LIMITS</x:v>
      </x:c>
    </x:row>
    <x:row r="31" ht="20" customHeight="1">
      <x:c r="A31" s="3"/>
      <x:c r="B31" s="3"/>
      <x:c r="C31" s="3"/>
      <x:c r="D31" s="3"/>
      <x:c r="E31" s="3"/>
      <x:c r="F31" s="3"/>
      <x:c r="G31" s="3"/>
      <x:c r="H31" s="3"/>
    </x:row>
    <x:row r="32" ht="20" customHeight="1">
      <x:c r="A32" s="3"/>
      <x:c r="B32" s="3"/>
      <x:c r="C32" s="3"/>
      <x:c r="D32" s="3"/>
      <x:c r="E32" s="3"/>
      <x:c r="F32" s="3"/>
      <x:c r="G32" s="3"/>
      <x:c r="H32" s="3"/>
    </x:row>
    <x:row r="33" ht="20" customHeight="1">
      <x:c r="A33" s="141" t="str">
        <x:f>IF(AND(B20&gt;=0,B21&gt;=0),"WITHIN SELECTED LIMITS","LIMIT BREACH · review the loss or concentration")</x:f>
        <x:v>WITHIN SELECTED LIMITS</x:v>
      </x:c>
      <x:c r="B33" s="142"/>
      <x:c r="C33" s="142"/>
      <x:c r="D33" s="142"/>
      <x:c r="E33" s="142"/>
      <x:c r="F33" s="142"/>
      <x:c r="G33" s="142"/>
      <x:c r="H33" s="143"/>
    </x:row>
    <x:row r="34" ht="20" customHeight="1">
      <x:c r="A34" s="144"/>
      <x:c r="B34" s="145"/>
      <x:c r="C34" s="145"/>
      <x:c r="D34" s="145"/>
      <x:c r="E34" s="145"/>
      <x:c r="F34" s="145"/>
      <x:c r="G34" s="145"/>
      <x:c r="H34" s="146"/>
    </x:row>
    <x:row r="35" ht="20" customHeight="1">
      <x:c r="A35" s="3"/>
      <x:c r="B35" s="3"/>
      <x:c r="C35" s="3"/>
      <x:c r="D35" s="3"/>
      <x:c r="E35" s="3"/>
      <x:c r="F35" s="3"/>
      <x:c r="G35" s="3"/>
      <x:c r="H35" s="3"/>
    </x:row>
    <x:row r="36" ht="20" customHeight="1">
      <x:c r="A36" s="3"/>
      <x:c r="B36" s="3"/>
      <x:c r="C36" s="3"/>
      <x:c r="D36" s="3"/>
      <x:c r="E36" s="3"/>
      <x:c r="F36" s="3"/>
      <x:c r="G36" s="3"/>
      <x:c r="H36" s="3"/>
    </x:row>
    <x:row r="37" ht="20" customHeight="1">
      <x:c r="A37" s="3"/>
      <x:c r="B37" s="3"/>
      <x:c r="C37" s="3"/>
      <x:c r="D37" s="3"/>
      <x:c r="E37" s="3"/>
      <x:c r="F37" s="3"/>
      <x:c r="G37" s="3"/>
      <x:c r="H37" s="3"/>
    </x:row>
    <x:row r="38" ht="20" customHeight="1">
      <x:c r="A38" s="3"/>
      <x:c r="B38" s="3"/>
      <x:c r="C38" s="3"/>
      <x:c r="D38" s="3"/>
      <x:c r="E38" s="3"/>
      <x:c r="F38" s="3"/>
      <x:c r="G38" s="3"/>
      <x:c r="H38" s="3"/>
    </x:row>
    <x:row r="39" ht="20" customHeight="1">
      <x:c r="A39" s="57" t="str">
        <x:v>Market Risk / Portfolio Stress · Asset attribution visible · Deterministic stress only</x:v>
      </x:c>
      <x:c r="B39" s="57"/>
      <x:c r="C39" s="57"/>
      <x:c r="D39" s="57"/>
      <x:c r="E39" s="57"/>
      <x:c r="F39" s="57"/>
      <x:c r="G39" s="57"/>
      <x:c r="H39" s="57"/>
    </x:row>
  </x:sheetData>
  <x:mergeCells>
    <x:mergeCell ref="A1:H2"/>
    <x:mergeCell ref="A3:H3"/>
    <x:mergeCell ref="A10:H10"/>
    <x:mergeCell ref="D11:H11"/>
    <x:mergeCell ref="D12:H12"/>
    <x:mergeCell ref="D13:H13"/>
    <x:mergeCell ref="D14:H14"/>
    <x:mergeCell ref="D15:H15"/>
    <x:mergeCell ref="D16:H16"/>
    <x:mergeCell ref="D17:H17"/>
    <x:mergeCell ref="D18:H18"/>
    <x:mergeCell ref="D19:H19"/>
    <x:mergeCell ref="D20:H20"/>
    <x:mergeCell ref="D21:H21"/>
    <x:mergeCell ref="A5:B5"/>
    <x:mergeCell ref="A6:B8"/>
    <x:mergeCell ref="C5:D5"/>
    <x:mergeCell ref="C6:D8"/>
    <x:mergeCell ref="E5:F5"/>
    <x:mergeCell ref="E6:F8"/>
    <x:mergeCell ref="G5:H5"/>
    <x:mergeCell ref="G6:H8"/>
    <x:mergeCell ref="A24:H24"/>
    <x:mergeCell ref="A33:H34"/>
    <x:mergeCell ref="A39:H3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RESULTS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Market Risk / Portfolio Stress · Decision view linked to the detailed Model sheet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88" t="str">
        <x:v>PORTFOLIO VALUE</x:v>
      </x:c>
      <x:c r="B5" s="89"/>
      <x:c r="C5" s="88" t="str">
        <x:v>STRESSED LOSS</x:v>
      </x:c>
      <x:c r="D5" s="89"/>
      <x:c r="E5" s="88" t="str">
        <x:v>STRESS LOSS %</x:v>
      </x:c>
      <x:c r="F5" s="89"/>
      <x:c r="G5" s="88" t="str">
        <x:v>LOSS HEADROOM</x:v>
      </x:c>
      <x:c r="H5" s="89"/>
    </x:row>
    <x:row r="6" ht="20" customHeight="1">
      <x:c r="A6" s="103" t="n">
        <x:f>'Model'!A6</x:f>
        <x:v>1000</x:v>
      </x:c>
      <x:c r="B6" s="104"/>
      <x:c r="C6" s="103" t="n">
        <x:f>'Model'!C6</x:f>
        <x:v>199</x:v>
      </x:c>
      <x:c r="D6" s="104"/>
      <x:c r="E6" s="115" t="n">
        <x:f>'Model'!E6</x:f>
        <x:v>0.199</x:v>
      </x:c>
      <x:c r="F6" s="116"/>
      <x:c r="G6" s="115" t="n">
        <x:f>'Model'!G6</x:f>
        <x:v>0.0010000000000000009</x:v>
      </x:c>
      <x:c r="H6" s="116"/>
    </x:row>
    <x:row r="7" ht="20" customHeight="1">
      <x:c r="A7" s="105"/>
      <x:c r="B7" s="106"/>
      <x:c r="C7" s="105"/>
      <x:c r="D7" s="106"/>
      <x:c r="E7" s="117"/>
      <x:c r="F7" s="118"/>
      <x:c r="G7" s="117"/>
      <x:c r="H7" s="118"/>
    </x:row>
    <x:row r="8" ht="20" customHeight="1">
      <x:c r="A8" s="107"/>
      <x:c r="B8" s="108"/>
      <x:c r="C8" s="107"/>
      <x:c r="D8" s="108"/>
      <x:c r="E8" s="119"/>
      <x:c r="F8" s="120"/>
      <x:c r="G8" s="119"/>
      <x:c r="H8" s="120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58" t="str">
        <x:v>DECISION VIEW</x:v>
      </x:c>
      <x:c r="B10" s="58"/>
      <x:c r="C10" s="58"/>
      <x:c r="D10" s="58"/>
      <x:c r="E10" s="58"/>
      <x:c r="F10" s="58"/>
      <x:c r="G10" s="58"/>
      <x:c r="H10" s="58"/>
    </x:row>
    <x:row r="11" ht="34" customHeight="1">
      <x:c r="A11" s="148" t="str">
        <x:v>CALCULATION STATUS</x:v>
      </x:c>
      <x:c r="B11" s="148"/>
      <x:c r="C11" s="152" t="str">
        <x:f>'Checks'!B4</x:f>
        <x:v>PASS</x:v>
      </x:c>
      <x:c r="D11" s="153"/>
      <x:c r="E11" s="148" t="str">
        <x:v>PORTFOLIO STRESS OUTCOME</x:v>
      </x:c>
      <x:c r="F11" s="148"/>
      <x:c r="G11" s="159" t="str">
        <x:f>'Model'!A33</x:f>
        <x:v>WITHIN SELECTED LIMITS</x:v>
      </x:c>
      <x:c r="H11" s="160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58" t="str">
        <x:v>WHAT IT ANSWERS</x:v>
      </x:c>
      <x:c r="B13" s="58"/>
      <x:c r="C13" s="58"/>
      <x:c r="D13" s="58"/>
      <x:c r="E13" s="58"/>
      <x:c r="F13" s="58"/>
      <x:c r="G13" s="58"/>
      <x:c r="H13" s="58"/>
    </x:row>
    <x:row r="14" ht="20" customHeight="1">
      <x:c r="A14" s="168" t="str">
        <x:v>How much could a three-asset portfolio lose under direct shocks?</x:v>
      </x:c>
      <x:c r="B14" s="169"/>
      <x:c r="C14" s="169"/>
      <x:c r="D14" s="169"/>
      <x:c r="E14" s="169"/>
      <x:c r="F14" s="169"/>
      <x:c r="G14" s="169"/>
      <x:c r="H14" s="170"/>
    </x:row>
    <x:row r="15" ht="20" customHeight="1">
      <x:c r="A15" s="171"/>
      <x:c r="B15" s="172"/>
      <x:c r="C15" s="172"/>
      <x:c r="D15" s="172"/>
      <x:c r="E15" s="172"/>
      <x:c r="F15" s="172"/>
      <x:c r="G15" s="172"/>
      <x:c r="H15" s="173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</x:row>
    <x:row r="17" ht="20" customHeight="1">
      <x:c r="A17" s="58" t="str">
        <x:v>MODEL DEPTH</x:v>
      </x:c>
      <x:c r="B17" s="58"/>
      <x:c r="C17" s="58"/>
      <x:c r="D17" s="58"/>
      <x:c r="E17" s="58"/>
      <x:c r="F17" s="58"/>
      <x:c r="G17" s="58"/>
      <x:c r="H17" s="58"/>
    </x:row>
    <x:row r="18" ht="20" customHeight="1">
      <x:c r="A18" s="147" t="str">
        <x:v>Forecast</x:v>
      </x:c>
      <x:c r="B18" s="147"/>
      <x:c r="C18" s="161" t="str">
        <x:v>One stress date</x:v>
      </x:c>
      <x:c r="D18" s="161"/>
      <x:c r="E18" s="161"/>
      <x:c r="F18" s="161"/>
      <x:c r="G18" s="161"/>
      <x:c r="H18" s="161"/>
    </x:row>
    <x:row r="19" ht="20" customHeight="1">
      <x:c r="A19" s="147" t="str">
        <x:v>Editable inputs</x:v>
      </x:c>
      <x:c r="B19" s="147"/>
      <x:c r="C19" s="161" t="str">
        <x:v>9</x:v>
      </x:c>
      <x:c r="D19" s="161"/>
      <x:c r="E19" s="161"/>
      <x:c r="F19" s="161"/>
      <x:c r="G19" s="161"/>
      <x:c r="H19" s="161"/>
    </x:row>
    <x:row r="20" ht="20" customHeight="1">
      <x:c r="A20" s="147" t="str">
        <x:v>Calculation detail</x:v>
      </x:c>
      <x:c r="B20" s="147"/>
      <x:c r="C20" s="161" t="str">
        <x:v>Visible formulas, schedules, roll-forwards, and bridges</x:v>
      </x:c>
      <x:c r="D20" s="161"/>
      <x:c r="E20" s="161"/>
      <x:c r="F20" s="161"/>
      <x:c r="G20" s="161"/>
      <x:c r="H20" s="161"/>
    </x:row>
    <x:row r="21" ht="20" customHeight="1">
      <x:c r="A21" s="147" t="str">
        <x:v>Workbook flow</x:v>
      </x:c>
      <x:c r="B21" s="147"/>
      <x:c r="C21" s="161" t="str">
        <x:v>Start → Inputs → Model → Results → Checks</x:v>
      </x:c>
      <x:c r="D21" s="161"/>
      <x:c r="E21" s="161"/>
      <x:c r="F21" s="161"/>
      <x:c r="G21" s="161"/>
      <x:c r="H21" s="161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58" t="str">
        <x:v>SCOPE</x:v>
      </x:c>
      <x:c r="B23" s="58"/>
      <x:c r="C23" s="58"/>
      <x:c r="D23" s="58"/>
      <x:c r="E23" s="58"/>
      <x:c r="F23" s="58"/>
      <x:c r="G23" s="58"/>
      <x:c r="H23" s="58"/>
    </x:row>
    <x:row r="24" ht="20" customHeight="1">
      <x:c r="A24" s="182" t="str">
        <x:v>Included: Three asset buckets and direct price shocks · Four-line asset and liquidity loss attribution · Stress and concentration limit headroom</x:v>
      </x:c>
      <x:c r="B24" s="183"/>
      <x:c r="C24" s="183"/>
      <x:c r="D24" s="183"/>
      <x:c r="E24" s="183"/>
      <x:c r="F24" s="183"/>
      <x:c r="G24" s="183"/>
      <x:c r="H24" s="184"/>
    </x:row>
    <x:row r="25" ht="20" customHeight="1">
      <x:c r="A25" s="185"/>
      <x:c r="B25" s="186"/>
      <x:c r="C25" s="186"/>
      <x:c r="D25" s="186"/>
      <x:c r="E25" s="186"/>
      <x:c r="F25" s="186"/>
      <x:c r="G25" s="186"/>
      <x:c r="H25" s="187"/>
    </x:row>
    <x:row r="26" ht="20" customHeight="1">
      <x:c r="A26" s="188"/>
      <x:c r="B26" s="189"/>
      <x:c r="C26" s="189"/>
      <x:c r="D26" s="189"/>
      <x:c r="E26" s="189"/>
      <x:c r="F26" s="189"/>
      <x:c r="G26" s="189"/>
      <x:c r="H26" s="190"/>
    </x:row>
    <x:row r="27" ht="20" customHeight="1">
      <x:c r="A27" s="51" t="str">
        <x:v>Outside this model: VaR, expected shortfall, duration, greeks, correlations, full revaluation, and advice.</x:v>
      </x:c>
      <x:c r="B27" s="52"/>
      <x:c r="C27" s="52"/>
      <x:c r="D27" s="52"/>
      <x:c r="E27" s="52"/>
      <x:c r="F27" s="52"/>
      <x:c r="G27" s="52"/>
      <x:c r="H27" s="53"/>
    </x:row>
    <x:row r="28" ht="20" customHeight="1">
      <x:c r="A28" s="54"/>
      <x:c r="B28" s="55"/>
      <x:c r="C28" s="55"/>
      <x:c r="D28" s="55"/>
      <x:c r="E28" s="55"/>
      <x:c r="F28" s="55"/>
      <x:c r="G28" s="55"/>
      <x:c r="H28" s="56"/>
    </x:row>
    <x:row r="29" ht="20" customHeight="1">
      <x:c r="A29" s="194" t="str">
        <x:v>Five visible tabs · No hidden calculations · Calculation status and business outcome are reported separately.</x:v>
      </x:c>
      <x:c r="B29" s="195"/>
      <x:c r="C29" s="195"/>
      <x:c r="D29" s="195"/>
      <x:c r="E29" s="195"/>
      <x:c r="F29" s="195"/>
      <x:c r="G29" s="195"/>
      <x:c r="H29" s="196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57" t="str">
        <x:v>Market Risk / Portfolio Stress · v1.4.0 · Linked summary only · Trace all formulas on Model</x:v>
      </x:c>
      <x:c r="B31" s="57"/>
      <x:c r="C31" s="57"/>
      <x:c r="D31" s="57"/>
      <x:c r="E31" s="57"/>
      <x:c r="F31" s="57"/>
      <x:c r="G31" s="57"/>
      <x:c r="H31" s="57"/>
    </x:row>
  </x:sheetData>
  <x:mergeCells>
    <x:mergeCell ref="A1:H2"/>
    <x:mergeCell ref="A3:H3"/>
    <x:mergeCell ref="A5:B5"/>
    <x:mergeCell ref="A6:B8"/>
    <x:mergeCell ref="C5:D5"/>
    <x:mergeCell ref="C6:D8"/>
    <x:mergeCell ref="E5:F5"/>
    <x:mergeCell ref="E6:F8"/>
    <x:mergeCell ref="G5:H5"/>
    <x:mergeCell ref="G6:H8"/>
    <x:mergeCell ref="A10:H10"/>
    <x:mergeCell ref="A11:B11"/>
    <x:mergeCell ref="C11:D11"/>
    <x:mergeCell ref="E11:F11"/>
    <x:mergeCell ref="G11:H11"/>
    <x:mergeCell ref="A13:H13"/>
    <x:mergeCell ref="A14:H15"/>
    <x:mergeCell ref="A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3:H23"/>
    <x:mergeCell ref="A24:H26"/>
    <x:mergeCell ref="A27:H28"/>
    <x:mergeCell ref="A29:H29"/>
    <x:mergeCell ref="A31:H31"/>
  </x:mergeCells>
  <x:conditionalFormatting sqref="C11:D11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3" hidden="0" customWidth="1"/>
    <x:col min="8" max="8" width="16" hidden="0" customWidth="1"/>
  </x:cols>
  <x:sheetData>
    <x:row r="1" ht="27" customHeight="1">
      <x:c r="A1" s="6" t="str">
        <x:v>CHECKS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Market Risk / Portfolio Stress · Calculation controls only; business outcomes are shown separately</x:v>
      </x:c>
      <x:c r="B3" s="9"/>
      <x:c r="C3" s="9"/>
      <x:c r="D3" s="9"/>
      <x:c r="E3" s="9"/>
      <x:c r="F3" s="9"/>
      <x:c r="G3" s="9"/>
      <x:c r="H3" s="9"/>
    </x:row>
    <x:row r="4" ht="12" customHeight="1">
      <x:c r="A4" s="3"/>
      <x:c r="B4" s="197" t="str">
        <x:f>IF(COUNTIF(F9:F18,"PASS")=10,"PASS","FAIL")</x:f>
        <x:v>PASS</x:v>
      </x:c>
      <x:c r="C4" s="197"/>
      <x:c r="D4" s="197"/>
      <x:c r="E4" s="197"/>
      <x:c r="F4" s="197"/>
      <x:c r="G4" s="197"/>
      <x:c r="H4" s="197"/>
    </x:row>
    <x:row r="5" ht="20" customHeight="1">
      <x:c r="A5" s="57" t="str">
        <x:v>MODEL STATUS</x:v>
      </x:c>
      <x:c r="B5" s="57"/>
      <x:c r="C5" s="152" t="str">
        <x:f>B4</x:f>
        <x:v>PASS</x:v>
      </x:c>
      <x:c r="D5" s="199"/>
      <x:c r="E5" s="199"/>
      <x:c r="F5" s="199"/>
      <x:c r="G5" s="199"/>
      <x:c r="H5" s="153"/>
    </x:row>
    <x:row r="6" ht="20" customHeight="1">
      <x:c r="A6" s="3"/>
      <x:c r="B6" s="3"/>
      <x:c r="C6" s="3"/>
      <x:c r="D6" s="3"/>
      <x:c r="E6" s="3"/>
      <x:c r="F6" s="3"/>
      <x:c r="G6" s="3"/>
      <x:c r="H6" s="3"/>
    </x:row>
    <x:row r="7" ht="20" customHeight="1">
      <x:c r="A7" s="58" t="str">
        <x:v>10 CALCULATION CONTROLS</x:v>
      </x:c>
      <x:c r="B7" s="58"/>
      <x:c r="C7" s="58"/>
      <x:c r="D7" s="58"/>
      <x:c r="E7" s="58"/>
      <x:c r="F7" s="58"/>
      <x:c r="G7" s="58"/>
      <x:c r="H7" s="58"/>
    </x:row>
    <x:row r="8" ht="20" customHeight="1">
      <x:c r="A8" s="28" t="str">
        <x:v>Control</x:v>
      </x:c>
      <x:c r="B8" s="28" t="str">
        <x:v>Actual</x:v>
      </x:c>
      <x:c r="C8" s="28" t="str">
        <x:v>Expected</x:v>
      </x:c>
      <x:c r="D8" s="28" t="str">
        <x:v>Difference</x:v>
      </x:c>
      <x:c r="E8" s="28" t="str">
        <x:v>Tolerance</x:v>
      </x:c>
      <x:c r="F8" s="28" t="str">
        <x:v>Status</x:v>
      </x:c>
      <x:c r="G8" s="28" t="str">
        <x:v>Where to fix</x:v>
      </x:c>
      <x:c r="H8" s="28"/>
    </x:row>
    <x:row r="9" ht="26" customHeight="1">
      <x:c r="A9" s="186" t="str">
        <x:v>All editable inputs are numeric</x:v>
      </x:c>
      <x:c r="B9" s="202" t="n">
        <x:f>ROUND(COUNT('Inputs'!B10,'Inputs'!B11,'Inputs'!B12,'Inputs'!B13,'Inputs'!B14,'Inputs'!B15,'Inputs'!B16,'Inputs'!B17,'Inputs'!B18),6)</x:f>
        <x:v>9</x:v>
      </x:c>
      <x:c r="C9" s="202" t="n">
        <x:f>9</x:f>
        <x:v>9</x:v>
      </x:c>
      <x:c r="D9" s="202" t="n">
        <x:f>ROUND(B9-C9,6)</x:f>
        <x:v>0</x:v>
      </x:c>
      <x:c r="E9" s="202" t="n">
        <x:f>0</x:f>
        <x:v>0</x:v>
      </x:c>
      <x:c r="F9" s="203" t="str">
        <x:f>IF(ABS(ROUND(D9,6))&lt;=E9,"PASS","FAIL")</x:f>
        <x:v>PASS</x:v>
      </x:c>
      <x:c r="G9" s="186" t="str">
        <x:v>Complete the blue cells on Inputs</x:v>
      </x:c>
      <x:c r="H9" s="186"/>
    </x:row>
    <x:row r="10" ht="26" customHeight="1">
      <x:c r="A10" s="186" t="str">
        <x:v>Results headline KPIs reconcile to Model</x:v>
      </x:c>
      <x:c r="B10" s="206" t="n">
        <x:f>ROUND(IFERROR(SUM(ABS('Results'!A6-'Model'!A6),ABS('Results'!C6-'Model'!C6),ABS('Results'!E6-'Model'!E6),ABS('Results'!G6-'Model'!G6)),1E+99),6)</x:f>
        <x:v>0</x:v>
      </x:c>
      <x:c r="C10" s="206" t="n">
        <x:f>0</x:f>
        <x:v>0</x:v>
      </x:c>
      <x:c r="D10" s="206" t="n">
        <x:f>ROUND(B10-C10,6)</x:f>
        <x:v>0</x:v>
      </x:c>
      <x:c r="E10" s="206" t="n">
        <x:f>0.0001</x:f>
        <x:v>0.0001</x:v>
      </x:c>
      <x:c r="F10" s="203" t="str">
        <x:f>IF(ABS(ROUND(D10,6))&lt;=E10,"PASS","FAIL")</x:f>
        <x:v>PASS</x:v>
      </x:c>
      <x:c r="G10" s="186" t="str">
        <x:v>Review Results-to-Model links</x:v>
      </x:c>
      <x:c r="H10" s="186"/>
    </x:row>
    <x:row r="11" ht="26" customHeight="1">
      <x:c r="A11" s="186" t="str">
        <x:v>Market stress inputs are valid</x:v>
      </x:c>
      <x:c r="B11" s="206" t="n">
        <x:f>ROUND(IF(AND('Inputs'!$B$10&gt;=0,'Inputs'!$B$11&gt;=0,'Inputs'!$B$12&gt;=0,'Inputs'!$B$13&gt;=-1,'Inputs'!$B$13&lt;=1,'Inputs'!$B$14&gt;=-1,'Inputs'!$B$14&lt;=1,'Inputs'!$B$15&gt;=-1,'Inputs'!$B$15&lt;=1,'Inputs'!$B$16&gt;=0,'Inputs'!$B$16&lt;=1,'Inputs'!$B$17&gt;=0,'Inputs'!$B$17&lt;=1,'Inputs'!$B$18&gt;=0,'Inputs'!$B$18&lt;=1),1,0),6)</x:f>
        <x:v>1</x:v>
      </x:c>
      <x:c r="C11" s="206" t="n">
        <x:f>1</x:f>
        <x:v>1</x:v>
      </x:c>
      <x:c r="D11" s="206" t="n">
        <x:f>ROUND(B11-C11,6)</x:f>
        <x:v>0</x:v>
      </x:c>
      <x:c r="E11" s="206" t="n">
        <x:f>0.0001</x:f>
        <x:v>0.0001</x:v>
      </x:c>
      <x:c r="F11" s="203" t="str">
        <x:f>IF(ABS(ROUND(D11,6))&lt;=E11,"PASS","FAIL")</x:f>
        <x:v>PASS</x:v>
      </x:c>
      <x:c r="G11" s="186" t="str">
        <x:v>Inputs: values and percentages</x:v>
      </x:c>
      <x:c r="H11" s="186"/>
    </x:row>
    <x:row r="12" ht="26" customHeight="1">
      <x:c r="A12" s="186" t="str">
        <x:v>Asset weights sum to 100%</x:v>
      </x:c>
      <x:c r="B12" s="208" t="n">
        <x:f>ROUND(IF('Model'!B12=0,1,('Inputs'!$B$10+'Inputs'!$B$11+'Inputs'!$B$12)/'Model'!B12),6)</x:f>
        <x:v>1</x:v>
      </x:c>
      <x:c r="C12" s="208" t="n">
        <x:f>1</x:f>
        <x:v>1</x:v>
      </x:c>
      <x:c r="D12" s="208" t="n">
        <x:f>ROUND(B12-C12,6)</x:f>
        <x:v>0</x:v>
      </x:c>
      <x:c r="E12" s="208" t="n">
        <x:f>0.0001</x:f>
        <x:v>0.0001</x:v>
      </x:c>
      <x:c r="F12" s="203" t="str">
        <x:f>IF(ABS(ROUND(D12,6))&lt;=E12,"PASS","FAIL")</x:f>
        <x:v>PASS</x:v>
      </x:c>
      <x:c r="G12" s="186" t="str">
        <x:v>Inputs: asset values</x:v>
      </x:c>
      <x:c r="H12" s="186"/>
    </x:row>
    <x:row r="13" ht="26" customHeight="1">
      <x:c r="A13" s="186" t="str">
        <x:v>Stress attribution ties</x:v>
      </x:c>
      <x:c r="B13" s="210" t="n">
        <x:f>ROUND('Model'!B17-SUM('Model'!B13,'Model'!B14,'Model'!B15,'Model'!B16),6)</x:f>
        <x:v>0</x:v>
      </x:c>
      <x:c r="C13" s="210" t="n">
        <x:f>0</x:f>
        <x:v>0</x:v>
      </x:c>
      <x:c r="D13" s="210" t="n">
        <x:f>ROUND(B13-C13,6)</x:f>
        <x:v>0</x:v>
      </x:c>
      <x:c r="E13" s="210" t="n">
        <x:f>0.0001</x:f>
        <x:v>0.0001</x:v>
      </x:c>
      <x:c r="F13" s="203" t="str">
        <x:f>IF(ABS(ROUND(D13,6))&lt;=E13,"PASS","FAIL")</x:f>
        <x:v>PASS</x:v>
      </x:c>
      <x:c r="G13" s="186" t="str">
        <x:v>Model: stress attribution</x:v>
      </x:c>
      <x:c r="H13" s="186"/>
    </x:row>
    <x:row r="14" ht="26" customHeight="1">
      <x:c r="A14" s="186" t="str">
        <x:v>Direct asset shocks trace to market values</x:v>
      </x:c>
      <x:c r="B14" s="210" t="n">
        <x:f>ROUND(SUM(ABS('Model'!B13-'Inputs'!$B$10*'Inputs'!$B$13),ABS('Model'!B14-'Inputs'!$B$11*'Inputs'!$B$14),ABS('Model'!B15-'Inputs'!$B$12*'Inputs'!$B$15)),6)</x:f>
        <x:v>0</x:v>
      </x:c>
      <x:c r="C14" s="210" t="n">
        <x:f>0</x:f>
        <x:v>0</x:v>
      </x:c>
      <x:c r="D14" s="210" t="n">
        <x:f>ROUND(B14-C14,6)</x:f>
        <x:v>0</x:v>
      </x:c>
      <x:c r="E14" s="210" t="n">
        <x:f>0.0001</x:f>
        <x:v>0.0001</x:v>
      </x:c>
      <x:c r="F14" s="203" t="str">
        <x:f>IF(ABS(ROUND(D14,6))&lt;=E14,"PASS","FAIL")</x:f>
        <x:v>PASS</x:v>
      </x:c>
      <x:c r="G14" s="186" t="str">
        <x:v>Model: direct asset shocks</x:v>
      </x:c>
      <x:c r="H14" s="186"/>
    </x:row>
    <x:row r="15" ht="26" customHeight="1">
      <x:c r="A15" s="186" t="str">
        <x:v>Liquidity haircut traces to portfolio value</x:v>
      </x:c>
      <x:c r="B15" s="210" t="n">
        <x:f>ROUND('Model'!B16+'Model'!B12*'Inputs'!$B$16,6)</x:f>
        <x:v>0</x:v>
      </x:c>
      <x:c r="C15" s="210" t="n">
        <x:f>0</x:f>
        <x:v>0</x:v>
      </x:c>
      <x:c r="D15" s="210" t="n">
        <x:f>ROUND(B15-C15,6)</x:f>
        <x:v>0</x:v>
      </x:c>
      <x:c r="E15" s="210" t="n">
        <x:f>0.0001</x:f>
        <x:v>0.0001</x:v>
      </x:c>
      <x:c r="F15" s="203" t="str">
        <x:f>IF(ABS(ROUND(D15,6))&lt;=E15,"PASS","FAIL")</x:f>
        <x:v>PASS</x:v>
      </x:c>
      <x:c r="G15" s="186" t="str">
        <x:v>Model: liquidity overlay</x:v>
      </x:c>
      <x:c r="H15" s="186"/>
    </x:row>
    <x:row r="16" ht="26" customHeight="1">
      <x:c r="A16" s="186" t="str">
        <x:v>Stress-loss percentage traces</x:v>
      </x:c>
      <x:c r="B16" s="208" t="n">
        <x:f>ROUND('Model'!B18-IF('Model'!B12=0,0,MAX(0,-'Model'!B17)/'Model'!B12),6)</x:f>
        <x:v>0</x:v>
      </x:c>
      <x:c r="C16" s="208" t="n">
        <x:f>0</x:f>
        <x:v>0</x:v>
      </x:c>
      <x:c r="D16" s="208" t="n">
        <x:f>ROUND(B16-C16,6)</x:f>
        <x:v>0</x:v>
      </x:c>
      <x:c r="E16" s="208" t="n">
        <x:f>0.0001</x:f>
        <x:v>0.0001</x:v>
      </x:c>
      <x:c r="F16" s="203" t="str">
        <x:f>IF(ABS(ROUND(D16,6))&lt;=E16,"PASS","FAIL")</x:f>
        <x:v>PASS</x:v>
      </x:c>
      <x:c r="G16" s="186" t="str">
        <x:v>Model: stress-loss percentage</x:v>
      </x:c>
      <x:c r="H16" s="186"/>
    </x:row>
    <x:row r="17" ht="26" customHeight="1">
      <x:c r="A17" s="186" t="str">
        <x:v>Concentration and limit headroom trace</x:v>
      </x:c>
      <x:c r="B17" s="208" t="n">
        <x:f>ROUND(SUM(ABS('Model'!B19-IF('Model'!B12=0,0,MAX('Inputs'!$B$10,'Inputs'!$B$11,'Inputs'!$B$12)/'Model'!B12)),ABS('Model'!B20-'Inputs'!$B$17+'Model'!B18),ABS('Model'!B21-'Inputs'!$B$18+'Model'!B19)),6)</x:f>
        <x:v>0</x:v>
      </x:c>
      <x:c r="C17" s="208" t="n">
        <x:f>0</x:f>
        <x:v>0</x:v>
      </x:c>
      <x:c r="D17" s="208" t="n">
        <x:f>ROUND(B17-C17,6)</x:f>
        <x:v>0</x:v>
      </x:c>
      <x:c r="E17" s="208" t="n">
        <x:f>0.0001</x:f>
        <x:v>0.0001</x:v>
      </x:c>
      <x:c r="F17" s="203" t="str">
        <x:f>IF(ABS(ROUND(D17,6))&lt;=E17,"PASS","FAIL")</x:f>
        <x:v>PASS</x:v>
      </x:c>
      <x:c r="G17" s="186" t="str">
        <x:v>Model: concentration and headroom</x:v>
      </x:c>
      <x:c r="H17" s="186"/>
    </x:row>
    <x:row r="18" ht="26" customHeight="1">
      <x:c r="A18" s="186" t="str">
        <x:v>Asset attribution table ties to the bridge</x:v>
      </x:c>
      <x:c r="B18" s="210" t="n">
        <x:f>ROUND(SUM(ABS('Model'!E26-'Model'!B13),ABS('Model'!E27-'Model'!B14),ABS('Model'!E28-'Model'!B15),ABS('Model'!E29-'Model'!B16),ABS('Model'!E30-'Model'!B17),ABS('Model'!G30-'Model'!B12-'Model'!B17)),6)</x:f>
        <x:v>0</x:v>
      </x:c>
      <x:c r="C18" s="210" t="n">
        <x:f>0</x:f>
        <x:v>0</x:v>
      </x:c>
      <x:c r="D18" s="210" t="n">
        <x:f>ROUND(B18-C18,6)</x:f>
        <x:v>0</x:v>
      </x:c>
      <x:c r="E18" s="210" t="n">
        <x:f>0.0001</x:f>
        <x:v>0.0001</x:v>
      </x:c>
      <x:c r="F18" s="203" t="str">
        <x:f>IF(ABS(ROUND(D18,6))&lt;=E18,"PASS","FAIL")</x:f>
        <x:v>PASS</x:v>
      </x:c>
      <x:c r="G18" s="186" t="str">
        <x:v>Model: asset attribution table</x:v>
      </x:c>
      <x:c r="H18" s="186"/>
    </x:row>
    <x:row r="19" ht="20" customHeight="1">
      <x:c r="A19" s="214" t="str">
        <x:v>A warning business outcome can still pass these controls; review Model and Results before making a decision.</x:v>
      </x:c>
      <x:c r="B19" s="215"/>
      <x:c r="C19" s="215"/>
      <x:c r="D19" s="215"/>
      <x:c r="E19" s="215"/>
      <x:c r="F19" s="215"/>
      <x:c r="G19" s="215"/>
      <x:c r="H19" s="216"/>
    </x:row>
    <x:row r="20" ht="20" customHeight="1">
      <x:c r="A20" s="57" t="str">
        <x:v>Market Risk / Portfolio Stress · 10 / 10 controls should show PASS · v1.4.0</x:v>
      </x:c>
      <x:c r="B20" s="57"/>
      <x:c r="C20" s="57"/>
      <x:c r="D20" s="57"/>
      <x:c r="E20" s="57"/>
      <x:c r="F20" s="57"/>
      <x:c r="G20" s="57"/>
      <x:c r="H20" s="57"/>
    </x:row>
  </x:sheetData>
  <x:mergeCells>
    <x:mergeCell ref="A1:H2"/>
    <x:mergeCell ref="A3:H3"/>
    <x:mergeCell ref="B4:H4"/>
    <x:mergeCell ref="A5:B5"/>
    <x:mergeCell ref="C5:H5"/>
    <x:mergeCell ref="A7:H7"/>
    <x:mergeCell ref="G8:H8"/>
    <x:mergeCell ref="G9:H9"/>
    <x:mergeCell ref="G10:H10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A19:H19"/>
    <x:mergeCell ref="A20:H20"/>
  </x:mergeCells>
  <x:conditionalFormatting sqref="C5:H5">
    <x:cfRule type="containsText" dxfId="2" priority="1" operator="containsText" text="FAIL"/>
    <x:cfRule type="containsText" dxfId="3" priority="2" operator="containsText" text="PASS"/>
  </x:conditionalFormatting>
  <x:conditionalFormatting sqref="F9:F9">
    <x:cfRule type="containsText" dxfId="4" priority="3" operator="containsText" text="FAIL"/>
    <x:cfRule type="containsText" dxfId="5" priority="4" operator="containsText" text="PASS"/>
  </x:conditionalFormatting>
  <x:conditionalFormatting sqref="F10:F10">
    <x:cfRule type="containsText" dxfId="6" priority="5" operator="containsText" text="FAIL"/>
    <x:cfRule type="containsText" dxfId="7" priority="6" operator="containsText" text="PASS"/>
  </x:conditionalFormatting>
  <x:conditionalFormatting sqref="F11:F11">
    <x:cfRule type="containsText" dxfId="8" priority="7" operator="containsText" text="FAIL"/>
    <x:cfRule type="containsText" dxfId="9" priority="8" operator="containsText" text="PASS"/>
  </x:conditionalFormatting>
  <x:conditionalFormatting sqref="F12:F12">
    <x:cfRule type="containsText" dxfId="10" priority="9" operator="containsText" text="FAIL"/>
    <x:cfRule type="containsText" dxfId="11" priority="10" operator="containsText" text="PASS"/>
  </x:conditionalFormatting>
  <x:conditionalFormatting sqref="F13:F13">
    <x:cfRule type="containsText" dxfId="12" priority="11" operator="containsText" text="FAIL"/>
    <x:cfRule type="containsText" dxfId="13" priority="12" operator="containsText" text="PASS"/>
  </x:conditionalFormatting>
  <x:conditionalFormatting sqref="F14:F14">
    <x:cfRule type="containsText" dxfId="14" priority="13" operator="containsText" text="FAIL"/>
    <x:cfRule type="containsText" dxfId="15" priority="14" operator="containsText" text="PASS"/>
  </x:conditionalFormatting>
  <x:conditionalFormatting sqref="F15:F15">
    <x:cfRule type="containsText" dxfId="16" priority="15" operator="containsText" text="FAIL"/>
    <x:cfRule type="containsText" dxfId="17" priority="16" operator="containsText" text="PASS"/>
  </x:conditionalFormatting>
  <x:conditionalFormatting sqref="F16:F16">
    <x:cfRule type="containsText" dxfId="18" priority="17" operator="containsText" text="FAIL"/>
    <x:cfRule type="containsText" dxfId="19" priority="18" operator="containsText" text="PASS"/>
  </x:conditionalFormatting>
  <x:conditionalFormatting sqref="F17:F17">
    <x:cfRule type="containsText" dxfId="20" priority="19" operator="containsText" text="FAIL"/>
    <x:cfRule type="containsText" dxfId="21" priority="20" operator="containsText" text="PASS"/>
  </x:conditionalFormatting>
  <x:conditionalFormatting sqref="F18:F18">
    <x:cfRule type="containsText" dxfId="22" priority="21" operator="containsText" text="FAIL"/>
    <x:cfRule type="containsText" dxfId="23" priority="22" operator="containsText" text="PASS"/>
  </x:conditionalFormatting>
  <x:pageMargins left="0.7" right="0.7" top="0.75" bottom="0.75" header="0.3" footer="0.3"/>
</x:worksheet>
</file>