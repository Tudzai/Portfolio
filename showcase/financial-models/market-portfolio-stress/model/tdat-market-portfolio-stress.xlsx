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9feb76da3d4b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c0127207a05d434e"/>
    <x:sheet xmlns:r="http://schemas.openxmlformats.org/officeDocument/2006/relationships" name="Guide" sheetId="2" r:id="Re283c9ad5f9b4ead"/>
    <x:sheet xmlns:r="http://schemas.openxmlformats.org/officeDocument/2006/relationships" name="Assumptions" sheetId="3" r:id="Rb6ae301a576e49b2"/>
    <x:sheet xmlns:r="http://schemas.openxmlformats.org/officeDocument/2006/relationships" name="Position Inputs" sheetId="4" r:id="R00cca2954eed48c3"/>
    <x:sheet xmlns:r="http://schemas.openxmlformats.org/officeDocument/2006/relationships" name="Portfolio Stress" sheetId="5" r:id="Rdcf0c090a6c340ac"/>
    <x:sheet xmlns:r="http://schemas.openxmlformats.org/officeDocument/2006/relationships" name="Sensitivity" sheetId="6" r:id="Ra51ae6108ae44260"/>
    <x:sheet xmlns:r="http://schemas.openxmlformats.org/officeDocument/2006/relationships" name="Summary" sheetId="7" r:id="R45fb751ae91b4d8a"/>
    <x:sheet xmlns:r="http://schemas.openxmlformats.org/officeDocument/2006/relationships" name="Checks" sheetId="8" r:id="Raa45ce1b01fc49aa"/>
    <x:sheet xmlns:r="http://schemas.openxmlformats.org/officeDocument/2006/relationships" name="Sources &amp; Version" sheetId="9" r:id="Rbbc06140ccf94a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;(0.0%);-"/>
    <x:numFmt numFmtId="201" formatCode="#,##0.0;(#,##0.0);-"/>
    <x:numFmt numFmtId="202" formatCode="0.00;(0.00);-"/>
    <x:numFmt numFmtId="203" formatCode="#,##0;(#,##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5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</x:borders>
  <x:cellStyleXfs count="1">
    <x:xf numFmtId="0" fontId="0" fillId="0" borderId="0"/>
  </x:cellStyleXfs>
  <x:cellXfs count="2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0" fontId="12" fillId="5" borderId="19" xfId="0" applyNumberFormat="1" applyFont="1" applyFill="1" applyBorder="1" applyAlignment="1">
      <x:alignment horizontal="right"/>
    </x:xf>
    <x:xf numFmtId="200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/>
    <x:xf numFmtId="201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2" fontId="12" fillId="5" borderId="22" xfId="0" applyNumberFormat="1" applyFont="1" applyFill="1" applyBorder="1" applyAlignment="1">
      <x:alignment horizontal="right"/>
    </x:xf>
    <x:xf numFmtId="201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0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1" fontId="13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1" fontId="13" fillId="8" borderId="24" xfId="0" applyNumberFormat="1" applyFont="1" applyFill="1" applyBorder="1" applyAlignment="1">
      <x:alignment horizontal="right"/>
    </x:xf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 applyAlignment="1">
      <x:alignment wrapText="1"/>
    </x:xf>
    <x:xf numFmtId="201" fontId="16" fillId="0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1" fontId="16" fillId="0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1" fontId="13" fillId="8" borderId="22" xfId="0" applyNumberFormat="1" applyFont="1" applyFill="1" applyBorder="1" applyAlignment="1">
      <x:alignment horizontal="right"/>
    </x:xf>
    <x:xf numFmtId="200" fontId="16" fillId="0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0" fontId="16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1" fontId="16" fillId="6" borderId="0" xfId="0" applyNumberFormat="1" applyFont="1" applyFill="1" applyBorder="1" applyAlignment="1">
      <x:alignment horizontal="right"/>
    </x:xf>
    <x:xf numFmtId="201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1" fontId="16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center"/>
    </x:xf>
    <x:xf numFmtId="201" fontId="19" fillId="8" borderId="0" xfId="0" applyNumberFormat="1" applyFont="1" applyFill="1" applyBorder="1" applyAlignment="1">
      <x:alignment horizontal="center" vertical="center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203" fontId="16" fillId="0" borderId="0" xfId="0" applyNumberFormat="1" applyFont="1" applyFill="1" applyBorder="1"/>
    <x:xf numFmtId="203" fontId="16" fillId="0" borderId="0" xfId="0" applyNumberFormat="1" applyFont="1" applyFill="1" applyBorder="1" applyAlignment="1">
      <x:alignment horizontal="right"/>
    </x:xf>
    <x:xf numFmtId="203" fontId="16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center"/>
    </x:xf>
    <x:xf numFmtId="203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23" fillId="0" borderId="0" xfId="0" applyNumberFormat="1" applyFont="1" applyFill="1" applyBorder="1"/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0" fontId="0" fillId="0" borderId="21" xfId="0" applyNumberFormat="1" applyFont="1" applyFill="1" applyBorder="1"/>
    <x:xf numFmtId="200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3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0" fontId="23" fillId="0" borderId="22" xfId="0" applyNumberFormat="1" applyFont="1" applyFill="1" applyBorder="1"/>
    <x:xf numFmtId="0" fontId="0" fillId="0" borderId="23" xfId="0" applyNumberFormat="1" applyFont="1" applyFill="1" applyBorder="1"/>
    <x:xf numFmtId="201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1" fontId="31" fillId="0" borderId="0" xfId="0" applyNumberFormat="1" applyFont="1" applyFill="1" applyBorder="1" applyAlignment="1">
      <x:alignment horizontal="right"/>
    </x:xf>
    <x:xf numFmtId="200" fontId="31" fillId="0" borderId="0" xfId="0" applyNumberFormat="1" applyFont="1" applyFill="1" applyBorder="1" applyAlignment="1">
      <x:alignment horizontal="right"/>
    </x:xf>
    <x:xf numFmtId="203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9ed080a9ce4ddf" /><Relationship Type="http://schemas.openxmlformats.org/officeDocument/2006/relationships/theme" Target="/xl/theme/theme1.xml" Id="R7aed4cfa14934529" /><Relationship Type="http://schemas.openxmlformats.org/officeDocument/2006/relationships/sharedStrings" Target="/xl/sharedStrings.xml" Id="R7be318c22d0a4db2" /><Relationship Type="http://schemas.openxmlformats.org/officeDocument/2006/relationships/worksheet" Target="/xl/worksheets/sheet1.xml" Id="Rc0127207a05d434e" /><Relationship Type="http://schemas.openxmlformats.org/officeDocument/2006/relationships/worksheet" Target="/xl/worksheets/sheet2.xml" Id="Re283c9ad5f9b4ead" /><Relationship Type="http://schemas.openxmlformats.org/officeDocument/2006/relationships/worksheet" Target="/xl/worksheets/sheet3.xml" Id="Rb6ae301a576e49b2" /><Relationship Type="http://schemas.openxmlformats.org/officeDocument/2006/relationships/worksheet" Target="/xl/worksheets/sheet4.xml" Id="R00cca2954eed48c3" /><Relationship Type="http://schemas.openxmlformats.org/officeDocument/2006/relationships/worksheet" Target="/xl/worksheets/sheet5.xml" Id="Rdcf0c090a6c340ac" /><Relationship Type="http://schemas.openxmlformats.org/officeDocument/2006/relationships/worksheet" Target="/xl/worksheets/sheet6.xml" Id="Ra51ae6108ae44260" /><Relationship Type="http://schemas.openxmlformats.org/officeDocument/2006/relationships/worksheet" Target="/xl/worksheets/sheet7.xml" Id="R45fb751ae91b4d8a" /><Relationship Type="http://schemas.openxmlformats.org/officeDocument/2006/relationships/worksheet" Target="/xl/worksheets/sheet8.xml" Id="Raa45ce1b01fc49aa" /><Relationship Type="http://schemas.openxmlformats.org/officeDocument/2006/relationships/worksheet" Target="/xl/worksheets/sheet9.xml" Id="Rbbc06140ccf94a3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b16fa35b36545d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Stressed loss attribution by position</a:t>
            </a:r>
          </a:p>
        </c:rich>
      </c:tx>
    </c:title>
    <c:plotArea>
      <c:lineChart>
        <c:grouping val="standard"/>
        <c:ser>
          <c:idx val="0"/>
          <c:order val="0"/>
          <c:tx>
            <c:v>Total stressed loss</c:v>
          </c:tx>
          <c:marker>
            <c:symbol val="none"/>
          </c:marker>
          <c:cat>
            <c:strRef>
              <c:f>'Summary'!$A$16:$A$21</c:f>
              <c:strCache>
                <c:ptCount val="0"/>
              </c:strCache>
            </c:strRef>
          </c:cat>
          <c:val>
            <c:numRef>
              <c:f>'Summary'!$B$16:$B$21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16fa35b36545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19bafe3ee4c94a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TDAT-FM-RSK-003  |  Built to flex. Built to tie. Built to trust.</x:v>
      </x:c>
      <x:c r="B2" s="6" t="str">
        <x:v>TDAT-FM-RSK-003  |  Built to flex. Built to tie. Built to trust.</x:v>
      </x:c>
      <x:c r="C2" s="6" t="str">
        <x:v>TDAT-FM-RSK-003  |  Built to flex. Built to tie. Built to trust.</x:v>
      </x:c>
      <x:c r="D2" s="6" t="str">
        <x:v>TDAT-FM-RSK-003  |  Built to flex. Built to tie. Built to trust.</x:v>
      </x:c>
      <x:c r="E2" s="6" t="str">
        <x:v>TDAT-FM-RSK-003  |  Built to flex. Built to tie. Built to trust.</x:v>
      </x:c>
      <x:c r="F2" s="6" t="str">
        <x:v>TDAT-FM-RSK-003  |  Built to flex. Built to tie. Built to trust.</x:v>
      </x:c>
      <x:c r="G2" s="6" t="str">
        <x:v>TDAT-FM-RSK-003  |  Built to flex. Built to tie. Built to trust.</x:v>
      </x:c>
      <x:c r="H2" s="6" t="str">
        <x:v>TDAT-FM-RSK-003  |  Built to flex. Built to tie. Built to trust.</x:v>
      </x:c>
      <x:c r="I2" s="6" t="str">
        <x:v>TDAT-FM-RSK-003  |  Built to flex. Built to tie. Built to trust.</x:v>
      </x:c>
      <x:c r="J2" s="6" t="str">
        <x:v>TDAT-FM-RSK-003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15" t="str">
        <x:v>Market Risk / Portfolio Stress</x:v>
      </x:c>
      <x:c r="B5" s="215" t="str">
        <x:v>Market Risk / Portfolio Stress</x:v>
      </x:c>
      <x:c r="C5" s="215" t="str">
        <x:v>Market Risk / Portfolio Stress</x:v>
      </x:c>
      <x:c r="D5" s="215" t="str">
        <x:v>Market Risk / Portfolio Stress</x:v>
      </x:c>
      <x:c r="E5" s="215" t="str">
        <x:v>Market Risk / Portfolio Stress</x:v>
      </x:c>
      <x:c r="F5" s="215" t="str">
        <x:v>Market Risk / Portfolio Stress</x:v>
      </x:c>
      <x:c r="G5" s="125" t="str">
        <x:v>CALCULATION INTEGRITY</x:v>
      </x:c>
      <x:c r="H5" s="125" t="str">
        <x:v>CALCULATION INTEGRITY</x:v>
      </x:c>
      <x:c r="I5" s="125" t="str">
        <x:v>CALCULATION INTEGRITY</x:v>
      </x:c>
      <x:c r="J5" s="125" t="str">
        <x:v>CALCULATION INTEGRITY</x:v>
      </x:c>
    </x:row>
    <x:row r="6">
      <x:c r="A6" s="215" t="str">
        <x:v>Market Risk / Portfolio Stress</x:v>
      </x:c>
      <x:c r="B6" s="215" t="str">
        <x:v>Market Risk / Portfolio Stress</x:v>
      </x:c>
      <x:c r="C6" s="215" t="str">
        <x:v>Market Risk / Portfolio Stress</x:v>
      </x:c>
      <x:c r="D6" s="215" t="str">
        <x:v>Market Risk / Portfolio Stress</x:v>
      </x:c>
      <x:c r="E6" s="215" t="str">
        <x:v>Market Risk / Portfolio Stress</x:v>
      </x:c>
      <x:c r="F6" s="215" t="str">
        <x:v>Market Risk / Portfolio Stress</x:v>
      </x:c>
      <x:c r="G6" s="218" t="str">
        <x:f>'Checks'!$B$5</x:f>
        <x:v>PASS</x:v>
      </x:c>
      <x:c r="H6" s="218"/>
      <x:c r="I6" s="218"/>
      <x:c r="J6" s="218"/>
    </x:row>
    <x:row r="7">
      <x:c r="A7" s="215" t="str">
        <x:v>Market Risk / Portfolio Stress</x:v>
      </x:c>
      <x:c r="B7" s="215" t="str">
        <x:v>Market Risk / Portfolio Stress</x:v>
      </x:c>
      <x:c r="C7" s="215" t="str">
        <x:v>Market Risk / Portfolio Stress</x:v>
      </x:c>
      <x:c r="D7" s="215" t="str">
        <x:v>Market Risk / Portfolio Stress</x:v>
      </x:c>
      <x:c r="E7" s="215" t="str">
        <x:v>Market Risk / Portfolio Stress</x:v>
      </x:c>
      <x:c r="F7" s="215" t="str">
        <x:v>Market Risk / Portfolio Stress</x:v>
      </x:c>
      <x:c r="G7" s="218"/>
      <x:c r="H7" s="218"/>
      <x:c r="I7" s="218"/>
      <x:c r="J7" s="218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22" t="str">
        <x:v>Where do shocks, concentration, and correlations create the largest downside exposure?</x:v>
      </x:c>
      <x:c r="B10" s="222" t="str">
        <x:v>Where do shocks, concentration, and correlations create the largest downside exposure?</x:v>
      </x:c>
      <x:c r="C10" s="222" t="str">
        <x:v>Where do shocks, concentration, and correlations create the largest downside exposure?</x:v>
      </x:c>
      <x:c r="D10" s="222" t="str">
        <x:v>Where do shocks, concentration, and correlations create the largest downside exposure?</x:v>
      </x:c>
      <x:c r="E10" s="222" t="str">
        <x:v>Where do shocks, concentration, and correlations create the largest downside exposure?</x:v>
      </x:c>
      <x:c r="F10" s="222" t="str">
        <x:v>Where do shocks, concentration, and correlations create the largest downside exposure?</x:v>
      </x:c>
      <x:c r="G10" s="222" t="str">
        <x:v>Where do shocks, concentration, and correlations create the largest downside exposure?</x:v>
      </x:c>
      <x:c r="H10" s="222" t="str">
        <x:v>Where do shocks, concentration, and correlations create the largest downside exposure?</x:v>
      </x:c>
      <x:c r="I10" s="222" t="str">
        <x:v>Where do shocks, concentration, and correlations create the largest downside exposure?</x:v>
      </x:c>
      <x:c r="J10" s="222" t="str">
        <x:v>Where do shocks, concentration, and correlations create the largest downside exposure?</x:v>
      </x:c>
    </x:row>
    <x:row r="11">
      <x:c r="A11" s="222" t="str">
        <x:v>Where do shocks, concentration, and correlations create the largest downside exposure?</x:v>
      </x:c>
      <x:c r="B11" s="222" t="str">
        <x:v>Where do shocks, concentration, and correlations create the largest downside exposure?</x:v>
      </x:c>
      <x:c r="C11" s="222" t="str">
        <x:v>Where do shocks, concentration, and correlations create the largest downside exposure?</x:v>
      </x:c>
      <x:c r="D11" s="222" t="str">
        <x:v>Where do shocks, concentration, and correlations create the largest downside exposure?</x:v>
      </x:c>
      <x:c r="E11" s="222" t="str">
        <x:v>Where do shocks, concentration, and correlations create the largest downside exposure?</x:v>
      </x:c>
      <x:c r="F11" s="222" t="str">
        <x:v>Where do shocks, concentration, and correlations create the largest downside exposure?</x:v>
      </x:c>
      <x:c r="G11" s="222" t="str">
        <x:v>Where do shocks, concentration, and correlations create the largest downside exposure?</x:v>
      </x:c>
      <x:c r="H11" s="222" t="str">
        <x:v>Where do shocks, concentration, and correlations create the largest downside exposure?</x:v>
      </x:c>
      <x:c r="I11" s="222" t="str">
        <x:v>Where do shocks, concentration, and correlations create the largest downside exposure?</x:v>
      </x:c>
      <x:c r="J11" s="222" t="str">
        <x:v>Where do shocks, concentration, and correlations create the largest downside exposure?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23" t="str">
        <x:v>Calculation integrity</x:v>
      </x:c>
      <x:c r="B14" s="224" t="str">
        <x:v>Decision readiness</x:v>
      </x:c>
      <x:c r="C14" s="229" t="str">
        <x:f>'Checks'!$B$5</x:f>
        <x:v>PASS</x:v>
      </x:c>
      <x:c r="D14" s="229"/>
      <x:c r="E14" s="229"/>
      <x:c r="F14" s="244" t="str">
        <x:v>TEMPLATE — VALIDATE INPUTS</x:v>
      </x:c>
      <x:c r="G14" s="244" t="str">
        <x:v>TEMPLATE — VALIDATE INPUTS</x:v>
      </x:c>
      <x:c r="H14" s="244" t="str">
        <x:v>TEMPLATE — VALIDATE INPUTS</x:v>
      </x:c>
      <x:c r="I14" s="244" t="str">
        <x:v>TEMPLATE — VALIDATE INPUTS</x:v>
      </x:c>
      <x:c r="J14" s="245" t="str">
        <x:v>TEMPLATE — VALIDATE INPUTS</x:v>
      </x:c>
    </x:row>
    <x:row r="15">
      <x:c r="A15" s="225" t="str">
        <x:v>Published checks</x:v>
      </x:c>
      <x:c r="B15" s="226" t="str">
        <x:v>Template posture</x:v>
      </x:c>
      <x:c r="C15" s="230" t="str">
        <x:f>"10 / 10 PASS"</x:f>
        <x:v>10 / 10 PASS</x:v>
      </x:c>
      <x:c r="D15" s="230"/>
      <x:c r="E15" s="230"/>
      <x:c r="F15" s="246" t="str">
        <x:v>Illustrative, screen-grade worked example</x:v>
      </x:c>
      <x:c r="G15" s="246" t="str">
        <x:v>Illustrative, screen-grade worked example</x:v>
      </x:c>
      <x:c r="H15" s="246" t="str">
        <x:v>Illustrative, screen-grade worked example</x:v>
      </x:c>
      <x:c r="I15" s="246" t="str">
        <x:v>Illustrative, screen-grade worked example</x:v>
      </x:c>
      <x:c r="J15" s="247" t="str">
        <x:v>Illustrative, screen-grade worked example</x:v>
      </x:c>
    </x:row>
    <x:row r="16">
      <x:c r="A16" s="225" t="str">
        <x:v>Scenario</x:v>
      </x:c>
      <x:c r="B16" s="226" t="str">
        <x:v>Evidence</x:v>
      </x:c>
      <x:c r="C16" s="230" t="str">
        <x:f>'Assumptions'!$B$3</x:f>
        <x:v>Base</x:v>
      </x:c>
      <x:c r="D16" s="230"/>
      <x:c r="E16" s="230"/>
      <x:c r="F16" s="246" t="str">
        <x:v>Synthetic / illustrative</x:v>
      </x:c>
      <x:c r="G16" s="246" t="str">
        <x:v>Synthetic / illustrative</x:v>
      </x:c>
      <x:c r="H16" s="246" t="str">
        <x:v>Synthetic / illustrative</x:v>
      </x:c>
      <x:c r="I16" s="246" t="str">
        <x:v>Synthetic / illustrative</x:v>
      </x:c>
      <x:c r="J16" s="247" t="str">
        <x:v>Synthetic / illustrative</x:v>
      </x:c>
    </x:row>
    <x:row r="17">
      <x:c r="A17" s="227" t="str">
        <x:v>Owner</x:v>
      </x:c>
      <x:c r="B17" s="228" t="str">
        <x:v>Use</x:v>
      </x:c>
      <x:c r="C17" s="231" t="str">
        <x:f>'Sources &amp; Version'!$B$12</x:f>
        <x:v>Truong Dinh Anh Tu</x:v>
      </x:c>
      <x:c r="D17" s="231"/>
      <x:c r="E17" s="231"/>
      <x:c r="F17" s="248" t="str">
        <x:v>Market Risk · Portfolio Risk · Investment Analyst</x:v>
      </x:c>
      <x:c r="G17" s="248" t="str">
        <x:v>Market Risk · Portfolio Risk · Investment Analyst</x:v>
      </x:c>
      <x:c r="H17" s="248" t="str">
        <x:v>Market Risk · Portfolio Risk · Investment Analyst</x:v>
      </x:c>
      <x:c r="I17" s="248" t="str">
        <x:v>Market Risk · Portfolio Risk · Investment Analyst</x:v>
      </x:c>
      <x:c r="J17" s="249" t="str">
        <x:v>Market Risk · Portfolio Risk · Investment Analyst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04" t="str">
        <x:v>Model ID</x:v>
      </x:c>
      <x:c r="B20" s="138" t="str">
        <x:v>TDAT-FM-RSK-003</x:v>
      </x:c>
      <x:c r="C20" s="206" t="str">
        <x:v>Version</x:v>
      </x:c>
      <x:c r="D20" s="138" t="str">
        <x:v>1.0.0</x:v>
      </x:c>
      <x:c r="E20" s="206" t="str">
        <x:v>Last QA</x:v>
      </x:c>
      <x:c r="F20" s="139" t="str">
        <x:v>2026-07-13</x:v>
      </x:c>
      <x:c r="G20" s="253" t="str">
        <x:v>Portfolio market value</x:v>
      </x:c>
      <x:c r="H20" s="253" t="str">
        <x:v>Portfolio market value</x:v>
      </x:c>
      <x:c r="I20" s="254" t="n">
        <x:f>SUM('Position Inputs'!B6:G6)</x:f>
        <x:v>930</x:v>
      </x:c>
      <x:c r="J20" s="254"/>
    </x:row>
    <x:row r="21">
      <x:c r="A21" s="251" t="str">
        <x:v>Domain</x:v>
      </x:c>
      <x:c r="B21" s="141" t="str">
        <x:v>Credit &amp; Risk</x:v>
      </x:c>
      <x:c r="C21" s="252" t="str">
        <x:v>Compatibility</x:v>
      </x:c>
      <x:c r="D21" s="141" t="str">
        <x:v>Excel 365</x:v>
      </x:c>
      <x:c r="E21" s="252" t="str">
        <x:v>Macros</x:v>
      </x:c>
      <x:c r="F21" s="142" t="str">
        <x:v>None</x:v>
      </x:c>
      <x:c r="G21" s="253" t="str">
        <x:v>Total stressed loss</x:v>
      </x:c>
      <x:c r="H21" s="253" t="str">
        <x:v>Total stressed loss</x:v>
      </x:c>
      <x:c r="I21" s="254" t="n">
        <x:f>SUM('Portfolio Stress'!B12:G12)</x:f>
        <x:v>-169.79</x:v>
      </x:c>
      <x:c r="J21" s="254"/>
    </x:row>
    <x:row r="22">
      <x:c r="A22" s="251" t="str">
        <x:v>Horizon</x:v>
      </x:c>
      <x:c r="B22" s="141" t="str">
        <x:v>Daily to annual</x:v>
      </x:c>
      <x:c r="C22" s="252" t="str">
        <x:v>Frequency</x:v>
      </x:c>
      <x:c r="D22" s="141" t="str">
        <x:v>Position snapshot</x:v>
      </x:c>
      <x:c r="E22" s="252" t="str">
        <x:v>External links</x:v>
      </x:c>
      <x:c r="F22" s="142" t="str">
        <x:v>None</x:v>
      </x:c>
      <x:c r="G22" s="253" t="str">
        <x:v>Stress loss / portfolio</x:v>
      </x:c>
      <x:c r="H22" s="253" t="str">
        <x:v>Stress loss / portfolio</x:v>
      </x:c>
      <x:c r="I22" s="255" t="n">
        <x:f>ABS(SUM('Portfolio Stress'!B12:G12))/SUM('Position Inputs'!B6:G6)</x:f>
        <x:v>0.18256989247311828</x:v>
      </x:c>
      <x:c r="J22" s="255"/>
    </x:row>
    <x:row r="23">
      <x:c r="A23" s="251" t="str">
        <x:v>Currency</x:v>
      </x:c>
      <x:c r="B23" s="141" t="str">
        <x:v>LCY</x:v>
      </x:c>
      <x:c r="C23" s="252" t="str">
        <x:v>Units</x:v>
      </x:c>
      <x:c r="D23" s="141" t="str">
        <x:v>LCY millions</x:v>
      </x:c>
      <x:c r="E23" s="252" t="str">
        <x:v>Scenario</x:v>
      </x:c>
      <x:c r="F23" s="142" t="str">
        <x:v>Base / Upside / Downside</x:v>
      </x:c>
      <x:c r="G23" s="253" t="str">
        <x:v>Largest position weight</x:v>
      </x:c>
      <x:c r="H23" s="253" t="str">
        <x:v>Largest position weight</x:v>
      </x:c>
      <x:c r="I23" s="255" t="n">
        <x:f>MAX('Portfolio Stress'!B13:G13)</x:f>
        <x:v>0.27956989247311825</x:v>
      </x:c>
      <x:c r="J23" s="255"/>
    </x:row>
    <x:row r="24">
      <x:c r="A24" s="205" t="str">
        <x:v>Owner</x:v>
      </x:c>
      <x:c r="B24" s="144" t="str">
        <x:v>Truong Dinh Anh Tu</x:v>
      </x:c>
      <x:c r="C24" s="207" t="str">
        <x:v>Standard</x:v>
      </x:c>
      <x:c r="D24" s="144" t="str">
        <x:v>TDAT Model Standard 1.0</x:v>
      </x:c>
      <x:c r="E24" s="207" t="str">
        <x:v>Evidence</x:v>
      </x:c>
      <x:c r="F24" s="145" t="str">
        <x:v>Synthetic worked template</x:v>
      </x:c>
      <x:c r="G24" s="253" t="str">
        <x:v>Concentration breaches</x:v>
      </x:c>
      <x:c r="H24" s="253" t="str">
        <x:v>Concentration breaches</x:v>
      </x:c>
      <x:c r="I24" s="256" t="n">
        <x:f>COUNTIF('Portfolio Stress'!B14:G14,"&gt;0")</x:f>
        <x:v>0</x:v>
      </x:c>
      <x:c r="J24" s="256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76" t="str">
        <x:v>Blue font</x:v>
      </x:c>
      <x:c r="B27" s="268" t="str">
        <x:v>Editable hardcode</x:v>
      </x:c>
      <x:c r="C27" s="277" t="str">
        <x:v>Black font</x:v>
      </x:c>
      <x:c r="D27" s="268" t="str">
        <x:v>In-sheet formula</x:v>
      </x:c>
      <x:c r="E27" s="278" t="str">
        <x:v>Green font</x:v>
      </x:c>
      <x:c r="F27" s="268" t="str">
        <x:v>Cross-sheet formula</x:v>
      </x:c>
      <x:c r="G27" s="279" t="str">
        <x:v>Pale amber</x:v>
      </x:c>
      <x:c r="H27" s="279" t="str">
        <x:v>Scenario / review cue</x:v>
      </x:c>
      <x:c r="I27" s="280" t="str">
        <x:v>Teal</x:v>
      </x:c>
      <x:c r="J27" s="281" t="str">
        <x:v>PASS / trusted output</x:v>
      </x:c>
    </x:row>
    <x:row r="28">
      <x:c r="A28" s="270" t="str">
        <x:v>Actual</x:v>
      </x:c>
      <x:c r="B28" s="271" t="str">
        <x:v>Neutral period band</x:v>
      </x:c>
      <x:c r="C28" s="271" t="str">
        <x:v>Forecast</x:v>
      </x:c>
      <x:c r="D28" s="271" t="str">
        <x:v>Pale-blue period band</x:v>
      </x:c>
      <x:c r="E28" s="271" t="str">
        <x:v>Zero</x:v>
      </x:c>
      <x:c r="F28" s="271" t="str">
        <x:v>Displayed as an en dash</x:v>
      </x:c>
      <x:c r="G28" s="271" t="str">
        <x:v>Rule</x:v>
      </x:c>
      <x:c r="H28" s="271" t="str">
        <x:v>Keep formulas copy-across</x:v>
      </x:c>
      <x:c r="I28" s="271" t="str">
        <x:v>Rule</x:v>
      </x:c>
      <x:c r="J28" s="272" t="str">
        <x:v>Recheck after every change</x:v>
      </x:c>
    </x:row>
    <x:row r="29">
      <x:c r="A29" s="273" t="str">
        <x:v>Status</x:v>
      </x:c>
      <x:c r="B29" s="274" t="str">
        <x:v>PASS means controls tie</x:v>
      </x:c>
      <x:c r="C29" s="274" t="str">
        <x:v>Readiness</x:v>
      </x:c>
      <x:c r="D29" s="274" t="str">
        <x:v>Inputs still require review</x:v>
      </x:c>
      <x:c r="E29" s="274" t="str">
        <x:v>Privacy</x:v>
      </x:c>
      <x:c r="F29" s="274" t="str">
        <x:v>Public-safe example</x:v>
      </x:c>
      <x:c r="G29" s="274" t="str">
        <x:v>Use</x:v>
      </x:c>
      <x:c r="H29" s="274" t="str">
        <x:v>Adapt and validate</x:v>
      </x:c>
      <x:c r="I29" s="274" t="str">
        <x:v>Support</x:v>
      </x:c>
      <x:c r="J29" s="275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Market Risk / Portfolio Stress  |  Scope, setup, flexibility, and limitations</x:v>
      </x:c>
      <x:c r="B2" s="6" t="str">
        <x:v>Market Risk / Portfolio Stress  |  Scope, setup, flexibility, and limitations</x:v>
      </x:c>
      <x:c r="C2" s="6" t="str">
        <x:v>Market Risk / Portfolio Stress  |  Scope, setup, flexibility, and limitations</x:v>
      </x:c>
      <x:c r="D2" s="6" t="str">
        <x:v>Market Risk / Portfolio Stress  |  Scope, setup, flexibility, and limitations</x:v>
      </x:c>
      <x:c r="E2" s="6" t="str">
        <x:v>Market Risk / Portfolio Stress  |  Scope, setup, flexibility, and limitations</x:v>
      </x:c>
      <x:c r="F2" s="6" t="str">
        <x:v>Market Risk / Portfolio Stress  |  Scope, setup, flexibility, and limitations</x:v>
      </x:c>
      <x:c r="G2" s="6" t="str">
        <x:v>Market Risk / Portfolio Stress  |  Scope, setup, flexibility, and limitations</x:v>
      </x:c>
      <x:c r="H2" s="6" t="str">
        <x:v>Market Risk / Portfolio Stress  |  Scope, setup, flexibility, and limitations</x:v>
      </x:c>
      <x:c r="I2" s="6" t="str">
        <x:v>Market Risk / Portfolio Stress  |  Scope, setup, flexibility, and limitations</x:v>
      </x:c>
      <x:c r="J2" s="6" t="str">
        <x:v>Market Risk / Portfolio Stress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B6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C6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D6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E6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F6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G6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H6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I6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J6" s="12" t="str">
        <x:v>Scenario shocks, position mapping, concentration, loss attribution, and illustrative risk-limit monitoring.
Primary users: Market Risk, Portfolio Risk, Investment Analyst. Typical use: Stress testing, Concentration, Limits.</x:v>
      </x:c>
    </x:row>
    <x:row r="7">
      <x:c r="A7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B7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C7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D7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E7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F7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G7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H7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I7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J7" s="12" t="str">
        <x:v>Scenario shocks, position mapping, concentration, loss attribution, and illustrative risk-limit monitoring.
Primary users: Market Risk, Portfolio Risk, Investment Analyst. Typical use: Stress testing, Concentration, Limits.</x:v>
      </x:c>
    </x:row>
    <x:row r="8">
      <x:c r="A8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B8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C8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D8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E8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F8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G8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H8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I8" s="12" t="str">
        <x:v>Scenario shocks, position mapping, concentration, loss attribution, and illustrative risk-limit monitoring.
Primary users: Market Risk, Portfolio Risk, Investment Analyst. Typical use: Stress testing, Concentration, Limits.</x:v>
      </x:c>
      <x:c r="J8" s="12" t="str">
        <x:v>Scenario shocks, position mapping, concentration, loss attribution, and illustrative risk-limit monitoring.
Primary users: Market Risk, Portfolio Risk, Investment Analyst. Typical use: Stress testing, Concentration, Limits.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Where do shocks, concentration, and correlations create the largest downside exposure?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Position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Portfolio Stress;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Position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Portfolio Stress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Equity shock × Rate shock recalculation of Total stressed portfolio loss.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Position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Portfolio Stress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Illustrative deterministic stress template only; it is not regulatory VaR, expected shortfall, a validated risk model, or investment advice. Validate position data, factor mapping, pricing non-linearity, correlations, liquidity, limits, governance, and independent risk review.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B37" s="43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C37" s="43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D37" s="43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E37" s="43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F37" s="43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G37" s="43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H37" s="43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I37" s="43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J37" s="44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</x:row>
    <x:row r="38">
      <x:c r="A38" s="45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B38" s="46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C38" s="46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D38" s="46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E38" s="46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F38" s="46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G38" s="46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H38" s="46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I38" s="46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J38" s="47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</x:row>
    <x:row r="39">
      <x:c r="A39" s="48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B39" s="49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C39" s="49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D39" s="49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E39" s="49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F39" s="49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G39" s="49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H39" s="49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I39" s="49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  <x:c r="J39" s="50" t="str">
        <x:v>Deliberately excluded in version 1.0.0: regulatory VaR; expected shortfall; full revaluation; correlation/covariance model; derivative greeks; investment recommendation.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Market Risk / Portfolio Stress  |  One controlled selector and visible driver cases</x:v>
      </x:c>
      <x:c r="B2" s="6" t="str">
        <x:v>Market Risk / Portfolio Stress  |  One controlled selector and visible driver cases</x:v>
      </x:c>
      <x:c r="C2" s="6" t="str">
        <x:v>Market Risk / Portfolio Stress  |  One controlled selector and visible driver cases</x:v>
      </x:c>
      <x:c r="D2" s="6" t="str">
        <x:v>Market Risk / Portfolio Stress  |  One controlled selector and visible driver cases</x:v>
      </x:c>
      <x:c r="E2" s="6" t="str">
        <x:v>Market Risk / Portfolio Stress  |  One controlled selector and visible driver cases</x:v>
      </x:c>
      <x:c r="F2" s="6" t="str">
        <x:v>Market Risk / Portfolio Stress  |  One controlled selector and visible driver cases</x:v>
      </x:c>
      <x:c r="G2" s="6" t="str">
        <x:v>Market Risk / Portfolio Stress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76" t="str">
        <x:v>Equity shock</x:v>
      </x:c>
      <x:c r="B6" s="77" t="str">
        <x:v>%</x:v>
      </x:c>
      <x:c r="C6" s="78" t="n">
        <x:v>-0.2</x:v>
      </x:c>
      <x:c r="D6" s="78" t="n">
        <x:v>-0.1</x:v>
      </x:c>
      <x:c r="E6" s="78" t="n">
        <x:v>-0.35</x:v>
      </x:c>
      <x:c r="F6" s="79" t="n">
        <x:f>IF($B$3="Base",C6,IF($B$3="Upside",D6,E6))</x:f>
        <x:v>-0.2</x:v>
      </x:c>
      <x:c r="G6" s="80" t="str">
        <x:v>Replace with an approved, sourced assumption.</x:v>
      </x:c>
    </x:row>
    <x:row r="7">
      <x:c r="A7" s="81" t="str">
        <x:v>Rate shock</x:v>
      </x:c>
      <x:c r="B7" s="82" t="str">
        <x:v>%</x:v>
      </x:c>
      <x:c r="C7" s="83" t="n">
        <x:v>0.01</x:v>
      </x:c>
      <x:c r="D7" s="83" t="n">
        <x:v>0.005</x:v>
      </x:c>
      <x:c r="E7" s="83" t="n">
        <x:v>0.02</x:v>
      </x:c>
      <x:c r="F7" s="84" t="n">
        <x:f>IF($B$3="Base",C7,IF($B$3="Upside",D7,E7))</x:f>
        <x:v>0.01</x:v>
      </x:c>
      <x:c r="G7" s="85" t="str">
        <x:v>Replace with an approved, sourced assumption.</x:v>
      </x:c>
    </x:row>
    <x:row r="8">
      <x:c r="A8" s="81" t="str">
        <x:v>Credit spread shock</x:v>
      </x:c>
      <x:c r="B8" s="82" t="str">
        <x:v>%</x:v>
      </x:c>
      <x:c r="C8" s="83" t="n">
        <x:v>0.015</x:v>
      </x:c>
      <x:c r="D8" s="83" t="n">
        <x:v>0.0075</x:v>
      </x:c>
      <x:c r="E8" s="83" t="n">
        <x:v>0.03</x:v>
      </x:c>
      <x:c r="F8" s="84" t="n">
        <x:f>IF($B$3="Base",C8,IF($B$3="Upside",D8,E8))</x:f>
        <x:v>0.015</x:v>
      </x:c>
      <x:c r="G8" s="85" t="str">
        <x:v>Replace with an approved, sourced assumption.</x:v>
      </x:c>
    </x:row>
    <x:row r="9">
      <x:c r="A9" s="81" t="str">
        <x:v>FX shock</x:v>
      </x:c>
      <x:c r="B9" s="82" t="str">
        <x:v>%</x:v>
      </x:c>
      <x:c r="C9" s="83" t="n">
        <x:v>-0.1</x:v>
      </x:c>
      <x:c r="D9" s="83" t="n">
        <x:v>-0.05</x:v>
      </x:c>
      <x:c r="E9" s="83" t="n">
        <x:v>-0.2</x:v>
      </x:c>
      <x:c r="F9" s="84" t="n">
        <x:f>IF($B$3="Base",C9,IF($B$3="Upside",D9,E9))</x:f>
        <x:v>-0.1</x:v>
      </x:c>
      <x:c r="G9" s="85" t="str">
        <x:v>Replace with an approved, sourced assumption.</x:v>
      </x:c>
    </x:row>
    <x:row r="10">
      <x:c r="A10" s="81" t="str">
        <x:v>Commodity shock</x:v>
      </x:c>
      <x:c r="B10" s="82" t="str">
        <x:v>%</x:v>
      </x:c>
      <x:c r="C10" s="83" t="n">
        <x:v>-0.25</x:v>
      </x:c>
      <x:c r="D10" s="83" t="n">
        <x:v>-0.1</x:v>
      </x:c>
      <x:c r="E10" s="83" t="n">
        <x:v>-0.4</x:v>
      </x:c>
      <x:c r="F10" s="84" t="n">
        <x:f>IF($B$3="Base",C10,IF($B$3="Upside",D10,E10))</x:f>
        <x:v>-0.25</x:v>
      </x:c>
      <x:c r="G10" s="85" t="str">
        <x:v>Replace with an approved, sourced assumption.</x:v>
      </x:c>
    </x:row>
    <x:row r="11">
      <x:c r="A11" s="81" t="str">
        <x:v>Single-position concentration limit</x:v>
      </x:c>
      <x:c r="B11" s="82" t="str">
        <x:v>%</x:v>
      </x:c>
      <x:c r="C11" s="83" t="n">
        <x:v>0.3</x:v>
      </x:c>
      <x:c r="D11" s="83" t="n">
        <x:v>0.35</x:v>
      </x:c>
      <x:c r="E11" s="83" t="n">
        <x:v>0.25</x:v>
      </x:c>
      <x:c r="F11" s="84" t="n">
        <x:f>IF($B$3="Base",C11,IF($B$3="Upside",D11,E11))</x:f>
        <x:v>0.3</x:v>
      </x:c>
      <x:c r="G11" s="85" t="str">
        <x:v>Replace with an approved, sourced assumption.</x:v>
      </x:c>
    </x:row>
    <x:row r="12">
      <x:c r="A12" s="86" t="str">
        <x:v>Portfolio stress-loss limit</x:v>
      </x:c>
      <x:c r="B12" s="87" t="str">
        <x:v>%</x:v>
      </x:c>
      <x:c r="C12" s="88" t="n">
        <x:v>0.2</x:v>
      </x:c>
      <x:c r="D12" s="88" t="n">
        <x:v>0.22</x:v>
      </x:c>
      <x:c r="E12" s="88" t="n">
        <x:v>0.15</x:v>
      </x:c>
      <x:c r="F12" s="89" t="n">
        <x:f>IF($B$3="Base",C12,IF($B$3="Upside",D12,E12))</x:f>
        <x:v>0.2</x:v>
      </x:c>
      <x:c r="G12" s="90" t="str">
        <x:v>Replace with an approved, sourced assumption.</x:v>
      </x:c>
    </x:row>
    <x:row r="14">
      <x:c r="A14" s="42" t="str">
        <x:v>Scenario discipline: change a small number of decision-relevant drivers, preserve the core formula architecture, and document what changed, why, who owns it, and what action follows.</x:v>
      </x:c>
      <x:c r="B14" s="43" t="str">
        <x:v>Scenario discipline: change a small number of decision-relevant drivers, preserve the core formula architecture, and document what changed, why, who owns it, and what action follows.</x:v>
      </x:c>
      <x:c r="C14" s="43" t="str">
        <x:v>Scenario discipline: change a small number of decision-relevant drivers, preserve the core formula architecture, and document what changed, why, who owns it, and what action follows.</x:v>
      </x:c>
      <x:c r="D14" s="43" t="str">
        <x:v>Scenario discipline: change a small number of decision-relevant drivers, preserve the core formula architecture, and document what changed, why, who owns it, and what action follows.</x:v>
      </x:c>
      <x:c r="E14" s="43" t="str">
        <x:v>Scenario discipline: change a small number of decision-relevant drivers, preserve the core formula architecture, and document what changed, why, who owns it, and what action follows.</x:v>
      </x:c>
      <x:c r="F14" s="43" t="str">
        <x:v>Scenario discipline: change a small number of decision-relevant drivers, preserve the core formula architecture, and document what changed, why, who owns it, and what action follows.</x:v>
      </x:c>
      <x:c r="G14" s="44" t="str">
        <x:v>Scenario discipline: change a small number of decision-relevant drivers, preserve the core formula architecture, and document what changed, why, who owns it, and what action follows.</x:v>
      </x:c>
    </x:row>
    <x:row r="15">
      <x:c r="A15" s="45" t="str">
        <x:v>Scenario discipline: change a small number of decision-relevant drivers, preserve the core formula architecture, and document what changed, why, who owns it, and what action follows.</x:v>
      </x:c>
      <x:c r="B15" s="46" t="str">
        <x:v>Scenario discipline: change a small number of decision-relevant drivers, preserve the core formula architecture, and document what changed, why, who owns it, and what action follows.</x:v>
      </x:c>
      <x:c r="C15" s="46" t="str">
        <x:v>Scenario discipline: change a small number of decision-relevant drivers, preserve the core formula architecture, and document what changed, why, who owns it, and what action follows.</x:v>
      </x:c>
      <x:c r="D15" s="46" t="str">
        <x:v>Scenario discipline: change a small number of decision-relevant drivers, preserve the core formula architecture, and document what changed, why, who owns it, and what action follows.</x:v>
      </x:c>
      <x:c r="E15" s="46" t="str">
        <x:v>Scenario discipline: change a small number of decision-relevant drivers, preserve the core formula architecture, and document what changed, why, who owns it, and what action follows.</x:v>
      </x:c>
      <x:c r="F15" s="46" t="str">
        <x:v>Scenario discipline: change a small number of decision-relevant drivers, preserve the core formula architecture, and document what changed, why, who owns it, and what action follows.</x:v>
      </x:c>
      <x:c r="G15" s="47" t="str">
        <x:v>Scenario discipline: change a small number of decision-relevant drivers, preserve the core formula architecture, and document what changed, why, who owns it, and what action follows.</x:v>
      </x:c>
    </x:row>
    <x:row r="16">
      <x:c r="A16" s="48" t="str">
        <x:v>Scenario discipline: change a small number of decision-relevant drivers, preserve the core formula architecture, and document what changed, why, who owns it, and what action follows.</x:v>
      </x:c>
      <x:c r="B16" s="49" t="str">
        <x:v>Scenario discipline: change a small number of decision-relevant drivers, preserve the core formula architecture, and document what changed, why, who owns it, and what action follows.</x:v>
      </x:c>
      <x:c r="C16" s="49" t="str">
        <x:v>Scenario discipline: change a small number of decision-relevant drivers, preserve the core formula architecture, and document what changed, why, who owns it, and what action follows.</x:v>
      </x:c>
      <x:c r="D16" s="49" t="str">
        <x:v>Scenario discipline: change a small number of decision-relevant drivers, preserve the core formula architecture, and document what changed, why, who owns it, and what action follows.</x:v>
      </x:c>
      <x:c r="E16" s="49" t="str">
        <x:v>Scenario discipline: change a small number of decision-relevant drivers, preserve the core formula architecture, and document what changed, why, who owns it, and what action follows.</x:v>
      </x:c>
      <x:c r="F16" s="49" t="str">
        <x:v>Scenario discipline: change a small number of decision-relevant drivers, preserve the core formula architecture, and document what changed, why, who owns it, and what action follows.</x:v>
      </x:c>
      <x:c r="G16" s="50" t="str">
        <x:v>Scenario discipline: change a small number of decision-relevant drivers, preserve the core formula architecture, and document what changed, why, who owns it, and what action follows.</x:v>
      </x:c>
    </x:row>
    <x:row r="18">
      <x:c r="A18" s="53" t="str">
        <x:v>TDAT Model Library  |  Trust builds the brand. Insight builds the decision.</x:v>
      </x:c>
      <x:c r="B18" s="53" t="str">
        <x:v>TDAT Model Library  |  Trust builds the brand. Insight builds the decision.</x:v>
      </x:c>
      <x:c r="C18" s="53" t="str">
        <x:v>TDAT Model Library  |  Trust builds the brand. Insight builds the decision.</x:v>
      </x:c>
      <x:c r="D18" s="53" t="str">
        <x:v>TDAT Model Library  |  Trust builds the brand. Insight builds the decision.</x:v>
      </x:c>
      <x:c r="E18" s="53" t="str">
        <x:v>TDAT Model Library  |  Trust builds the brand. Insight builds the decision.</x:v>
      </x:c>
      <x:c r="F18" s="53" t="str">
        <x:v>TDAT Model Library  |  Trust builds the brand. Insight builds the decision.</x:v>
      </x:c>
      <x:c r="G18" s="53" t="str">
        <x:v>TDAT Model Library  |  Trust builds the brand. Insight builds the decision.</x:v>
      </x:c>
    </x:row>
  </x:sheetData>
  <x:mergeCells>
    <x:mergeCell ref="A1:G1"/>
    <x:mergeCell ref="A2:G2"/>
    <x:mergeCell ref="A14:G16"/>
    <x:mergeCell ref="A18:G18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4" customHeight="1">
      <x:c r="A1" s="3" t="str">
        <x:v>POSITION INPUTS</x:v>
      </x:c>
      <x:c r="B1" s="3" t="str">
        <x:v>POSITION INPUTS</x:v>
      </x:c>
      <x:c r="C1" s="3" t="str">
        <x:v>POSITION INPUTS</x:v>
      </x:c>
      <x:c r="D1" s="3" t="str">
        <x:v>POSITION INPUTS</x:v>
      </x:c>
      <x:c r="E1" s="3" t="str">
        <x:v>POSITION INPUTS</x:v>
      </x:c>
      <x:c r="F1" s="3" t="str">
        <x:v>POSITION INPUTS</x:v>
      </x:c>
      <x:c r="G1" s="3" t="str">
        <x:v>POSITION INPUTS</x:v>
      </x:c>
    </x:row>
    <x:row r="2" ht="24" customHeight="1">
      <x:c r="A2" s="6" t="str">
        <x:v>Market Risk / Portfolio Stress  |  Synthetic worked inputs — replace blue cells</x:v>
      </x:c>
      <x:c r="B2" s="6" t="str">
        <x:v>Market Risk / Portfolio Stress  |  Synthetic worked inputs — replace blue cells</x:v>
      </x:c>
      <x:c r="C2" s="6" t="str">
        <x:v>Market Risk / Portfolio Stress  |  Synthetic worked inputs — replace blue cells</x:v>
      </x:c>
      <x:c r="D2" s="6" t="str">
        <x:v>Market Risk / Portfolio Stress  |  Synthetic worked inputs — replace blue cells</x:v>
      </x:c>
      <x:c r="E2" s="6" t="str">
        <x:v>Market Risk / Portfolio Stress  |  Synthetic worked inputs — replace blue cells</x:v>
      </x:c>
      <x:c r="F2" s="6" t="str">
        <x:v>Market Risk / Portfolio Stress  |  Synthetic worked inputs — replace blue cells</x:v>
      </x:c>
      <x:c r="G2" s="6" t="str">
        <x:v>Market Risk / Portfolio Stress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</x:row>
    <x:row r="5" ht="24" customHeight="1">
      <x:c r="A5" s="66" t="str">
        <x:v>Input / Period</x:v>
      </x:c>
      <x:c r="B5" s="67" t="str">
        <x:v>Global Equity</x:v>
      </x:c>
      <x:c r="C5" s="67" t="str">
        <x:v>Govt Bonds</x:v>
      </x:c>
      <x:c r="D5" s="67" t="str">
        <x:v>Corp Credit</x:v>
      </x:c>
      <x:c r="E5" s="67" t="str">
        <x:v>USD FX</x:v>
      </x:c>
      <x:c r="F5" s="67" t="str">
        <x:v>Commodities</x:v>
      </x:c>
      <x:c r="G5" s="68" t="str">
        <x:v>Single Name</x:v>
      </x:c>
    </x:row>
    <x:row r="6">
      <x:c r="A6" s="96" t="str">
        <x:v>Market value</x:v>
      </x:c>
      <x:c r="B6" s="97" t="n">
        <x:v>260</x:v>
      </x:c>
      <x:c r="C6" s="97" t="n">
        <x:v>220</x:v>
      </x:c>
      <x:c r="D6" s="97" t="n">
        <x:v>180</x:v>
      </x:c>
      <x:c r="E6" s="97" t="n">
        <x:v>90</x:v>
      </x:c>
      <x:c r="F6" s="97" t="n">
        <x:v>70</x:v>
      </x:c>
      <x:c r="G6" s="97" t="n">
        <x:v>110</x:v>
      </x:c>
    </x:row>
    <x:row r="7">
      <x:c r="A7" s="98" t="str">
        <x:v>Equity beta</x:v>
      </x:c>
      <x:c r="B7" s="99" t="n">
        <x:v>1</x:v>
      </x:c>
      <x:c r="C7" s="99" t="n">
        <x:v>0</x:v>
      </x:c>
      <x:c r="D7" s="99" t="n">
        <x:v>0.15</x:v>
      </x:c>
      <x:c r="E7" s="99" t="n">
        <x:v>0.1</x:v>
      </x:c>
      <x:c r="F7" s="99" t="n">
        <x:v>0.35</x:v>
      </x:c>
      <x:c r="G7" s="99" t="n">
        <x:v>1.3</x:v>
      </x:c>
    </x:row>
    <x:row r="8">
      <x:c r="A8" s="98" t="str">
        <x:v>Rate duration</x:v>
      </x:c>
      <x:c r="B8" s="99" t="n">
        <x:v>0</x:v>
      </x:c>
      <x:c r="C8" s="99" t="n">
        <x:v>6.2</x:v>
      </x:c>
      <x:c r="D8" s="99" t="n">
        <x:v>3.8</x:v>
      </x:c>
      <x:c r="E8" s="99" t="n">
        <x:v>0</x:v>
      </x:c>
      <x:c r="F8" s="99" t="n">
        <x:v>0</x:v>
      </x:c>
      <x:c r="G8" s="99" t="n">
        <x:v>0</x:v>
      </x:c>
    </x:row>
    <x:row r="9">
      <x:c r="A9" s="98" t="str">
        <x:v>Credit spread duration</x:v>
      </x:c>
      <x:c r="B9" s="99" t="n">
        <x:v>0</x:v>
      </x:c>
      <x:c r="C9" s="99" t="n">
        <x:v>0.4</x:v>
      </x:c>
      <x:c r="D9" s="99" t="n">
        <x:v>4.5</x:v>
      </x:c>
      <x:c r="E9" s="99" t="n">
        <x:v>0</x:v>
      </x:c>
      <x:c r="F9" s="99" t="n">
        <x:v>0</x:v>
      </x:c>
      <x:c r="G9" s="99" t="n">
        <x:v>0.6</x:v>
      </x:c>
    </x:row>
    <x:row r="10">
      <x:c r="A10" s="98" t="str">
        <x:v>Net FX exposure</x:v>
      </x:c>
      <x:c r="B10" s="100" t="n">
        <x:v>0</x:v>
      </x:c>
      <x:c r="C10" s="100" t="n">
        <x:v>0</x:v>
      </x:c>
      <x:c r="D10" s="100" t="n">
        <x:v>0</x:v>
      </x:c>
      <x:c r="E10" s="100" t="n">
        <x:v>90</x:v>
      </x:c>
      <x:c r="F10" s="100" t="n">
        <x:v>0</x:v>
      </x:c>
      <x:c r="G10" s="100" t="n">
        <x:v>0</x:v>
      </x:c>
    </x:row>
    <x:row r="11">
      <x:c r="A11" s="98" t="str">
        <x:v>Commodity beta</x:v>
      </x:c>
      <x:c r="B11" s="99" t="n">
        <x:v>0</x:v>
      </x:c>
      <x:c r="C11" s="99" t="n">
        <x:v>0</x:v>
      </x:c>
      <x:c r="D11" s="99" t="n">
        <x:v>0</x:v>
      </x:c>
      <x:c r="E11" s="99" t="n">
        <x:v>0</x:v>
      </x:c>
      <x:c r="F11" s="99" t="n">
        <x:v>1</x:v>
      </x:c>
      <x:c r="G11" s="99" t="n">
        <x:v>0.1</x:v>
      </x:c>
    </x:row>
    <x:row r="12">
      <x:c r="A12" s="101" t="str">
        <x:v>Liquidity haircut</x:v>
      </x:c>
      <x:c r="B12" s="102" t="n">
        <x:v>0.01</x:v>
      </x:c>
      <x:c r="C12" s="102" t="n">
        <x:v>0.005</x:v>
      </x:c>
      <x:c r="D12" s="102" t="n">
        <x:v>0.015</x:v>
      </x:c>
      <x:c r="E12" s="102" t="n">
        <x:v>0.01</x:v>
      </x:c>
      <x:c r="F12" s="102" t="n">
        <x:v>0.025</x:v>
      </x:c>
      <x:c r="G12" s="102" t="n">
        <x:v>0.035</x:v>
      </x:c>
    </x:row>
    <x:row r="14">
      <x:c r="A14" s="42" t="str">
        <x:v>Synthetic input pack. Preserve source definitions, units, period basis, and sign convention when replacing values.</x:v>
      </x:c>
      <x:c r="B14" s="43" t="str">
        <x:v>Synthetic input pack. Preserve source definitions, units, period basis, and sign convention when replacing values.</x:v>
      </x:c>
      <x:c r="C14" s="43" t="str">
        <x:v>Synthetic input pack. Preserve source definitions, units, period basis, and sign convention when replacing values.</x:v>
      </x:c>
      <x:c r="D14" s="43" t="str">
        <x:v>Synthetic input pack. Preserve source definitions, units, period basis, and sign convention when replacing values.</x:v>
      </x:c>
      <x:c r="E14" s="43" t="str">
        <x:v>Synthetic input pack. Preserve source definitions, units, period basis, and sign convention when replacing values.</x:v>
      </x:c>
      <x:c r="F14" s="43" t="str">
        <x:v>Synthetic input pack. Preserve source definitions, units, period basis, and sign convention when replacing values.</x:v>
      </x:c>
      <x:c r="G14" s="44" t="str">
        <x:v>Synthetic input pack. Preserve source definitions, units, period basis, and sign convention when replacing values.</x:v>
      </x:c>
    </x:row>
    <x:row r="15">
      <x:c r="A15" s="45" t="str">
        <x:v>Synthetic input pack. Preserve source definitions, units, period basis, and sign convention when replacing values.</x:v>
      </x:c>
      <x:c r="B15" s="46" t="str">
        <x:v>Synthetic input pack. Preserve source definitions, units, period basis, and sign convention when replacing values.</x:v>
      </x:c>
      <x:c r="C15" s="46" t="str">
        <x:v>Synthetic input pack. Preserve source definitions, units, period basis, and sign convention when replacing values.</x:v>
      </x:c>
      <x:c r="D15" s="46" t="str">
        <x:v>Synthetic input pack. Preserve source definitions, units, period basis, and sign convention when replacing values.</x:v>
      </x:c>
      <x:c r="E15" s="46" t="str">
        <x:v>Synthetic input pack. Preserve source definitions, units, period basis, and sign convention when replacing values.</x:v>
      </x:c>
      <x:c r="F15" s="46" t="str">
        <x:v>Synthetic input pack. Preserve source definitions, units, period basis, and sign convention when replacing values.</x:v>
      </x:c>
      <x:c r="G15" s="47" t="str">
        <x:v>Synthetic input pack. Preserve source definitions, units, period basis, and sign convention when replacing values.</x:v>
      </x:c>
    </x:row>
    <x:row r="16">
      <x:c r="A16" s="48" t="str">
        <x:v>Synthetic input pack. Preserve source definitions, units, period basis, and sign convention when replacing values.</x:v>
      </x:c>
      <x:c r="B16" s="49" t="str">
        <x:v>Synthetic input pack. Preserve source definitions, units, period basis, and sign convention when replacing values.</x:v>
      </x:c>
      <x:c r="C16" s="49" t="str">
        <x:v>Synthetic input pack. Preserve source definitions, units, period basis, and sign convention when replacing values.</x:v>
      </x:c>
      <x:c r="D16" s="49" t="str">
        <x:v>Synthetic input pack. Preserve source definitions, units, period basis, and sign convention when replacing values.</x:v>
      </x:c>
      <x:c r="E16" s="49" t="str">
        <x:v>Synthetic input pack. Preserve source definitions, units, period basis, and sign convention when replacing values.</x:v>
      </x:c>
      <x:c r="F16" s="49" t="str">
        <x:v>Synthetic input pack. Preserve source definitions, units, period basis, and sign convention when replacing values.</x:v>
      </x:c>
      <x:c r="G16" s="50" t="str">
        <x:v>Synthetic input pack. Preserve source definitions, units, period basis, and sign convention when replacing values.</x:v>
      </x:c>
    </x:row>
    <x:row r="18">
      <x:c r="A18" s="53" t="str">
        <x:v>TDAT Model Library  |  Trust builds the brand. Insight builds the decision.</x:v>
      </x:c>
      <x:c r="B18" s="53" t="str">
        <x:v>TDAT Model Library  |  Trust builds the brand. Insight builds the decision.</x:v>
      </x:c>
      <x:c r="C18" s="53" t="str">
        <x:v>TDAT Model Library  |  Trust builds the brand. Insight builds the decision.</x:v>
      </x:c>
      <x:c r="D18" s="53" t="str">
        <x:v>TDAT Model Library  |  Trust builds the brand. Insight builds the decision.</x:v>
      </x:c>
      <x:c r="E18" s="53" t="str">
        <x:v>TDAT Model Library  |  Trust builds the brand. Insight builds the decision.</x:v>
      </x:c>
      <x:c r="F18" s="53" t="str">
        <x:v>TDAT Model Library  |  Trust builds the brand. Insight builds the decision.</x:v>
      </x:c>
      <x:c r="G18" s="53" t="str">
        <x:v>TDAT Model Library  |  Trust builds the brand. Insight builds the decision.</x:v>
      </x:c>
    </x:row>
  </x:sheetData>
  <x:mergeCells>
    <x:mergeCell ref="A1:G1"/>
    <x:mergeCell ref="A2:G2"/>
    <x:mergeCell ref="A14:G16"/>
    <x:mergeCell ref="A18:G1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4" customHeight="1">
      <x:c r="A1" s="3" t="str">
        <x:v>PORTFOLIO STRESS</x:v>
      </x:c>
      <x:c r="B1" s="3" t="str">
        <x:v>PORTFOLIO STRESS</x:v>
      </x:c>
      <x:c r="C1" s="3" t="str">
        <x:v>PORTFOLIO STRESS</x:v>
      </x:c>
      <x:c r="D1" s="3" t="str">
        <x:v>PORTFOLIO STRESS</x:v>
      </x:c>
      <x:c r="E1" s="3" t="str">
        <x:v>PORTFOLIO STRESS</x:v>
      </x:c>
      <x:c r="F1" s="3" t="str">
        <x:v>PORTFOLIO STRESS</x:v>
      </x:c>
      <x:c r="G1" s="3" t="str">
        <x:v>PORTFOLIO STRESS</x:v>
      </x:c>
    </x:row>
    <x:row r="2" ht="24" customHeight="1">
      <x:c r="A2" s="6" t="str">
        <x:v>Market Risk / Portfolio Stress  |  Formula-driven core mechanics</x:v>
      </x:c>
      <x:c r="B2" s="6" t="str">
        <x:v>Market Risk / Portfolio Stress  |  Formula-driven core mechanics</x:v>
      </x:c>
      <x:c r="C2" s="6" t="str">
        <x:v>Market Risk / Portfolio Stress  |  Formula-driven core mechanics</x:v>
      </x:c>
      <x:c r="D2" s="6" t="str">
        <x:v>Market Risk / Portfolio Stress  |  Formula-driven core mechanics</x:v>
      </x:c>
      <x:c r="E2" s="6" t="str">
        <x:v>Market Risk / Portfolio Stress  |  Formula-driven core mechanics</x:v>
      </x:c>
      <x:c r="F2" s="6" t="str">
        <x:v>Market Risk / Portfolio Stress  |  Formula-driven core mechanics</x:v>
      </x:c>
      <x:c r="G2" s="6" t="str">
        <x:v>Market Risk / Portfolio Stress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</x:row>
    <x:row r="5" ht="24" customHeight="1">
      <x:c r="A5" s="66" t="str">
        <x:v>Calculation / Period</x:v>
      </x:c>
      <x:c r="B5" s="67" t="str">
        <x:v>Global Equity</x:v>
      </x:c>
      <x:c r="C5" s="67" t="str">
        <x:v>Govt Bonds</x:v>
      </x:c>
      <x:c r="D5" s="67" t="str">
        <x:v>Corp Credit</x:v>
      </x:c>
      <x:c r="E5" s="67" t="str">
        <x:v>USD FX</x:v>
      </x:c>
      <x:c r="F5" s="67" t="str">
        <x:v>Commodities</x:v>
      </x:c>
      <x:c r="G5" s="68" t="str">
        <x:v>Single Name</x:v>
      </x:c>
    </x:row>
    <x:row r="6">
      <x:c r="A6" s="116" t="str">
        <x:v>Equity-factor loss</x:v>
      </x:c>
      <x:c r="B6" s="117" t="n">
        <x:f>'Position Inputs'!B$6*'Position Inputs'!B$7*'Assumptions'!$F$6</x:f>
        <x:v>-52</x:v>
      </x:c>
      <x:c r="C6" s="117" t="n">
        <x:f>'Position Inputs'!C$6*'Position Inputs'!C$7*'Assumptions'!$F$6</x:f>
        <x:v>0</x:v>
      </x:c>
      <x:c r="D6" s="117" t="n">
        <x:f>'Position Inputs'!D$6*'Position Inputs'!D$7*'Assumptions'!$F$6</x:f>
        <x:v>-5.4</x:v>
      </x:c>
      <x:c r="E6" s="117" t="n">
        <x:f>'Position Inputs'!E$6*'Position Inputs'!E$7*'Assumptions'!$F$6</x:f>
        <x:v>-1.8</x:v>
      </x:c>
      <x:c r="F6" s="117" t="n">
        <x:f>'Position Inputs'!F$6*'Position Inputs'!F$7*'Assumptions'!$F$6</x:f>
        <x:v>-4.9</x:v>
      </x:c>
      <x:c r="G6" s="117" t="n">
        <x:f>'Position Inputs'!G$6*'Position Inputs'!G$7*'Assumptions'!$F$6</x:f>
        <x:v>-28.6</x:v>
      </x:c>
    </x:row>
    <x:row r="7">
      <x:c r="A7" s="118" t="str">
        <x:v>Rate-factor loss</x:v>
      </x:c>
      <x:c r="B7" s="119" t="n">
        <x:f>-'Position Inputs'!B$6*'Position Inputs'!B$8*'Assumptions'!$F$7</x:f>
        <x:v>0</x:v>
      </x:c>
      <x:c r="C7" s="119" t="n">
        <x:f>-'Position Inputs'!C$6*'Position Inputs'!C$8*'Assumptions'!$F$7</x:f>
        <x:v>-13.64</x:v>
      </x:c>
      <x:c r="D7" s="119" t="n">
        <x:f>-'Position Inputs'!D$6*'Position Inputs'!D$8*'Assumptions'!$F$7</x:f>
        <x:v>-6.84</x:v>
      </x:c>
      <x:c r="E7" s="119" t="n">
        <x:f>-'Position Inputs'!E$6*'Position Inputs'!E$8*'Assumptions'!$F$7</x:f>
        <x:v>0</x:v>
      </x:c>
      <x:c r="F7" s="119" t="n">
        <x:f>-'Position Inputs'!F$6*'Position Inputs'!F$8*'Assumptions'!$F$7</x:f>
        <x:v>0</x:v>
      </x:c>
      <x:c r="G7" s="119" t="n">
        <x:f>-'Position Inputs'!G$6*'Position Inputs'!G$8*'Assumptions'!$F$7</x:f>
        <x:v>0</x:v>
      </x:c>
    </x:row>
    <x:row r="8">
      <x:c r="A8" s="118" t="str">
        <x:v>Spread-factor loss</x:v>
      </x:c>
      <x:c r="B8" s="119" t="n">
        <x:f>-'Position Inputs'!B$6*'Position Inputs'!B$9*'Assumptions'!$F$8</x:f>
        <x:v>0</x:v>
      </x:c>
      <x:c r="C8" s="119" t="n">
        <x:f>-'Position Inputs'!C$6*'Position Inputs'!C$9*'Assumptions'!$F$8</x:f>
        <x:v>-1.3199999999999998</x:v>
      </x:c>
      <x:c r="D8" s="119" t="n">
        <x:f>-'Position Inputs'!D$6*'Position Inputs'!D$9*'Assumptions'!$F$8</x:f>
        <x:v>-12.15</x:v>
      </x:c>
      <x:c r="E8" s="119" t="n">
        <x:f>-'Position Inputs'!E$6*'Position Inputs'!E$9*'Assumptions'!$F$8</x:f>
        <x:v>0</x:v>
      </x:c>
      <x:c r="F8" s="119" t="n">
        <x:f>-'Position Inputs'!F$6*'Position Inputs'!F$9*'Assumptions'!$F$8</x:f>
        <x:v>0</x:v>
      </x:c>
      <x:c r="G8" s="119" t="n">
        <x:f>-'Position Inputs'!G$6*'Position Inputs'!G$9*'Assumptions'!$F$8</x:f>
        <x:v>-0.99</x:v>
      </x:c>
    </x:row>
    <x:row r="9">
      <x:c r="A9" s="118" t="str">
        <x:v>FX-factor loss</x:v>
      </x:c>
      <x:c r="B9" s="119" t="n">
        <x:f>'Position Inputs'!B$10*'Assumptions'!$F$9</x:f>
        <x:v>0</x:v>
      </x:c>
      <x:c r="C9" s="119" t="n">
        <x:f>'Position Inputs'!C$10*'Assumptions'!$F$9</x:f>
        <x:v>0</x:v>
      </x:c>
      <x:c r="D9" s="119" t="n">
        <x:f>'Position Inputs'!D$10*'Assumptions'!$F$9</x:f>
        <x:v>0</x:v>
      </x:c>
      <x:c r="E9" s="119" t="n">
        <x:f>'Position Inputs'!E$10*'Assumptions'!$F$9</x:f>
        <x:v>-9</x:v>
      </x:c>
      <x:c r="F9" s="119" t="n">
        <x:f>'Position Inputs'!F$10*'Assumptions'!$F$9</x:f>
        <x:v>0</x:v>
      </x:c>
      <x:c r="G9" s="119" t="n">
        <x:f>'Position Inputs'!G$10*'Assumptions'!$F$9</x:f>
        <x:v>0</x:v>
      </x:c>
    </x:row>
    <x:row r="10">
      <x:c r="A10" s="118" t="str">
        <x:v>Commodity-factor loss</x:v>
      </x:c>
      <x:c r="B10" s="119" t="n">
        <x:f>'Position Inputs'!B$6*'Position Inputs'!B$11*'Assumptions'!$F$10</x:f>
        <x:v>0</x:v>
      </x:c>
      <x:c r="C10" s="119" t="n">
        <x:f>'Position Inputs'!C$6*'Position Inputs'!C$11*'Assumptions'!$F$10</x:f>
        <x:v>0</x:v>
      </x:c>
      <x:c r="D10" s="119" t="n">
        <x:f>'Position Inputs'!D$6*'Position Inputs'!D$11*'Assumptions'!$F$10</x:f>
        <x:v>0</x:v>
      </x:c>
      <x:c r="E10" s="119" t="n">
        <x:f>'Position Inputs'!E$6*'Position Inputs'!E$11*'Assumptions'!$F$10</x:f>
        <x:v>0</x:v>
      </x:c>
      <x:c r="F10" s="119" t="n">
        <x:f>'Position Inputs'!F$6*'Position Inputs'!F$11*'Assumptions'!$F$10</x:f>
        <x:v>-17.5</x:v>
      </x:c>
      <x:c r="G10" s="119" t="n">
        <x:f>'Position Inputs'!G$6*'Position Inputs'!G$11*'Assumptions'!$F$10</x:f>
        <x:v>-2.75</x:v>
      </x:c>
    </x:row>
    <x:row r="11">
      <x:c r="A11" s="118" t="str">
        <x:v>Liquidity haircut</x:v>
      </x:c>
      <x:c r="B11" s="119" t="n">
        <x:f>-ABS('Position Inputs'!B$6)*'Position Inputs'!B$12</x:f>
        <x:v>-2.6</x:v>
      </x:c>
      <x:c r="C11" s="119" t="n">
        <x:f>-ABS('Position Inputs'!C$6)*'Position Inputs'!C$12</x:f>
        <x:v>-1.1</x:v>
      </x:c>
      <x:c r="D11" s="119" t="n">
        <x:f>-ABS('Position Inputs'!D$6)*'Position Inputs'!D$12</x:f>
        <x:v>-2.6999999999999997</x:v>
      </x:c>
      <x:c r="E11" s="119" t="n">
        <x:f>-ABS('Position Inputs'!E$6)*'Position Inputs'!E$12</x:f>
        <x:v>-0.9</x:v>
      </x:c>
      <x:c r="F11" s="119" t="n">
        <x:f>-ABS('Position Inputs'!F$6)*'Position Inputs'!F$12</x:f>
        <x:v>-1.75</x:v>
      </x:c>
      <x:c r="G11" s="119" t="n">
        <x:f>-ABS('Position Inputs'!G$6)*'Position Inputs'!G$12</x:f>
        <x:v>-3.8500000000000005</x:v>
      </x:c>
    </x:row>
    <x:row r="12">
      <x:c r="A12" s="120" t="str">
        <x:v>Total stressed loss</x:v>
      </x:c>
      <x:c r="B12" s="121" t="n">
        <x:f>SUM(B$6:B$11)</x:f>
        <x:v>-54.6</x:v>
      </x:c>
      <x:c r="C12" s="121" t="n">
        <x:f>SUM(C$6:C$11)</x:f>
        <x:v>-16.060000000000002</x:v>
      </x:c>
      <x:c r="D12" s="121" t="n">
        <x:f>SUM(D$6:D$11)</x:f>
        <x:v>-27.09</x:v>
      </x:c>
      <x:c r="E12" s="121" t="n">
        <x:f>SUM(E$6:E$11)</x:f>
        <x:v>-11.700000000000001</x:v>
      </x:c>
      <x:c r="F12" s="121" t="n">
        <x:f>SUM(F$6:F$11)</x:f>
        <x:v>-24.15</x:v>
      </x:c>
      <x:c r="G12" s="121" t="n">
        <x:f>SUM(G$6:G$11)</x:f>
        <x:v>-36.190000000000005</x:v>
      </x:c>
    </x:row>
    <x:row r="13">
      <x:c r="A13" s="118" t="str">
        <x:v>Absolute portfolio weight</x:v>
      </x:c>
      <x:c r="B13" s="122" t="n">
        <x:f>ABS('Position Inputs'!B$6)/SUM('Position Inputs'!B6:G6)</x:f>
        <x:v>0.27956989247311825</x:v>
      </x:c>
      <x:c r="C13" s="122" t="n">
        <x:f>ABS('Position Inputs'!C$6)/SUM('Position Inputs'!B6:G6)</x:f>
        <x:v>0.23655913978494625</x:v>
      </x:c>
      <x:c r="D13" s="122" t="n">
        <x:f>ABS('Position Inputs'!D$6)/SUM('Position Inputs'!B6:G6)</x:f>
        <x:v>0.1935483870967742</x:v>
      </x:c>
      <x:c r="E13" s="122" t="n">
        <x:f>ABS('Position Inputs'!E$6)/SUM('Position Inputs'!B6:G6)</x:f>
        <x:v>0.0967741935483871</x:v>
      </x:c>
      <x:c r="F13" s="122" t="n">
        <x:f>ABS('Position Inputs'!F$6)/SUM('Position Inputs'!B6:G6)</x:f>
        <x:v>0.07526881720430108</x:v>
      </x:c>
      <x:c r="G13" s="122" t="n">
        <x:f>ABS('Position Inputs'!G$6)/SUM('Position Inputs'!B6:G6)</x:f>
        <x:v>0.11827956989247312</x:v>
      </x:c>
    </x:row>
    <x:row r="14">
      <x:c r="A14" s="118" t="str">
        <x:v>Concentration breach</x:v>
      </x:c>
      <x:c r="B14" s="122" t="n">
        <x:f>MAX(0,B$13-'Assumptions'!$F$11)</x:f>
        <x:v>0</x:v>
      </x:c>
      <x:c r="C14" s="122" t="n">
        <x:f>MAX(0,C$13-'Assumptions'!$F$11)</x:f>
        <x:v>0</x:v>
      </x:c>
      <x:c r="D14" s="122" t="n">
        <x:f>MAX(0,D$13-'Assumptions'!$F$11)</x:f>
        <x:v>0</x:v>
      </x:c>
      <x:c r="E14" s="122" t="n">
        <x:f>MAX(0,E$13-'Assumptions'!$F$11)</x:f>
        <x:v>0</x:v>
      </x:c>
      <x:c r="F14" s="122" t="n">
        <x:f>MAX(0,F$13-'Assumptions'!$F$11)</x:f>
        <x:v>0</x:v>
      </x:c>
      <x:c r="G14" s="122" t="n">
        <x:f>MAX(0,G$13-'Assumptions'!$F$11)</x:f>
        <x:v>0</x:v>
      </x:c>
    </x:row>
    <x:row r="15">
      <x:c r="A15" s="118" t="str">
        <x:v>Stressed loss / portfolio</x:v>
      </x:c>
      <x:c r="B15" s="122" t="n">
        <x:f>B$12/SUM('Position Inputs'!B6:G6)</x:f>
        <x:v>-0.05870967741935484</x:v>
      </x:c>
      <x:c r="C15" s="122" t="n">
        <x:f>C$12/SUM('Position Inputs'!B6:G6)</x:f>
        <x:v>-0.01726881720430108</x:v>
      </x:c>
      <x:c r="D15" s="122" t="n">
        <x:f>D$12/SUM('Position Inputs'!B6:G6)</x:f>
        <x:v>-0.029129032258064517</x:v>
      </x:c>
      <x:c r="E15" s="122" t="n">
        <x:f>E$12/SUM('Position Inputs'!B6:G6)</x:f>
        <x:v>-0.012580645161290325</x:v>
      </x:c>
      <x:c r="F15" s="122" t="n">
        <x:f>F$12/SUM('Position Inputs'!B6:G6)</x:f>
        <x:v>-0.02596774193548387</x:v>
      </x:c>
      <x:c r="G15" s="122" t="n">
        <x:f>G$12/SUM('Position Inputs'!B6:G6)</x:f>
        <x:v>-0.03891397849462366</x:v>
      </x:c>
    </x:row>
    <x:row r="16">
      <x:c r="A16" s="123" t="str">
        <x:v>Loss-limit headroom</x:v>
      </x:c>
      <x:c r="B16" s="124" t="n">
        <x:f>'Assumptions'!$F$12-ABS(SUM('Portfolio Stress'!B12:G12))/SUM('Position Inputs'!B6:G6)</x:f>
        <x:v>0.017430107526881733</x:v>
      </x:c>
      <x:c r="C16" s="124" t="n">
        <x:f>'Assumptions'!$F$12-ABS(SUM('Portfolio Stress'!B12:G12))/SUM('Position Inputs'!B6:G6)</x:f>
        <x:v>0.017430107526881733</x:v>
      </x:c>
      <x:c r="D16" s="124" t="n">
        <x:f>'Assumptions'!$F$12-ABS(SUM('Portfolio Stress'!B12:G12))/SUM('Position Inputs'!B6:G6)</x:f>
        <x:v>0.017430107526881733</x:v>
      </x:c>
      <x:c r="E16" s="124" t="n">
        <x:f>'Assumptions'!$F$12-ABS(SUM('Portfolio Stress'!B12:G12))/SUM('Position Inputs'!B6:G6)</x:f>
        <x:v>0.017430107526881733</x:v>
      </x:c>
      <x:c r="F16" s="124" t="n">
        <x:f>'Assumptions'!$F$12-ABS(SUM('Portfolio Stress'!B12:G12))/SUM('Position Inputs'!B6:G6)</x:f>
        <x:v>0.017430107526881733</x:v>
      </x:c>
      <x:c r="G16" s="124" t="n">
        <x:f>'Assumptions'!$F$12-ABS(SUM('Portfolio Stress'!B12:G12))/SUM('Position Inputs'!B6:G6)</x:f>
        <x:v>0.017430107526881733</x:v>
      </x:c>
    </x:row>
    <x:row r="18">
      <x:c r="A18" s="42" t="str">
        <x:v>Review row definitions, sign convention, period basis, scenario mechanics, and every breakpoint before relying on the output.</x:v>
      </x:c>
      <x:c r="B18" s="43" t="str">
        <x:v>Review row definitions, sign convention, period basis, scenario mechanics, and every breakpoint before relying on the output.</x:v>
      </x:c>
      <x:c r="C18" s="43" t="str">
        <x:v>Review row definitions, sign convention, period basis, scenario mechanics, and every breakpoint before relying on the output.</x:v>
      </x:c>
      <x:c r="D18" s="43" t="str">
        <x:v>Review row definitions, sign convention, period basis, scenario mechanics, and every breakpoint before relying on the output.</x:v>
      </x:c>
      <x:c r="E18" s="43" t="str">
        <x:v>Review row definitions, sign convention, period basis, scenario mechanics, and every breakpoint before relying on the output.</x:v>
      </x:c>
      <x:c r="F18" s="43" t="str">
        <x:v>Review row definitions, sign convention, period basis, scenario mechanics, and every breakpoint before relying on the output.</x:v>
      </x:c>
      <x:c r="G18" s="44" t="str">
        <x:v>Review row definitions, sign convention, period basis, scenario mechanics, and every breakpoint before relying on the output.</x:v>
      </x:c>
    </x:row>
    <x:row r="19">
      <x:c r="A19" s="45" t="str">
        <x:v>Review row definitions, sign convention, period basis, scenario mechanics, and every breakpoint before relying on the output.</x:v>
      </x:c>
      <x:c r="B19" s="46" t="str">
        <x:v>Review row definitions, sign convention, period basis, scenario mechanics, and every breakpoint before relying on the output.</x:v>
      </x:c>
      <x:c r="C19" s="46" t="str">
        <x:v>Review row definitions, sign convention, period basis, scenario mechanics, and every breakpoint before relying on the output.</x:v>
      </x:c>
      <x:c r="D19" s="46" t="str">
        <x:v>Review row definitions, sign convention, period basis, scenario mechanics, and every breakpoint before relying on the output.</x:v>
      </x:c>
      <x:c r="E19" s="46" t="str">
        <x:v>Review row definitions, sign convention, period basis, scenario mechanics, and every breakpoint before relying on the output.</x:v>
      </x:c>
      <x:c r="F19" s="46" t="str">
        <x:v>Review row definitions, sign convention, period basis, scenario mechanics, and every breakpoint before relying on the output.</x:v>
      </x:c>
      <x:c r="G19" s="47" t="str">
        <x:v>Review row definitions, sign convention, period basis, scenario mechanics, and every breakpoint before relying on the output.</x:v>
      </x:c>
    </x:row>
    <x:row r="20">
      <x:c r="A20" s="48" t="str">
        <x:v>Review row definitions, sign convention, period basis, scenario mechanics, and every breakpoint before relying on the output.</x:v>
      </x:c>
      <x:c r="B20" s="49" t="str">
        <x:v>Review row definitions, sign convention, period basis, scenario mechanics, and every breakpoint before relying on the output.</x:v>
      </x:c>
      <x:c r="C20" s="49" t="str">
        <x:v>Review row definitions, sign convention, period basis, scenario mechanics, and every breakpoint before relying on the output.</x:v>
      </x:c>
      <x:c r="D20" s="49" t="str">
        <x:v>Review row definitions, sign convention, period basis, scenario mechanics, and every breakpoint before relying on the output.</x:v>
      </x:c>
      <x:c r="E20" s="49" t="str">
        <x:v>Review row definitions, sign convention, period basis, scenario mechanics, and every breakpoint before relying on the output.</x:v>
      </x:c>
      <x:c r="F20" s="49" t="str">
        <x:v>Review row definitions, sign convention, period basis, scenario mechanics, and every breakpoint before relying on the output.</x:v>
      </x:c>
      <x:c r="G20" s="50" t="str">
        <x:v>Review row definitions, sign convention, period basis, scenario mechanics, and every breakpoint before relying on the output.</x:v>
      </x:c>
    </x:row>
    <x:row r="22">
      <x:c r="A22" s="53" t="str">
        <x:v>TDAT Model Library  |  Trust builds the brand. Insight builds the decision.</x:v>
      </x:c>
      <x:c r="B22" s="53" t="str">
        <x:v>TDAT Model Library  |  Trust builds the brand. Insight builds the decision.</x:v>
      </x:c>
      <x:c r="C22" s="53" t="str">
        <x:v>TDAT Model Library  |  Trust builds the brand. Insight builds the decision.</x:v>
      </x:c>
      <x:c r="D22" s="53" t="str">
        <x:v>TDAT Model Library  |  Trust builds the brand. Insight builds the decision.</x:v>
      </x:c>
      <x:c r="E22" s="53" t="str">
        <x:v>TDAT Model Library  |  Trust builds the brand. Insight builds the decision.</x:v>
      </x:c>
      <x:c r="F22" s="53" t="str">
        <x:v>TDAT Model Library  |  Trust builds the brand. Insight builds the decision.</x:v>
      </x:c>
      <x:c r="G22" s="53" t="str">
        <x:v>TDAT Model Library  |  Trust builds the brand. Insight builds the decision.</x:v>
      </x:c>
    </x:row>
  </x:sheetData>
  <x:mergeCells>
    <x:mergeCell ref="A1:G1"/>
    <x:mergeCell ref="A2:G2"/>
    <x:mergeCell ref="A18:G20"/>
    <x:mergeCell ref="A22:G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Market Risk / Portfolio Stress  |  Formula-backed decision range</x:v>
      </x:c>
      <x:c r="B2" s="6" t="str">
        <x:v>Market Risk / Portfolio Stress  |  Formula-backed decision range</x:v>
      </x:c>
      <x:c r="C2" s="6" t="str">
        <x:v>Market Risk / Portfolio Stress  |  Formula-backed decision range</x:v>
      </x:c>
      <x:c r="D2" s="6" t="str">
        <x:v>Market Risk / Portfolio Stress  |  Formula-backed decision range</x:v>
      </x:c>
      <x:c r="E2" s="6" t="str">
        <x:v>Market Risk / Portfolio Stress  |  Formula-backed decision range</x:v>
      </x:c>
      <x:c r="F2" s="6" t="str">
        <x:v>Market Risk / Portfolio Stress  |  Formula-backed decision range</x:v>
      </x:c>
      <x:c r="G2" s="6" t="str">
        <x:v>Market Risk / Portfolio Stress  |  Formula-backed decision range</x:v>
      </x:c>
      <x:c r="H2" s="6" t="str">
        <x:v>Market Risk / Portfolio Stress  |  Formula-backed decision range</x:v>
      </x:c>
      <x:c r="I2" s="6" t="str">
        <x:v>Market Risk / Portfolio Stress  |  Formula-backed decision range</x:v>
      </x:c>
      <x:c r="J2" s="6" t="str">
        <x:v>Market Risk / Portfolio Stress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25" t="str">
        <x:v>Total stressed portfolio loss — Equity shock by Rate shock</x:v>
      </x:c>
      <x:c r="B5" s="125" t="str">
        <x:v>Total stressed portfolio loss — Equity shock by Rate shock</x:v>
      </x:c>
      <x:c r="C5" s="125" t="str">
        <x:v>Total stressed portfolio loss — Equity shock by Rate shock</x:v>
      </x:c>
      <x:c r="D5" s="125" t="str">
        <x:v>Total stressed portfolio loss — Equity shock by Rate shock</x:v>
      </x:c>
      <x:c r="E5" s="125" t="str">
        <x:v>Total stressed portfolio loss — Equity shock by Rate shock</x:v>
      </x:c>
      <x:c r="F5" s="125" t="str">
        <x:v>Total stressed portfolio loss — Equity shock by Rate shock</x:v>
      </x:c>
      <x:c r="G5" s="125" t="str">
        <x:v>Total stressed portfolio loss — Equity shock by Rate shock</x:v>
      </x:c>
      <x:c r="H5" s="125" t="str">
        <x:v>Total stressed portfolio loss — Equity shock by Rate shock</x:v>
      </x:c>
      <x:c r="I5" s="125" t="str">
        <x:v>Total stressed portfolio loss — Equity shock by Rate shock</x:v>
      </x:c>
      <x:c r="J5" s="125" t="str">
        <x:v>Total stressed portfolio loss — Equity shock by Rate shock</x:v>
      </x:c>
    </x:row>
    <x:row r="6">
      <x:c r="A6" t="str">
        <x:v>Equity shock</x:v>
      </x:c>
      <x:c r="B6" t="str">
        <x:v>Rate shock</x:v>
      </x:c>
    </x:row>
    <x:row r="7">
      <x:c r="B7" s="71" t="n">
        <x:v>0</x:v>
      </x:c>
      <x:c r="C7" s="71" t="n">
        <x:v>0.005</x:v>
      </x:c>
      <x:c r="D7" s="71" t="n">
        <x:v>0.01</x:v>
      </x:c>
      <x:c r="E7" s="71" t="n">
        <x:v>0.015</x:v>
      </x:c>
      <x:c r="F7" s="71" t="n">
        <x:v>0.02</x:v>
      </x:c>
    </x:row>
    <x:row r="8">
      <x:c r="A8" s="71" t="n">
        <x:v>-0.35</x:v>
      </x:c>
      <x:c r="B8" s="127" t="n">
        <x:f>SUMPRODUCT('Position Inputs'!B6:G6,'Position Inputs'!B7:G7)*$A8-SUMPRODUCT('Position Inputs'!B6:G6,'Position Inputs'!B8:G8)*B$7-SUMPRODUCT('Position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-218.835</x:v>
      </x:c>
      <x:c r="C8" s="127" t="n">
        <x:f>SUMPRODUCT('Position Inputs'!B6:G6,'Position Inputs'!B7:G7)*$A8-SUMPRODUCT('Position Inputs'!B6:G6,'Position Inputs'!B8:G8)*C$7-SUMPRODUCT('Position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-229.07500000000002</x:v>
      </x:c>
      <x:c r="D8" s="127" t="n">
        <x:f>SUMPRODUCT('Position Inputs'!B6:G6,'Position Inputs'!B7:G7)*$A8-SUMPRODUCT('Position Inputs'!B6:G6,'Position Inputs'!B8:G8)*D$7-SUMPRODUCT('Position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-239.315</x:v>
      </x:c>
      <x:c r="E8" s="127" t="n">
        <x:f>SUMPRODUCT('Position Inputs'!B6:G6,'Position Inputs'!B7:G7)*$A8-SUMPRODUCT('Position Inputs'!B6:G6,'Position Inputs'!B8:G8)*E$7-SUMPRODUCT('Position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-249.555</x:v>
      </x:c>
      <x:c r="F8" s="127" t="n">
        <x:f>SUMPRODUCT('Position Inputs'!B6:G6,'Position Inputs'!B7:G7)*$A8-SUMPRODUCT('Position Inputs'!B6:G6,'Position Inputs'!B8:G8)*F$7-SUMPRODUCT('Position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-259.795</x:v>
      </x:c>
    </x:row>
    <x:row r="9">
      <x:c r="A9" s="71" t="n">
        <x:v>-0.275</x:v>
      </x:c>
      <x:c r="B9" s="127" t="n">
        <x:f>SUMPRODUCT('Position Inputs'!B6:G6,'Position Inputs'!B7:G7)*$A9-SUMPRODUCT('Position Inputs'!B6:G6,'Position Inputs'!B8:G8)*B$7-SUMPRODUCT('Position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-184.07250000000002</x:v>
      </x:c>
      <x:c r="C9" s="127" t="n">
        <x:f>SUMPRODUCT('Position Inputs'!B6:G6,'Position Inputs'!B7:G7)*$A9-SUMPRODUCT('Position Inputs'!B6:G6,'Position Inputs'!B8:G8)*C$7-SUMPRODUCT('Position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-194.31250000000003</x:v>
      </x:c>
      <x:c r="D9" s="127" t="n">
        <x:f>SUMPRODUCT('Position Inputs'!B6:G6,'Position Inputs'!B7:G7)*$A9-SUMPRODUCT('Position Inputs'!B6:G6,'Position Inputs'!B8:G8)*D$7-SUMPRODUCT('Position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-204.5525</x:v>
      </x:c>
      <x:c r="E9" s="127" t="n">
        <x:f>SUMPRODUCT('Position Inputs'!B6:G6,'Position Inputs'!B7:G7)*$A9-SUMPRODUCT('Position Inputs'!B6:G6,'Position Inputs'!B8:G8)*E$7-SUMPRODUCT('Position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-214.79250000000002</x:v>
      </x:c>
      <x:c r="F9" s="127" t="n">
        <x:f>SUMPRODUCT('Position Inputs'!B6:G6,'Position Inputs'!B7:G7)*$A9-SUMPRODUCT('Position Inputs'!B6:G6,'Position Inputs'!B8:G8)*F$7-SUMPRODUCT('Position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-225.03250000000003</x:v>
      </x:c>
    </x:row>
    <x:row r="10">
      <x:c r="A10" s="71" t="n">
        <x:v>-0.2</x:v>
      </x:c>
      <x:c r="B10" s="127" t="n">
        <x:f>SUMPRODUCT('Position Inputs'!B6:G6,'Position Inputs'!B7:G7)*$A10-SUMPRODUCT('Position Inputs'!B6:G6,'Position Inputs'!B8:G8)*B$7-SUMPRODUCT('Position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-149.31</x:v>
      </x:c>
      <x:c r="C10" s="127" t="n">
        <x:f>SUMPRODUCT('Position Inputs'!B6:G6,'Position Inputs'!B7:G7)*$A10-SUMPRODUCT('Position Inputs'!B6:G6,'Position Inputs'!B8:G8)*C$7-SUMPRODUCT('Position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-159.54999999999998</x:v>
      </x:c>
      <x:c r="D10" s="127" t="n">
        <x:f>SUMPRODUCT('Position Inputs'!B6:G6,'Position Inputs'!B7:G7)*$A10-SUMPRODUCT('Position Inputs'!B6:G6,'Position Inputs'!B8:G8)*D$7-SUMPRODUCT('Position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-169.79</x:v>
      </x:c>
      <x:c r="E10" s="127" t="n">
        <x:f>SUMPRODUCT('Position Inputs'!B6:G6,'Position Inputs'!B7:G7)*$A10-SUMPRODUCT('Position Inputs'!B6:G6,'Position Inputs'!B8:G8)*E$7-SUMPRODUCT('Position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-180.03</x:v>
      </x:c>
      <x:c r="F10" s="127" t="n">
        <x:f>SUMPRODUCT('Position Inputs'!B6:G6,'Position Inputs'!B7:G7)*$A10-SUMPRODUCT('Position Inputs'!B6:G6,'Position Inputs'!B8:G8)*F$7-SUMPRODUCT('Position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-190.27</x:v>
      </x:c>
    </x:row>
    <x:row r="11">
      <x:c r="A11" s="71" t="n">
        <x:v>-0.125</x:v>
      </x:c>
      <x:c r="B11" s="127" t="n">
        <x:f>SUMPRODUCT('Position Inputs'!B6:G6,'Position Inputs'!B7:G7)*$A11-SUMPRODUCT('Position Inputs'!B6:G6,'Position Inputs'!B8:G8)*B$7-SUMPRODUCT('Position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-114.5475</x:v>
      </x:c>
      <x:c r="C11" s="127" t="n">
        <x:f>SUMPRODUCT('Position Inputs'!B6:G6,'Position Inputs'!B7:G7)*$A11-SUMPRODUCT('Position Inputs'!B6:G6,'Position Inputs'!B8:G8)*C$7-SUMPRODUCT('Position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-124.7875</x:v>
      </x:c>
      <x:c r="D11" s="127" t="n">
        <x:f>SUMPRODUCT('Position Inputs'!B6:G6,'Position Inputs'!B7:G7)*$A11-SUMPRODUCT('Position Inputs'!B6:G6,'Position Inputs'!B8:G8)*D$7-SUMPRODUCT('Position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-135.0275</x:v>
      </x:c>
      <x:c r="E11" s="127" t="n">
        <x:f>SUMPRODUCT('Position Inputs'!B6:G6,'Position Inputs'!B7:G7)*$A11-SUMPRODUCT('Position Inputs'!B6:G6,'Position Inputs'!B8:G8)*E$7-SUMPRODUCT('Position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-145.2675</x:v>
      </x:c>
      <x:c r="F11" s="127" t="n">
        <x:f>SUMPRODUCT('Position Inputs'!B6:G6,'Position Inputs'!B7:G7)*$A11-SUMPRODUCT('Position Inputs'!B6:G6,'Position Inputs'!B8:G8)*F$7-SUMPRODUCT('Position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-155.50750000000002</x:v>
      </x:c>
    </x:row>
    <x:row r="12">
      <x:c r="A12" s="71" t="n">
        <x:v>-0.05</x:v>
      </x:c>
      <x:c r="B12" s="127" t="n">
        <x:f>SUMPRODUCT('Position Inputs'!B6:G6,'Position Inputs'!B7:G7)*$A12-SUMPRODUCT('Position Inputs'!B6:G6,'Position Inputs'!B8:G8)*B$7-SUMPRODUCT('Position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-79.785</x:v>
      </x:c>
      <x:c r="C12" s="127" t="n">
        <x:f>SUMPRODUCT('Position Inputs'!B6:G6,'Position Inputs'!B7:G7)*$A12-SUMPRODUCT('Position Inputs'!B6:G6,'Position Inputs'!B8:G8)*C$7-SUMPRODUCT('Position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-90.025</x:v>
      </x:c>
      <x:c r="D12" s="127" t="n">
        <x:f>SUMPRODUCT('Position Inputs'!B6:G6,'Position Inputs'!B7:G7)*$A12-SUMPRODUCT('Position Inputs'!B6:G6,'Position Inputs'!B8:G8)*D$7-SUMPRODUCT('Position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-100.26500000000001</x:v>
      </x:c>
      <x:c r="E12" s="127" t="n">
        <x:f>SUMPRODUCT('Position Inputs'!B6:G6,'Position Inputs'!B7:G7)*$A12-SUMPRODUCT('Position Inputs'!B6:G6,'Position Inputs'!B8:G8)*E$7-SUMPRODUCT('Position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-110.505</x:v>
      </x:c>
      <x:c r="F12" s="127" t="n">
        <x:f>SUMPRODUCT('Position Inputs'!B6:G6,'Position Inputs'!B7:G7)*$A12-SUMPRODUCT('Position Inputs'!B6:G6,'Position Inputs'!B8:G8)*F$7-SUMPRODUCT('Position Inputs'!B6:G6,'Position Inputs'!B9:G9)*'Assumptions'!$F$8+SUM('Position Inputs'!B10:G10)*'Assumptions'!$F$9+SUMPRODUCT('Position Inputs'!B6:G6,'Position Inputs'!B11:G11)*'Assumptions'!$F$10-SUMPRODUCT('Position Inputs'!B6:G6,'Position Inputs'!B12:G12)</x:f>
        <x:v>-120.745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37" t="str">
        <x:v>Base</x:v>
      </x:c>
      <x:c r="B18" s="138" t="str">
        <x:v>Most likely operating and finance assumptions.</x:v>
      </x:c>
      <x:c r="C18" s="138" t="str">
        <x:v>Base</x:v>
      </x:c>
      <x:c r="D18" s="139" t="str">
        <x:v>What must be true for the base case to hold?</x:v>
      </x:c>
    </x:row>
    <x:row r="19">
      <x:c r="A19" s="140" t="str">
        <x:v>Upside</x:v>
      </x:c>
      <x:c r="B19" s="141" t="str">
        <x:v>Stronger performance, faster conversion, or lower risk/cost.</x:v>
      </x:c>
      <x:c r="C19" s="141" t="str">
        <x:v>Upside</x:v>
      </x:c>
      <x:c r="D19" s="142" t="str">
        <x:v>Which actions unlock the upside?</x:v>
      </x:c>
    </x:row>
    <x:row r="20">
      <x:c r="A20" s="143" t="str">
        <x:v>Downside</x:v>
      </x:c>
      <x:c r="B20" s="144" t="str">
        <x:v>Slower activity, weaker conversion, or higher risk/cost.</x:v>
      </x:c>
      <x:c r="C20" s="144" t="str">
        <x:v>Downside</x:v>
      </x:c>
      <x:c r="D20" s="145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Market Risk / Portfolio Stress  |  Decision outputs, trend, breakpoints, and action prompts</x:v>
      </x:c>
      <x:c r="B2" s="6" t="str">
        <x:v>Market Risk / Portfolio Stress  |  Decision outputs, trend, breakpoints, and action prompts</x:v>
      </x:c>
      <x:c r="C2" s="6" t="str">
        <x:v>Market Risk / Portfolio Stress  |  Decision outputs, trend, breakpoints, and action prompts</x:v>
      </x:c>
      <x:c r="D2" s="6" t="str">
        <x:v>Market Risk / Portfolio Stress  |  Decision outputs, trend, breakpoints, and action prompts</x:v>
      </x:c>
      <x:c r="E2" s="6" t="str">
        <x:v>Market Risk / Portfolio Stress  |  Decision outputs, trend, breakpoints, and action prompts</x:v>
      </x:c>
      <x:c r="F2" s="6" t="str">
        <x:v>Market Risk / Portfolio Stress  |  Decision outputs, trend, breakpoints, and action prompts</x:v>
      </x:c>
      <x:c r="G2" s="6" t="str">
        <x:v>Market Risk / Portfolio Stress  |  Decision outputs, trend, breakpoints, and action prompts</x:v>
      </x:c>
      <x:c r="H2" s="6" t="str">
        <x:v>Market Risk / Portfolio Stress  |  Decision outputs, trend, breakpoints, and action prompts</x:v>
      </x:c>
      <x:c r="I2" s="6" t="str">
        <x:v>Market Risk / Portfolio Stress  |  Decision outputs, trend, breakpoints, and action prompts</x:v>
      </x:c>
      <x:c r="J2" s="6" t="str">
        <x:v>Market Risk / Portfolio Stress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47" t="str">
        <x:v>PORTFOLIO MARKET VALUE</x:v>
      </x:c>
      <x:c r="B5" s="147" t="str">
        <x:v>PORTFOLIO MARKET VALUE</x:v>
      </x:c>
      <x:c r="C5" s="147" t="str">
        <x:v>PORTFOLIO MARKET VALUE</x:v>
      </x:c>
      <x:c r="D5" s="147" t="str">
        <x:v>TOTAL STRESSED LOSS</x:v>
      </x:c>
      <x:c r="E5" s="147" t="str">
        <x:v>TOTAL STRESSED LOSS</x:v>
      </x:c>
      <x:c r="F5" s="147" t="str">
        <x:v>TOTAL STRESSED LOSS</x:v>
      </x:c>
      <x:c r="G5" s="147" t="str">
        <x:v>STRESS LOSS / PORTFOLIO</x:v>
      </x:c>
      <x:c r="H5" s="147" t="str">
        <x:v>STRESS LOSS / PORTFOLIO</x:v>
      </x:c>
      <x:c r="I5" s="147" t="str">
        <x:v>STRESS LOSS / PORTFOLIO</x:v>
      </x:c>
      <x:c r="J5" s="167" t="str">
        <x:v>MODEL STATUS</x:v>
      </x:c>
    </x:row>
    <x:row r="6">
      <x:c r="A6" s="151" t="n">
        <x:f>SUM('Position Inputs'!B6:G6)</x:f>
        <x:v>930</x:v>
      </x:c>
      <x:c r="B6" s="151"/>
      <x:c r="C6" s="151"/>
      <x:c r="D6" s="155" t="n">
        <x:f>SUM('Portfolio Stress'!B12:G12)</x:f>
        <x:v>-169.79</x:v>
      </x:c>
      <x:c r="E6" s="155"/>
      <x:c r="F6" s="155"/>
      <x:c r="G6" s="159" t="n">
        <x:f>ABS(SUM('Portfolio Stress'!B12:G12))/SUM('Position Inputs'!B6:G6)</x:f>
        <x:v>0.18256989247311828</x:v>
      </x:c>
      <x:c r="H6" s="159"/>
      <x:c r="I6" s="159"/>
      <x:c r="J6" s="171" t="str">
        <x:f>'Checks'!$B$5</x:f>
        <x:v>PASS</x:v>
      </x:c>
    </x:row>
    <x:row r="7">
      <x:c r="A7" s="151"/>
      <x:c r="B7" s="151"/>
      <x:c r="C7" s="151"/>
      <x:c r="D7" s="155"/>
      <x:c r="E7" s="155"/>
      <x:c r="F7" s="155"/>
      <x:c r="G7" s="159"/>
      <x:c r="H7" s="159"/>
      <x:c r="I7" s="159"/>
      <x:c r="J7" s="171"/>
    </x:row>
    <x:row r="9">
      <x:c r="A9" s="147" t="str">
        <x:v>LARGEST POSITION WEIGHT</x:v>
      </x:c>
      <x:c r="B9" s="147" t="str">
        <x:v>LARGEST POSITION WEIGHT</x:v>
      </x:c>
      <x:c r="C9" s="147" t="str">
        <x:v>LARGEST POSITION WEIGHT</x:v>
      </x:c>
      <x:c r="D9" s="147" t="str">
        <x:v>CONCENTRATION BREACHES</x:v>
      </x:c>
      <x:c r="E9" s="147" t="str">
        <x:v>CONCENTRATION BREACHES</x:v>
      </x:c>
      <x:c r="F9" s="147" t="str">
        <x:v>CONCENTRATION BREACHES</x:v>
      </x:c>
      <x:c r="G9" s="147" t="str">
        <x:v>LOSS-LIMIT HEADROOM</x:v>
      </x:c>
      <x:c r="H9" s="147" t="str">
        <x:v>LOSS-LIMIT HEADROOM</x:v>
      </x:c>
      <x:c r="I9" s="147" t="str">
        <x:v>LOSS-LIMIT HEADROOM</x:v>
      </x:c>
      <x:c r="J9" s="167" t="str">
        <x:v>SCENARIO</x:v>
      </x:c>
    </x:row>
    <x:row r="10">
      <x:c r="A10" s="159" t="n">
        <x:f>MAX('Portfolio Stress'!B13:G13)</x:f>
        <x:v>0.27956989247311825</x:v>
      </x:c>
      <x:c r="B10" s="159"/>
      <x:c r="C10" s="159"/>
      <x:c r="D10" s="165" t="n">
        <x:f>COUNTIF('Portfolio Stress'!B14:G14,"&gt;0")</x:f>
        <x:v>0</x:v>
      </x:c>
      <x:c r="E10" s="165"/>
      <x:c r="F10" s="165"/>
      <x:c r="G10" s="159" t="n">
        <x:f>'Portfolio Stress'!G$16</x:f>
        <x:v>0.017430107526881733</x:v>
      </x:c>
      <x:c r="H10" s="159"/>
      <x:c r="I10" s="159"/>
      <x:c r="J10" s="174" t="str">
        <x:f>'Assumptions'!$B$3</x:f>
        <x:v>Base</x:v>
      </x:c>
    </x:row>
    <x:row r="11">
      <x:c r="A11" s="159"/>
      <x:c r="B11" s="159"/>
      <x:c r="C11" s="159"/>
      <x:c r="D11" s="165"/>
      <x:c r="E11" s="165"/>
      <x:c r="F11" s="165"/>
      <x:c r="G11" s="159"/>
      <x:c r="H11" s="159"/>
      <x:c r="I11" s="159"/>
      <x:c r="J11" s="174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8" t="str">
        <x:v>Total stressed loss</x:v>
      </x:c>
    </x:row>
    <x:row r="16">
      <x:c r="A16" t="str">
        <x:v>Global Equity</x:v>
      </x:c>
      <x:c r="B16" s="176" t="n">
        <x:f>'Portfolio Stress'!B$12</x:f>
        <x:v>-54.6</x:v>
      </x:c>
    </x:row>
    <x:row r="17">
      <x:c r="A17" t="str">
        <x:v>Govt Bonds</x:v>
      </x:c>
      <x:c r="B17" s="176" t="n">
        <x:f>'Portfolio Stress'!C$12</x:f>
        <x:v>-16.060000000000002</x:v>
      </x:c>
    </x:row>
    <x:row r="18">
      <x:c r="A18" t="str">
        <x:v>Corp Credit</x:v>
      </x:c>
      <x:c r="B18" s="176" t="n">
        <x:f>'Portfolio Stress'!D$12</x:f>
        <x:v>-27.09</x:v>
      </x:c>
    </x:row>
    <x:row r="19">
      <x:c r="A19" t="str">
        <x:v>USD FX</x:v>
      </x:c>
      <x:c r="B19" s="176" t="n">
        <x:f>'Portfolio Stress'!E$12</x:f>
        <x:v>-11.700000000000001</x:v>
      </x:c>
    </x:row>
    <x:row r="20">
      <x:c r="A20" t="str">
        <x:v>Commodities</x:v>
      </x:c>
      <x:c r="B20" s="176" t="n">
        <x:f>'Portfolio Stress'!F$12</x:f>
        <x:v>-24.15</x:v>
      </x:c>
    </x:row>
    <x:row r="21">
      <x:c r="A21" t="str">
        <x:v>Single Name</x:v>
      </x:c>
      <x:c r="B21" s="176" t="n">
        <x:f>'Portfolio Stress'!G$12</x:f>
        <x:v>-36.190000000000005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Where do shocks, concentration, and correlations create the largest downside exposure?</x:v>
      </x:c>
      <x:c r="C32" s="17" t="str"/>
      <x:c r="D32" s="17" t="str"/>
      <x:c r="E32" s="17" t="str"/>
      <x:c r="F32" s="17" t="str"/>
      <x:c r="G32" s="17" t="str"/>
      <x:c r="H32" s="178" t="str">
        <x:v>Decision owner</x:v>
      </x:c>
      <x:c r="I32" s="178" t="str"/>
      <x:c r="J32" s="178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78" t="str">
        <x:v>Finance / business owner</x:v>
      </x:c>
      <x:c r="I33" s="178" t="str"/>
      <x:c r="J33" s="178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78" t="str">
        <x:v>Finance leader</x:v>
      </x:c>
      <x:c r="I34" s="178" t="str"/>
      <x:c r="J34" s="178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78" t="str">
        <x:v>Model owner</x:v>
      </x:c>
      <x:c r="I35" s="178" t="str"/>
      <x:c r="J35" s="178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78" t="str">
        <x:v>Reviewer</x:v>
      </x:c>
      <x:c r="I36" s="178" t="str"/>
      <x:c r="J36" s="178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78" t="str">
        <x:v>Action owner</x:v>
      </x:c>
      <x:c r="I37" s="178" t="str"/>
      <x:c r="J37" s="178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19bafe3ee4c94a1b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Market Risk / Portfolio Stress  |  One assertion per row — investigate every FAIL</x:v>
      </x:c>
      <x:c r="B2" s="6" t="str">
        <x:v>Market Risk / Portfolio Stress  |  One assertion per row — investigate every FAIL</x:v>
      </x:c>
      <x:c r="C2" s="6" t="str">
        <x:v>Market Risk / Portfolio Stress  |  One assertion per row — investigate every FAIL</x:v>
      </x:c>
      <x:c r="D2" s="6" t="str">
        <x:v>Market Risk / Portfolio Stress  |  One assertion per row — investigate every FAIL</x:v>
      </x:c>
      <x:c r="E2" s="6" t="str">
        <x:v>Market Risk / Portfolio Stress  |  One assertion per row — investigate every FAIL</x:v>
      </x:c>
      <x:c r="F2" s="6" t="str">
        <x:v>Market Risk / Portfolio Stress  |  One assertion per row — investigate every FAIL</x:v>
      </x:c>
      <x:c r="G2" s="6" t="str">
        <x:v>Market Risk / Portfolio Stress  |  One assertion per row — investigate every FAIL</x:v>
      </x:c>
      <x:c r="H2" s="6" t="str">
        <x:v>Market Risk / Portfolio Stress  |  One assertion per row — investigate every FAIL</x:v>
      </x:c>
      <x:c r="I2" s="6" t="str">
        <x:v>Market Risk / Portfolio Stress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80" t="str">
        <x:f>IF(COUNTIF(G8:G17,"FAIL")=0,"PASS","FAIL")</x:f>
        <x:v>PASS</x:v>
      </x:c>
      <x:c r="C5" s="180"/>
      <x:c r="D5" s="182" t="str">
        <x:v>Published controls: 10. PASS means the listed calculations tie within tolerance; source and decision readiness remain separate.</x:v>
      </x:c>
      <x:c r="E5" s="182" t="str">
        <x:v>Published controls: 10. PASS means the listed calculations tie within tolerance; source and decision readiness remain separate.</x:v>
      </x:c>
      <x:c r="F5" s="182" t="str">
        <x:v>Published controls: 10. PASS means the listed calculations tie within tolerance; source and decision readiness remain separate.</x:v>
      </x:c>
      <x:c r="G5" s="182" t="str">
        <x:v>Published controls: 10. PASS means the listed calculations tie within tolerance; source and decision readiness remain separate.</x:v>
      </x:c>
      <x:c r="H5" s="182" t="str">
        <x:v>Published controls: 10. PASS means the listed calculations tie within tolerance; source and decision readiness remain separate.</x:v>
      </x:c>
      <x:c r="I5" s="182" t="str">
        <x:v>Published controls: 10.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191" t="str">
        <x:v>Position weights sum to 100%</x:v>
      </x:c>
      <x:c r="B8" s="191" t="str">
        <x:v>Model</x:v>
      </x:c>
      <x:c r="C8" s="192" t="n">
        <x:f>SUM('Portfolio Stress'!B13:G13)</x:f>
        <x:v>1</x:v>
      </x:c>
      <x:c r="D8" s="192" t="n">
        <x:v>1</x:v>
      </x:c>
      <x:c r="E8" s="192" t="n">
        <x:f>C8-D8</x:f>
        <x:v>0</x:v>
      </x:c>
      <x:c r="F8" s="192" t="n">
        <x:v>0.0001</x:v>
      </x:c>
      <x:c r="G8" s="193" t="str">
        <x:f>IF(ABS(E8)&lt;=F8,"PASS","FAIL")</x:f>
        <x:v>PASS</x:v>
      </x:c>
      <x:c r="H8" s="194" t="str">
        <x:v>Portfolio Stress — weights</x:v>
      </x:c>
      <x:c r="I8" s="194" t="str">
        <x:v>Absolute market-value weights must reconcile to the portfolio.</x:v>
      </x:c>
    </x:row>
    <x:row r="9">
      <x:c r="A9" s="195" t="str">
        <x:v>Risk inputs are non-negative where required</x:v>
      </x:c>
      <x:c r="B9" s="195" t="str">
        <x:v>Model</x:v>
      </x:c>
      <x:c r="C9" s="196" t="n">
        <x:f>COUNTIF('Position Inputs'!B8:G9,"&lt;0")+COUNTIF('Position Inputs'!B12:G12,"&lt;0")</x:f>
        <x:v>0</x:v>
      </x:c>
      <x:c r="D9" s="196" t="n">
        <x:v>0</x:v>
      </x:c>
      <x:c r="E9" s="196" t="n">
        <x:f>C9-D9</x:f>
        <x:v>0</x:v>
      </x:c>
      <x:c r="F9" s="196" t="n">
        <x:v>0</x:v>
      </x:c>
      <x:c r="G9" s="197" t="str">
        <x:f>IF(ABS(E9)&lt;=F9,"PASS","FAIL")</x:f>
        <x:v>PASS</x:v>
      </x:c>
      <x:c r="H9" s="198" t="str">
        <x:v>Position Inputs — duration / haircut</x:v>
      </x:c>
      <x:c r="I9" s="198" t="str">
        <x:v>Durations and liquidity haircuts are entered as non-negative magnitudes.</x:v>
      </x:c>
    </x:row>
    <x:row r="10">
      <x:c r="A10" s="195" t="str">
        <x:v>Stress loss is within selected limit</x:v>
      </x:c>
      <x:c r="B10" s="195" t="str">
        <x:v>Model</x:v>
      </x:c>
      <x:c r="C10" s="199" t="n">
        <x:f>MAX(0,ABS(SUM('Portfolio Stress'!B12:G12))/SUM('Position Inputs'!B6:G6)-'Assumptions'!$F$12)</x:f>
        <x:v>0</x:v>
      </x:c>
      <x:c r="D10" s="199" t="n">
        <x:v>0</x:v>
      </x:c>
      <x:c r="E10" s="199" t="n">
        <x:f>C10-D10</x:f>
        <x:v>0</x:v>
      </x:c>
      <x:c r="F10" s="199" t="n">
        <x:v>0.0001</x:v>
      </x:c>
      <x:c r="G10" s="197" t="str">
        <x:f>IF(ABS(E10)&lt;=F10,"PASS","FAIL")</x:f>
        <x:v>PASS</x:v>
      </x:c>
      <x:c r="H10" s="198" t="str">
        <x:v>Portfolio Stress — loss limit</x:v>
      </x:c>
      <x:c r="I10" s="198" t="str">
        <x:v>A breached illustrative limit requires escalation and action.</x:v>
      </x:c>
    </x:row>
    <x:row r="11">
      <x:c r="A11" s="195" t="str">
        <x:v>Concentration remains within selected limit</x:v>
      </x:c>
      <x:c r="B11" s="195" t="str">
        <x:v>Model</x:v>
      </x:c>
      <x:c r="C11" s="199" t="n">
        <x:f>MAX(0,MAX('Portfolio Stress'!B13:G13)-'Assumptions'!$F$11)</x:f>
        <x:v>0</x:v>
      </x:c>
      <x:c r="D11" s="199" t="n">
        <x:v>0</x:v>
      </x:c>
      <x:c r="E11" s="199" t="n">
        <x:f>C11-D11</x:f>
        <x:v>0</x:v>
      </x:c>
      <x:c r="F11" s="199" t="n">
        <x:v>0.0001</x:v>
      </x:c>
      <x:c r="G11" s="197" t="str">
        <x:f>IF(ABS(E11)&lt;=F11,"PASS","FAIL")</x:f>
        <x:v>PASS</x:v>
      </x:c>
      <x:c r="H11" s="198" t="str">
        <x:v>Portfolio Stress — concentration</x:v>
      </x:c>
      <x:c r="I11" s="198" t="str">
        <x:v>Largest position should remain within the selected illustrative limit.</x:v>
      </x:c>
    </x:row>
    <x:row r="12">
      <x:c r="A12" s="195" t="str">
        <x:v>Scenario selector is valid</x:v>
      </x:c>
      <x:c r="B12" s="195" t="str">
        <x:v>Current</x:v>
      </x:c>
      <x:c r="C12" s="196" t="n">
        <x:f>COUNTIF('Assumptions'!$C$5:$E$5,'Assumptions'!$B$3)</x:f>
        <x:v>1</x:v>
      </x:c>
      <x:c r="D12" s="196" t="n">
        <x:v>1</x:v>
      </x:c>
      <x:c r="E12" s="196" t="n">
        <x:f>C12-D12</x:f>
        <x:v>0</x:v>
      </x:c>
      <x:c r="F12" s="196" t="n">
        <x:v>0</x:v>
      </x:c>
      <x:c r="G12" s="197" t="str">
        <x:f>IF(ABS(E12)&lt;=F12,"PASS","FAIL")</x:f>
        <x:v>PASS</x:v>
      </x:c>
      <x:c r="H12" s="198" t="str">
        <x:v>Assumptions B3</x:v>
      </x:c>
      <x:c r="I12" s="198" t="str">
        <x:v>Base, Upside, or Downside only.</x:v>
      </x:c>
    </x:row>
    <x:row r="13">
      <x:c r="A13" s="195" t="str">
        <x:v>Period headers are complete</x:v>
      </x:c>
      <x:c r="B13" s="195" t="str">
        <x:v>All periods</x:v>
      </x:c>
      <x:c r="C13" s="196" t="n">
        <x:f>COUNTA('Position Inputs'!B5:G5)</x:f>
        <x:v>6</x:v>
      </x:c>
      <x:c r="D13" s="196" t="n">
        <x:v>6</x:v>
      </x:c>
      <x:c r="E13" s="196" t="n">
        <x:f>C13-D13</x:f>
        <x:v>0</x:v>
      </x:c>
      <x:c r="F13" s="196" t="n">
        <x:v>0</x:v>
      </x:c>
      <x:c r="G13" s="197" t="str">
        <x:f>IF(ABS(E13)&lt;=F13,"PASS","FAIL")</x:f>
        <x:v>PASS</x:v>
      </x:c>
      <x:c r="H13" s="198" t="str">
        <x:v>Position Inputs row 5</x:v>
      </x:c>
      <x:c r="I13" s="198" t="str">
        <x:v>All modeled periods must have a visible header.</x:v>
      </x:c>
    </x:row>
    <x:row r="14">
      <x:c r="A14" s="195" t="str">
        <x:v>Source input grid is complete</x:v>
      </x:c>
      <x:c r="B14" s="195" t="str">
        <x:v>All periods</x:v>
      </x:c>
      <x:c r="C14" s="196" t="n">
        <x:f>COUNTA('Position Inputs'!B6:G12)</x:f>
        <x:v>42</x:v>
      </x:c>
      <x:c r="D14" s="196" t="n">
        <x:v>42</x:v>
      </x:c>
      <x:c r="E14" s="196" t="n">
        <x:f>C14-D14</x:f>
        <x:v>0</x:v>
      </x:c>
      <x:c r="F14" s="196" t="n">
        <x:v>0</x:v>
      </x:c>
      <x:c r="G14" s="197" t="str">
        <x:f>IF(ABS(E14)&lt;=F14,"PASS","FAIL")</x:f>
        <x:v>PASS</x:v>
      </x:c>
      <x:c r="H14" s="198" t="str">
        <x:v>Position Inputs</x:v>
      </x:c>
      <x:c r="I14" s="198" t="str">
        <x:v>Replace blanks with an approved value or an explicitly documented zero.</x:v>
      </x:c>
    </x:row>
    <x:row r="15">
      <x:c r="A15" s="195" t="str">
        <x:v>Selected assumptions are complete</x:v>
      </x:c>
      <x:c r="B15" s="195" t="str">
        <x:v>Current</x:v>
      </x:c>
      <x:c r="C15" s="196" t="n">
        <x:f>COUNT('Assumptions'!F6:F12)</x:f>
        <x:v>7</x:v>
      </x:c>
      <x:c r="D15" s="196" t="n">
        <x:v>7</x:v>
      </x:c>
      <x:c r="E15" s="196" t="n">
        <x:f>C15-D15</x:f>
        <x:v>0</x:v>
      </x:c>
      <x:c r="F15" s="196" t="n">
        <x:v>0</x:v>
      </x:c>
      <x:c r="G15" s="197" t="str">
        <x:f>IF(ABS(E15)&lt;=F15,"PASS","FAIL")</x:f>
        <x:v>PASS</x:v>
      </x:c>
      <x:c r="H15" s="198" t="str">
        <x:v>Assumptions column F</x:v>
      </x:c>
      <x:c r="I15" s="198" t="str">
        <x:v>Every scenario driver must resolve to a numeric selected value.</x:v>
      </x:c>
    </x:row>
    <x:row r="16">
      <x:c r="A16" s="195" t="str">
        <x:v>Core model cells calculate to numbers</x:v>
      </x:c>
      <x:c r="B16" s="195" t="str">
        <x:v>All periods</x:v>
      </x:c>
      <x:c r="C16" s="196" t="n">
        <x:f>COUNT('Portfolio Stress'!B6:G16)</x:f>
        <x:v>66</x:v>
      </x:c>
      <x:c r="D16" s="196" t="n">
        <x:v>66</x:v>
      </x:c>
      <x:c r="E16" s="196" t="n">
        <x:f>C16-D16</x:f>
        <x:v>0</x:v>
      </x:c>
      <x:c r="F16" s="196" t="n">
        <x:v>0</x:v>
      </x:c>
      <x:c r="G16" s="197" t="str">
        <x:f>IF(ABS(E16)&lt;=F16,"PASS","FAIL")</x:f>
        <x:v>PASS</x:v>
      </x:c>
      <x:c r="H16" s="198" t="str">
        <x:v>Portfolio Stress</x:v>
      </x:c>
      <x:c r="I16" s="198" t="str">
        <x:v>No blank or text output is permitted inside the calculation block.</x:v>
      </x:c>
    </x:row>
    <x:row r="17">
      <x:c r="A17" s="200" t="str">
        <x:v>Sensitivity base ties the headline output</x:v>
      </x:c>
      <x:c r="B17" s="200" t="str">
        <x:v>Base center</x:v>
      </x:c>
      <x:c r="C17" s="201" t="n">
        <x:f>IF('Assumptions'!$B$3="Base",'Sensitivity'!D10,SUM('Portfolio Stress'!B12:G12))</x:f>
        <x:v>-169.79</x:v>
      </x:c>
      <x:c r="D17" s="201" t="n">
        <x:f>SUM('Portfolio Stress'!B12:G12)</x:f>
        <x:v>-169.79</x:v>
      </x:c>
      <x:c r="E17" s="201" t="n">
        <x:f>C17-D17</x:f>
        <x:v>0</x:v>
      </x:c>
      <x:c r="F17" s="201" t="n">
        <x:v>0.1</x:v>
      </x:c>
      <x:c r="G17" s="202" t="str">
        <x:f>IF(ABS(E17)&lt;=F17,"PASS","FAIL")</x:f>
        <x:v>PASS</x:v>
      </x:c>
      <x:c r="H17" s="203" t="str">
        <x:v>Sensitivity / core model</x:v>
      </x:c>
      <x:c r="I17" s="203" t="str">
        <x:v>The center cell must recalculate the Base-case headline output; the assertion is N/A under Upside or Downside.</x:v>
      </x:c>
    </x:row>
    <x:row r="19">
      <x:c r="A19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19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0">
      <x:c r="A20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3">
      <x:c r="A23" s="53" t="str">
        <x:v>TDAT Model Library  |  Trust builds the brand. Insight builds the decision.</x:v>
      </x:c>
      <x:c r="B23" s="53" t="str">
        <x:v>TDAT Model Library  |  Trust builds the brand. Insight builds the decision.</x:v>
      </x:c>
      <x:c r="C23" s="53" t="str">
        <x:v>TDAT Model Library  |  Trust builds the brand. Insight builds the decision.</x:v>
      </x:c>
      <x:c r="D23" s="53" t="str">
        <x:v>TDAT Model Library  |  Trust builds the brand. Insight builds the decision.</x:v>
      </x:c>
      <x:c r="E23" s="53" t="str">
        <x:v>TDAT Model Library  |  Trust builds the brand. Insight builds the decision.</x:v>
      </x:c>
      <x:c r="F23" s="53" t="str">
        <x:v>TDAT Model Library  |  Trust builds the brand. Insight builds the decision.</x:v>
      </x:c>
      <x:c r="G23" s="53" t="str">
        <x:v>TDAT Model Library  |  Trust builds the brand. Insight builds the decision.</x:v>
      </x:c>
      <x:c r="H23" s="53" t="str">
        <x:v>TDAT Model Library  |  Trust builds the brand. Insight builds the decision.</x:v>
      </x:c>
      <x:c r="I23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19:I21"/>
    <x:mergeCell ref="A23:I23"/>
  </x:mergeCells>
  <x:conditionalFormatting sqref="G8:G17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Market Risk / Portfolio Stress  |  Assumption register, release facts, and distribution controls</x:v>
      </x:c>
      <x:c r="B2" s="6" t="str">
        <x:v>Market Risk / Portfolio Stress  |  Assumption register, release facts, and distribution controls</x:v>
      </x:c>
      <x:c r="C2" s="6" t="str">
        <x:v>Market Risk / Portfolio Stress  |  Assumption register, release facts, and distribution controls</x:v>
      </x:c>
      <x:c r="D2" s="6" t="str">
        <x:v>Market Risk / Portfolio Stress  |  Assumption register, release facts, and distribution controls</x:v>
      </x:c>
      <x:c r="E2" s="6" t="str">
        <x:v>Market Risk / Portfolio Stress  |  Assumption register, release facts, and distribution controls</x:v>
      </x:c>
      <x:c r="F2" s="6" t="str">
        <x:v>Market Risk / Portfolio Stress  |  Assumption register, release facts, and distribution controls</x:v>
      </x:c>
      <x:c r="G2" s="6" t="str">
        <x:v>Market Risk / Portfolio Stress  |  Assumption register, release facts, and distribution controls</x:v>
      </x:c>
      <x:c r="H2" s="6" t="str">
        <x:v>Market Risk / Portfolio Stress  |  Assumption register, release facts, and distribution controls</x:v>
      </x:c>
      <x:c r="I2" s="6" t="str">
        <x:v>Market Risk / Portfolio Stress  |  Assumption register, release facts, and distribution controls</x:v>
      </x:c>
      <x:c r="J2" s="6" t="str">
        <x:v>Market Risk / Portfolio Stress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37" t="str">
        <x:v>Worked example</x:v>
      </x:c>
      <x:c r="B7" s="138" t="str">
        <x:v>Synthetic case values</x:v>
      </x:c>
      <x:c r="C7" s="138" t="str">
        <x:v>LCY millions</x:v>
      </x:c>
      <x:c r="D7" s="138" t="str">
        <x:v>2026-07-13</x:v>
      </x:c>
      <x:c r="E7" s="138" t="str">
        <x:v>Illustrative</x:v>
      </x:c>
      <x:c r="F7" s="138" t="str">
        <x:v>TDAT model build</x:v>
      </x:c>
      <x:c r="G7" s="138" t="str">
        <x:v>SYN-001</x:v>
      </x:c>
      <x:c r="H7" s="138" t="str">
        <x:v>Illustrative</x:v>
      </x:c>
      <x:c r="I7" s="139" t="str">
        <x:v>Replace before use.</x:v>
      </x:c>
    </x:row>
    <x:row r="8">
      <x:c r="A8" s="140" t="str">
        <x:v>Scenario drivers</x:v>
      </x:c>
      <x:c r="B8" s="141" t="str">
        <x:v>Base / Upside / Downside</x:v>
      </x:c>
      <x:c r="C8" s="141" t="str">
        <x:v>Mixed</x:v>
      </x:c>
      <x:c r="D8" s="141" t="str">
        <x:v>Model horizon</x:v>
      </x:c>
      <x:c r="E8" s="141" t="str">
        <x:v>Assumption</x:v>
      </x:c>
      <x:c r="F8" s="141" t="str">
        <x:v>User / finance owner</x:v>
      </x:c>
      <x:c r="G8" s="141" t="str">
        <x:v>ASM-001</x:v>
      </x:c>
      <x:c r="H8" s="141" t="str">
        <x:v>Open</x:v>
      </x:c>
      <x:c r="I8" s="142" t="str">
        <x:v>Confirm rationale and owner.</x:v>
      </x:c>
    </x:row>
    <x:row r="9">
      <x:c r="A9" s="143" t="str">
        <x:v>Method</x:v>
      </x:c>
      <x:c r="B9" s="144" t="str">
        <x:v>Portfolio Stress</x:v>
      </x:c>
      <x:c r="C9" s="144" t="str">
        <x:v>Method</x:v>
      </x:c>
      <x:c r="D9" s="144" t="str">
        <x:v>Version 1.0.0</x:v>
      </x:c>
      <x:c r="E9" s="144" t="str">
        <x:v>Model method</x:v>
      </x:c>
      <x:c r="F9" s="144" t="str">
        <x:v>Model Guide</x:v>
      </x:c>
      <x:c r="G9" s="144" t="str">
        <x:v>MTH-001</x:v>
      </x:c>
      <x:c r="H9" s="144" t="str">
        <x:v>Template</x:v>
      </x:c>
      <x:c r="I9" s="145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04" t="str">
        <x:v>Owner</x:v>
      </x:c>
      <x:c r="B12" s="138" t="str">
        <x:v>Truong Dinh Anh Tu</x:v>
      </x:c>
      <x:c r="C12" s="206" t="str">
        <x:v>Version</x:v>
      </x:c>
      <x:c r="D12" s="138" t="str">
        <x:v>1.0.0</x:v>
      </x:c>
      <x:c r="E12" s="206" t="str">
        <x:v>Standard</x:v>
      </x:c>
      <x:c r="F12" s="138" t="str">
        <x:v>TDAT Model Standard 1.0</x:v>
      </x:c>
      <x:c r="G12" s="206" t="str">
        <x:v>Last QA</x:v>
      </x:c>
      <x:c r="H12" s="138" t="str">
        <x:v>2026-07-13</x:v>
      </x:c>
      <x:c r="I12" s="206" t="str">
        <x:v>Status</x:v>
      </x:c>
      <x:c r="J12" s="139" t="str">
        <x:v>Available after release gates</x:v>
      </x:c>
    </x:row>
    <x:row r="13">
      <x:c r="A13" s="205" t="str">
        <x:v>Compatibility</x:v>
      </x:c>
      <x:c r="B13" s="144" t="str">
        <x:v>Excel 365</x:v>
      </x:c>
      <x:c r="C13" s="207" t="str">
        <x:v>Macros</x:v>
      </x:c>
      <x:c r="D13" s="144" t="str">
        <x:v>None</x:v>
      </x:c>
      <x:c r="E13" s="207" t="str">
        <x:v>External links</x:v>
      </x:c>
      <x:c r="F13" s="144" t="str">
        <x:v>None</x:v>
      </x:c>
      <x:c r="G13" s="207" t="str">
        <x:v>Circularity</x:v>
      </x:c>
      <x:c r="H13" s="144" t="str">
        <x:v>None</x:v>
      </x:c>
      <x:c r="I13" s="207" t="str">
        <x:v>Evidence</x:v>
      </x:c>
      <x:c r="J13" s="145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11" t="str">
        <x:v>1.0.0</x:v>
      </x:c>
      <x:c r="B17" s="212" t="str">
        <x:v>2026-07-13</x:v>
      </x:c>
      <x:c r="C17" s="212" t="str">
        <x:v>All</x:v>
      </x:c>
      <x:c r="D17" s="212" t="str">
        <x:v>Initial public reusable template</x:v>
      </x:c>
      <x:c r="E17" s="212" t="str">
        <x:v>New model release</x:v>
      </x:c>
      <x:c r="F17" s="212" t="str">
        <x:v>None</x:v>
      </x:c>
      <x:c r="G17" s="212" t="str">
        <x:v>Truong Dinh Anh Tu</x:v>
      </x:c>
      <x:c r="H17" s="212" t="str">
        <x:v>TDAT QA review</x:v>
      </x:c>
      <x:c r="I17" s="213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Illustrative deterministic stress template only; it is not regulatory VaR, expected shortfall, a validated risk model, or investment advice. Validate position data, factor mapping, pricing non-linearity, correlations, liquidity, limits, governance, and independent risk review.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