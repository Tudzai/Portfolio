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7c12819a6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56ac98b6ee304a16"/>
    <x:sheet xmlns:r="http://schemas.openxmlformats.org/officeDocument/2006/relationships" name="Inputs" sheetId="2" r:id="R9f7c7744d0794cb0"/>
    <x:sheet xmlns:r="http://schemas.openxmlformats.org/officeDocument/2006/relationships" name="Model" sheetId="3" r:id="Rbf9864ca9d134abd"/>
    <x:sheet xmlns:r="http://schemas.openxmlformats.org/officeDocument/2006/relationships" name="Results" sheetId="4" r:id="R64be4f13a7b24658"/>
    <x:sheet xmlns:r="http://schemas.openxmlformats.org/officeDocument/2006/relationships" name="Checks" sheetId="5" r:id="Rfee60c5495db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-"/>
    <x:numFmt numFmtId="201" formatCode="0.0%;[Red](0.0%);-"/>
    <x:numFmt numFmtId="202" formatCode="0.00;[Red](0.00);-"/>
    <x:numFmt numFmtId="203" formatCode="#,##0;[Red](#,##0);-"/>
  </x:numFmts>
  <x:fonts count="13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68717C"/>
      <x:name val="Carlito"/>
    </x:font>
    <x:font>
      <x:sz val="11"/>
      <x:color rgb="FF202833"/>
      <x:name val="Carlito"/>
    </x:font>
    <x:font>
      <x:b/>
      <x:sz val="11"/>
      <x:color rgb="FFB5883A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  <x:fill>
      <x:patternFill patternType="solid">
        <x:fgColor rgb="FFE6F2EB"/>
      </x:patternFill>
    </x:fill>
  </x:fills>
  <x:borders count="31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</x:border>
    <x:border>
      <x:right style="thin">
        <x:color rgb="FFB5883A"/>
      </x:right>
    </x:border>
    <x:border>
      <x:left style="thin">
        <x:color rgb="FFB5883A"/>
      </x:left>
      <x:bottom style="thin">
        <x:color rgb="FFB5883A"/>
      </x:bottom>
    </x:border>
    <x:border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200" fontId="3" fillId="8" borderId="0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horizontal="righ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2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right" vertical="center"/>
    </x:xf>
    <x:xf numFmtId="202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3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horizontal="left" vertical="center" wrapText="1"/>
    </x:xf>
    <x:xf numFmtId="201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1" fontId="3" fillId="8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202" fontId="8" fillId="2" borderId="0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0" fontId="9" fillId="8" borderId="18" xfId="0" applyNumberFormat="1" applyFont="1" applyFill="1" applyBorder="1" applyAlignment="1">
      <x:alignment vertical="center"/>
    </x:xf>
    <x:xf numFmtId="0" fontId="9" fillId="8" borderId="19" xfId="0" applyNumberFormat="1" applyFont="1" applyFill="1" applyBorder="1" applyAlignment="1">
      <x:alignment vertical="center"/>
    </x:xf>
    <x:xf numFmtId="0" fontId="9" fillId="8" borderId="4" xfId="0" applyNumberFormat="1" applyFont="1" applyFill="1" applyBorder="1" applyAlignment="1">
      <x:alignment vertical="center"/>
    </x:xf>
    <x:xf numFmtId="0" fontId="9" fillId="8" borderId="6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vertical="center"/>
    </x:xf>
    <x:xf numFmtId="200" fontId="9" fillId="8" borderId="3" xfId="0" applyNumberFormat="1" applyFont="1" applyFill="1" applyBorder="1" applyAlignment="1">
      <x:alignment vertical="center"/>
    </x:xf>
    <x:xf numFmtId="200" fontId="9" fillId="8" borderId="18" xfId="0" applyNumberFormat="1" applyFont="1" applyFill="1" applyBorder="1" applyAlignment="1">
      <x:alignment vertical="center"/>
    </x:xf>
    <x:xf numFmtId="200" fontId="9" fillId="8" borderId="19" xfId="0" applyNumberFormat="1" applyFont="1" applyFill="1" applyBorder="1" applyAlignment="1">
      <x:alignment vertical="center"/>
    </x:xf>
    <x:xf numFmtId="200" fontId="9" fillId="8" borderId="4" xfId="0" applyNumberFormat="1" applyFont="1" applyFill="1" applyBorder="1" applyAlignment="1">
      <x:alignment vertical="center"/>
    </x:xf>
    <x:xf numFmtId="200" fontId="9" fillId="8" borderId="6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horizontal="center" vertical="center"/>
    </x:xf>
    <x:xf numFmtId="200" fontId="9" fillId="8" borderId="3" xfId="0" applyNumberFormat="1" applyFont="1" applyFill="1" applyBorder="1" applyAlignment="1">
      <x:alignment horizontal="center" vertical="center"/>
    </x:xf>
    <x:xf numFmtId="200" fontId="9" fillId="8" borderId="18" xfId="0" applyNumberFormat="1" applyFont="1" applyFill="1" applyBorder="1" applyAlignment="1">
      <x:alignment horizontal="center" vertical="center"/>
    </x:xf>
    <x:xf numFmtId="200" fontId="9" fillId="8" borderId="19" xfId="0" applyNumberFormat="1" applyFont="1" applyFill="1" applyBorder="1" applyAlignment="1">
      <x:alignment horizontal="center" vertical="center"/>
    </x:xf>
    <x:xf numFmtId="200" fontId="9" fillId="8" borderId="4" xfId="0" applyNumberFormat="1" applyFont="1" applyFill="1" applyBorder="1" applyAlignment="1">
      <x:alignment horizontal="center" vertical="center"/>
    </x:xf>
    <x:xf numFmtId="200" fontId="9" fillId="8" borderId="6" xfId="0" applyNumberFormat="1" applyFont="1" applyFill="1" applyBorder="1" applyAlignment="1">
      <x:alignment horizontal="center" vertical="center"/>
    </x:xf>
    <x:xf numFmtId="201" fontId="9" fillId="8" borderId="1" xfId="0" applyNumberFormat="1" applyFont="1" applyFill="1" applyBorder="1" applyAlignment="1">
      <x:alignment vertical="center"/>
    </x:xf>
    <x:xf numFmtId="201" fontId="9" fillId="8" borderId="3" xfId="0" applyNumberFormat="1" applyFont="1" applyFill="1" applyBorder="1" applyAlignment="1">
      <x:alignment vertical="center"/>
    </x:xf>
    <x:xf numFmtId="201" fontId="9" fillId="8" borderId="18" xfId="0" applyNumberFormat="1" applyFont="1" applyFill="1" applyBorder="1" applyAlignment="1">
      <x:alignment vertical="center"/>
    </x:xf>
    <x:xf numFmtId="201" fontId="9" fillId="8" borderId="19" xfId="0" applyNumberFormat="1" applyFont="1" applyFill="1" applyBorder="1" applyAlignment="1">
      <x:alignment vertical="center"/>
    </x:xf>
    <x:xf numFmtId="201" fontId="9" fillId="8" borderId="4" xfId="0" applyNumberFormat="1" applyFont="1" applyFill="1" applyBorder="1" applyAlignment="1">
      <x:alignment vertical="center"/>
    </x:xf>
    <x:xf numFmtId="201" fontId="9" fillId="8" borderId="6" xfId="0" applyNumberFormat="1" applyFont="1" applyFill="1" applyBorder="1" applyAlignment="1">
      <x:alignment vertical="center"/>
    </x:xf>
    <x:xf numFmtId="201" fontId="9" fillId="8" borderId="1" xfId="0" applyNumberFormat="1" applyFont="1" applyFill="1" applyBorder="1" applyAlignment="1">
      <x:alignment horizontal="center" vertical="center"/>
    </x:xf>
    <x:xf numFmtId="201" fontId="9" fillId="8" borderId="3" xfId="0" applyNumberFormat="1" applyFont="1" applyFill="1" applyBorder="1" applyAlignment="1">
      <x:alignment horizontal="center" vertical="center"/>
    </x:xf>
    <x:xf numFmtId="201" fontId="9" fillId="8" borderId="18" xfId="0" applyNumberFormat="1" applyFont="1" applyFill="1" applyBorder="1" applyAlignment="1">
      <x:alignment horizontal="center" vertical="center"/>
    </x:xf>
    <x:xf numFmtId="201" fontId="9" fillId="8" borderId="19" xfId="0" applyNumberFormat="1" applyFont="1" applyFill="1" applyBorder="1" applyAlignment="1">
      <x:alignment horizontal="center" vertical="center"/>
    </x:xf>
    <x:xf numFmtId="201" fontId="9" fillId="8" borderId="4" xfId="0" applyNumberFormat="1" applyFont="1" applyFill="1" applyBorder="1" applyAlignment="1">
      <x:alignment horizontal="center" vertical="center"/>
    </x:xf>
    <x:xf numFmtId="201" fontId="9" fillId="8" borderId="6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20" xfId="0" applyNumberFormat="1" applyFont="1" applyFill="1" applyBorder="1" applyAlignment="1">
      <x:alignment vertical="center"/>
    </x:xf>
    <x:xf numFmtId="0" fontId="9" fillId="5" borderId="21" xfId="0" applyNumberFormat="1" applyFont="1" applyFill="1" applyBorder="1" applyAlignment="1">
      <x:alignment vertical="center"/>
    </x:xf>
    <x:xf numFmtId="0" fontId="9" fillId="5" borderId="22" xfId="0" applyNumberFormat="1" applyFont="1" applyFill="1" applyBorder="1" applyAlignment="1">
      <x:alignment vertical="center"/>
    </x:xf>
    <x:xf numFmtId="0" fontId="9" fillId="5" borderId="23" xfId="0" applyNumberFormat="1" applyFont="1" applyFill="1" applyBorder="1" applyAlignment="1">
      <x:alignment vertical="center"/>
    </x:xf>
    <x:xf numFmtId="0" fontId="9" fillId="5" borderId="24" xfId="0" applyNumberFormat="1" applyFont="1" applyFill="1" applyBorder="1" applyAlignment="1">
      <x:alignment vertical="center"/>
    </x:xf>
    <x:xf numFmtId="0" fontId="9" fillId="5" borderId="25" xfId="0" applyNumberFormat="1" applyFont="1" applyFill="1" applyBorder="1" applyAlignment="1">
      <x:alignment vertical="center"/>
    </x:xf>
    <x:xf numFmtId="0" fontId="9" fillId="5" borderId="26" xfId="0" applyNumberFormat="1" applyFont="1" applyFill="1" applyBorder="1" applyAlignment="1">
      <x:alignment vertical="center"/>
    </x:xf>
    <x:xf numFmtId="0" fontId="9" fillId="5" borderId="27" xfId="0" applyNumberFormat="1" applyFont="1" applyFill="1" applyBorder="1" applyAlignment="1">
      <x:alignment vertical="center"/>
    </x:xf>
    <x:xf numFmtId="0" fontId="9" fillId="5" borderId="20" xfId="0" applyNumberFormat="1" applyFont="1" applyFill="1" applyBorder="1" applyAlignment="1">
      <x:alignment vertical="center" wrapText="1"/>
    </x:xf>
    <x:xf numFmtId="0" fontId="9" fillId="5" borderId="21" xfId="0" applyNumberFormat="1" applyFont="1" applyFill="1" applyBorder="1" applyAlignment="1">
      <x:alignment vertical="center" wrapText="1"/>
    </x:xf>
    <x:xf numFmtId="0" fontId="9" fillId="5" borderId="22" xfId="0" applyNumberFormat="1" applyFont="1" applyFill="1" applyBorder="1" applyAlignment="1">
      <x:alignment vertical="center" wrapText="1"/>
    </x:xf>
    <x:xf numFmtId="0" fontId="9" fillId="5" borderId="23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24" xfId="0" applyNumberFormat="1" applyFont="1" applyFill="1" applyBorder="1" applyAlignment="1">
      <x:alignment vertical="center" wrapText="1"/>
    </x:xf>
    <x:xf numFmtId="0" fontId="9" fillId="5" borderId="25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vertical="center" wrapText="1"/>
    </x:xf>
    <x:xf numFmtId="0" fontId="9" fillId="5" borderId="27" xfId="0" applyNumberFormat="1" applyFont="1" applyFill="1" applyBorder="1" applyAlignment="1">
      <x:alignment vertical="center" wrapText="1"/>
    </x:xf>
    <x:xf numFmtId="0" fontId="9" fillId="5" borderId="20" xfId="0" applyNumberFormat="1" applyFont="1" applyFill="1" applyBorder="1" applyAlignment="1">
      <x:alignment horizontal="center" vertical="center" wrapText="1"/>
    </x:xf>
    <x:xf numFmtId="0" fontId="9" fillId="5" borderId="21" xfId="0" applyNumberFormat="1" applyFont="1" applyFill="1" applyBorder="1" applyAlignment="1">
      <x:alignment horizontal="center" vertical="center" wrapText="1"/>
    </x:xf>
    <x:xf numFmtId="0" fontId="9" fillId="5" borderId="22" xfId="0" applyNumberFormat="1" applyFont="1" applyFill="1" applyBorder="1" applyAlignment="1">
      <x:alignment horizontal="center" vertical="center" wrapText="1"/>
    </x:xf>
    <x:xf numFmtId="0" fontId="9" fillId="5" borderId="23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24" xfId="0" applyNumberFormat="1" applyFont="1" applyFill="1" applyBorder="1" applyAlignment="1">
      <x:alignment horizontal="center" vertical="center" wrapText="1"/>
    </x:xf>
    <x:xf numFmtId="0" fontId="9" fillId="5" borderId="25" xfId="0" applyNumberFormat="1" applyFont="1" applyFill="1" applyBorder="1" applyAlignment="1">
      <x:alignment horizontal="center" vertical="center" wrapText="1"/>
    </x:xf>
    <x:xf numFmtId="0" fontId="9" fillId="5" borderId="26" xfId="0" applyNumberFormat="1" applyFont="1" applyFill="1" applyBorder="1" applyAlignment="1">
      <x:alignment horizontal="center" vertical="center" wrapText="1"/>
    </x:xf>
    <x:xf numFmtId="0" fontId="9" fillId="5" borderId="27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28" xfId="0" applyNumberFormat="1" applyFont="1" applyFill="1" applyBorder="1" applyAlignment="1">
      <x:alignment vertical="center"/>
    </x:xf>
    <x:xf numFmtId="0" fontId="10" fillId="8" borderId="29" xfId="0" applyNumberFormat="1" applyFont="1" applyFill="1" applyBorder="1" applyAlignment="1">
      <x:alignment vertical="center"/>
    </x:xf>
    <x:xf numFmtId="0" fontId="10" fillId="8" borderId="28" xfId="0" applyNumberFormat="1" applyFont="1" applyFill="1" applyBorder="1" applyAlignment="1">
      <x:alignment horizontal="center" vertical="center"/>
    </x:xf>
    <x:xf numFmtId="0" fontId="10" fillId="8" borderId="29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8" xfId="0" applyNumberFormat="1" applyFont="1" applyFill="1" applyBorder="1" applyAlignment="1">
      <x:alignment vertical="center"/>
    </x:xf>
    <x:xf numFmtId="0" fontId="11" fillId="9" borderId="29" xfId="0" applyNumberFormat="1" applyFont="1" applyFill="1" applyBorder="1" applyAlignment="1">
      <x:alignment vertical="center"/>
    </x:xf>
    <x:xf numFmtId="0" fontId="11" fillId="9" borderId="28" xfId="0" applyNumberFormat="1" applyFont="1" applyFill="1" applyBorder="1" applyAlignment="1">
      <x:alignment vertical="center" wrapText="1"/>
    </x:xf>
    <x:xf numFmtId="0" fontId="11" fillId="9" borderId="29" xfId="0" applyNumberFormat="1" applyFont="1" applyFill="1" applyBorder="1" applyAlignment="1">
      <x:alignment vertical="center" wrapText="1"/>
    </x:xf>
    <x:xf numFmtId="0" fontId="11" fillId="9" borderId="28" xfId="0" applyNumberFormat="1" applyFont="1" applyFill="1" applyBorder="1" applyAlignment="1">
      <x:alignment horizontal="center" vertical="center" wrapText="1"/>
    </x:xf>
    <x:xf numFmtId="0" fontId="11" fillId="9" borderId="29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8" xfId="0" applyNumberFormat="1" applyFont="1" applyFill="1" applyBorder="1" applyAlignment="1">
      <x:alignment vertical="center"/>
    </x:xf>
    <x:xf numFmtId="0" fontId="3" fillId="5" borderId="30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30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vertical="center"/>
    </x:xf>
    <x:xf numFmtId="0" fontId="10" fillId="8" borderId="30" xfId="0" applyNumberFormat="1" applyFont="1" applyFill="1" applyBorder="1" applyAlignment="1">
      <x:alignment vertical="center"/>
    </x:xf>
    <x:xf numFmtId="0" fontId="10" fillId="8" borderId="3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8" xfId="0" applyNumberFormat="1" applyFont="1" applyFill="1" applyBorder="1" applyAlignment="1">
      <x:alignment vertical="center"/>
    </x:xf>
    <x:xf numFmtId="0" fontId="6" fillId="9" borderId="30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30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0" fillId="8" borderId="3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9" fillId="5" borderId="28" xfId="0" applyNumberFormat="1" applyFont="1" applyFill="1" applyBorder="1" applyAlignment="1">
      <x:alignment vertical="center"/>
    </x:xf>
    <x:xf numFmtId="0" fontId="9" fillId="5" borderId="29" xfId="0" applyNumberFormat="1" applyFont="1" applyFill="1" applyBorder="1" applyAlignment="1">
      <x:alignment vertical="center"/>
    </x:xf>
    <x:xf numFmtId="0" fontId="9" fillId="5" borderId="28" xfId="0" applyNumberFormat="1" applyFont="1" applyFill="1" applyBorder="1" applyAlignment="1">
      <x:alignment horizontal="center" vertical="center"/>
    </x:xf>
    <x:xf numFmtId="0" fontId="9" fillId="5" borderId="29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16a5f830f493e" /><Relationship Type="http://schemas.openxmlformats.org/officeDocument/2006/relationships/theme" Target="/xl/theme/theme1.xml" Id="R411cd4bc01be489c" /><Relationship Type="http://schemas.openxmlformats.org/officeDocument/2006/relationships/sharedStrings" Target="/xl/sharedStrings.xml" Id="R43dcbe8d18a34204" /><Relationship Type="http://schemas.openxmlformats.org/officeDocument/2006/relationships/worksheet" Target="/xl/worksheets/sheet1.xml" Id="R56ac98b6ee304a16" /><Relationship Type="http://schemas.openxmlformats.org/officeDocument/2006/relationships/worksheet" Target="/xl/worksheets/sheet2.xml" Id="R9f7c7744d0794cb0" /><Relationship Type="http://schemas.openxmlformats.org/officeDocument/2006/relationships/worksheet" Target="/xl/worksheets/sheet3.xml" Id="Rbf9864ca9d134abd" /><Relationship Type="http://schemas.openxmlformats.org/officeDocument/2006/relationships/worksheet" Target="/xl/worksheets/sheet4.xml" Id="R64be4f13a7b24658" /><Relationship Type="http://schemas.openxmlformats.org/officeDocument/2006/relationships/worksheet" Target="/xl/worksheets/sheet5.xml" Id="Rfee60c5495db4e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TDAT-FM-CORE-002 · Base plus five forecast years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26" t="str">
        <x:v>Multi-Entity Consolidation &amp; FX</x:v>
      </x:c>
      <x:c r="B5" s="227"/>
      <x:c r="C5" s="227"/>
      <x:c r="D5" s="227"/>
      <x:c r="E5" s="227"/>
      <x:c r="F5" s="228"/>
      <x:c r="G5" s="60" t="str">
        <x:v>MODEL STATUS</x:v>
      </x:c>
      <x:c r="H5" s="60"/>
    </x:row>
    <x:row r="6" ht="20" customHeight="1">
      <x:c r="A6" s="229"/>
      <x:c r="B6" s="230"/>
      <x:c r="C6" s="230"/>
      <x:c r="D6" s="230"/>
      <x:c r="E6" s="230"/>
      <x:c r="F6" s="231"/>
      <x:c r="G6" s="239" t="str">
        <x:f>'Checks'!B4</x:f>
        <x:v>PASS</x:v>
      </x:c>
      <x:c r="H6" s="240"/>
    </x:row>
    <x:row r="7" ht="20" customHeight="1">
      <x:c r="A7" s="232"/>
      <x:c r="B7" s="233"/>
      <x:c r="C7" s="233"/>
      <x:c r="D7" s="233"/>
      <x:c r="E7" s="233"/>
      <x:c r="F7" s="234"/>
      <x:c r="G7" s="241"/>
      <x:c r="H7" s="242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1" t="str">
        <x:v>WHAT THIS MODEL IS FOR</x:v>
      </x:c>
      <x:c r="B9" s="61"/>
      <x:c r="C9" s="61"/>
      <x:c r="D9" s="61"/>
      <x:c r="E9" s="61"/>
      <x:c r="F9" s="61"/>
      <x:c r="G9" s="61"/>
      <x:c r="H9" s="61"/>
    </x:row>
    <x:row r="10" ht="20" customHeight="1">
      <x:c r="A10" s="176" t="str">
        <x:v>How do entity growth, intercompany eliminations, and FX translation shape consolidated performance?</x:v>
      </x:c>
      <x:c r="B10" s="177"/>
      <x:c r="C10" s="177"/>
      <x:c r="D10" s="177"/>
      <x:c r="E10" s="177"/>
      <x:c r="F10" s="177"/>
      <x:c r="G10" s="177"/>
      <x:c r="H10" s="178"/>
    </x:row>
    <x:row r="11" ht="20" customHeight="1">
      <x:c r="A11" s="179"/>
      <x:c r="B11" s="180"/>
      <x:c r="C11" s="180"/>
      <x:c r="D11" s="180"/>
      <x:c r="E11" s="180"/>
      <x:c r="F11" s="180"/>
      <x:c r="G11" s="180"/>
      <x:c r="H11" s="181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USE IT IN FOUR STEPS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245" t="str">
        <x:v>1 · INPUTS</x:v>
      </x:c>
      <x:c r="B14" s="246"/>
      <x:c r="C14" s="245" t="str">
        <x:v>2 · MODEL</x:v>
      </x:c>
      <x:c r="D14" s="246"/>
      <x:c r="E14" s="245" t="str">
        <x:v>3 · RESULTS</x:v>
      </x:c>
      <x:c r="F14" s="246"/>
      <x:c r="G14" s="245" t="str">
        <x:v>4 · CHECKS</x:v>
      </x:c>
      <x:c r="H14" s="246"/>
    </x:row>
    <x:row r="15" ht="20" customHeight="1">
      <x:c r="A15" s="247" t="str">
        <x:v>Edit only blue cells</x:v>
      </x:c>
      <x:c r="B15" s="248"/>
      <x:c r="C15" s="247" t="str">
        <x:v>Trace schedules and formulas</x:v>
      </x:c>
      <x:c r="D15" s="248"/>
      <x:c r="E15" s="247" t="str">
        <x:v>Read the linked decision view</x:v>
      </x:c>
      <x:c r="F15" s="248"/>
      <x:c r="G15" s="247" t="str">
        <x:v>Resolve every FAIL</x:v>
      </x:c>
      <x:c r="H15" s="248"/>
    </x:row>
    <x:row r="16" ht="20" customHeight="1">
      <x:c r="A16" s="249"/>
      <x:c r="B16" s="250"/>
      <x:c r="C16" s="249"/>
      <x:c r="D16" s="250"/>
      <x:c r="E16" s="249"/>
      <x:c r="F16" s="250"/>
      <x:c r="G16" s="249"/>
      <x:c r="H16" s="250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1" t="str">
        <x:v>DEPTH WITHOUT EXTRA TABS</x:v>
      </x:c>
      <x:c r="B18" s="61"/>
      <x:c r="C18" s="61"/>
      <x:c r="D18" s="61"/>
      <x:c r="E18" s="61"/>
      <x:c r="F18" s="61"/>
      <x:c r="G18" s="61"/>
      <x:c r="H18" s="61"/>
    </x:row>
    <x:row r="19" ht="20" customHeight="1">
      <x:c r="A19" s="156" t="str">
        <x:v>Forecast</x:v>
      </x:c>
      <x:c r="B19" s="156"/>
      <x:c r="C19" s="71" t="str">
        <x:v>Base plus five forecast years</x:v>
      </x:c>
      <x:c r="D19" s="71"/>
      <x:c r="E19" s="71"/>
      <x:c r="F19" s="71"/>
      <x:c r="G19" s="71"/>
      <x:c r="H19" s="71"/>
    </x:row>
    <x:row r="20" ht="20" customHeight="1">
      <x:c r="A20" s="156" t="str">
        <x:v>Editable inputs</x:v>
      </x:c>
      <x:c r="B20" s="156"/>
      <x:c r="C20" s="71" t="str">
        <x:v>10</x:v>
      </x:c>
      <x:c r="D20" s="71"/>
      <x:c r="E20" s="71"/>
      <x:c r="F20" s="71"/>
      <x:c r="G20" s="71"/>
      <x:c r="H20" s="71"/>
    </x:row>
    <x:row r="21" ht="20" customHeight="1">
      <x:c r="A21" s="156" t="str">
        <x:v>Visible sheets</x:v>
      </x:c>
      <x:c r="B21" s="156"/>
      <x:c r="C21" s="71" t="str">
        <x:v>5</x:v>
      </x:c>
      <x:c r="D21" s="71"/>
      <x:c r="E21" s="71"/>
      <x:c r="F21" s="71"/>
      <x:c r="G21" s="71"/>
      <x:c r="H21" s="71"/>
    </x:row>
    <x:row r="22" ht="20" customHeight="1">
      <x:c r="A22" s="156" t="str">
        <x:v>Setup</x:v>
      </x:c>
      <x:c r="B22" s="156"/>
      <x:c r="C22" s="71" t="str">
        <x:v>15–20 minutes</x:v>
      </x:c>
      <x:c r="D22" s="71"/>
      <x:c r="E22" s="71"/>
      <x:c r="F22" s="71"/>
      <x:c r="G22" s="71"/>
      <x:c r="H22" s="71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1" t="str">
        <x:v>FIT &amp; SCOPE</x:v>
      </x:c>
      <x:c r="B24" s="61"/>
      <x:c r="C24" s="61"/>
      <x:c r="D24" s="61"/>
      <x:c r="E24" s="61"/>
      <x:c r="F24" s="61"/>
      <x:c r="G24" s="61"/>
      <x:c r="H24" s="61"/>
    </x:row>
    <x:row r="25" ht="20" customHeight="1">
      <x:c r="A25" s="190" t="str">
        <x:v>Included: Parent and subsidiary operating schedules · Five-year FX translation ramp and intercompany eliminations · Reported-versus-constant-FX EBITDA bridge</x:v>
      </x:c>
      <x:c r="B25" s="191"/>
      <x:c r="C25" s="191"/>
      <x:c r="D25" s="191"/>
      <x:c r="E25" s="191"/>
      <x:c r="F25" s="191"/>
      <x:c r="G25" s="191"/>
      <x:c r="H25" s="192"/>
    </x:row>
    <x:row r="26" ht="20" customHeight="1">
      <x:c r="A26" s="196"/>
      <x:c r="B26" s="197"/>
      <x:c r="C26" s="197"/>
      <x:c r="D26" s="197"/>
      <x:c r="E26" s="197"/>
      <x:c r="F26" s="197"/>
      <x:c r="G26" s="197"/>
      <x:c r="H26" s="198"/>
    </x:row>
    <x:row r="27" ht="20" customHeight="1">
      <x:c r="A27" s="257" t="str">
        <x:v>Scope boundary: Statutory consolidation, historic-rate equity, NCI presentation, cash-flow consolidation, and tax consolidation.</x:v>
      </x:c>
      <x:c r="B27" s="258"/>
      <x:c r="C27" s="258"/>
      <x:c r="D27" s="258"/>
      <x:c r="E27" s="258"/>
      <x:c r="F27" s="258"/>
      <x:c r="G27" s="258"/>
      <x:c r="H27" s="259"/>
    </x:row>
    <x:row r="28" ht="20" customHeight="1">
      <x:c r="A28" s="260"/>
      <x:c r="B28" s="261"/>
      <x:c r="C28" s="261"/>
      <x:c r="D28" s="261"/>
      <x:c r="E28" s="261"/>
      <x:c r="F28" s="261"/>
      <x:c r="G28" s="261"/>
      <x:c r="H28" s="262"/>
    </x:row>
    <x:row r="29" ht="20" customHeight="1">
      <x:c r="A29" s="264" t="str">
        <x:v>Synthetic demonstration only · Tested 2026-08-17 · Excel 365 · Macro-free · No external links</x:v>
      </x:c>
      <x:c r="B29" s="264"/>
      <x:c r="C29" s="264"/>
      <x:c r="D29" s="264"/>
      <x:c r="E29" s="264"/>
      <x:c r="F29" s="264"/>
      <x:c r="G29" s="264"/>
      <x:c r="H29" s="264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Multi-Entity Consolidation &amp; FX · Start → Inputs → Model → Results → Checks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Multi-Entity Consolidation &amp; FX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Parent base revenue</x:v>
      </x:c>
      <x:c r="B10" s="39" t="n">
        <x:v>420</x:v>
      </x:c>
      <x:c r="C10" s="3" t="str">
        <x:v>LCY m</x:v>
      </x:c>
      <x:c r="D10" s="37" t="str">
        <x:v>Base revenue in reporting currency</x:v>
      </x:c>
      <x:c r="E10" s="38"/>
      <x:c r="F10" s="38"/>
      <x:c r="G10" s="38"/>
      <x:c r="H10" s="38"/>
    </x:row>
    <x:row r="11" ht="20" customHeight="1">
      <x:c r="A11" s="3" t="str">
        <x:v>Parent base operating cost</x:v>
      </x:c>
      <x:c r="B11" s="39" t="n">
        <x:v>330</x:v>
      </x:c>
      <x:c r="C11" s="3" t="str">
        <x:v>LCY m</x:v>
      </x:c>
      <x:c r="D11" s="37" t="str">
        <x:v>Base cash operating cost in reporting currency</x:v>
      </x:c>
      <x:c r="E11" s="38"/>
      <x:c r="F11" s="38"/>
      <x:c r="G11" s="38"/>
      <x:c r="H11" s="38"/>
    </x:row>
    <x:row r="12" ht="20" customHeight="1">
      <x:c r="A12" s="3" t="str">
        <x:v>Parent annual growth</x:v>
      </x:c>
      <x:c r="B12" s="42" t="n">
        <x:v>0.03</x:v>
      </x:c>
      <x:c r="C12" s="3" t="str">
        <x:v>%</x:v>
      </x:c>
      <x:c r="D12" s="37" t="str">
        <x:v>Applied to both parent revenue and cost</x:v>
      </x:c>
      <x:c r="E12" s="38"/>
      <x:c r="F12" s="38"/>
      <x:c r="G12" s="38"/>
      <x:c r="H12" s="38"/>
    </x:row>
    <x:row r="13" ht="20" customHeight="1">
      <x:c r="A13" s="3" t="str">
        <x:v>Subsidiary base revenue</x:v>
      </x:c>
      <x:c r="B13" s="39" t="n">
        <x:v>300</x:v>
      </x:c>
      <x:c r="C13" s="3" t="str">
        <x:v>local m</x:v>
      </x:c>
      <x:c r="D13" s="37" t="str">
        <x:v>Base subsidiary revenue in local currency</x:v>
      </x:c>
      <x:c r="E13" s="38"/>
      <x:c r="F13" s="38"/>
      <x:c r="G13" s="38"/>
      <x:c r="H13" s="38"/>
    </x:row>
    <x:row r="14" ht="20" customHeight="1">
      <x:c r="A14" s="3" t="str">
        <x:v>Subsidiary base operating cost</x:v>
      </x:c>
      <x:c r="B14" s="39" t="n">
        <x:v>210</x:v>
      </x:c>
      <x:c r="C14" s="3" t="str">
        <x:v>local m</x:v>
      </x:c>
      <x:c r="D14" s="37" t="str">
        <x:v>Base subsidiary cost in local currency</x:v>
      </x:c>
      <x:c r="E14" s="38"/>
      <x:c r="F14" s="38"/>
      <x:c r="G14" s="38"/>
      <x:c r="H14" s="38"/>
    </x:row>
    <x:row r="15" ht="20" customHeight="1">
      <x:c r="A15" s="3" t="str">
        <x:v>Subsidiary annual growth</x:v>
      </x:c>
      <x:c r="B15" s="42" t="n">
        <x:v>0.05</x:v>
      </x:c>
      <x:c r="C15" s="3" t="str">
        <x:v>%</x:v>
      </x:c>
      <x:c r="D15" s="37" t="str">
        <x:v>Applied to both subsidiary revenue and cost</x:v>
      </x:c>
      <x:c r="E15" s="38"/>
      <x:c r="F15" s="38"/>
      <x:c r="G15" s="38"/>
      <x:c r="H15" s="38"/>
    </x:row>
    <x:row r="16" ht="20" customHeight="1">
      <x:c r="A16" s="3" t="str">
        <x:v>Base FX translation rate</x:v>
      </x:c>
      <x:c r="B16" s="45" t="n">
        <x:v>0.25</x:v>
      </x:c>
      <x:c r="C16" s="3" t="str">
        <x:v>LCY / local</x:v>
      </x:c>
      <x:c r="D16" s="37" t="str">
        <x:v>Reporting-currency units per local-currency unit</x:v>
      </x:c>
      <x:c r="E16" s="38"/>
      <x:c r="F16" s="38"/>
      <x:c r="G16" s="38"/>
      <x:c r="H16" s="38"/>
    </x:row>
    <x:row r="17" ht="20" customHeight="1">
      <x:c r="A17" s="3" t="str">
        <x:v>Year-5 FX shock vs base</x:v>
      </x:c>
      <x:c r="B17" s="42" t="n">
        <x:v>-0.1</x:v>
      </x:c>
      <x:c r="C17" s="3" t="str">
        <x:v>%</x:v>
      </x:c>
      <x:c r="D17" s="37" t="str">
        <x:v>Straight-line change from the base rate to Year 5</x:v>
      </x:c>
      <x:c r="E17" s="38"/>
      <x:c r="F17" s="38"/>
      <x:c r="G17" s="38"/>
      <x:c r="H17" s="38"/>
    </x:row>
    <x:row r="18" ht="20" customHeight="1">
      <x:c r="A18" s="3" t="str">
        <x:v>Base intercompany sales</x:v>
      </x:c>
      <x:c r="B18" s="39" t="n">
        <x:v>20</x:v>
      </x:c>
      <x:c r="C18" s="3" t="str">
        <x:v>LCY m</x:v>
      </x:c>
      <x:c r="D18" s="37" t="str">
        <x:v>Equal revenue and cost eliminated on consolidation</x:v>
      </x:c>
      <x:c r="E18" s="38"/>
      <x:c r="F18" s="38"/>
      <x:c r="G18" s="38"/>
      <x:c r="H18" s="38"/>
    </x:row>
    <x:row r="19" ht="20" customHeight="1">
      <x:c r="A19" s="3" t="str">
        <x:v>Intercompany annual growth</x:v>
      </x:c>
      <x:c r="B19" s="42" t="n">
        <x:v>0.03</x:v>
      </x:c>
      <x:c r="C19" s="3" t="str">
        <x:v>%</x:v>
      </x:c>
      <x:c r="D19" s="37" t="str">
        <x:v>Applied to the elimination balance</x:v>
      </x:c>
      <x:c r="E19" s="38"/>
      <x:c r="F19" s="38"/>
      <x:c r="G19" s="38"/>
      <x:c r="H19" s="38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</x:row>
    <x:row r="21" ht="20" customHeight="1">
      <x:c r="A21" s="54" t="str">
        <x:v>Synthetic example. Replace only the blue values, trace the calculation on Model, then review Results and Checks.</x:v>
      </x:c>
      <x:c r="B21" s="55"/>
      <x:c r="C21" s="55"/>
      <x:c r="D21" s="55"/>
      <x:c r="E21" s="55"/>
      <x:c r="F21" s="55"/>
      <x:c r="G21" s="55"/>
      <x:c r="H21" s="56"/>
    </x:row>
    <x:row r="22" ht="20" customHeight="1">
      <x:c r="A22" s="57"/>
      <x:c r="B22" s="58"/>
      <x:c r="C22" s="58"/>
      <x:c r="D22" s="58"/>
      <x:c r="E22" s="58"/>
      <x:c r="F22" s="58"/>
      <x:c r="G22" s="58"/>
      <x:c r="H22" s="59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60" t="str">
        <x:v>Multi-Entity Consolidation &amp; FX · 10 editable assumptions · v1.4.0</x:v>
      </x:c>
      <x:c r="B26" s="60"/>
      <x:c r="C26" s="60"/>
      <x:c r="D26" s="60"/>
      <x:c r="E26" s="60"/>
      <x:c r="F26" s="60"/>
      <x:c r="G26" s="60"/>
      <x:c r="H26" s="60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A21:H22"/>
    <x:mergeCell ref="A26:H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0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Multi-Entity Consolidation &amp; FX · Entity, translation, and elimination bridge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96" t="str">
        <x:v>YEAR-5 GROUP REVENUE</x:v>
      </x:c>
      <x:c r="B5" s="97"/>
      <x:c r="C5" s="96" t="str">
        <x:v>YEAR-5 GROUP EBITDA</x:v>
      </x:c>
      <x:c r="D5" s="97"/>
      <x:c r="E5" s="96" t="str">
        <x:v>YEAR-5 EBITDA MARGIN</x:v>
      </x:c>
      <x:c r="F5" s="97"/>
      <x:c r="G5" s="96" t="str">
        <x:v>YEAR-5 FX IMPACT</x:v>
      </x:c>
      <x:c r="H5" s="97"/>
    </x:row>
    <x:row r="6" ht="20" customHeight="1">
      <x:c r="A6" s="111" t="n">
        <x:f>G23</x:f>
        <x:v>549.8586351887501</x:v>
      </x:c>
      <x:c r="B6" s="112"/>
      <x:c r="C6" s="111" t="n">
        <x:f>G25</x:f>
        <x:v>130.17936832762507</x:v>
      </x:c>
      <x:c r="D6" s="112"/>
      <x:c r="E6" s="123" t="n">
        <x:f>G26</x:f>
        <x:v>0.23675061187852103</x:v>
      </x:c>
      <x:c r="F6" s="124"/>
      <x:c r="G6" s="111" t="n">
        <x:f>G29</x:f>
        <x:v>-2.8716335156249784</x:v>
      </x:c>
      <x:c r="H6" s="112"/>
    </x:row>
    <x:row r="7" ht="20" customHeight="1">
      <x:c r="A7" s="113"/>
      <x:c r="B7" s="114"/>
      <x:c r="C7" s="113"/>
      <x:c r="D7" s="114"/>
      <x:c r="E7" s="125"/>
      <x:c r="F7" s="126"/>
      <x:c r="G7" s="113"/>
      <x:c r="H7" s="114"/>
    </x:row>
    <x:row r="8" ht="20" customHeight="1">
      <x:c r="A8" s="115"/>
      <x:c r="B8" s="116"/>
      <x:c r="C8" s="115"/>
      <x:c r="D8" s="116"/>
      <x:c r="E8" s="127"/>
      <x:c r="F8" s="128"/>
      <x:c r="G8" s="115"/>
      <x:c r="H8" s="116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FIVE-YEAR CONSOLIDATION &amp; FX SCHEDULE</x:v>
      </x:c>
      <x:c r="B10" s="61"/>
      <x:c r="C10" s="61"/>
      <x:c r="D10" s="61"/>
      <x:c r="E10" s="61"/>
      <x:c r="F10" s="61"/>
      <x:c r="G10" s="61"/>
      <x:c r="H10" s="61"/>
    </x:row>
    <x:row r="11" ht="20" customHeight="1">
      <x:c r="A11" s="6" t="str">
        <x:v>Metric</x:v>
      </x:c>
      <x:c r="B11" s="62" t="str">
        <x:v>BASE / ENTRY</x:v>
      </x:c>
      <x:c r="C11" s="62" t="str">
        <x:v>YEAR 1</x:v>
      </x:c>
      <x:c r="D11" s="62" t="str">
        <x:v>YEAR 2</x:v>
      </x:c>
      <x:c r="E11" s="62" t="str">
        <x:v>YEAR 3</x:v>
      </x:c>
      <x:c r="F11" s="62" t="str">
        <x:v>YEAR 4</x:v>
      </x:c>
      <x:c r="G11" s="62" t="str">
        <x:v>YEAR 5</x:v>
      </x:c>
      <x:c r="H11" s="6" t="str">
        <x:v>How to read it</x:v>
      </x:c>
    </x:row>
    <x:row r="12" ht="42" customHeight="1">
      <x:c r="A12" s="71" t="str">
        <x:v>Parent revenue</x:v>
      </x:c>
      <x:c r="B12" s="69" t="n">
        <x:f>'Inputs'!$B$10</x:f>
        <x:v>420</x:v>
      </x:c>
      <x:c r="C12" s="69" t="n">
        <x:f>B12*(1+'Inputs'!$B$12)</x:f>
        <x:v>432.6</x:v>
      </x:c>
      <x:c r="D12" s="69" t="n">
        <x:f>C12*(1+'Inputs'!$B$12)</x:f>
        <x:v>445.57800000000003</x:v>
      </x:c>
      <x:c r="E12" s="69" t="n">
        <x:f>D12*(1+'Inputs'!$B$12)</x:f>
        <x:v>458.94534000000004</x:v>
      </x:c>
      <x:c r="F12" s="69" t="n">
        <x:f>E12*(1+'Inputs'!$B$12)</x:f>
        <x:v>472.71370020000006</x:v>
      </x:c>
      <x:c r="G12" s="69" t="n">
        <x:f>F12*(1+'Inputs'!$B$12)</x:f>
        <x:v>486.8951112060001</x:v>
      </x:c>
      <x:c r="H12" s="72" t="str">
        <x:v>Reporting-currency revenue grows at the parent rate.</x:v>
      </x:c>
    </x:row>
    <x:row r="13" ht="28" customHeight="1">
      <x:c r="A13" s="29" t="str">
        <x:v>Parent operating cost</x:v>
      </x:c>
      <x:c r="B13" s="76" t="n">
        <x:f>'Inputs'!$B$11</x:f>
        <x:v>330</x:v>
      </x:c>
      <x:c r="C13" s="76" t="n">
        <x:f>B13*(1+'Inputs'!$B$12)</x:f>
        <x:v>339.90000000000003</x:v>
      </x:c>
      <x:c r="D13" s="76" t="n">
        <x:f>C13*(1+'Inputs'!$B$12)</x:f>
        <x:v>350.09700000000004</x:v>
      </x:c>
      <x:c r="E13" s="76" t="n">
        <x:f>D13*(1+'Inputs'!$B$12)</x:f>
        <x:v>360.59991</x:v>
      </x:c>
      <x:c r="F13" s="76" t="n">
        <x:f>E13*(1+'Inputs'!$B$12)</x:f>
        <x:v>371.4179073</x:v>
      </x:c>
      <x:c r="G13" s="76" t="n">
        <x:f>F13*(1+'Inputs'!$B$12)</x:f>
        <x:v>382.56044451900004</x:v>
      </x:c>
      <x:c r="H13" s="70" t="str">
        <x:v>Parent cost grows at the selected parent rate.</x:v>
      </x:c>
    </x:row>
    <x:row r="14" ht="28" customHeight="1">
      <x:c r="A14" s="71" t="str">
        <x:v>Parent EBITDA</x:v>
      </x:c>
      <x:c r="B14" s="69" t="n">
        <x:f>B12-B13</x:f>
        <x:v>90</x:v>
      </x:c>
      <x:c r="C14" s="69" t="n">
        <x:f>C12-C13</x:f>
        <x:v>92.69999999999999</x:v>
      </x:c>
      <x:c r="D14" s="69" t="n">
        <x:f>D12-D13</x:f>
        <x:v>95.481</x:v>
      </x:c>
      <x:c r="E14" s="69" t="n">
        <x:f>E12-E13</x:f>
        <x:v>98.34543000000002</x:v>
      </x:c>
      <x:c r="F14" s="69" t="n">
        <x:f>F12-F13</x:f>
        <x:v>101.29579290000004</x:v>
      </x:c>
      <x:c r="G14" s="69" t="n">
        <x:f>G12-G13</x:f>
        <x:v>104.33466668700004</x:v>
      </x:c>
      <x:c r="H14" s="72" t="str">
        <x:v>Parent revenue less parent operating cost.</x:v>
      </x:c>
    </x:row>
    <x:row r="15" ht="42" customHeight="1">
      <x:c r="A15" s="71" t="str">
        <x:v>Subsidiary revenue · local</x:v>
      </x:c>
      <x:c r="B15" s="69" t="n">
        <x:f>'Inputs'!$B$13</x:f>
        <x:v>300</x:v>
      </x:c>
      <x:c r="C15" s="69" t="n">
        <x:f>B15*(1+'Inputs'!$B$15)</x:f>
        <x:v>315</x:v>
      </x:c>
      <x:c r="D15" s="69" t="n">
        <x:f>C15*(1+'Inputs'!$B$15)</x:f>
        <x:v>330.75</x:v>
      </x:c>
      <x:c r="E15" s="69" t="n">
        <x:f>D15*(1+'Inputs'!$B$15)</x:f>
        <x:v>347.2875</x:v>
      </x:c>
      <x:c r="F15" s="69" t="n">
        <x:f>E15*(1+'Inputs'!$B$15)</x:f>
        <x:v>364.651875</x:v>
      </x:c>
      <x:c r="G15" s="69" t="n">
        <x:f>F15*(1+'Inputs'!$B$15)</x:f>
        <x:v>382.88446875000005</x:v>
      </x:c>
      <x:c r="H15" s="72" t="str">
        <x:v>Local-currency revenue grows at the subsidiary rate.</x:v>
      </x:c>
    </x:row>
    <x:row r="16" ht="42" customHeight="1">
      <x:c r="A16" s="29" t="str">
        <x:v>Subsidiary operating cost · local</x:v>
      </x:c>
      <x:c r="B16" s="76" t="n">
        <x:f>'Inputs'!$B$14</x:f>
        <x:v>210</x:v>
      </x:c>
      <x:c r="C16" s="76" t="n">
        <x:f>B16*(1+'Inputs'!$B$15)</x:f>
        <x:v>220.5</x:v>
      </x:c>
      <x:c r="D16" s="76" t="n">
        <x:f>C16*(1+'Inputs'!$B$15)</x:f>
        <x:v>231.525</x:v>
      </x:c>
      <x:c r="E16" s="76" t="n">
        <x:f>D16*(1+'Inputs'!$B$15)</x:f>
        <x:v>243.10125000000002</x:v>
      </x:c>
      <x:c r="F16" s="76" t="n">
        <x:f>E16*(1+'Inputs'!$B$15)</x:f>
        <x:v>255.25631250000004</x:v>
      </x:c>
      <x:c r="G16" s="76" t="n">
        <x:f>F16*(1+'Inputs'!$B$15)</x:f>
        <x:v>268.01912812500007</x:v>
      </x:c>
      <x:c r="H16" s="70" t="str">
        <x:v>Local-currency cost grows at the selected subsidiary rate.</x:v>
      </x:c>
    </x:row>
    <x:row r="17" ht="28" customHeight="1">
      <x:c r="A17" s="71" t="str">
        <x:v>Subsidiary EBITDA · local</x:v>
      </x:c>
      <x:c r="B17" s="69" t="n">
        <x:f>B15-B16</x:f>
        <x:v>90</x:v>
      </x:c>
      <x:c r="C17" s="69" t="n">
        <x:f>C15-C16</x:f>
        <x:v>94.5</x:v>
      </x:c>
      <x:c r="D17" s="69" t="n">
        <x:f>D15-D16</x:f>
        <x:v>99.225</x:v>
      </x:c>
      <x:c r="E17" s="69" t="n">
        <x:f>E15-E16</x:f>
        <x:v>104.18625</x:v>
      </x:c>
      <x:c r="F17" s="69" t="n">
        <x:f>F15-F16</x:f>
        <x:v>109.39556249999998</x:v>
      </x:c>
      <x:c r="G17" s="69" t="n">
        <x:f>G15-G16</x:f>
        <x:v>114.86534062499999</x:v>
      </x:c>
      <x:c r="H17" s="72" t="str">
        <x:v>Local revenue less local operating cost.</x:v>
      </x:c>
    </x:row>
    <x:row r="18" ht="42" customHeight="1">
      <x:c r="A18" s="11" t="str">
        <x:v>Effective FX rate</x:v>
      </x:c>
      <x:c r="B18" s="79" t="n">
        <x:f>'Inputs'!$B$16*(1+'Inputs'!$B$17*0/5)</x:f>
        <x:v>0.25</x:v>
      </x:c>
      <x:c r="C18" s="79" t="n">
        <x:f>'Inputs'!$B$16*(1+'Inputs'!$B$17*1/5)</x:f>
        <x:v>0.245</x:v>
      </x:c>
      <x:c r="D18" s="79" t="n">
        <x:f>'Inputs'!$B$16*(1+'Inputs'!$B$17*2/5)</x:f>
        <x:v>0.24</x:v>
      </x:c>
      <x:c r="E18" s="79" t="n">
        <x:f>'Inputs'!$B$16*(1+'Inputs'!$B$17*3/5)</x:f>
        <x:v>0.235</x:v>
      </x:c>
      <x:c r="F18" s="79" t="n">
        <x:f>'Inputs'!$B$16*(1+'Inputs'!$B$17*4/5)</x:f>
        <x:v>0.23</x:v>
      </x:c>
      <x:c r="G18" s="79" t="n">
        <x:f>'Inputs'!$B$16*(1+'Inputs'!$B$17*5/5)</x:f>
        <x:v>0.225</x:v>
      </x:c>
      <x:c r="H18" s="81" t="str">
        <x:v>Straight-line ramp from the base translation rate to the Year-5 shock.</x:v>
      </x:c>
    </x:row>
    <x:row r="19" ht="42" customHeight="1">
      <x:c r="A19" s="29" t="str">
        <x:v>Subsidiary revenue · translated</x:v>
      </x:c>
      <x:c r="B19" s="76" t="n">
        <x:f>B15*B18</x:f>
        <x:v>75</x:v>
      </x:c>
      <x:c r="C19" s="76" t="n">
        <x:f>C15*C18</x:f>
        <x:v>77.175</x:v>
      </x:c>
      <x:c r="D19" s="76" t="n">
        <x:f>D15*D18</x:f>
        <x:v>79.38</x:v>
      </x:c>
      <x:c r="E19" s="76" t="n">
        <x:f>E15*E18</x:f>
        <x:v>81.6125625</x:v>
      </x:c>
      <x:c r="F19" s="76" t="n">
        <x:f>F15*F18</x:f>
        <x:v>83.86993125000001</x:v>
      </x:c>
      <x:c r="G19" s="76" t="n">
        <x:f>G15*G18</x:f>
        <x:v>86.14900546875002</x:v>
      </x:c>
      <x:c r="H19" s="70" t="str">
        <x:v>Local revenue multiplied by the effective FX rate.</x:v>
      </x:c>
    </x:row>
    <x:row r="20" ht="42" customHeight="1">
      <x:c r="A20" s="29" t="str">
        <x:v>Subsidiary operating cost · translated</x:v>
      </x:c>
      <x:c r="B20" s="76" t="n">
        <x:f>B16*B18</x:f>
        <x:v>52.5</x:v>
      </x:c>
      <x:c r="C20" s="76" t="n">
        <x:f>C16*C18</x:f>
        <x:v>54.0225</x:v>
      </x:c>
      <x:c r="D20" s="76" t="n">
        <x:f>D16*D18</x:f>
        <x:v>55.566</x:v>
      </x:c>
      <x:c r="E20" s="76" t="n">
        <x:f>E16*E18</x:f>
        <x:v>57.12879375</x:v>
      </x:c>
      <x:c r="F20" s="76" t="n">
        <x:f>F16*F18</x:f>
        <x:v>58.70895187500001</x:v>
      </x:c>
      <x:c r="G20" s="76" t="n">
        <x:f>G16*G18</x:f>
        <x:v>60.304303828125015</x:v>
      </x:c>
      <x:c r="H20" s="70" t="str">
        <x:v>Local operating cost multiplied by the effective FX rate.</x:v>
      </x:c>
    </x:row>
    <x:row r="21" ht="42" customHeight="1">
      <x:c r="A21" s="71" t="str">
        <x:v>Subsidiary EBITDA · translated</x:v>
      </x:c>
      <x:c r="B21" s="69" t="n">
        <x:f>B19-B20</x:f>
        <x:v>22.5</x:v>
      </x:c>
      <x:c r="C21" s="69" t="n">
        <x:f>C19-C20</x:f>
        <x:v>23.152499999999996</x:v>
      </x:c>
      <x:c r="D21" s="69" t="n">
        <x:f>D19-D20</x:f>
        <x:v>23.813999999999993</x:v>
      </x:c>
      <x:c r="E21" s="69" t="n">
        <x:f>E19-E20</x:f>
        <x:v>24.483768749999996</x:v>
      </x:c>
      <x:c r="F21" s="69" t="n">
        <x:f>F19-F20</x:f>
        <x:v>25.160979374999997</x:v>
      </x:c>
      <x:c r="G21" s="69" t="n">
        <x:f>G19-G20</x:f>
        <x:v>25.844701640625004</x:v>
      </x:c>
      <x:c r="H21" s="72" t="str">
        <x:v>Translated revenue less translated operating cost.</x:v>
      </x:c>
    </x:row>
    <x:row r="22" ht="42" customHeight="1">
      <x:c r="A22" s="29" t="str">
        <x:v>Intercompany elimination</x:v>
      </x:c>
      <x:c r="B22" s="76" t="n">
        <x:f>'Inputs'!$B$18</x:f>
        <x:v>20</x:v>
      </x:c>
      <x:c r="C22" s="76" t="n">
        <x:f>B22*(1+'Inputs'!$B$19)</x:f>
        <x:v>20.6</x:v>
      </x:c>
      <x:c r="D22" s="76" t="n">
        <x:f>C22*(1+'Inputs'!$B$19)</x:f>
        <x:v>21.218000000000004</x:v>
      </x:c>
      <x:c r="E22" s="76" t="n">
        <x:f>D22*(1+'Inputs'!$B$19)</x:f>
        <x:v>21.854540000000004</x:v>
      </x:c>
      <x:c r="F22" s="76" t="n">
        <x:f>E22*(1+'Inputs'!$B$19)</x:f>
        <x:v>22.510176200000004</x:v>
      </x:c>
      <x:c r="G22" s="76" t="n">
        <x:f>F22*(1+'Inputs'!$B$19)</x:f>
        <x:v>23.185481486000004</x:v>
      </x:c>
      <x:c r="H22" s="70" t="str">
        <x:v>Equal reduction to revenue and operating cost; EBITDA-neutral.</x:v>
      </x:c>
    </x:row>
    <x:row r="23" ht="42" customHeight="1">
      <x:c r="A23" s="71" t="str">
        <x:v>Consolidated revenue</x:v>
      </x:c>
      <x:c r="B23" s="69" t="n">
        <x:f>B12+B19-B22</x:f>
        <x:v>475</x:v>
      </x:c>
      <x:c r="C23" s="69" t="n">
        <x:f>C12+C19-C22</x:f>
        <x:v>489.175</x:v>
      </x:c>
      <x:c r="D23" s="69" t="n">
        <x:f>D12+D19-D22</x:f>
        <x:v>503.74000000000007</x:v>
      </x:c>
      <x:c r="E23" s="69" t="n">
        <x:f>E12+E19-E22</x:f>
        <x:v>518.7033625</x:v>
      </x:c>
      <x:c r="F23" s="69" t="n">
        <x:f>F12+F19-F22</x:f>
        <x:v>534.07345525</x:v>
      </x:c>
      <x:c r="G23" s="69" t="n">
        <x:f>G12+G19-G22</x:f>
        <x:v>549.8586351887501</x:v>
      </x:c>
      <x:c r="H23" s="72" t="str">
        <x:v>Parent plus translated subsidiary revenue, less intercompany sales.</x:v>
      </x:c>
    </x:row>
    <x:row r="24" ht="42" customHeight="1">
      <x:c r="A24" s="29" t="str">
        <x:v>Consolidated operating cost</x:v>
      </x:c>
      <x:c r="B24" s="76" t="n">
        <x:f>B13+B20-B22</x:f>
        <x:v>362.5</x:v>
      </x:c>
      <x:c r="C24" s="76" t="n">
        <x:f>C13+C20-C22</x:f>
        <x:v>373.3225</x:v>
      </x:c>
      <x:c r="D24" s="76" t="n">
        <x:f>D13+D20-D22</x:f>
        <x:v>384.445</x:v>
      </x:c>
      <x:c r="E24" s="76" t="n">
        <x:f>E13+E20-E22</x:f>
        <x:v>395.87416375000004</x:v>
      </x:c>
      <x:c r="F24" s="76" t="n">
        <x:f>F13+F20-F22</x:f>
        <x:v>407.61668297500006</x:v>
      </x:c>
      <x:c r="G24" s="76" t="n">
        <x:f>G13+G20-G22</x:f>
        <x:v>419.67926686112503</x:v>
      </x:c>
      <x:c r="H24" s="70" t="str">
        <x:v>Parent plus translated subsidiary cost, less matching intercompany cost.</x:v>
      </x:c>
    </x:row>
    <x:row r="25" ht="42" customHeight="1">
      <x:c r="A25" s="85" t="str">
        <x:v>Consolidated EBITDA</x:v>
      </x:c>
      <x:c r="B25" s="83" t="n">
        <x:f>B23-B24</x:f>
        <x:v>112.5</x:v>
      </x:c>
      <x:c r="C25" s="83" t="n">
        <x:f>C23-C24</x:f>
        <x:v>115.85250000000002</x:v>
      </x:c>
      <x:c r="D25" s="83" t="n">
        <x:f>D23-D24</x:f>
        <x:v>119.29500000000007</x:v>
      </x:c>
      <x:c r="E25" s="83" t="n">
        <x:f>E23-E24</x:f>
        <x:v>122.82919874999999</x:v>
      </x:c>
      <x:c r="F25" s="83" t="n">
        <x:f>F23-F24</x:f>
        <x:v>126.45677227499999</x:v>
      </x:c>
      <x:c r="G25" s="83" t="n">
        <x:f>G23-G24</x:f>
        <x:v>130.17936832762507</x:v>
      </x:c>
      <x:c r="H25" s="86" t="str">
        <x:v>Consolidated revenue less consolidated operating cost.</x:v>
      </x:c>
    </x:row>
    <x:row r="26" ht="42" customHeight="1">
      <x:c r="A26" s="71" t="str">
        <x:v>Consolidated EBITDA margin</x:v>
      </x:c>
      <x:c r="B26" s="89" t="n">
        <x:f>IF(B23&lt;=0,0,B25/B23)</x:f>
        <x:v>0.23684210526315788</x:v>
      </x:c>
      <x:c r="C26" s="89" t="n">
        <x:f>IF(C23&lt;=0,0,C25/C23)</x:f>
        <x:v>0.2368324219348904</x:v>
      </x:c>
      <x:c r="D26" s="89" t="n">
        <x:f>IF(D23&lt;=0,0,D25/D23)</x:f>
        <x:v>0.23681859689522383</x:v>
      </x:c>
      <x:c r="E26" s="89" t="n">
        <x:f>IF(E23&lt;=0,0,E25/E23)</x:f>
        <x:v>0.23680046753118933</x:v>
      </x:c>
      <x:c r="F26" s="89" t="n">
        <x:f>IF(F23&lt;=0,0,F25/F23)</x:f>
        <x:v>0.23677786460254893</x:v>
      </x:c>
      <x:c r="G26" s="89" t="n">
        <x:f>IF(G23&lt;=0,0,G25/G23)</x:f>
        <x:v>0.23675061187852103</x:v>
      </x:c>
      <x:c r="H26" s="72" t="str">
        <x:v>Consolidated EBITDA divided by consolidated revenue.</x:v>
      </x:c>
    </x:row>
    <x:row r="27" ht="28" customHeight="1">
      <x:c r="A27" s="29" t="str">
        <x:v>Subsidiary EBITDA · constant FX</x:v>
      </x:c>
      <x:c r="B27" s="76" t="n">
        <x:f>B17*'Inputs'!$B$16</x:f>
        <x:v>22.5</x:v>
      </x:c>
      <x:c r="C27" s="76" t="n">
        <x:f>C17*'Inputs'!$B$16</x:f>
        <x:v>23.625</x:v>
      </x:c>
      <x:c r="D27" s="76" t="n">
        <x:f>D17*'Inputs'!$B$16</x:f>
        <x:v>24.80625</x:v>
      </x:c>
      <x:c r="E27" s="76" t="n">
        <x:f>E17*'Inputs'!$B$16</x:f>
        <x:v>26.0465625</x:v>
      </x:c>
      <x:c r="F27" s="76" t="n">
        <x:f>F17*'Inputs'!$B$16</x:f>
        <x:v>27.348890624999996</x:v>
      </x:c>
      <x:c r="G27" s="76" t="n">
        <x:f>G17*'Inputs'!$B$16</x:f>
        <x:v>28.716335156249997</x:v>
      </x:c>
      <x:c r="H27" s="70" t="str">
        <x:v>Local EBITDA translated at the base rate.</x:v>
      </x:c>
    </x:row>
    <x:row r="28" ht="28" customHeight="1">
      <x:c r="A28" s="71" t="str">
        <x:v>Group EBITDA · constant FX</x:v>
      </x:c>
      <x:c r="B28" s="69" t="n">
        <x:f>B14+B27</x:f>
        <x:v>112.5</x:v>
      </x:c>
      <x:c r="C28" s="69" t="n">
        <x:f>C14+C27</x:f>
        <x:v>116.32499999999999</x:v>
      </x:c>
      <x:c r="D28" s="69" t="n">
        <x:f>D14+D27</x:f>
        <x:v>120.28725</x:v>
      </x:c>
      <x:c r="E28" s="69" t="n">
        <x:f>E14+E27</x:f>
        <x:v>124.39199250000001</x:v>
      </x:c>
      <x:c r="F28" s="69" t="n">
        <x:f>F14+F27</x:f>
        <x:v>128.64468352500003</x:v>
      </x:c>
      <x:c r="G28" s="69" t="n">
        <x:f>G14+G27</x:f>
        <x:v>133.05100184325005</x:v>
      </x:c>
      <x:c r="H28" s="72" t="str">
        <x:v>Parent EBITDA plus subsidiary EBITDA at base FX.</x:v>
      </x:c>
    </x:row>
    <x:row r="29" ht="42" customHeight="1">
      <x:c r="A29" s="11" t="str">
        <x:v>FX impact on EBITDA</x:v>
      </x:c>
      <x:c r="B29" s="90" t="n">
        <x:f>B25-B28</x:f>
        <x:v>0</x:v>
      </x:c>
      <x:c r="C29" s="90" t="n">
        <x:f>C25-C28</x:f>
        <x:v>-0.47249999999996817</x:v>
      </x:c>
      <x:c r="D29" s="90" t="n">
        <x:f>D25-D28</x:f>
        <x:v>-0.9922499999999275</x:v>
      </x:c>
      <x:c r="E29" s="90" t="n">
        <x:f>E25-E28</x:f>
        <x:v>-1.5627937500000257</x:v>
      </x:c>
      <x:c r="F29" s="90" t="n">
        <x:f>F25-F28</x:f>
        <x:v>-2.1879112500000417</x:v>
      </x:c>
      <x:c r="G29" s="90" t="n">
        <x:f>G25-G28</x:f>
        <x:v>-2.8716335156249784</x:v>
      </x:c>
      <x:c r="H29" s="81" t="str">
        <x:v>Reported consolidated EBITDA less constant-FX EBITDA.</x:v>
      </x:c>
    </x:row>
    <x:row r="30" ht="42" customHeight="1">
      <x:c r="A30" s="29" t="str">
        <x:v>FX ramp check</x:v>
      </x:c>
      <x:c r="B30" s="93" t="n">
        <x:f>ROUND(B18-'Inputs'!$B$16*(1+'Inputs'!$B$17*0/5),6)</x:f>
        <x:v>0</x:v>
      </x:c>
      <x:c r="C30" s="93" t="n">
        <x:f>ROUND(C18-'Inputs'!$B$16*(1+'Inputs'!$B$17*1/5),6)</x:f>
        <x:v>0</x:v>
      </x:c>
      <x:c r="D30" s="93" t="n">
        <x:f>ROUND(D18-'Inputs'!$B$16*(1+'Inputs'!$B$17*2/5),6)</x:f>
        <x:v>0</x:v>
      </x:c>
      <x:c r="E30" s="93" t="n">
        <x:f>ROUND(E18-'Inputs'!$B$16*(1+'Inputs'!$B$17*3/5),6)</x:f>
        <x:v>0</x:v>
      </x:c>
      <x:c r="F30" s="93" t="n">
        <x:f>ROUND(F18-'Inputs'!$B$16*(1+'Inputs'!$B$17*4/5),6)</x:f>
        <x:v>0</x:v>
      </x:c>
      <x:c r="G30" s="93" t="n">
        <x:f>ROUND(G18-'Inputs'!$B$16*(1+'Inputs'!$B$17*5/5),6)</x:f>
        <x:v>0</x:v>
      </x:c>
      <x:c r="H30" s="70" t="str">
        <x:v>Must equal zero against the visible straight-line ramp.</x:v>
      </x:c>
    </x:row>
    <x:row r="31" ht="22" customHeight="1">
      <x:c r="A31" s="29" t="str">
        <x:v>Parent EBITDA check</x:v>
      </x:c>
      <x:c r="B31" s="76" t="n">
        <x:f>ROUND(B14-B12+B13,6)</x:f>
        <x:v>0</x:v>
      </x:c>
      <x:c r="C31" s="76" t="n">
        <x:f>ROUND(C14-C12+C13,6)</x:f>
        <x:v>0</x:v>
      </x:c>
      <x:c r="D31" s="76" t="n">
        <x:f>ROUND(D14-D12+D13,6)</x:f>
        <x:v>0</x:v>
      </x:c>
      <x:c r="E31" s="76" t="n">
        <x:f>ROUND(E14-E12+E13,6)</x:f>
        <x:v>0</x:v>
      </x:c>
      <x:c r="F31" s="76" t="n">
        <x:f>ROUND(F14-F12+F13,6)</x:f>
        <x:v>0</x:v>
      </x:c>
      <x:c r="G31" s="76" t="n">
        <x:f>ROUND(G14-G12+G13,6)</x:f>
        <x:v>0</x:v>
      </x:c>
      <x:c r="H31" s="70" t="str">
        <x:v>Must equal zero.</x:v>
      </x:c>
    </x:row>
    <x:row r="32" ht="22" customHeight="1">
      <x:c r="A32" s="29" t="str">
        <x:v>Subsidiary local EBITDA check</x:v>
      </x:c>
      <x:c r="B32" s="76" t="n">
        <x:f>ROUND(B17-B15+B16,6)</x:f>
        <x:v>0</x:v>
      </x:c>
      <x:c r="C32" s="76" t="n">
        <x:f>ROUND(C17-C15+C16,6)</x:f>
        <x:v>0</x:v>
      </x:c>
      <x:c r="D32" s="76" t="n">
        <x:f>ROUND(D17-D15+D16,6)</x:f>
        <x:v>0</x:v>
      </x:c>
      <x:c r="E32" s="76" t="n">
        <x:f>ROUND(E17-E15+E16,6)</x:f>
        <x:v>0</x:v>
      </x:c>
      <x:c r="F32" s="76" t="n">
        <x:f>ROUND(F17-F15+F16,6)</x:f>
        <x:v>0</x:v>
      </x:c>
      <x:c r="G32" s="76" t="n">
        <x:f>ROUND(G17-G15+G16,6)</x:f>
        <x:v>0</x:v>
      </x:c>
      <x:c r="H32" s="70" t="str">
        <x:v>Must equal zero.</x:v>
      </x:c>
    </x:row>
    <x:row r="33" ht="42" customHeight="1">
      <x:c r="A33" s="29" t="str">
        <x:v>Translation bridge check</x:v>
      </x:c>
      <x:c r="B33" s="76" t="n">
        <x:f>ROUND(ABS(B19-B15*B18)+ABS(B20-B16*B18)+ABS(B21-B17*B18),6)</x:f>
        <x:v>0</x:v>
      </x:c>
      <x:c r="C33" s="76" t="n">
        <x:f>ROUND(ABS(C19-C15*C18)+ABS(C20-C16*C18)+ABS(C21-C17*C18),6)</x:f>
        <x:v>0</x:v>
      </x:c>
      <x:c r="D33" s="76" t="n">
        <x:f>ROUND(ABS(D19-D15*D18)+ABS(D20-D16*D18)+ABS(D21-D17*D18),6)</x:f>
        <x:v>0</x:v>
      </x:c>
      <x:c r="E33" s="76" t="n">
        <x:f>ROUND(ABS(E19-E15*E18)+ABS(E20-E16*E18)+ABS(E21-E17*E18),6)</x:f>
        <x:v>0</x:v>
      </x:c>
      <x:c r="F33" s="76" t="n">
        <x:f>ROUND(ABS(F19-F15*F18)+ABS(F20-F16*F18)+ABS(F21-F17*F18),6)</x:f>
        <x:v>0</x:v>
      </x:c>
      <x:c r="G33" s="76" t="n">
        <x:f>ROUND(ABS(G19-G15*G18)+ABS(G20-G16*G18)+ABS(G21-G17*G18),6)</x:f>
        <x:v>0</x:v>
      </x:c>
      <x:c r="H33" s="70" t="str">
        <x:v>Combined control over translated revenue, cost, and EBITDA.</x:v>
      </x:c>
    </x:row>
    <x:row r="34" ht="42" customHeight="1">
      <x:c r="A34" s="29" t="str">
        <x:v>Consolidation / elimination check</x:v>
      </x:c>
      <x:c r="B34" s="76" t="n">
        <x:f>ROUND(ABS(B23-B12-B19+B22)+ABS(B24-B13-B20+B22)+ABS(B25-B14-B21),6)</x:f>
        <x:v>0</x:v>
      </x:c>
      <x:c r="C34" s="76" t="n">
        <x:f>ROUND(ABS(C23-C12-C19+C22)+ABS(C24-C13-C20+C22)+ABS(C25-C14-C21),6)</x:f>
        <x:v>0</x:v>
      </x:c>
      <x:c r="D34" s="76" t="n">
        <x:f>ROUND(ABS(D23-D12-D19+D22)+ABS(D24-D13-D20+D22)+ABS(D25-D14-D21),6)</x:f>
        <x:v>0</x:v>
      </x:c>
      <x:c r="E34" s="76" t="n">
        <x:f>ROUND(ABS(E23-E12-E19+E22)+ABS(E24-E13-E20+E22)+ABS(E25-E14-E21),6)</x:f>
        <x:v>0</x:v>
      </x:c>
      <x:c r="F34" s="76" t="n">
        <x:f>ROUND(ABS(F23-F12-F19+F22)+ABS(F24-F13-F20+F22)+ABS(F25-F14-F21),6)</x:f>
        <x:v>0</x:v>
      </x:c>
      <x:c r="G34" s="76" t="n">
        <x:f>ROUND(ABS(G23-G12-G19+G22)+ABS(G24-G13-G20+G22)+ABS(G25-G14-G21),6)</x:f>
        <x:v>0</x:v>
      </x:c>
      <x:c r="H34" s="70" t="str">
        <x:v>Revenue, cost, and EBITDA must all tie after elimination.</x:v>
      </x:c>
    </x:row>
    <x:row r="35" ht="42" customHeight="1">
      <x:c r="A35" s="29" t="str">
        <x:v>FX impact bridge check</x:v>
      </x:c>
      <x:c r="B35" s="76" t="n">
        <x:f>ROUND(B29-B25+B28,6)</x:f>
        <x:v>0</x:v>
      </x:c>
      <x:c r="C35" s="76" t="n">
        <x:f>ROUND(C29-C25+C28,6)</x:f>
        <x:v>0</x:v>
      </x:c>
      <x:c r="D35" s="76" t="n">
        <x:f>ROUND(D29-D25+D28,6)</x:f>
        <x:v>0</x:v>
      </x:c>
      <x:c r="E35" s="76" t="n">
        <x:f>ROUND(E29-E25+E28,6)</x:f>
        <x:v>0</x:v>
      </x:c>
      <x:c r="F35" s="76" t="n">
        <x:f>ROUND(F29-F25+F28,6)</x:f>
        <x:v>0</x:v>
      </x:c>
      <x:c r="G35" s="76" t="n">
        <x:f>ROUND(G29-G25+G28,6)</x:f>
        <x:v>0</x:v>
      </x:c>
      <x:c r="H35" s="70" t="str">
        <x:v>Must equal zero against reported and constant-FX EBITDA.</x:v>
      </x:c>
    </x:row>
    <x:row r="36" ht="42" customHeight="1">
      <x:c r="A36" s="29" t="str">
        <x:v>Consolidated margin check</x:v>
      </x:c>
      <x:c r="B36" s="93" t="n">
        <x:f>ROUND(B26-IF(B23&lt;=0,0,B25/B23),6)</x:f>
        <x:v>0</x:v>
      </x:c>
      <x:c r="C36" s="93" t="n">
        <x:f>ROUND(C26-IF(C23&lt;=0,0,C25/C23),6)</x:f>
        <x:v>0</x:v>
      </x:c>
      <x:c r="D36" s="93" t="n">
        <x:f>ROUND(D26-IF(D23&lt;=0,0,D25/D23),6)</x:f>
        <x:v>0</x:v>
      </x:c>
      <x:c r="E36" s="93" t="n">
        <x:f>ROUND(E26-IF(E23&lt;=0,0,E25/E23),6)</x:f>
        <x:v>0</x:v>
      </x:c>
      <x:c r="F36" s="93" t="n">
        <x:f>ROUND(F26-IF(F23&lt;=0,0,F25/F23),6)</x:f>
        <x:v>0</x:v>
      </x:c>
      <x:c r="G36" s="93" t="n">
        <x:f>ROUND(G26-IF(G23&lt;=0,0,G25/G23),6)</x:f>
        <x:v>0</x:v>
      </x:c>
      <x:c r="H36" s="70" t="str">
        <x:v>Must equal zero against EBITDA divided by revenue.</x:v>
      </x:c>
    </x:row>
    <x:row r="37" ht="20" customHeight="1">
      <x:c r="A37" s="3"/>
      <x:c r="B37" s="3"/>
      <x:c r="C37" s="3"/>
      <x:c r="D37" s="3"/>
      <x:c r="E37" s="3"/>
      <x:c r="F37" s="3"/>
      <x:c r="G37" s="3"/>
      <x:c r="H37" s="3"/>
    </x:row>
    <x:row r="38" ht="20" customHeight="1">
      <x:c r="A38" s="147" t="str">
        <x:f>IF(G29&lt;0,"YEAR-5 FX HEADWIND OF "&amp;TEXT(ABS(G29),"#,##0.0"),"YEAR-5 FX TAILWIND OF "&amp;TEXT(G29,"#,##0.0"))&amp;" · intercompany sales are fully eliminated"</x:f>
        <x:v>YEAR-5 FX HEADWIND OF 2.9 · intercompany sales are fully eliminated</x:v>
      </x:c>
      <x:c r="B38" s="148"/>
      <x:c r="C38" s="148"/>
      <x:c r="D38" s="148"/>
      <x:c r="E38" s="148"/>
      <x:c r="F38" s="148"/>
      <x:c r="G38" s="148"/>
      <x:c r="H38" s="149"/>
    </x:row>
    <x:row r="39" ht="20" customHeight="1">
      <x:c r="A39" s="150"/>
      <x:c r="B39" s="151"/>
      <x:c r="C39" s="151"/>
      <x:c r="D39" s="151"/>
      <x:c r="E39" s="151"/>
      <x:c r="F39" s="151"/>
      <x:c r="G39" s="151"/>
      <x:c r="H39" s="152"/>
    </x:row>
    <x:row r="40" ht="20" customHeight="1">
      <x:c r="A40" s="153"/>
      <x:c r="B40" s="154"/>
      <x:c r="C40" s="154"/>
      <x:c r="D40" s="154"/>
      <x:c r="E40" s="154"/>
      <x:c r="F40" s="154"/>
      <x:c r="G40" s="154"/>
      <x:c r="H40" s="155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</x:row>
    <x:row r="45" ht="20" customHeight="1">
      <x:c r="A45" s="60" t="str">
        <x:v>Multi-Entity Consolidation &amp; FX · Option C standard · Base + five years</x:v>
      </x:c>
      <x:c r="B45" s="60"/>
      <x:c r="C45" s="60"/>
      <x:c r="D45" s="60"/>
      <x:c r="E45" s="60"/>
      <x:c r="F45" s="60"/>
      <x:c r="G45" s="60"/>
      <x:c r="H45" s="60"/>
    </x:row>
  </x:sheetData>
  <x:mergeCells>
    <x:mergeCell ref="A1:H2"/>
    <x:mergeCell ref="A3:H3"/>
    <x:mergeCell ref="A10:H10"/>
    <x:mergeCell ref="A5:B5"/>
    <x:mergeCell ref="A6:B8"/>
    <x:mergeCell ref="C5:D5"/>
    <x:mergeCell ref="C6:D8"/>
    <x:mergeCell ref="E5:F5"/>
    <x:mergeCell ref="E6:F8"/>
    <x:mergeCell ref="G5:H5"/>
    <x:mergeCell ref="G6:H8"/>
    <x:mergeCell ref="A38:H40"/>
    <x:mergeCell ref="A45:H4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Multi-Entity Consolidation &amp; FX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96" t="str">
        <x:v>YEAR-5 GROUP REVENUE</x:v>
      </x:c>
      <x:c r="B5" s="97"/>
      <x:c r="C5" s="96" t="str">
        <x:v>YEAR-5 GROUP EBITDA</x:v>
      </x:c>
      <x:c r="D5" s="97"/>
      <x:c r="E5" s="96" t="str">
        <x:v>YEAR-5 EBITDA MARGIN</x:v>
      </x:c>
      <x:c r="F5" s="97"/>
      <x:c r="G5" s="96" t="str">
        <x:v>YEAR-5 FX IMPACT</x:v>
      </x:c>
      <x:c r="H5" s="97"/>
    </x:row>
    <x:row r="6" ht="20" customHeight="1">
      <x:c r="A6" s="111" t="n">
        <x:f>'Model'!A6</x:f>
        <x:v>549.8586351887501</x:v>
      </x:c>
      <x:c r="B6" s="112"/>
      <x:c r="C6" s="111" t="n">
        <x:f>'Model'!C6</x:f>
        <x:v>130.17936832762507</x:v>
      </x:c>
      <x:c r="D6" s="112"/>
      <x:c r="E6" s="123" t="n">
        <x:f>'Model'!E6</x:f>
        <x:v>0.23675061187852103</x:v>
      </x:c>
      <x:c r="F6" s="124"/>
      <x:c r="G6" s="111" t="n">
        <x:f>'Model'!G6</x:f>
        <x:v>-2.8716335156249784</x:v>
      </x:c>
      <x:c r="H6" s="112"/>
    </x:row>
    <x:row r="7" ht="20" customHeight="1">
      <x:c r="A7" s="113"/>
      <x:c r="B7" s="114"/>
      <x:c r="C7" s="113"/>
      <x:c r="D7" s="114"/>
      <x:c r="E7" s="125"/>
      <x:c r="F7" s="126"/>
      <x:c r="G7" s="113"/>
      <x:c r="H7" s="114"/>
    </x:row>
    <x:row r="8" ht="20" customHeight="1">
      <x:c r="A8" s="115"/>
      <x:c r="B8" s="116"/>
      <x:c r="C8" s="115"/>
      <x:c r="D8" s="116"/>
      <x:c r="E8" s="127"/>
      <x:c r="F8" s="128"/>
      <x:c r="G8" s="115"/>
      <x:c r="H8" s="116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DECISION VIEW</x:v>
      </x:c>
      <x:c r="B10" s="61"/>
      <x:c r="C10" s="61"/>
      <x:c r="D10" s="61"/>
      <x:c r="E10" s="61"/>
      <x:c r="F10" s="61"/>
      <x:c r="G10" s="61"/>
      <x:c r="H10" s="61"/>
    </x:row>
    <x:row r="11" ht="34" customHeight="1">
      <x:c r="A11" s="157" t="str">
        <x:v>CALCULATION STATUS</x:v>
      </x:c>
      <x:c r="B11" s="157"/>
      <x:c r="C11" s="161" t="str">
        <x:f>'Checks'!B4</x:f>
        <x:v>PASS</x:v>
      </x:c>
      <x:c r="D11" s="162"/>
      <x:c r="E11" s="157" t="str">
        <x:v>FX OUTCOME</x:v>
      </x:c>
      <x:c r="F11" s="157"/>
      <x:c r="G11" s="168" t="str">
        <x:f>'Model'!A38</x:f>
        <x:v>YEAR-5 FX HEADWIND OF 2.9 · intercompany sales are fully eliminated</x:v>
      </x:c>
      <x:c r="H11" s="169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WHAT IT ANSWERS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176" t="str">
        <x:v>How do entity growth, intercompany eliminations, and FX translation shape consolidated performance?</x:v>
      </x:c>
      <x:c r="B14" s="177"/>
      <x:c r="C14" s="177"/>
      <x:c r="D14" s="177"/>
      <x:c r="E14" s="177"/>
      <x:c r="F14" s="177"/>
      <x:c r="G14" s="177"/>
      <x:c r="H14" s="178"/>
    </x:row>
    <x:row r="15" ht="20" customHeight="1">
      <x:c r="A15" s="179"/>
      <x:c r="B15" s="180"/>
      <x:c r="C15" s="180"/>
      <x:c r="D15" s="180"/>
      <x:c r="E15" s="180"/>
      <x:c r="F15" s="180"/>
      <x:c r="G15" s="180"/>
      <x:c r="H15" s="181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1" t="str">
        <x:v>MODEL DEPTH</x:v>
      </x:c>
      <x:c r="B17" s="61"/>
      <x:c r="C17" s="61"/>
      <x:c r="D17" s="61"/>
      <x:c r="E17" s="61"/>
      <x:c r="F17" s="61"/>
      <x:c r="G17" s="61"/>
      <x:c r="H17" s="61"/>
    </x:row>
    <x:row r="18" ht="20" customHeight="1">
      <x:c r="A18" s="156" t="str">
        <x:v>Forecast</x:v>
      </x:c>
      <x:c r="B18" s="156"/>
      <x:c r="C18" s="71" t="str">
        <x:v>Base plus five forecast years</x:v>
      </x:c>
      <x:c r="D18" s="71"/>
      <x:c r="E18" s="71"/>
      <x:c r="F18" s="71"/>
      <x:c r="G18" s="71"/>
      <x:c r="H18" s="71"/>
    </x:row>
    <x:row r="19" ht="20" customHeight="1">
      <x:c r="A19" s="156" t="str">
        <x:v>Editable inputs</x:v>
      </x:c>
      <x:c r="B19" s="156"/>
      <x:c r="C19" s="71" t="str">
        <x:v>10</x:v>
      </x:c>
      <x:c r="D19" s="71"/>
      <x:c r="E19" s="71"/>
      <x:c r="F19" s="71"/>
      <x:c r="G19" s="71"/>
      <x:c r="H19" s="71"/>
    </x:row>
    <x:row r="20" ht="20" customHeight="1">
      <x:c r="A20" s="156" t="str">
        <x:v>Calculation detail</x:v>
      </x:c>
      <x:c r="B20" s="156"/>
      <x:c r="C20" s="71" t="str">
        <x:v>Visible formulas, schedules, roll-forwards, and bridges</x:v>
      </x:c>
      <x:c r="D20" s="71"/>
      <x:c r="E20" s="71"/>
      <x:c r="F20" s="71"/>
      <x:c r="G20" s="71"/>
      <x:c r="H20" s="71"/>
    </x:row>
    <x:row r="21" ht="20" customHeight="1">
      <x:c r="A21" s="156" t="str">
        <x:v>Workbook flow</x:v>
      </x:c>
      <x:c r="B21" s="156"/>
      <x:c r="C21" s="71" t="str">
        <x:v>Start → Inputs → Model → Results → Checks</x:v>
      </x:c>
      <x:c r="D21" s="71"/>
      <x:c r="E21" s="71"/>
      <x:c r="F21" s="71"/>
      <x:c r="G21" s="71"/>
      <x:c r="H21" s="71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1" t="str">
        <x:v>SCOPE</x:v>
      </x:c>
      <x:c r="B23" s="61"/>
      <x:c r="C23" s="61"/>
      <x:c r="D23" s="61"/>
      <x:c r="E23" s="61"/>
      <x:c r="F23" s="61"/>
      <x:c r="G23" s="61"/>
      <x:c r="H23" s="61"/>
    </x:row>
    <x:row r="24" ht="20" customHeight="1">
      <x:c r="A24" s="190" t="str">
        <x:v>Included: Parent and subsidiary operating schedules · Five-year FX translation ramp and intercompany eliminations · Reported-versus-constant-FX EBITDA bridge</x:v>
      </x:c>
      <x:c r="B24" s="191"/>
      <x:c r="C24" s="191"/>
      <x:c r="D24" s="191"/>
      <x:c r="E24" s="191"/>
      <x:c r="F24" s="191"/>
      <x:c r="G24" s="191"/>
      <x:c r="H24" s="192"/>
    </x:row>
    <x:row r="25" ht="20" customHeight="1">
      <x:c r="A25" s="193"/>
      <x:c r="B25" s="194"/>
      <x:c r="C25" s="194"/>
      <x:c r="D25" s="194"/>
      <x:c r="E25" s="194"/>
      <x:c r="F25" s="194"/>
      <x:c r="G25" s="194"/>
      <x:c r="H25" s="195"/>
    </x:row>
    <x:row r="26" ht="20" customHeight="1">
      <x:c r="A26" s="196"/>
      <x:c r="B26" s="197"/>
      <x:c r="C26" s="197"/>
      <x:c r="D26" s="197"/>
      <x:c r="E26" s="197"/>
      <x:c r="F26" s="197"/>
      <x:c r="G26" s="197"/>
      <x:c r="H26" s="198"/>
    </x:row>
    <x:row r="27" ht="20" customHeight="1">
      <x:c r="A27" s="54" t="str">
        <x:v>Outside this model: Statutory consolidation, historic-rate equity, NCI presentation, cash-flow consolidation, and tax consolidation.</x:v>
      </x:c>
      <x:c r="B27" s="55"/>
      <x:c r="C27" s="55"/>
      <x:c r="D27" s="55"/>
      <x:c r="E27" s="55"/>
      <x:c r="F27" s="55"/>
      <x:c r="G27" s="55"/>
      <x:c r="H27" s="56"/>
    </x:row>
    <x:row r="28" ht="20" customHeight="1">
      <x:c r="A28" s="57"/>
      <x:c r="B28" s="58"/>
      <x:c r="C28" s="58"/>
      <x:c r="D28" s="58"/>
      <x:c r="E28" s="58"/>
      <x:c r="F28" s="58"/>
      <x:c r="G28" s="58"/>
      <x:c r="H28" s="59"/>
    </x:row>
    <x:row r="29" ht="20" customHeight="1">
      <x:c r="A29" s="202" t="str">
        <x:v>Five visible tabs · No hidden calculations · Calculation status and business outcome are reported separately.</x:v>
      </x:c>
      <x:c r="B29" s="203"/>
      <x:c r="C29" s="203"/>
      <x:c r="D29" s="203"/>
      <x:c r="E29" s="203"/>
      <x:c r="F29" s="203"/>
      <x:c r="G29" s="203"/>
      <x:c r="H29" s="204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Multi-Entity Consolidation &amp; FX · v1.4.0 · Linked summary only · Trace all formulas on Model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Multi-Entity Consolidation &amp; FX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05" t="str">
        <x:f>IF(COUNTIF(F9:F18,"PASS")=10,"PASS","FAIL")</x:f>
        <x:v>PASS</x:v>
      </x:c>
      <x:c r="C4" s="205"/>
      <x:c r="D4" s="205"/>
      <x:c r="E4" s="205"/>
      <x:c r="F4" s="205"/>
      <x:c r="G4" s="205"/>
      <x:c r="H4" s="205"/>
    </x:row>
    <x:row r="5" ht="20" customHeight="1">
      <x:c r="A5" s="60" t="str">
        <x:v>MODEL STATUS</x:v>
      </x:c>
      <x:c r="B5" s="60"/>
      <x:c r="C5" s="161" t="str">
        <x:f>B4</x:f>
        <x:v>PASS</x:v>
      </x:c>
      <x:c r="D5" s="207"/>
      <x:c r="E5" s="207"/>
      <x:c r="F5" s="207"/>
      <x:c r="G5" s="207"/>
      <x:c r="H5" s="162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1" t="str">
        <x:v>10 CALCULATION CONTROLS</x:v>
      </x:c>
      <x:c r="B7" s="61"/>
      <x:c r="C7" s="61"/>
      <x:c r="D7" s="61"/>
      <x:c r="E7" s="61"/>
      <x:c r="F7" s="61"/>
      <x:c r="G7" s="61"/>
      <x:c r="H7" s="61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94" t="str">
        <x:v>All editable inputs are numeric</x:v>
      </x:c>
      <x:c r="B9" s="210" t="n">
        <x:f>ROUND(COUNT('Inputs'!B10,'Inputs'!B11,'Inputs'!B12,'Inputs'!B13,'Inputs'!B14,'Inputs'!B15,'Inputs'!B16,'Inputs'!B17,'Inputs'!B18,'Inputs'!B19),6)</x:f>
        <x:v>10</x:v>
      </x:c>
      <x:c r="C9" s="210" t="n">
        <x:f>10</x:f>
        <x:v>10</x:v>
      </x:c>
      <x:c r="D9" s="210" t="n">
        <x:f>ROUND(B9-C9,6)</x:f>
        <x:v>0</x:v>
      </x:c>
      <x:c r="E9" s="210" t="n">
        <x:f>0</x:f>
        <x:v>0</x:v>
      </x:c>
      <x:c r="F9" s="211" t="str">
        <x:f>IF(ABS(ROUND(D9,6))&lt;=E9,"PASS","FAIL")</x:f>
        <x:v>PASS</x:v>
      </x:c>
      <x:c r="G9" s="194" t="str">
        <x:v>Complete the blue cells on Inputs</x:v>
      </x:c>
      <x:c r="H9" s="194"/>
    </x:row>
    <x:row r="10" ht="26" customHeight="1">
      <x:c r="A10" s="194" t="str">
        <x:v>Results headline KPIs reconcile to Model</x:v>
      </x:c>
      <x:c r="B10" s="214" t="n">
        <x:f>ROUND(IFERROR(SUM(ABS('Results'!A6-'Model'!A6),ABS('Results'!C6-'Model'!C6),ABS('Results'!E6-'Model'!E6),ABS('Results'!G6-'Model'!G6)),1E+99),6)</x:f>
        <x:v>0</x:v>
      </x:c>
      <x:c r="C10" s="214" t="n">
        <x:f>0</x:f>
        <x:v>0</x:v>
      </x:c>
      <x:c r="D10" s="214" t="n">
        <x:f>ROUND(B10-C10,6)</x:f>
        <x:v>0</x:v>
      </x:c>
      <x:c r="E10" s="214" t="n">
        <x:f>0.0001</x:f>
        <x:v>0.0001</x:v>
      </x:c>
      <x:c r="F10" s="211" t="str">
        <x:f>IF(ABS(ROUND(D10,6))&lt;=E10,"PASS","FAIL")</x:f>
        <x:v>PASS</x:v>
      </x:c>
      <x:c r="G10" s="194" t="str">
        <x:v>Review Results-to-Model links</x:v>
      </x:c>
      <x:c r="H10" s="194"/>
    </x:row>
    <x:row r="11" ht="26" customHeight="1">
      <x:c r="A11" s="194" t="str">
        <x:v>Entity, growth, FX, and elimination inputs are valid</x:v>
      </x:c>
      <x:c r="B11" s="214" t="n">
        <x:f>ROUND(IF(AND('Inputs'!$B$10&gt;0,'Inputs'!$B$11&gt;=0,'Inputs'!$B$12&gt;-1,'Inputs'!$B$13&gt;0,'Inputs'!$B$14&gt;=0,'Inputs'!$B$15&gt;-1,'Inputs'!$B$16&gt;0,'Inputs'!$B$17&gt;-1,'Inputs'!$B$18&gt;=0,'Inputs'!$B$19&gt;-1),1,0),6)</x:f>
        <x:v>1</x:v>
      </x:c>
      <x:c r="C11" s="214" t="n">
        <x:f>1</x:f>
        <x:v>1</x:v>
      </x:c>
      <x:c r="D11" s="214" t="n">
        <x:f>ROUND(B11-C11,6)</x:f>
        <x:v>0</x:v>
      </x:c>
      <x:c r="E11" s="214" t="n">
        <x:f>0.0001</x:f>
        <x:v>0.0001</x:v>
      </x:c>
      <x:c r="F11" s="211" t="str">
        <x:f>IF(ABS(ROUND(D11,6))&lt;=E11,"PASS","FAIL")</x:f>
        <x:v>PASS</x:v>
      </x:c>
      <x:c r="G11" s="194" t="str">
        <x:v>Inputs: entity, growth, FX, and elimination assumptions</x:v>
      </x:c>
      <x:c r="H11" s="194"/>
    </x:row>
    <x:row r="12" ht="26" customHeight="1">
      <x:c r="A12" s="194" t="str">
        <x:v>FX rate ramp ties and stays positive</x:v>
      </x:c>
      <x:c r="B12" s="214" t="n">
        <x:f>ROUND(IF(AND(MAX(ABS('Model'!B30),ABS('Model'!C30),ABS('Model'!D30),ABS('Model'!E30),ABS('Model'!F30),ABS('Model'!G30))&lt;=0.000001,MIN('Model'!B18,'Model'!C18,'Model'!D18,'Model'!E18,'Model'!F18,'Model'!G18)&gt;0),1,0),6)</x:f>
        <x:v>1</x:v>
      </x:c>
      <x:c r="C12" s="214" t="n">
        <x:f>1</x:f>
        <x:v>1</x:v>
      </x:c>
      <x:c r="D12" s="214" t="n">
        <x:f>ROUND(B12-C12,6)</x:f>
        <x:v>0</x:v>
      </x:c>
      <x:c r="E12" s="214" t="n">
        <x:f>0.0001</x:f>
        <x:v>0.0001</x:v>
      </x:c>
      <x:c r="F12" s="211" t="str">
        <x:f>IF(ABS(ROUND(D12,6))&lt;=E12,"PASS","FAIL")</x:f>
        <x:v>PASS</x:v>
      </x:c>
      <x:c r="G12" s="194" t="str">
        <x:v>Model: FX rate ramp</x:v>
      </x:c>
      <x:c r="H12" s="194"/>
    </x:row>
    <x:row r="13" ht="26" customHeight="1">
      <x:c r="A13" s="194" t="str">
        <x:v>Parent EBITDA bridge ties</x:v>
      </x:c>
      <x:c r="B13" s="217" t="n">
        <x:f>ROUND(MAX(ABS('Model'!B31),ABS('Model'!C31),ABS('Model'!D31),ABS('Model'!E31),ABS('Model'!F31),ABS('Model'!G31)),6)</x:f>
        <x:v>0</x:v>
      </x:c>
      <x:c r="C13" s="217" t="n">
        <x:f>0</x:f>
        <x:v>0</x:v>
      </x:c>
      <x:c r="D13" s="217" t="n">
        <x:f>ROUND(B13-C13,6)</x:f>
        <x:v>0</x:v>
      </x:c>
      <x:c r="E13" s="217" t="n">
        <x:f>0.01</x:f>
        <x:v>0.01</x:v>
      </x:c>
      <x:c r="F13" s="211" t="str">
        <x:f>IF(ABS(ROUND(D13,6))&lt;=E13,"PASS","FAIL")</x:f>
        <x:v>PASS</x:v>
      </x:c>
      <x:c r="G13" s="194" t="str">
        <x:v>Model: parent schedule</x:v>
      </x:c>
      <x:c r="H13" s="194"/>
    </x:row>
    <x:row r="14" ht="26" customHeight="1">
      <x:c r="A14" s="194" t="str">
        <x:v>Subsidiary local EBITDA bridge ties</x:v>
      </x:c>
      <x:c r="B14" s="217" t="n">
        <x:f>ROUND(MAX(ABS('Model'!B32),ABS('Model'!C32),ABS('Model'!D32),ABS('Model'!E32),ABS('Model'!F32),ABS('Model'!G32)),6)</x:f>
        <x:v>0</x:v>
      </x:c>
      <x:c r="C14" s="217" t="n">
        <x:f>0</x:f>
        <x:v>0</x:v>
      </x:c>
      <x:c r="D14" s="217" t="n">
        <x:f>ROUND(B14-C14,6)</x:f>
        <x:v>0</x:v>
      </x:c>
      <x:c r="E14" s="217" t="n">
        <x:f>0.01</x:f>
        <x:v>0.01</x:v>
      </x:c>
      <x:c r="F14" s="211" t="str">
        <x:f>IF(ABS(ROUND(D14,6))&lt;=E14,"PASS","FAIL")</x:f>
        <x:v>PASS</x:v>
      </x:c>
      <x:c r="G14" s="194" t="str">
        <x:v>Model: subsidiary local schedule</x:v>
      </x:c>
      <x:c r="H14" s="194"/>
    </x:row>
    <x:row r="15" ht="26" customHeight="1">
      <x:c r="A15" s="194" t="str">
        <x:v>FX translation bridge ties</x:v>
      </x:c>
      <x:c r="B15" s="217" t="n">
        <x:f>ROUND(MAX(ABS('Model'!B33),ABS('Model'!C33),ABS('Model'!D33),ABS('Model'!E33),ABS('Model'!F33),ABS('Model'!G33)),6)</x:f>
        <x:v>0</x:v>
      </x:c>
      <x:c r="C15" s="217" t="n">
        <x:f>0</x:f>
        <x:v>0</x:v>
      </x:c>
      <x:c r="D15" s="217" t="n">
        <x:f>ROUND(B15-C15,6)</x:f>
        <x:v>0</x:v>
      </x:c>
      <x:c r="E15" s="217" t="n">
        <x:f>0.01</x:f>
        <x:v>0.01</x:v>
      </x:c>
      <x:c r="F15" s="211" t="str">
        <x:f>IF(ABS(ROUND(D15,6))&lt;=E15,"PASS","FAIL")</x:f>
        <x:v>PASS</x:v>
      </x:c>
      <x:c r="G15" s="194" t="str">
        <x:v>Model: translation schedule</x:v>
      </x:c>
      <x:c r="H15" s="194"/>
    </x:row>
    <x:row r="16" ht="26" customHeight="1">
      <x:c r="A16" s="194" t="str">
        <x:v>Consolidation and eliminations tie</x:v>
      </x:c>
      <x:c r="B16" s="217" t="n">
        <x:f>ROUND(MAX(ABS('Model'!B34),ABS('Model'!C34),ABS('Model'!D34),ABS('Model'!E34),ABS('Model'!F34),ABS('Model'!G34)),6)</x:f>
        <x:v>0</x:v>
      </x:c>
      <x:c r="C16" s="217" t="n">
        <x:f>0</x:f>
        <x:v>0</x:v>
      </x:c>
      <x:c r="D16" s="217" t="n">
        <x:f>ROUND(B16-C16,6)</x:f>
        <x:v>0</x:v>
      </x:c>
      <x:c r="E16" s="217" t="n">
        <x:f>0.01</x:f>
        <x:v>0.01</x:v>
      </x:c>
      <x:c r="F16" s="211" t="str">
        <x:f>IF(ABS(ROUND(D16,6))&lt;=E16,"PASS","FAIL")</x:f>
        <x:v>PASS</x:v>
      </x:c>
      <x:c r="G16" s="194" t="str">
        <x:v>Model: consolidation bridge</x:v>
      </x:c>
      <x:c r="H16" s="194"/>
    </x:row>
    <x:row r="17" ht="26" customHeight="1">
      <x:c r="A17" s="194" t="str">
        <x:v>FX impact bridge ties</x:v>
      </x:c>
      <x:c r="B17" s="217" t="n">
        <x:f>ROUND(MAX(ABS('Model'!B35),ABS('Model'!C35),ABS('Model'!D35),ABS('Model'!E35),ABS('Model'!F35),ABS('Model'!G35)),6)</x:f>
        <x:v>0</x:v>
      </x:c>
      <x:c r="C17" s="217" t="n">
        <x:f>0</x:f>
        <x:v>0</x:v>
      </x:c>
      <x:c r="D17" s="217" t="n">
        <x:f>ROUND(B17-C17,6)</x:f>
        <x:v>0</x:v>
      </x:c>
      <x:c r="E17" s="217" t="n">
        <x:f>0.01</x:f>
        <x:v>0.01</x:v>
      </x:c>
      <x:c r="F17" s="211" t="str">
        <x:f>IF(ABS(ROUND(D17,6))&lt;=E17,"PASS","FAIL")</x:f>
        <x:v>PASS</x:v>
      </x:c>
      <x:c r="G17" s="194" t="str">
        <x:v>Model: constant-FX bridge</x:v>
      </x:c>
      <x:c r="H17" s="194"/>
    </x:row>
    <x:row r="18" ht="26" customHeight="1">
      <x:c r="A18" s="194" t="str">
        <x:v>Consolidated EBITDA margin ties</x:v>
      </x:c>
      <x:c r="B18" s="214" t="n">
        <x:f>ROUND(MAX(ABS('Model'!B36),ABS('Model'!C36),ABS('Model'!D36),ABS('Model'!E36),ABS('Model'!F36),ABS('Model'!G36)),6)</x:f>
        <x:v>0</x:v>
      </x:c>
      <x:c r="C18" s="214" t="n">
        <x:f>0</x:f>
        <x:v>0</x:v>
      </x:c>
      <x:c r="D18" s="214" t="n">
        <x:f>ROUND(B18-C18,6)</x:f>
        <x:v>0</x:v>
      </x:c>
      <x:c r="E18" s="214" t="n">
        <x:f>0.0001</x:f>
        <x:v>0.0001</x:v>
      </x:c>
      <x:c r="F18" s="211" t="str">
        <x:f>IF(ABS(ROUND(D18,6))&lt;=E18,"PASS","FAIL")</x:f>
        <x:v>PASS</x:v>
      </x:c>
      <x:c r="G18" s="194" t="str">
        <x:v>Model: consolidated margin</x:v>
      </x:c>
      <x:c r="H18" s="194"/>
    </x:row>
    <x:row r="19" ht="20" customHeight="1">
      <x:c r="A19" s="221" t="str">
        <x:v>A warning business outcome can still pass these controls; review Model and Results before making a decision.</x:v>
      </x:c>
      <x:c r="B19" s="222"/>
      <x:c r="C19" s="222"/>
      <x:c r="D19" s="222"/>
      <x:c r="E19" s="222"/>
      <x:c r="F19" s="222"/>
      <x:c r="G19" s="222"/>
      <x:c r="H19" s="223"/>
    </x:row>
    <x:row r="20" ht="20" customHeight="1">
      <x:c r="A20" s="60" t="str">
        <x:v>Multi-Entity Consolidation &amp; FX · 10 / 10 controls should show PASS · v1.4.0</x:v>
      </x:c>
      <x:c r="B20" s="60"/>
      <x:c r="C20" s="60"/>
      <x:c r="D20" s="60"/>
      <x:c r="E20" s="60"/>
      <x:c r="F20" s="60"/>
      <x:c r="G20" s="60"/>
      <x:c r="H20" s="60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