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633b06a19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25b23ca935e44f5"/>
    <x:sheet xmlns:r="http://schemas.openxmlformats.org/officeDocument/2006/relationships" name="Guide" sheetId="2" r:id="R416cd742f60b44d8"/>
    <x:sheet xmlns:r="http://schemas.openxmlformats.org/officeDocument/2006/relationships" name="Assumptions" sheetId="3" r:id="Rf7afc93bd9d64f5f"/>
    <x:sheet xmlns:r="http://schemas.openxmlformats.org/officeDocument/2006/relationships" name="Monthly Inputs" sheetId="4" r:id="Rc3f93ef5943b4c92"/>
    <x:sheet xmlns:r="http://schemas.openxmlformats.org/officeDocument/2006/relationships" name="Budget &amp; Net Worth" sheetId="5" r:id="R237a09a8e77b4e31"/>
    <x:sheet xmlns:r="http://schemas.openxmlformats.org/officeDocument/2006/relationships" name="Sensitivity" sheetId="6" r:id="R27c29de73af54135"/>
    <x:sheet xmlns:r="http://schemas.openxmlformats.org/officeDocument/2006/relationships" name="Summary" sheetId="7" r:id="R0a7544c89455468c"/>
    <x:sheet xmlns:r="http://schemas.openxmlformats.org/officeDocument/2006/relationships" name="Checks" sheetId="8" r:id="Rc8f33dbd3ad942f4"/>
    <x:sheet xmlns:r="http://schemas.openxmlformats.org/officeDocument/2006/relationships" name="Sources &amp; Version" sheetId="9" r:id="R647a51babd5f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-"/>
    <x:numFmt numFmtId="201" formatCode="0.0%;(0.0%);-"/>
    <x:numFmt numFmtId="202" formatCode="#,##0;(#,##0);-"/>
    <x:numFmt numFmtId="203" formatCode="0.0x;(0.0x);-"/>
  </x:numFmts>
  <x:fonts count="36">
    <x:font>
      <x:sz val="11"/>
      <x:name val="Carlito"/>
    </x:font>
    <x:font>
      <x:b/>
      <x:sz val="20"/>
      <x:color rgb="FFFFFFFF"/>
      <x:name val="Aptos Display"/>
    </x:font>
    <x:font>
      <x:sz val="9"/>
      <x:color rgb="FFDCE6F2"/>
      <x:name val="Aptos"/>
    </x:font>
    <x:font>
      <x:b/>
      <x:sz val="10"/>
      <x:color rgb="FFFFFFFF"/>
      <x:name val="Aptos"/>
    </x:font>
    <x:font>
      <x:sz val="10"/>
      <x:color rgb="FF101827"/>
      <x:name val="Carlito"/>
    </x:font>
    <x:font>
      <x:b/>
      <x:sz val="11"/>
      <x:color rgb="FFFFFFFF"/>
      <x:name val="Carlito"/>
    </x:font>
    <x:font>
      <x:b/>
      <x:sz val="11"/>
      <x:color rgb="FF101827"/>
      <x:name val="Carlito"/>
    </x:font>
    <x:font>
      <x:sz val="9"/>
      <x:color rgb="FF5B687A"/>
      <x:name val="Carlito"/>
    </x:font>
    <x:font>
      <x:b/>
      <x:sz val="11"/>
      <x:color rgb="FF075CCF"/>
      <x:name val="Carlito"/>
    </x:font>
    <x:font>
      <x:sz val="9"/>
      <x:color rgb="FF8A5A00"/>
      <x:name val="Aptos"/>
    </x:font>
    <x:font>
      <x:b/>
      <x:sz val="9"/>
      <x:color rgb="FFFFFFFF"/>
      <x:name val="Aptos"/>
    </x:font>
    <x:font>
      <x:b/>
      <x:sz val="11"/>
      <x:color rgb="FF8A5A00"/>
      <x:name val="Carlito"/>
    </x:font>
    <x:font>
      <x:sz val="10"/>
      <x:color rgb="FF0000FF"/>
      <x:name val="Aptos"/>
    </x:font>
    <x:font>
      <x:sz val="10"/>
      <x:color rgb="FF000000"/>
      <x:name val="Aptos"/>
    </x:font>
    <x:font>
      <x:sz val="11"/>
      <x:color rgb="FF101827"/>
      <x:name val="Carlito"/>
    </x:font>
    <x:font>
      <x:sz val="11"/>
      <x:color rgb="FF101827"/>
      <x:name val="Carlito"/>
    </x:font>
    <x:font>
      <x:sz val="10"/>
      <x:color rgb="FF008000"/>
      <x:name val="Aptos"/>
    </x:font>
    <x:font>
      <x:b/>
      <x:sz val="9"/>
      <x:color rgb="FFFFFFFF"/>
      <x:name val="Carlito"/>
    </x:font>
    <x:font>
      <x:b/>
      <x:sz val="18"/>
      <x:color rgb="FF075CCF"/>
      <x:name val="Aptos"/>
    </x:font>
    <x:font>
      <x:b/>
      <x:sz val="18"/>
      <x:color rgb="FF0F9F8F"/>
      <x:name val="Aptos"/>
    </x:font>
    <x:font>
      <x:b/>
      <x:sz val="8"/>
      <x:color rgb="FFFFFFFF"/>
      <x:name val="Carlito"/>
    </x:font>
    <x:font>
      <x:b/>
      <x:sz val="14"/>
      <x:color rgb="FF0F9F8F"/>
      <x:name val="Carlito"/>
    </x:font>
    <x:font>
      <x:b/>
      <x:sz val="12"/>
      <x:color rgb="FF8A5A00"/>
      <x:name val="Carlito"/>
    </x:font>
    <x:font>
      <x:sz val="11"/>
      <x:color rgb="FF008000"/>
      <x:name val="Carlito"/>
    </x:font>
    <x:font>
      <x:b/>
      <x:sz val="9"/>
      <x:color rgb="FF075CCF"/>
      <x:name val="Carlito"/>
    </x:font>
    <x:font>
      <x:b/>
      <x:sz val="16"/>
      <x:color rgb="FF0F9F8F"/>
      <x:name val="Carlito"/>
    </x:font>
    <x:font>
      <x:b/>
      <x:sz val="11"/>
      <x:color rgb="FF0F9F8F"/>
      <x:name val="Carlito"/>
    </x:font>
    <x:font>
      <x:b/>
      <x:sz val="11"/>
      <x:color rgb="FF5B687A"/>
      <x:name val="Carlito"/>
    </x:font>
    <x:font>
      <x:b/>
      <x:sz val="22"/>
      <x:color rgb="FF101827"/>
      <x:name val="Aptos Display"/>
    </x:font>
    <x:font>
      <x:b/>
      <x:sz val="20"/>
      <x:color rgb="FF0F9F8F"/>
      <x:name val="Carlito"/>
    </x:font>
    <x:font>
      <x:b/>
      <x:sz val="11"/>
      <x:color rgb="FF008000"/>
      <x:name val="Carlito"/>
    </x:font>
    <x:font>
      <x:b/>
      <x:sz val="11"/>
      <x:color rgb="FF075CCF"/>
      <x:name val="Aptos"/>
    </x:font>
    <x:font>
      <x:sz val="9"/>
      <x:color rgb="FF101827"/>
      <x:name val="Carlito"/>
    </x:font>
    <x:font>
      <x:b/>
      <x:sz val="9"/>
      <x:color rgb="FF0000FF"/>
      <x:name val="Carlito"/>
    </x:font>
    <x:font>
      <x:b/>
      <x:sz val="9"/>
      <x:color rgb="FF000000"/>
      <x:name val="Carlito"/>
    </x:font>
    <x:font>
      <x:b/>
      <x:sz val="9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101827"/>
      </x:patternFill>
    </x:fill>
    <x:fill>
      <x:patternFill patternType="solid">
        <x:fgColor rgb="FF1479FF"/>
      </x:patternFill>
    </x:fill>
    <x:fill>
      <x:patternFill patternType="solid">
        <x:fgColor rgb="FFEEF5FF"/>
      </x:patternFill>
    </x:fill>
    <x:fill>
      <x:patternFill patternType="solid">
        <x:fgColor rgb="FFF7F9FC"/>
      </x:patternFill>
    </x:fill>
    <x:fill>
      <x:patternFill patternType="solid">
        <x:fgColor rgb="FFFFF4DB"/>
      </x:patternFill>
    </x:fill>
    <x:fill>
      <x:patternFill patternType="solid">
        <x:fgColor rgb="FFE5F6F3"/>
      </x:patternFill>
    </x:fill>
    <x:fill>
      <x:patternFill patternType="solid">
        <x:fgColor rgb="FFFFFFFF"/>
      </x:patternFill>
    </x:fill>
  </x:fills>
  <x:borders count="25">
    <x:border/>
    <x:border>
      <x:left style="thin">
        <x:color rgb="FFC88922"/>
      </x:left>
      <x:top style="thin">
        <x:color rgb="FFC88922"/>
      </x:top>
    </x:border>
    <x:border>
      <x:top style="thin">
        <x:color rgb="FFC88922"/>
      </x:top>
    </x:border>
    <x:border>
      <x:right style="thin">
        <x:color rgb="FFC88922"/>
      </x:right>
      <x:top style="thin">
        <x:color rgb="FFC88922"/>
      </x:top>
    </x:border>
    <x:border>
      <x:left style="thin">
        <x:color rgb="FFC88922"/>
      </x:left>
    </x:border>
    <x:border>
      <x:right style="thin">
        <x:color rgb="FFC88922"/>
      </x:right>
    </x:border>
    <x:border>
      <x:left style="thin">
        <x:color rgb="FFC88922"/>
      </x:left>
      <x:bottom style="thin">
        <x:color rgb="FFC88922"/>
      </x:bottom>
    </x:border>
    <x:border>
      <x:bottom style="thin">
        <x:color rgb="FFC88922"/>
      </x:bottom>
    </x:border>
    <x:border>
      <x:right style="thin">
        <x:color rgb="FFC88922"/>
      </x:right>
      <x:bottom style="thin">
        <x:color rgb="FFC88922"/>
      </x:bottom>
    </x:border>
    <x:border>
      <x:right style="thin">
        <x:color rgb="FFDBE4EF"/>
      </x:right>
    </x:border>
    <x:border>
      <x:left style="thin">
        <x:color rgb="FFDBE4EF"/>
      </x:left>
      <x:right style="thin">
        <x:color rgb="FFDBE4EF"/>
      </x:right>
    </x:border>
    <x:border>
      <x:left style="thin">
        <x:color rgb="FFDBE4EF"/>
      </x:left>
    </x:border>
    <x:border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bottom style="thin">
        <x:color rgb="FFDBE4EF"/>
      </x:bottom>
    </x:border>
    <x:border>
      <x:left style="thin">
        <x:color rgb="FFDBE4EF"/>
      </x:left>
      <x:bottom style="thin">
        <x:color rgb="FFDBE4EF"/>
      </x:bottom>
    </x:border>
    <x:border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right style="thin">
        <x:color rgb="FFDBE4EF"/>
      </x:right>
      <x:top style="thin">
        <x:color rgb="FFDBE4EF"/>
      </x:top>
      <x:bottom style="thin">
        <x:color rgb="FFDBE4EF"/>
      </x:bottom>
    </x:border>
    <x:border>
      <x:left style="thin">
        <x:color rgb="FFDBE4EF"/>
      </x:left>
      <x:top style="thin">
        <x:color rgb="FFDBE4EF"/>
      </x:top>
      <x:bottom style="thin">
        <x:color rgb="FFDBE4EF"/>
      </x:bottom>
    </x:border>
    <x:border>
      <x:right style="thin">
        <x:color rgb="FFDBE4EF"/>
      </x:right>
      <x:top style="thin">
        <x:color rgb="FFDBE4EF"/>
      </x:top>
    </x:border>
    <x:border>
      <x:left style="thin">
        <x:color rgb="FFDBE4EF"/>
      </x:left>
      <x:right style="thin">
        <x:color rgb="FFDBE4EF"/>
      </x:right>
      <x:top style="thin">
        <x:color rgb="FFDBE4EF"/>
      </x:top>
    </x:border>
    <x:border>
      <x:left style="thin">
        <x:color rgb="FFDBE4EF"/>
      </x:left>
      <x:top style="thin">
        <x:color rgb="FFDBE4EF"/>
      </x:top>
    </x:border>
    <x:border>
      <x:bottom style="thin">
        <x:color rgb="FFDBE4EF"/>
      </x:bottom>
    </x:border>
    <x:border>
      <x:top style="thin">
        <x:color rgb="FFDBE4EF"/>
      </x:top>
      <x:bottom style="thin">
        <x:color rgb="FFDBE4EF"/>
      </x:bottom>
    </x:border>
    <x:border>
      <x:top style="thin">
        <x:color rgb="FFDBE4EF"/>
      </x:top>
    </x:border>
    <x:border>
      <x:top style="thin">
        <x:color rgb="FF101827"/>
      </x:top>
    </x:border>
  </x:borders>
  <x:cellStyleXfs count="1">
    <x:xf numFmtId="0" fontId="0" fillId="0" borderId="0"/>
  </x:cellStyleXfs>
  <x:cellXfs count="2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horizontal="center" wrapText="1"/>
    </x:xf>
    <x:xf numFmtId="0" fontId="10" fillId="3" borderId="10" xfId="0" applyNumberFormat="1" applyFont="1" applyFill="1" applyBorder="1" applyAlignment="1">
      <x:alignment horizontal="center" wrapText="1"/>
    </x:xf>
    <x:xf numFmtId="0" fontId="10" fillId="3" borderId="11" xfId="0" applyNumberFormat="1" applyFont="1" applyFill="1" applyBorder="1" applyAlignment="1">
      <x:alignment horizontal="center" wrapText="1"/>
    </x:xf>
    <x:xf numFmtId="0" fontId="10" fillId="3" borderId="9" xfId="0" applyNumberFormat="1" applyFont="1" applyFill="1" applyBorder="1" applyAlignment="1">
      <x:alignment horizontal="center" vertical="center" wrapText="1"/>
    </x:xf>
    <x:xf numFmtId="0" fontId="10" fillId="3" borderId="10" xfId="0" applyNumberFormat="1" applyFont="1" applyFill="1" applyBorder="1" applyAlignment="1">
      <x:alignment horizontal="center" vertic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/>
    <x:xf numFmtId="200" fontId="12" fillId="5" borderId="0" xfId="0" applyNumberFormat="1" applyFont="1" applyFill="1" applyBorder="1"/>
    <x:xf numFmtId="200" fontId="12" fillId="5" borderId="0" xfId="0" applyNumberFormat="1" applyFont="1" applyFill="1" applyBorder="1" applyAlignment="1">
      <x:alignment horizontal="right"/>
    </x:xf>
    <x:xf numFmtId="0" fontId="13" fillId="0" borderId="0" xfId="0" applyNumberFormat="1" applyFont="1" applyFill="1" applyBorder="1"/>
    <x:xf numFmtId="200" fontId="13" fillId="0" borderId="0" xfId="0" applyNumberFormat="1" applyFont="1" applyFill="1" applyBorder="1"/>
    <x:xf numFmtId="200" fontId="13" fillId="0" borderId="0" xfId="0" applyNumberFormat="1" applyFont="1" applyFill="1" applyBorder="1" applyAlignment="1">
      <x:alignment horizontal="right"/>
    </x:xf>
    <x:xf numFmtId="201" fontId="12" fillId="5" borderId="0" xfId="0" applyNumberFormat="1" applyFont="1" applyFill="1" applyBorder="1"/>
    <x:xf numFmtId="201" fontId="12" fillId="5" borderId="0" xfId="0" applyNumberFormat="1" applyFont="1" applyFill="1" applyBorder="1" applyAlignment="1">
      <x:alignment horizontal="right"/>
    </x:xf>
    <x:xf numFmtId="201" fontId="13" fillId="0" borderId="0" xfId="0" applyNumberFormat="1" applyFont="1" applyFill="1" applyBorder="1"/>
    <x:xf numFmtId="201" fontId="13" fillId="0" borderId="0" xfId="0" applyNumberFormat="1" applyFont="1" applyFill="1" applyBorder="1" applyAlignment="1">
      <x:alignment horizontal="right"/>
    </x:xf>
    <x:xf numFmtId="202" fontId="12" fillId="5" borderId="0" xfId="0" applyNumberFormat="1" applyFont="1" applyFill="1" applyBorder="1"/>
    <x:xf numFmtId="202" fontId="12" fillId="5" borderId="0" xfId="0" applyNumberFormat="1" applyFont="1" applyFill="1" applyBorder="1" applyAlignment="1">
      <x:alignment horizontal="right"/>
    </x:xf>
    <x:xf numFmtId="202" fontId="13" fillId="0" borderId="0" xfId="0" applyNumberFormat="1" applyFont="1" applyFill="1" applyBorder="1"/>
    <x:xf numFmtId="202" fontId="13" fillId="0" borderId="0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/>
    <x:xf numFmtId="0" fontId="14" fillId="0" borderId="12" xfId="0" applyNumberFormat="1" applyFont="1" applyFill="1" applyBorder="1"/>
    <x:xf numFmtId="0" fontId="14" fillId="0" borderId="13" xfId="0" applyNumberFormat="1" applyFont="1" applyFill="1" applyBorder="1"/>
    <x:xf numFmtId="200" fontId="12" fillId="5" borderId="13" xfId="0" applyNumberFormat="1" applyFont="1" applyFill="1" applyBorder="1" applyAlignment="1">
      <x:alignment horizontal="right"/>
    </x:xf>
    <x:xf numFmtId="200" fontId="13" fillId="0" borderId="13" xfId="0" applyNumberFormat="1" applyFont="1" applyFill="1" applyBorder="1" applyAlignment="1">
      <x:alignment horizontal="right"/>
    </x:xf>
    <x:xf numFmtId="0" fontId="7" fillId="0" borderId="14" xfId="0" applyNumberFormat="1" applyFont="1" applyFill="1" applyBorder="1" applyAlignment="1">
      <x:alignment wrapText="1"/>
    </x:xf>
    <x:xf numFmtId="0" fontId="14" fillId="0" borderId="15" xfId="0" applyNumberFormat="1" applyFont="1" applyFill="1" applyBorder="1"/>
    <x:xf numFmtId="0" fontId="14" fillId="0" borderId="16" xfId="0" applyNumberFormat="1" applyFont="1" applyFill="1" applyBorder="1"/>
    <x:xf numFmtId="200" fontId="12" fillId="5" borderId="16" xfId="0" applyNumberFormat="1" applyFont="1" applyFill="1" applyBorder="1" applyAlignment="1">
      <x:alignment horizontal="right"/>
    </x:xf>
    <x:xf numFmtId="200" fontId="13" fillId="0" borderId="16" xfId="0" applyNumberFormat="1" applyFont="1" applyFill="1" applyBorder="1" applyAlignment="1">
      <x:alignment horizontal="right"/>
    </x:xf>
    <x:xf numFmtId="0" fontId="7" fillId="0" borderId="17" xfId="0" applyNumberFormat="1" applyFont="1" applyFill="1" applyBorder="1" applyAlignment="1">
      <x:alignment wrapText="1"/>
    </x:xf>
    <x:xf numFmtId="201" fontId="12" fillId="5" borderId="16" xfId="0" applyNumberFormat="1" applyFont="1" applyFill="1" applyBorder="1" applyAlignment="1">
      <x:alignment horizontal="right"/>
    </x:xf>
    <x:xf numFmtId="201" fontId="13" fillId="0" borderId="16" xfId="0" applyNumberFormat="1" applyFont="1" applyFill="1" applyBorder="1" applyAlignment="1">
      <x:alignment horizontal="right"/>
    </x:xf>
    <x:xf numFmtId="0" fontId="14" fillId="0" borderId="18" xfId="0" applyNumberFormat="1" applyFont="1" applyFill="1" applyBorder="1"/>
    <x:xf numFmtId="0" fontId="14" fillId="0" borderId="19" xfId="0" applyNumberFormat="1" applyFont="1" applyFill="1" applyBorder="1"/>
    <x:xf numFmtId="202" fontId="12" fillId="5" borderId="19" xfId="0" applyNumberFormat="1" applyFont="1" applyFill="1" applyBorder="1" applyAlignment="1">
      <x:alignment horizontal="right"/>
    </x:xf>
    <x:xf numFmtId="202" fontId="13" fillId="0" borderId="19" xfId="0" applyNumberFormat="1" applyFont="1" applyFill="1" applyBorder="1" applyAlignment="1">
      <x:alignment horizontal="right"/>
    </x:xf>
    <x:xf numFmtId="0" fontId="7" fillId="0" borderId="2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21" xfId="0" applyNumberFormat="1" applyFont="1" applyFill="1" applyBorder="1"/>
    <x:xf numFmtId="200" fontId="12" fillId="5" borderId="21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/>
    <x:xf numFmtId="200" fontId="12" fillId="5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/>
    <x:xf numFmtId="200" fontId="12" fillId="5" borderId="23" xfId="0" applyNumberFormat="1" applyFont="1" applyFill="1" applyBorder="1" applyAlignment="1">
      <x:alignment horizontal="right"/>
    </x:xf>
    <x:xf numFmtId="0" fontId="16" fillId="0" borderId="0" xfId="0" applyNumberFormat="1" applyFont="1" applyFill="1" applyBorder="1"/>
    <x:xf numFmtId="200" fontId="16" fillId="0" borderId="0" xfId="0" applyNumberFormat="1" applyFont="1" applyFill="1" applyBorder="1"/>
    <x:xf numFmtId="200" fontId="16" fillId="0" borderId="0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200" fontId="16" fillId="0" borderId="24" xfId="0" applyNumberFormat="1" applyFont="1" applyFill="1" applyBorder="1" applyAlignment="1">
      <x:alignment horizontal="right"/>
    </x:xf>
    <x:xf numFmtId="0" fontId="6" fillId="6" borderId="24" xfId="0" applyNumberFormat="1" applyFont="1" applyFill="1" applyBorder="1" applyAlignment="1">
      <x:alignment wrapText="1"/>
    </x:xf>
    <x:xf numFmtId="200" fontId="16" fillId="6" borderId="24" xfId="0" applyNumberFormat="1" applyFont="1" applyFill="1" applyBorder="1" applyAlignment="1">
      <x:alignment horizontal="right"/>
    </x:xf>
    <x:xf numFmtId="200" fontId="13" fillId="0" borderId="24" xfId="0" applyNumberFormat="1" applyFont="1" applyFill="1" applyBorder="1" applyAlignment="1">
      <x:alignment horizontal="right"/>
    </x:xf>
    <x:xf numFmtId="200" fontId="13" fillId="6" borderId="24" xfId="0" applyNumberFormat="1" applyFont="1" applyFill="1" applyBorder="1" applyAlignment="1">
      <x:alignment horizontal="right"/>
    </x:xf>
    <x:xf numFmtId="0" fontId="6" fillId="8" borderId="24" xfId="0" applyNumberFormat="1" applyFont="1" applyFill="1" applyBorder="1" applyAlignment="1">
      <x:alignment wrapText="1"/>
    </x:xf>
    <x:xf numFmtId="200" fontId="13" fillId="8" borderId="24" xfId="0" applyNumberFormat="1" applyFont="1" applyFill="1" applyBorder="1" applyAlignment="1">
      <x:alignment horizontal="right"/>
    </x:xf>
    <x:xf numFmtId="203" fontId="13" fillId="0" borderId="0" xfId="0" applyNumberFormat="1" applyFont="1" applyFill="1" applyBorder="1"/>
    <x:xf numFmtId="203" fontId="13" fillId="0" borderId="0" xfId="0" applyNumberFormat="1" applyFont="1" applyFill="1" applyBorder="1" applyAlignment="1">
      <x:alignment horizontal="right"/>
    </x:xf>
    <x:xf numFmtId="201" fontId="16" fillId="0" borderId="0" xfId="0" applyNumberFormat="1" applyFont="1" applyFill="1" applyBorder="1"/>
    <x:xf numFmtId="201" fontId="16" fillId="0" borderId="0" xfId="0" applyNumberFormat="1" applyFont="1" applyFill="1" applyBorder="1" applyAlignment="1">
      <x:alignment horizontal="right"/>
    </x:xf>
    <x:xf numFmtId="0" fontId="15" fillId="0" borderId="21" xfId="0" applyNumberFormat="1" applyFont="1" applyFill="1" applyBorder="1" applyAlignment="1">
      <x:alignment wrapText="1"/>
    </x:xf>
    <x:xf numFmtId="200" fontId="16" fillId="0" borderId="21" xfId="0" applyNumberFormat="1" applyFont="1" applyFill="1" applyBorder="1" applyAlignment="1">
      <x:alignment horizontal="right"/>
    </x:xf>
    <x:xf numFmtId="0" fontId="6" fillId="6" borderId="22" xfId="0" applyNumberFormat="1" applyFont="1" applyFill="1" applyBorder="1" applyAlignment="1">
      <x:alignment wrapText="1"/>
    </x:xf>
    <x:xf numFmtId="200" fontId="16" fillId="6" borderId="22" xfId="0" applyNumberFormat="1" applyFont="1" applyFill="1" applyBorder="1" applyAlignment="1">
      <x:alignment horizontal="right"/>
    </x:xf>
    <x:xf numFmtId="0" fontId="15" fillId="0" borderId="22" xfId="0" applyNumberFormat="1" applyFont="1" applyFill="1" applyBorder="1" applyAlignment="1">
      <x:alignment wrapText="1"/>
    </x:xf>
    <x:xf numFmtId="200" fontId="16" fillId="0" borderId="22" xfId="0" applyNumberFormat="1" applyFont="1" applyFill="1" applyBorder="1" applyAlignment="1">
      <x:alignment horizontal="right"/>
    </x:xf>
    <x:xf numFmtId="200" fontId="13" fillId="6" borderId="22" xfId="0" applyNumberFormat="1" applyFont="1" applyFill="1" applyBorder="1" applyAlignment="1">
      <x:alignment horizontal="right"/>
    </x:xf>
    <x:xf numFmtId="0" fontId="6" fillId="8" borderId="22" xfId="0" applyNumberFormat="1" applyFont="1" applyFill="1" applyBorder="1" applyAlignment="1">
      <x:alignment wrapText="1"/>
    </x:xf>
    <x:xf numFmtId="200" fontId="13" fillId="8" borderId="22" xfId="0" applyNumberFormat="1" applyFont="1" applyFill="1" applyBorder="1" applyAlignment="1">
      <x:alignment horizontal="right"/>
    </x:xf>
    <x:xf numFmtId="203" fontId="13" fillId="0" borderId="22" xfId="0" applyNumberFormat="1" applyFont="1" applyFill="1" applyBorder="1" applyAlignment="1">
      <x:alignment horizontal="right"/>
    </x:xf>
    <x:xf numFmtId="201" fontId="16" fillId="0" borderId="22" xfId="0" applyNumberFormat="1" applyFont="1" applyFill="1" applyBorder="1" applyAlignment="1">
      <x:alignment horizontal="right"/>
    </x:xf>
    <x:xf numFmtId="0" fontId="15" fillId="0" borderId="23" xfId="0" applyNumberFormat="1" applyFont="1" applyFill="1" applyBorder="1" applyAlignment="1">
      <x:alignment wrapText="1"/>
    </x:xf>
    <x:xf numFmtId="200" fontId="13" fillId="0" borderId="23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 applyAlignment="1">
      <x:alignment horizontal="center"/>
    </x:xf>
    <x:xf numFmtId="200" fontId="16" fillId="6" borderId="0" xfId="0" applyNumberFormat="1" applyFont="1" applyFill="1" applyBorder="1" applyAlignment="1">
      <x:alignment horizontal="right"/>
    </x:xf>
    <x:xf numFmtId="200" fontId="16" fillId="6" borderId="16" xfId="0" applyNumberFormat="1" applyFont="1" applyFill="1" applyBorder="1" applyAlignment="1">
      <x:alignment horizontal="right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horizontal="center"/>
    </x:xf>
    <x:xf numFmtId="200" fontId="16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right"/>
    </x:xf>
    <x:xf numFmtId="200" fontId="18" fillId="5" borderId="0" xfId="0" applyNumberFormat="1" applyFont="1" applyFill="1" applyBorder="1" applyAlignment="1">
      <x:alignment horizontal="center"/>
    </x:xf>
    <x:xf numFmtId="200" fontId="18" fillId="5" borderId="0" xfId="0" applyNumberFormat="1" applyFont="1" applyFill="1" applyBorder="1" applyAlignment="1">
      <x:alignment horizontal="center" vertical="center"/>
    </x:xf>
    <x:xf numFmtId="200" fontId="16" fillId="8" borderId="0" xfId="0" applyNumberFormat="1" applyFont="1" applyFill="1" applyBorder="1" applyAlignment="1">
      <x:alignment horizontal="right"/>
    </x:xf>
    <x:xf numFmtId="200" fontId="19" fillId="8" borderId="0" xfId="0" applyNumberFormat="1" applyFont="1" applyFill="1" applyBorder="1" applyAlignment="1">
      <x:alignment horizontal="right"/>
    </x:xf>
    <x:xf numFmtId="200" fontId="19" fillId="8" borderId="0" xfId="0" applyNumberFormat="1" applyFont="1" applyFill="1" applyBorder="1" applyAlignment="1">
      <x:alignment horizontal="center"/>
    </x:xf>
    <x:xf numFmtId="200" fontId="19" fillId="8" borderId="0" xfId="0" applyNumberFormat="1" applyFont="1" applyFill="1" applyBorder="1" applyAlignment="1">
      <x:alignment horizontal="center" vertical="center"/>
    </x:xf>
    <x:xf numFmtId="203" fontId="16" fillId="0" borderId="0" xfId="0" applyNumberFormat="1" applyFont="1" applyFill="1" applyBorder="1"/>
    <x:xf numFmtId="203" fontId="16" fillId="0" borderId="0" xfId="0" applyNumberFormat="1" applyFont="1" applyFill="1" applyBorder="1" applyAlignment="1">
      <x:alignment horizontal="right"/>
    </x:xf>
    <x:xf numFmtId="203" fontId="16" fillId="5" borderId="0" xfId="0" applyNumberFormat="1" applyFont="1" applyFill="1" applyBorder="1" applyAlignment="1">
      <x:alignment horizontal="right"/>
    </x:xf>
    <x:xf numFmtId="203" fontId="18" fillId="5" borderId="0" xfId="0" applyNumberFormat="1" applyFont="1" applyFill="1" applyBorder="1" applyAlignment="1">
      <x:alignment horizontal="right"/>
    </x:xf>
    <x:xf numFmtId="203" fontId="18" fillId="5" borderId="0" xfId="0" applyNumberFormat="1" applyFont="1" applyFill="1" applyBorder="1" applyAlignment="1">
      <x:alignment horizontal="center"/>
    </x:xf>
    <x:xf numFmtId="203" fontId="18" fillId="5" borderId="0" xfId="0" applyNumberFormat="1" applyFont="1" applyFill="1" applyBorder="1" applyAlignment="1">
      <x:alignment horizontal="center" vertical="center"/>
    </x:xf>
    <x:xf numFmtId="201" fontId="16" fillId="5" borderId="0" xfId="0" applyNumberFormat="1" applyFont="1" applyFill="1" applyBorder="1" applyAlignment="1">
      <x:alignment horizontal="right"/>
    </x:xf>
    <x:xf numFmtId="201" fontId="18" fillId="5" borderId="0" xfId="0" applyNumberFormat="1" applyFont="1" applyFill="1" applyBorder="1" applyAlignment="1">
      <x:alignment horizontal="right"/>
    </x:xf>
    <x:xf numFmtId="201" fontId="18" fillId="5" borderId="0" xfId="0" applyNumberFormat="1" applyFont="1" applyFill="1" applyBorder="1" applyAlignment="1">
      <x:alignment horizontal="center"/>
    </x:xf>
    <x:xf numFmtId="201" fontId="18" fillId="5" borderId="0" xfId="0" applyNumberFormat="1" applyFont="1" applyFill="1" applyBorder="1" applyAlignment="1">
      <x:alignment horizontal="center" vertical="center"/>
    </x:xf>
    <x:xf numFmtId="0" fontId="20" fillId="3" borderId="0" xfId="0" applyNumberFormat="1" applyFont="1" applyFill="1" applyBorder="1"/>
    <x:xf numFmtId="0" fontId="20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0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23" fillId="0" borderId="0" xfId="0" applyNumberFormat="1" applyFont="1" applyFill="1" applyBorder="1"/>
    <x:xf numFmtId="0" fontId="24" fillId="6" borderId="0" xfId="0" applyNumberFormat="1" applyFont="1" applyFill="1" applyBorder="1"/>
    <x:xf numFmtId="0" fontId="24" fillId="6" borderId="0" xfId="0" applyNumberFormat="1" applyFont="1" applyFill="1" applyBorder="1" applyAlignment="1">
      <x:alignment wrapText="1"/>
    </x:xf>
    <x:xf numFmtId="0" fontId="25" fillId="8" borderId="0" xfId="0" applyNumberFormat="1" applyFont="1" applyFill="1" applyBorder="1"/>
    <x:xf numFmtId="0" fontId="25" fillId="8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3" fillId="8" borderId="0" xfId="0" applyNumberFormat="1" applyFont="1" applyFill="1" applyBorder="1"/>
    <x:xf numFmtId="0" fontId="26" fillId="8" borderId="0" xfId="0" applyNumberFormat="1" applyFont="1" applyFill="1" applyBorder="1"/>
    <x:xf numFmtId="0" fontId="26" fillId="8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23" fillId="0" borderId="0" xfId="0" applyNumberFormat="1" applyFont="1" applyFill="1" applyBorder="1"/>
    <x:xf numFmtId="202" fontId="0" fillId="0" borderId="0" xfId="0" applyNumberFormat="1" applyFont="1" applyFill="1" applyBorder="1"/>
    <x:xf numFmtId="202" fontId="23" fillId="0" borderId="0" xfId="0" applyNumberFormat="1" applyFont="1" applyFill="1" applyBorder="1"/>
    <x:xf numFmtId="0" fontId="0" fillId="0" borderId="21" xfId="0" applyNumberFormat="1" applyFont="1" applyFill="1" applyBorder="1"/>
    <x:xf numFmtId="200" fontId="23" fillId="0" borderId="21" xfId="0" applyNumberFormat="1" applyFont="1" applyFill="1" applyBorder="1"/>
    <x:xf numFmtId="0" fontId="26" fillId="8" borderId="21" xfId="0" applyNumberFormat="1" applyFont="1" applyFill="1" applyBorder="1" applyAlignment="1">
      <x:alignment horizontal="center"/>
    </x:xf>
    <x:xf numFmtId="0" fontId="7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200" fontId="23" fillId="0" borderId="22" xfId="0" applyNumberFormat="1" applyFont="1" applyFill="1" applyBorder="1"/>
    <x:xf numFmtId="0" fontId="26" fillId="8" borderId="22" xfId="0" applyNumberFormat="1" applyFont="1" applyFill="1" applyBorder="1" applyAlignment="1">
      <x:alignment horizontal="center"/>
    </x:xf>
    <x:xf numFmtId="0" fontId="7" fillId="0" borderId="22" xfId="0" applyNumberFormat="1" applyFont="1" applyFill="1" applyBorder="1" applyAlignment="1">
      <x:alignment wrapText="1"/>
    </x:xf>
    <x:xf numFmtId="203" fontId="23" fillId="0" borderId="22" xfId="0" applyNumberFormat="1" applyFont="1" applyFill="1" applyBorder="1"/>
    <x:xf numFmtId="202" fontId="23" fillId="0" borderId="22" xfId="0" applyNumberFormat="1" applyFont="1" applyFill="1" applyBorder="1"/>
    <x:xf numFmtId="0" fontId="0" fillId="0" borderId="23" xfId="0" applyNumberFormat="1" applyFont="1" applyFill="1" applyBorder="1"/>
    <x:xf numFmtId="200" fontId="23" fillId="0" borderId="23" xfId="0" applyNumberFormat="1" applyFont="1" applyFill="1" applyBorder="1"/>
    <x:xf numFmtId="0" fontId="26" fillId="8" borderId="23" xfId="0" applyNumberFormat="1" applyFont="1" applyFill="1" applyBorder="1" applyAlignment="1">
      <x:alignment horizontal="center"/>
    </x:xf>
    <x:xf numFmtId="0" fontId="7" fillId="0" borderId="23" xfId="0" applyNumberFormat="1" applyFont="1" applyFill="1" applyBorder="1" applyAlignment="1">
      <x:alignment wrapText="1"/>
    </x:xf>
    <x:xf numFmtId="0" fontId="27" fillId="0" borderId="12" xfId="0" applyNumberFormat="1" applyFont="1" applyFill="1" applyBorder="1" applyAlignment="1">
      <x:alignment wrapText="1"/>
    </x:xf>
    <x:xf numFmtId="0" fontId="27" fillId="0" borderId="18" xfId="0" applyNumberFormat="1" applyFont="1" applyFill="1" applyBorder="1" applyAlignment="1">
      <x:alignment wrapText="1"/>
    </x:xf>
    <x:xf numFmtId="0" fontId="27" fillId="0" borderId="13" xfId="0" applyNumberFormat="1" applyFont="1" applyFill="1" applyBorder="1" applyAlignment="1">
      <x:alignment wrapText="1"/>
    </x:xf>
    <x:xf numFmtId="0" fontId="27" fillId="0" borderId="1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8" fillId="5" borderId="0" xfId="0" applyNumberFormat="1" applyFont="1" applyFill="1" applyBorder="1"/>
    <x:xf numFmtId="0" fontId="28" fillId="5" borderId="0" xfId="0" applyNumberFormat="1" applyFont="1" applyFill="1" applyBorder="1" applyAlignment="1">
      <x:alignment vertical="center"/>
    </x:xf>
    <x:xf numFmtId="0" fontId="29" fillId="8" borderId="0" xfId="0" applyNumberFormat="1" applyFont="1" applyFill="1" applyBorder="1"/>
    <x:xf numFmtId="0" fontId="29" fillId="8" borderId="0" xfId="0" applyNumberFormat="1" applyFont="1" applyFill="1" applyBorder="1" applyAlignment="1">
      <x:alignment horizontal="center"/>
    </x:xf>
    <x:xf numFmtId="0" fontId="29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27" fillId="0" borderId="12" xfId="0" applyNumberFormat="1" applyFont="1" applyFill="1" applyBorder="1"/>
    <x:xf numFmtId="0" fontId="27" fillId="0" borderId="13" xfId="0" applyNumberFormat="1" applyFont="1" applyFill="1" applyBorder="1"/>
    <x:xf numFmtId="0" fontId="27" fillId="0" borderId="15" xfId="0" applyNumberFormat="1" applyFont="1" applyFill="1" applyBorder="1"/>
    <x:xf numFmtId="0" fontId="27" fillId="0" borderId="16" xfId="0" applyNumberFormat="1" applyFont="1" applyFill="1" applyBorder="1"/>
    <x:xf numFmtId="0" fontId="27" fillId="0" borderId="18" xfId="0" applyNumberFormat="1" applyFont="1" applyFill="1" applyBorder="1"/>
    <x:xf numFmtId="0" fontId="27" fillId="0" borderId="19" xfId="0" applyNumberFormat="1" applyFont="1" applyFill="1" applyBorder="1"/>
    <x:xf numFmtId="0" fontId="30" fillId="0" borderId="13" xfId="0" applyNumberFormat="1" applyFont="1" applyFill="1" applyBorder="1"/>
    <x:xf numFmtId="0" fontId="30" fillId="0" borderId="16" xfId="0" applyNumberFormat="1" applyFont="1" applyFill="1" applyBorder="1"/>
    <x:xf numFmtId="0" fontId="30" fillId="0" borderId="19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11" fillId="7" borderId="13" xfId="0" applyNumberFormat="1" applyFont="1" applyFill="1" applyBorder="1"/>
    <x:xf numFmtId="0" fontId="11" fillId="7" borderId="14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9" xfId="0" applyNumberFormat="1" applyFont="1" applyFill="1" applyBorder="1"/>
    <x:xf numFmtId="0" fontId="11" fillId="7" borderId="20" xfId="0" applyNumberFormat="1" applyFont="1" applyFill="1" applyBorder="1"/>
    <x:xf numFmtId="0" fontId="11" fillId="7" borderId="13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wrapText="1"/>
    </x:xf>
    <x:xf numFmtId="0" fontId="11" fillId="7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7" fillId="0" borderId="15" xfId="0" applyNumberFormat="1" applyFont="1" applyFill="1" applyBorder="1" applyAlignment="1">
      <x:alignment wrapText="1"/>
    </x:xf>
    <x:xf numFmtId="0" fontId="27" fillId="0" borderId="16" xfId="0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200" fontId="31" fillId="0" borderId="0" xfId="0" applyNumberFormat="1" applyFont="1" applyFill="1" applyBorder="1" applyAlignment="1">
      <x:alignment horizontal="right"/>
    </x:xf>
    <x:xf numFmtId="203" fontId="31" fillId="0" borderId="0" xfId="0" applyNumberFormat="1" applyFont="1" applyFill="1" applyBorder="1" applyAlignment="1">
      <x:alignment horizontal="right"/>
    </x:xf>
    <x:xf numFmtId="0" fontId="32" fillId="0" borderId="0" xfId="0" applyNumberFormat="1" applyFont="1" applyFill="1" applyBorder="1"/>
    <x:xf numFmtId="0" fontId="32" fillId="0" borderId="12" xfId="0" applyNumberFormat="1" applyFont="1" applyFill="1" applyBorder="1"/>
    <x:xf numFmtId="0" fontId="32" fillId="0" borderId="13" xfId="0" applyNumberFormat="1" applyFont="1" applyFill="1" applyBorder="1"/>
    <x:xf numFmtId="0" fontId="32" fillId="0" borderId="14" xfId="0" applyNumberFormat="1" applyFont="1" applyFill="1" applyBorder="1"/>
    <x:xf numFmtId="0" fontId="32" fillId="0" borderId="15" xfId="0" applyNumberFormat="1" applyFont="1" applyFill="1" applyBorder="1"/>
    <x:xf numFmtId="0" fontId="32" fillId="0" borderId="16" xfId="0" applyNumberFormat="1" applyFont="1" applyFill="1" applyBorder="1"/>
    <x:xf numFmtId="0" fontId="32" fillId="0" borderId="17" xfId="0" applyNumberFormat="1" applyFont="1" applyFill="1" applyBorder="1"/>
    <x:xf numFmtId="0" fontId="32" fillId="0" borderId="18" xfId="0" applyNumberFormat="1" applyFont="1" applyFill="1" applyBorder="1"/>
    <x:xf numFmtId="0" fontId="32" fillId="0" borderId="19" xfId="0" applyNumberFormat="1" applyFont="1" applyFill="1" applyBorder="1"/>
    <x:xf numFmtId="0" fontId="32" fillId="0" borderId="20" xfId="0" applyNumberFormat="1" applyFont="1" applyFill="1" applyBorder="1"/>
    <x:xf numFmtId="0" fontId="32" fillId="0" borderId="12" xfId="0" applyNumberFormat="1" applyFont="1" applyFill="1" applyBorder="1" applyAlignment="1">
      <x:alignment wrapText="1"/>
    </x:xf>
    <x:xf numFmtId="0" fontId="32" fillId="0" borderId="13" xfId="0" applyNumberFormat="1" applyFont="1" applyFill="1" applyBorder="1" applyAlignment="1">
      <x:alignment wrapText="1"/>
    </x:xf>
    <x:xf numFmtId="0" fontId="32" fillId="0" borderId="14" xfId="0" applyNumberFormat="1" applyFont="1" applyFill="1" applyBorder="1" applyAlignment="1">
      <x:alignment wrapText="1"/>
    </x:xf>
    <x:xf numFmtId="0" fontId="32" fillId="0" borderId="15" xfId="0" applyNumberFormat="1" applyFont="1" applyFill="1" applyBorder="1" applyAlignment="1">
      <x:alignment wrapText="1"/>
    </x:xf>
    <x:xf numFmtId="0" fontId="32" fillId="0" borderId="16" xfId="0" applyNumberFormat="1" applyFont="1" applyFill="1" applyBorder="1" applyAlignment="1">
      <x:alignment wrapText="1"/>
    </x:xf>
    <x:xf numFmtId="0" fontId="32" fillId="0" borderId="17" xfId="0" applyNumberFormat="1" applyFont="1" applyFill="1" applyBorder="1" applyAlignment="1">
      <x:alignment wrapText="1"/>
    </x:xf>
    <x:xf numFmtId="0" fontId="32" fillId="0" borderId="18" xfId="0" applyNumberFormat="1" applyFont="1" applyFill="1" applyBorder="1" applyAlignment="1">
      <x:alignment wrapText="1"/>
    </x:xf>
    <x:xf numFmtId="0" fontId="32" fillId="0" borderId="19" xfId="0" applyNumberFormat="1" applyFont="1" applyFill="1" applyBorder="1" applyAlignment="1">
      <x:alignment wrapText="1"/>
    </x:xf>
    <x:xf numFmtId="0" fontId="32" fillId="0" borderId="20" xfId="0" applyNumberFormat="1" applyFont="1" applyFill="1" applyBorder="1" applyAlignment="1">
      <x:alignment wrapText="1"/>
    </x:xf>
    <x:xf numFmtId="0" fontId="33" fillId="0" borderId="12" xfId="0" applyNumberFormat="1" applyFont="1" applyFill="1" applyBorder="1" applyAlignment="1">
      <x:alignment wrapText="1"/>
    </x:xf>
    <x:xf numFmtId="0" fontId="34" fillId="0" borderId="13" xfId="0" applyNumberFormat="1" applyFont="1" applyFill="1" applyBorder="1" applyAlignment="1">
      <x:alignment wrapText="1"/>
    </x:xf>
    <x:xf numFmtId="0" fontId="35" fillId="0" borderId="13" xfId="0" applyNumberFormat="1" applyFont="1" applyFill="1" applyBorder="1" applyAlignment="1">
      <x:alignment wrapText="1"/>
    </x:xf>
    <x:xf numFmtId="0" fontId="32" fillId="7" borderId="13" xfId="0" applyNumberFormat="1" applyFont="1" applyFill="1" applyBorder="1" applyAlignment="1">
      <x:alignment wrapText="1"/>
    </x:xf>
    <x:xf numFmtId="0" fontId="32" fillId="8" borderId="13" xfId="0" applyNumberFormat="1" applyFont="1" applyFill="1" applyBorder="1" applyAlignment="1">
      <x:alignment wrapText="1"/>
    </x:xf>
    <x:xf numFmtId="0" fontId="32" fillId="8" borderId="1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F9F8F"/>
      </x:font>
      <x:fill>
        <x:patternFill patternType="solid">
          <x:bgColor rgb="FFE5F6F3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ba0f165e84bbd" /><Relationship Type="http://schemas.openxmlformats.org/officeDocument/2006/relationships/theme" Target="/xl/theme/theme1.xml" Id="R56ffd063a1d0447b" /><Relationship Type="http://schemas.openxmlformats.org/officeDocument/2006/relationships/sharedStrings" Target="/xl/sharedStrings.xml" Id="Ra374c31781b84de0" /><Relationship Type="http://schemas.openxmlformats.org/officeDocument/2006/relationships/worksheet" Target="/xl/worksheets/sheet1.xml" Id="R125b23ca935e44f5" /><Relationship Type="http://schemas.openxmlformats.org/officeDocument/2006/relationships/worksheet" Target="/xl/worksheets/sheet2.xml" Id="R416cd742f60b44d8" /><Relationship Type="http://schemas.openxmlformats.org/officeDocument/2006/relationships/worksheet" Target="/xl/worksheets/sheet3.xml" Id="Rf7afc93bd9d64f5f" /><Relationship Type="http://schemas.openxmlformats.org/officeDocument/2006/relationships/worksheet" Target="/xl/worksheets/sheet4.xml" Id="Rc3f93ef5943b4c92" /><Relationship Type="http://schemas.openxmlformats.org/officeDocument/2006/relationships/worksheet" Target="/xl/worksheets/sheet5.xml" Id="R237a09a8e77b4e31" /><Relationship Type="http://schemas.openxmlformats.org/officeDocument/2006/relationships/worksheet" Target="/xl/worksheets/sheet6.xml" Id="R27c29de73af54135" /><Relationship Type="http://schemas.openxmlformats.org/officeDocument/2006/relationships/worksheet" Target="/xl/worksheets/sheet7.xml" Id="R0a7544c89455468c" /><Relationship Type="http://schemas.openxmlformats.org/officeDocument/2006/relationships/worksheet" Target="/xl/worksheets/sheet8.xml" Id="Rc8f33dbd3ad942f4" /><Relationship Type="http://schemas.openxmlformats.org/officeDocument/2006/relationships/worksheet" Target="/xl/worksheets/sheet9.xml" Id="R647a51babd5f42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9f931ac08945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worth and debt trend</a:t>
            </a:r>
          </a:p>
        </c:rich>
      </c:tx>
    </c:title>
    <c:plotArea>
      <c:lineChart>
        <c:grouping val="standard"/>
        <c:ser>
          <c:idx val="0"/>
          <c:order val="0"/>
          <c:tx>
            <c:v>Net worth</c:v>
          </c:tx>
          <c:marker>
            <c:symbol val="none"/>
          </c:marker>
          <c:cat>
            <c:strRef>
              <c:f>'Summary'!$A$16:$A$27</c:f>
              <c:strCache>
                <c:ptCount val="0"/>
              </c:strCache>
            </c:strRef>
          </c:cat>
          <c:val>
            <c:numRef>
              <c:f>'Summary'!$B$16:$B$27</c:f>
              <c:numCache>
                <c:formatCode>#,##0.0;(#,##0.0);-</c:formatCode>
                <c:ptCount val="0"/>
              </c:numCache>
            </c:numRef>
          </c:val>
        </c:ser>
        <c:ser>
          <c:idx val="1"/>
          <c:order val="1"/>
          <c:tx>
            <c:v>Closing debt</c:v>
          </c:tx>
          <c:marker>
            <c:symbol val="none"/>
          </c:marker>
          <c:cat>
            <c:strRef>
              <c:f>'Summary'!$A$16:$A$27</c:f>
              <c:strCache>
                <c:ptCount val="0"/>
              </c:strCache>
            </c:strRef>
          </c:cat>
          <c:val>
            <c:numRef>
              <c:f>'Summary'!$C$16:$C$27</c:f>
              <c:numCache>
                <c:formatCode>#,##0.0;(#,##0.0);-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;(#,##0.0);-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9f931ac08945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2058b072bb5c4c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TDAT FINANCIAL MODELS</x:v>
      </x:c>
      <x:c r="B1" s="3" t="str">
        <x:v>TDAT FINANCIAL MODELS</x:v>
      </x:c>
      <x:c r="C1" s="3" t="str">
        <x:v>TDAT FINANCIAL MODELS</x:v>
      </x:c>
      <x:c r="D1" s="3" t="str">
        <x:v>TDAT FINANCIAL MODELS</x:v>
      </x:c>
      <x:c r="E1" s="3" t="str">
        <x:v>TDAT FINANCIAL MODELS</x:v>
      </x:c>
      <x:c r="F1" s="3" t="str">
        <x:v>TDAT FINANCIAL MODELS</x:v>
      </x:c>
      <x:c r="G1" s="3" t="str">
        <x:v>TDAT FINANCIAL MODELS</x:v>
      </x:c>
      <x:c r="H1" s="3" t="str">
        <x:v>TDAT FINANCIAL MODELS</x:v>
      </x:c>
      <x:c r="I1" s="3" t="str">
        <x:v>TDAT FINANCIAL MODELS</x:v>
      </x:c>
      <x:c r="J1" s="3" t="str">
        <x:v>TDAT FINANCIAL MODELS</x:v>
      </x:c>
    </x:row>
    <x:row r="2" ht="24" customHeight="1">
      <x:c r="A2" s="6" t="str">
        <x:v>TDAT-FM-PER-001  |  Built to flex. Built to tie. Built to trust.</x:v>
      </x:c>
      <x:c r="B2" s="6" t="str">
        <x:v>TDAT-FM-PER-001  |  Built to flex. Built to tie. Built to trust.</x:v>
      </x:c>
      <x:c r="C2" s="6" t="str">
        <x:v>TDAT-FM-PER-001  |  Built to flex. Built to tie. Built to trust.</x:v>
      </x:c>
      <x:c r="D2" s="6" t="str">
        <x:v>TDAT-FM-PER-001  |  Built to flex. Built to tie. Built to trust.</x:v>
      </x:c>
      <x:c r="E2" s="6" t="str">
        <x:v>TDAT-FM-PER-001  |  Built to flex. Built to tie. Built to trust.</x:v>
      </x:c>
      <x:c r="F2" s="6" t="str">
        <x:v>TDAT-FM-PER-001  |  Built to flex. Built to tie. Built to trust.</x:v>
      </x:c>
      <x:c r="G2" s="6" t="str">
        <x:v>TDAT-FM-PER-001  |  Built to flex. Built to tie. Built to trust.</x:v>
      </x:c>
      <x:c r="H2" s="6" t="str">
        <x:v>TDAT-FM-PER-001  |  Built to flex. Built to tie. Built to trust.</x:v>
      </x:c>
      <x:c r="I2" s="6" t="str">
        <x:v>TDAT-FM-PER-001  |  Built to flex. Built to tie. Built to trust.</x:v>
      </x:c>
      <x:c r="J2" s="6" t="str">
        <x:v>TDAT-FM-PER-001  |  Built to flex. Built to tie. Built to trust.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229" t="str">
        <x:v>Personal Budget &amp; Net Worth</x:v>
      </x:c>
      <x:c r="B5" s="229" t="str">
        <x:v>Personal Budget &amp; Net Worth</x:v>
      </x:c>
      <x:c r="C5" s="229" t="str">
        <x:v>Personal Budget &amp; Net Worth</x:v>
      </x:c>
      <x:c r="D5" s="229" t="str">
        <x:v>Personal Budget &amp; Net Worth</x:v>
      </x:c>
      <x:c r="E5" s="229" t="str">
        <x:v>Personal Budget &amp; Net Worth</x:v>
      </x:c>
      <x:c r="F5" s="229" t="str">
        <x:v>Personal Budget &amp; Net Worth</x:v>
      </x:c>
      <x:c r="G5" s="138" t="str">
        <x:v>CALCULATION INTEGRITY</x:v>
      </x:c>
      <x:c r="H5" s="138" t="str">
        <x:v>CALCULATION INTEGRITY</x:v>
      </x:c>
      <x:c r="I5" s="138" t="str">
        <x:v>CALCULATION INTEGRITY</x:v>
      </x:c>
      <x:c r="J5" s="138" t="str">
        <x:v>CALCULATION INTEGRITY</x:v>
      </x:c>
    </x:row>
    <x:row r="6">
      <x:c r="A6" s="229" t="str">
        <x:v>Personal Budget &amp; Net Worth</x:v>
      </x:c>
      <x:c r="B6" s="229" t="str">
        <x:v>Personal Budget &amp; Net Worth</x:v>
      </x:c>
      <x:c r="C6" s="229" t="str">
        <x:v>Personal Budget &amp; Net Worth</x:v>
      </x:c>
      <x:c r="D6" s="229" t="str">
        <x:v>Personal Budget &amp; Net Worth</x:v>
      </x:c>
      <x:c r="E6" s="229" t="str">
        <x:v>Personal Budget &amp; Net Worth</x:v>
      </x:c>
      <x:c r="F6" s="229" t="str">
        <x:v>Personal Budget &amp; Net Worth</x:v>
      </x:c>
      <x:c r="G6" s="232" t="str">
        <x:f>'Checks'!$B$5</x:f>
        <x:v>PASS</x:v>
      </x:c>
      <x:c r="H6" s="232"/>
      <x:c r="I6" s="232"/>
      <x:c r="J6" s="232"/>
    </x:row>
    <x:row r="7">
      <x:c r="A7" s="229" t="str">
        <x:v>Personal Budget &amp; Net Worth</x:v>
      </x:c>
      <x:c r="B7" s="229" t="str">
        <x:v>Personal Budget &amp; Net Worth</x:v>
      </x:c>
      <x:c r="C7" s="229" t="str">
        <x:v>Personal Budget &amp; Net Worth</x:v>
      </x:c>
      <x:c r="D7" s="229" t="str">
        <x:v>Personal Budget &amp; Net Worth</x:v>
      </x:c>
      <x:c r="E7" s="229" t="str">
        <x:v>Personal Budget &amp; Net Worth</x:v>
      </x:c>
      <x:c r="F7" s="229" t="str">
        <x:v>Personal Budget &amp; Net Worth</x:v>
      </x:c>
      <x:c r="G7" s="232"/>
      <x:c r="H7" s="232"/>
      <x:c r="I7" s="232"/>
      <x:c r="J7" s="232"/>
    </x:row>
    <x:row r="9" ht="22" customHeight="1">
      <x:c r="A9" s="9" t="str">
        <x:v>DECISION QUESTION</x:v>
      </x:c>
      <x:c r="B9" s="9" t="str">
        <x:v>DECISION QUESTION</x:v>
      </x:c>
      <x:c r="C9" s="9" t="str">
        <x:v>DECISION QUESTION</x:v>
      </x:c>
      <x:c r="D9" s="9" t="str">
        <x:v>DECISION QUESTION</x:v>
      </x:c>
      <x:c r="E9" s="9" t="str">
        <x:v>DECISION QUESTION</x:v>
      </x:c>
      <x:c r="F9" s="9" t="str">
        <x:v>DECISION QUESTION</x:v>
      </x:c>
      <x:c r="G9" s="9" t="str">
        <x:v>DECISION QUESTION</x:v>
      </x:c>
      <x:c r="H9" s="9" t="str">
        <x:v>DECISION QUESTION</x:v>
      </x:c>
      <x:c r="I9" s="9" t="str">
        <x:v>DECISION QUESTION</x:v>
      </x:c>
      <x:c r="J9" s="9" t="str">
        <x:v>DECISION QUESTION</x:v>
      </x:c>
    </x:row>
    <x:row r="10">
      <x:c r="A10" s="236" t="str">
        <x:v>How should income, spending, debt, savings, and goals be balanced over time?</x:v>
      </x:c>
      <x:c r="B10" s="236" t="str">
        <x:v>How should income, spending, debt, savings, and goals be balanced over time?</x:v>
      </x:c>
      <x:c r="C10" s="236" t="str">
        <x:v>How should income, spending, debt, savings, and goals be balanced over time?</x:v>
      </x:c>
      <x:c r="D10" s="236" t="str">
        <x:v>How should income, spending, debt, savings, and goals be balanced over time?</x:v>
      </x:c>
      <x:c r="E10" s="236" t="str">
        <x:v>How should income, spending, debt, savings, and goals be balanced over time?</x:v>
      </x:c>
      <x:c r="F10" s="236" t="str">
        <x:v>How should income, spending, debt, savings, and goals be balanced over time?</x:v>
      </x:c>
      <x:c r="G10" s="236" t="str">
        <x:v>How should income, spending, debt, savings, and goals be balanced over time?</x:v>
      </x:c>
      <x:c r="H10" s="236" t="str">
        <x:v>How should income, spending, debt, savings, and goals be balanced over time?</x:v>
      </x:c>
      <x:c r="I10" s="236" t="str">
        <x:v>How should income, spending, debt, savings, and goals be balanced over time?</x:v>
      </x:c>
      <x:c r="J10" s="236" t="str">
        <x:v>How should income, spending, debt, savings, and goals be balanced over time?</x:v>
      </x:c>
    </x:row>
    <x:row r="11">
      <x:c r="A11" s="236" t="str">
        <x:v>How should income, spending, debt, savings, and goals be balanced over time?</x:v>
      </x:c>
      <x:c r="B11" s="236" t="str">
        <x:v>How should income, spending, debt, savings, and goals be balanced over time?</x:v>
      </x:c>
      <x:c r="C11" s="236" t="str">
        <x:v>How should income, spending, debt, savings, and goals be balanced over time?</x:v>
      </x:c>
      <x:c r="D11" s="236" t="str">
        <x:v>How should income, spending, debt, savings, and goals be balanced over time?</x:v>
      </x:c>
      <x:c r="E11" s="236" t="str">
        <x:v>How should income, spending, debt, savings, and goals be balanced over time?</x:v>
      </x:c>
      <x:c r="F11" s="236" t="str">
        <x:v>How should income, spending, debt, savings, and goals be balanced over time?</x:v>
      </x:c>
      <x:c r="G11" s="236" t="str">
        <x:v>How should income, spending, debt, savings, and goals be balanced over time?</x:v>
      </x:c>
      <x:c r="H11" s="236" t="str">
        <x:v>How should income, spending, debt, savings, and goals be balanced over time?</x:v>
      </x:c>
      <x:c r="I11" s="236" t="str">
        <x:v>How should income, spending, debt, savings, and goals be balanced over time?</x:v>
      </x:c>
      <x:c r="J11" s="236" t="str">
        <x:v>How should income, spending, debt, savings, and goals be balanced over time?</x:v>
      </x:c>
    </x:row>
    <x:row r="13" ht="22" customHeight="1">
      <x:c r="A13" s="9" t="str">
        <x:v>FIRST READ</x:v>
      </x:c>
      <x:c r="B13" s="9" t="str">
        <x:v>FIRST READ</x:v>
      </x:c>
      <x:c r="C13" s="9" t="str">
        <x:v>FIRST READ</x:v>
      </x:c>
      <x:c r="D13" s="9" t="str">
        <x:v>FIRST READ</x:v>
      </x:c>
      <x:c r="E13" s="9" t="str">
        <x:v>FIRST READ</x:v>
      </x:c>
      <x:c r="F13" s="9" t="str">
        <x:v>FIRST READ</x:v>
      </x:c>
      <x:c r="G13" s="9" t="str">
        <x:v>FIRST READ</x:v>
      </x:c>
      <x:c r="H13" s="9" t="str">
        <x:v>FIRST READ</x:v>
      </x:c>
      <x:c r="I13" s="9" t="str">
        <x:v>FIRST READ</x:v>
      </x:c>
      <x:c r="J13" s="9" t="str">
        <x:v>FIRST READ</x:v>
      </x:c>
    </x:row>
    <x:row r="14">
      <x:c r="A14" s="237" t="str">
        <x:v>Calculation integrity</x:v>
      </x:c>
      <x:c r="B14" s="238" t="str">
        <x:v>Decision readiness</x:v>
      </x:c>
      <x:c r="C14" s="243" t="str">
        <x:f>'Checks'!$B$5</x:f>
        <x:v>PASS</x:v>
      </x:c>
      <x:c r="D14" s="243"/>
      <x:c r="E14" s="243"/>
      <x:c r="F14" s="258" t="str">
        <x:v>TEMPLATE — VALIDATE INPUTS</x:v>
      </x:c>
      <x:c r="G14" s="258" t="str">
        <x:v>TEMPLATE — VALIDATE INPUTS</x:v>
      </x:c>
      <x:c r="H14" s="258" t="str">
        <x:v>TEMPLATE — VALIDATE INPUTS</x:v>
      </x:c>
      <x:c r="I14" s="258" t="str">
        <x:v>TEMPLATE — VALIDATE INPUTS</x:v>
      </x:c>
      <x:c r="J14" s="259" t="str">
        <x:v>TEMPLATE — VALIDATE INPUTS</x:v>
      </x:c>
    </x:row>
    <x:row r="15">
      <x:c r="A15" s="239" t="str">
        <x:v>Published checks</x:v>
      </x:c>
      <x:c r="B15" s="240" t="str">
        <x:v>Template posture</x:v>
      </x:c>
      <x:c r="C15" s="244" t="str">
        <x:f>"11 / 11 PASS"</x:f>
        <x:v>11 / 11 PASS</x:v>
      </x:c>
      <x:c r="D15" s="244"/>
      <x:c r="E15" s="244"/>
      <x:c r="F15" s="260" t="str">
        <x:v>Illustrative, screen-grade worked example</x:v>
      </x:c>
      <x:c r="G15" s="260" t="str">
        <x:v>Illustrative, screen-grade worked example</x:v>
      </x:c>
      <x:c r="H15" s="260" t="str">
        <x:v>Illustrative, screen-grade worked example</x:v>
      </x:c>
      <x:c r="I15" s="260" t="str">
        <x:v>Illustrative, screen-grade worked example</x:v>
      </x:c>
      <x:c r="J15" s="261" t="str">
        <x:v>Illustrative, screen-grade worked example</x:v>
      </x:c>
    </x:row>
    <x:row r="16">
      <x:c r="A16" s="239" t="str">
        <x:v>Scenario</x:v>
      </x:c>
      <x:c r="B16" s="240" t="str">
        <x:v>Evidence</x:v>
      </x:c>
      <x:c r="C16" s="244" t="str">
        <x:f>'Assumptions'!$B$3</x:f>
        <x:v>Base</x:v>
      </x:c>
      <x:c r="D16" s="244"/>
      <x:c r="E16" s="244"/>
      <x:c r="F16" s="260" t="str">
        <x:v>Synthetic / illustrative</x:v>
      </x:c>
      <x:c r="G16" s="260" t="str">
        <x:v>Synthetic / illustrative</x:v>
      </x:c>
      <x:c r="H16" s="260" t="str">
        <x:v>Synthetic / illustrative</x:v>
      </x:c>
      <x:c r="I16" s="260" t="str">
        <x:v>Synthetic / illustrative</x:v>
      </x:c>
      <x:c r="J16" s="261" t="str">
        <x:v>Synthetic / illustrative</x:v>
      </x:c>
    </x:row>
    <x:row r="17">
      <x:c r="A17" s="241" t="str">
        <x:v>Owner</x:v>
      </x:c>
      <x:c r="B17" s="242" t="str">
        <x:v>Use</x:v>
      </x:c>
      <x:c r="C17" s="245" t="str">
        <x:f>'Sources &amp; Version'!$B$12</x:f>
        <x:v>Truong Dinh Anh Tu</x:v>
      </x:c>
      <x:c r="D17" s="245"/>
      <x:c r="E17" s="245"/>
      <x:c r="F17" s="262" t="str">
        <x:v>Individual / Household · Financial Education / Learner</x:v>
      </x:c>
      <x:c r="G17" s="262" t="str">
        <x:v>Individual / Household · Financial Education / Learner</x:v>
      </x:c>
      <x:c r="H17" s="262" t="str">
        <x:v>Individual / Household · Financial Education / Learner</x:v>
      </x:c>
      <x:c r="I17" s="262" t="str">
        <x:v>Individual / Household · Financial Education / Learner</x:v>
      </x:c>
      <x:c r="J17" s="263" t="str">
        <x:v>Individual / Household · Financial Education / Learner</x:v>
      </x:c>
    </x:row>
    <x:row r="19" ht="22" customHeight="1">
      <x:c r="A19" s="9" t="str">
        <x:v>MODEL IDENTITY</x:v>
      </x:c>
      <x:c r="B19" s="9" t="str">
        <x:v>MODEL IDENTITY</x:v>
      </x:c>
      <x:c r="C19" s="9" t="str">
        <x:v>MODEL IDENTITY</x:v>
      </x:c>
      <x:c r="D19" s="9" t="str">
        <x:v>MODEL IDENTITY</x:v>
      </x:c>
      <x:c r="E19" s="9" t="str">
        <x:v>MODEL IDENTITY</x:v>
      </x:c>
      <x:c r="F19" s="9" t="str">
        <x:v>MODEL IDENTITY</x:v>
      </x:c>
      <x:c r="G19" s="9" t="str">
        <x:v>KEY OUTPUTS</x:v>
      </x:c>
      <x:c r="H19" s="9" t="str">
        <x:v>KEY OUTPUTS</x:v>
      </x:c>
      <x:c r="I19" s="9" t="str">
        <x:v>KEY OUTPUTS</x:v>
      </x:c>
      <x:c r="J19" s="9" t="str">
        <x:v>KEY OUTPUTS</x:v>
      </x:c>
    </x:row>
    <x:row r="20">
      <x:c r="A20" s="218" t="str">
        <x:v>Model ID</x:v>
      </x:c>
      <x:c r="B20" s="151" t="str">
        <x:v>TDAT-FM-PER-001</x:v>
      </x:c>
      <x:c r="C20" s="220" t="str">
        <x:v>Version</x:v>
      </x:c>
      <x:c r="D20" s="151" t="str">
        <x:v>1.0.0</x:v>
      </x:c>
      <x:c r="E20" s="220" t="str">
        <x:v>Last QA</x:v>
      </x:c>
      <x:c r="F20" s="152" t="str">
        <x:v>2026-07-13</x:v>
      </x:c>
      <x:c r="G20" s="267" t="str">
        <x:v>Ending net worth</x:v>
      </x:c>
      <x:c r="H20" s="267" t="str">
        <x:v>Ending net worth</x:v>
      </x:c>
      <x:c r="I20" s="268" t="n">
        <x:f>'Budget &amp; Net Worth'!M$18</x:f>
        <x:v>44.82989502639249</x:v>
      </x:c>
      <x:c r="J20" s="268"/>
    </x:row>
    <x:row r="21">
      <x:c r="A21" s="265" t="str">
        <x:v>Domain</x:v>
      </x:c>
      <x:c r="B21" s="154" t="str">
        <x:v>Personal Finance</x:v>
      </x:c>
      <x:c r="C21" s="266" t="str">
        <x:v>Compatibility</x:v>
      </x:c>
      <x:c r="D21" s="154" t="str">
        <x:v>Excel 365</x:v>
      </x:c>
      <x:c r="E21" s="266" t="str">
        <x:v>Macros</x:v>
      </x:c>
      <x:c r="F21" s="155" t="str">
        <x:v>None</x:v>
      </x:c>
      <x:c r="G21" s="267" t="str">
        <x:v>Ending cash</x:v>
      </x:c>
      <x:c r="H21" s="267" t="str">
        <x:v>Ending cash</x:v>
      </x:c>
      <x:c r="I21" s="268" t="n">
        <x:f>'Budget &amp; Net Worth'!M$14</x:f>
        <x:v>33.300000000000004</x:v>
      </x:c>
      <x:c r="J21" s="268"/>
    </x:row>
    <x:row r="22">
      <x:c r="A22" s="265" t="str">
        <x:v>Horizon</x:v>
      </x:c>
      <x:c r="B22" s="154" t="str">
        <x:v>Monthly + 10 years</x:v>
      </x:c>
      <x:c r="C22" s="266" t="str">
        <x:v>Frequency</x:v>
      </x:c>
      <x:c r="D22" s="154" t="str">
        <x:v>Monthly</x:v>
      </x:c>
      <x:c r="E22" s="266" t="str">
        <x:v>External links</x:v>
      </x:c>
      <x:c r="F22" s="155" t="str">
        <x:v>None</x:v>
      </x:c>
      <x:c r="G22" s="267" t="str">
        <x:v>Ending investments</x:v>
      </x:c>
      <x:c r="H22" s="267" t="str">
        <x:v>Ending investments</x:v>
      </x:c>
      <x:c r="I22" s="268" t="n">
        <x:f>'Budget &amp; Net Worth'!M$17</x:f>
        <x:v>33.56911861018991</x:v>
      </x:c>
      <x:c r="J22" s="268"/>
    </x:row>
    <x:row r="23">
      <x:c r="A23" s="265" t="str">
        <x:v>Currency</x:v>
      </x:c>
      <x:c r="B23" s="154" t="str">
        <x:v>LCY</x:v>
      </x:c>
      <x:c r="C23" s="266" t="str">
        <x:v>Units</x:v>
      </x:c>
      <x:c r="D23" s="154" t="str">
        <x:v>LCY</x:v>
      </x:c>
      <x:c r="E23" s="266" t="str">
        <x:v>Scenario</x:v>
      </x:c>
      <x:c r="F23" s="155" t="str">
        <x:v>Base / Upside / Downside</x:v>
      </x:c>
      <x:c r="G23" s="267" t="str">
        <x:v>Ending debt</x:v>
      </x:c>
      <x:c r="H23" s="267" t="str">
        <x:v>Ending debt</x:v>
      </x:c>
      <x:c r="I23" s="268" t="n">
        <x:f>'Budget &amp; Net Worth'!M$11</x:f>
        <x:v>22.039223583797423</x:v>
      </x:c>
      <x:c r="J23" s="268"/>
    </x:row>
    <x:row r="24">
      <x:c r="A24" s="219" t="str">
        <x:v>Owner</x:v>
      </x:c>
      <x:c r="B24" s="157" t="str">
        <x:v>Truong Dinh Anh Tu</x:v>
      </x:c>
      <x:c r="C24" s="221" t="str">
        <x:v>Standard</x:v>
      </x:c>
      <x:c r="D24" s="157" t="str">
        <x:v>TDAT Model Standard 1.0</x:v>
      </x:c>
      <x:c r="E24" s="221" t="str">
        <x:v>Evidence</x:v>
      </x:c>
      <x:c r="F24" s="158" t="str">
        <x:v>Synthetic worked template</x:v>
      </x:c>
      <x:c r="G24" s="267" t="str">
        <x:v>Emergency-fund months</x:v>
      </x:c>
      <x:c r="H24" s="267" t="str">
        <x:v>Emergency-fund months</x:v>
      </x:c>
      <x:c r="I24" s="269" t="n">
        <x:f>'Budget &amp; Net Worth'!M$19</x:f>
        <x:v>8.024096385542169</x:v>
      </x:c>
      <x:c r="J24" s="269"/>
    </x:row>
    <x:row r="26" ht="22" customHeight="1">
      <x:c r="A26" s="9" t="str">
        <x:v>CELL COLOR LEGEND</x:v>
      </x:c>
      <x:c r="B26" s="9" t="str">
        <x:v>CELL COLOR LEGEND</x:v>
      </x:c>
      <x:c r="C26" s="9" t="str">
        <x:v>CELL COLOR LEGEND</x:v>
      </x:c>
      <x:c r="D26" s="9" t="str">
        <x:v>CELL COLOR LEGEND</x:v>
      </x:c>
      <x:c r="E26" s="9" t="str">
        <x:v>CELL COLOR LEGEND</x:v>
      </x:c>
      <x:c r="F26" s="9" t="str">
        <x:v>CELL COLOR LEGEND</x:v>
      </x:c>
      <x:c r="G26" s="9" t="str">
        <x:v>CELL COLOR LEGEND</x:v>
      </x:c>
      <x:c r="H26" s="9" t="str">
        <x:v>CELL COLOR LEGEND</x:v>
      </x:c>
      <x:c r="I26" s="9" t="str">
        <x:v>CELL COLOR LEGEND</x:v>
      </x:c>
      <x:c r="J26" s="9" t="str">
        <x:v>CELL COLOR LEGEND</x:v>
      </x:c>
    </x:row>
    <x:row r="27">
      <x:c r="A27" s="289" t="str">
        <x:v>Blue font</x:v>
      </x:c>
      <x:c r="B27" s="281" t="str">
        <x:v>Editable hardcode</x:v>
      </x:c>
      <x:c r="C27" s="290" t="str">
        <x:v>Black font</x:v>
      </x:c>
      <x:c r="D27" s="281" t="str">
        <x:v>In-sheet formula</x:v>
      </x:c>
      <x:c r="E27" s="291" t="str">
        <x:v>Green font</x:v>
      </x:c>
      <x:c r="F27" s="281" t="str">
        <x:v>Cross-sheet formula</x:v>
      </x:c>
      <x:c r="G27" s="292" t="str">
        <x:v>Pale amber</x:v>
      </x:c>
      <x:c r="H27" s="292" t="str">
        <x:v>Scenario / review cue</x:v>
      </x:c>
      <x:c r="I27" s="293" t="str">
        <x:v>Teal</x:v>
      </x:c>
      <x:c r="J27" s="294" t="str">
        <x:v>PASS / trusted output</x:v>
      </x:c>
    </x:row>
    <x:row r="28">
      <x:c r="A28" s="283" t="str">
        <x:v>Actual</x:v>
      </x:c>
      <x:c r="B28" s="284" t="str">
        <x:v>Neutral period band</x:v>
      </x:c>
      <x:c r="C28" s="284" t="str">
        <x:v>Forecast</x:v>
      </x:c>
      <x:c r="D28" s="284" t="str">
        <x:v>Pale-blue period band</x:v>
      </x:c>
      <x:c r="E28" s="284" t="str">
        <x:v>Zero</x:v>
      </x:c>
      <x:c r="F28" s="284" t="str">
        <x:v>Displayed as an en dash</x:v>
      </x:c>
      <x:c r="G28" s="284" t="str">
        <x:v>Rule</x:v>
      </x:c>
      <x:c r="H28" s="284" t="str">
        <x:v>Keep formulas copy-across</x:v>
      </x:c>
      <x:c r="I28" s="284" t="str">
        <x:v>Rule</x:v>
      </x:c>
      <x:c r="J28" s="285" t="str">
        <x:v>Recheck after every change</x:v>
      </x:c>
    </x:row>
    <x:row r="29">
      <x:c r="A29" s="286" t="str">
        <x:v>Status</x:v>
      </x:c>
      <x:c r="B29" s="287" t="str">
        <x:v>PASS means controls tie</x:v>
      </x:c>
      <x:c r="C29" s="287" t="str">
        <x:v>Readiness</x:v>
      </x:c>
      <x:c r="D29" s="287" t="str">
        <x:v>Inputs still require review</x:v>
      </x:c>
      <x:c r="E29" s="287" t="str">
        <x:v>Privacy</x:v>
      </x:c>
      <x:c r="F29" s="287" t="str">
        <x:v>Public-safe example</x:v>
      </x:c>
      <x:c r="G29" s="287" t="str">
        <x:v>Use</x:v>
      </x:c>
      <x:c r="H29" s="287" t="str">
        <x:v>Adapt and validate</x:v>
      </x:c>
      <x:c r="I29" s="287" t="str">
        <x:v>Support</x:v>
      </x:c>
      <x:c r="J29" s="288" t="str">
        <x:v>Model notes + web guide</x:v>
      </x:c>
    </x:row>
    <x:row r="31">
      <x:c r="A31" s="42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B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C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D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E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F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G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H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I31" s="43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J31" s="44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</x:row>
    <x:row r="32">
      <x:c r="A32" s="45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B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C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D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E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F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G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H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I32" s="46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J32" s="47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</x:row>
    <x:row r="33">
      <x:c r="A33" s="48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B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C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D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E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F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G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H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I33" s="49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  <x:c r="J33" s="50" t="str">
        <x:v>Illustrative template — replace synthetic inputs and validate the model method, accounting, assumptions, sources, and outputs before decision use. Calculation integrity PASS covers 11 published controls; it is not independent certification or professional advice.</x:v>
      </x:c>
    </x:row>
    <x:row r="35">
      <x:c r="A35" s="53" t="str">
        <x:v>TDAT Model Library  |  Trust builds the brand. Insight builds the decision.</x:v>
      </x:c>
      <x:c r="B35" s="53" t="str">
        <x:v>TDAT Model Library  |  Trust builds the brand. Insight builds the decision.</x:v>
      </x:c>
      <x:c r="C35" s="53" t="str">
        <x:v>TDAT Model Library  |  Trust builds the brand. Insight builds the decision.</x:v>
      </x:c>
      <x:c r="D35" s="53" t="str">
        <x:v>TDAT Model Library  |  Trust builds the brand. Insight builds the decision.</x:v>
      </x:c>
      <x:c r="E35" s="53" t="str">
        <x:v>TDAT Model Library  |  Trust builds the brand. Insight builds the decision.</x:v>
      </x:c>
      <x:c r="F35" s="53" t="str">
        <x:v>TDAT Model Library  |  Trust builds the brand. Insight builds the decision.</x:v>
      </x:c>
      <x:c r="G35" s="53" t="str">
        <x:v>TDAT Model Library  |  Trust builds the brand. Insight builds the decision.</x:v>
      </x:c>
      <x:c r="H35" s="53" t="str">
        <x:v>TDAT Model Library  |  Trust builds the brand. Insight builds the decision.</x:v>
      </x:c>
      <x:c r="I35" s="53" t="str">
        <x:v>TDAT Model Library  |  Trust builds the brand. Insight builds the decision.</x:v>
      </x:c>
      <x:c r="J35" s="53" t="str">
        <x:v>TDAT Model Library  |  Trust builds the brand. Insight builds the decision.</x:v>
      </x:c>
    </x:row>
  </x:sheetData>
  <x:mergeCells>
    <x:mergeCell ref="A1:J1"/>
    <x:mergeCell ref="A2:J2"/>
    <x:mergeCell ref="A5:F7"/>
    <x:mergeCell ref="G5:J5"/>
    <x:mergeCell ref="G6:J7"/>
    <x:mergeCell ref="A9:J9"/>
    <x:mergeCell ref="A10:J11"/>
    <x:mergeCell ref="A13:J13"/>
    <x:mergeCell ref="C14:E14"/>
    <x:mergeCell ref="F14:J14"/>
    <x:mergeCell ref="C15:E15"/>
    <x:mergeCell ref="F15:J15"/>
    <x:mergeCell ref="C16:E16"/>
    <x:mergeCell ref="F16:J16"/>
    <x:mergeCell ref="C17:E17"/>
    <x:mergeCell ref="F17:J17"/>
    <x:mergeCell ref="A19:J19"/>
    <x:mergeCell ref="G19:J19"/>
    <x:mergeCell ref="G20:H20"/>
    <x:mergeCell ref="I20:J20"/>
    <x:mergeCell ref="G21:H21"/>
    <x:mergeCell ref="I21:J21"/>
    <x:mergeCell ref="G22:H22"/>
    <x:mergeCell ref="I22:J22"/>
    <x:mergeCell ref="G23:H23"/>
    <x:mergeCell ref="I23:J23"/>
    <x:mergeCell ref="G24:H24"/>
    <x:mergeCell ref="I24:J24"/>
    <x:mergeCell ref="A26:J26"/>
    <x:mergeCell ref="A31:J33"/>
    <x:mergeCell ref="A35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4" customHeight="1">
      <x:c r="A1" s="3" t="str">
        <x:v>MODEL GUIDE</x:v>
      </x:c>
      <x:c r="B1" s="3" t="str">
        <x:v>MODEL GUIDE</x:v>
      </x:c>
      <x:c r="C1" s="3" t="str">
        <x:v>MODEL GUIDE</x:v>
      </x:c>
      <x:c r="D1" s="3" t="str">
        <x:v>MODEL GUIDE</x:v>
      </x:c>
      <x:c r="E1" s="3" t="str">
        <x:v>MODEL GUIDE</x:v>
      </x:c>
      <x:c r="F1" s="3" t="str">
        <x:v>MODEL GUIDE</x:v>
      </x:c>
      <x:c r="G1" s="3" t="str">
        <x:v>MODEL GUIDE</x:v>
      </x:c>
      <x:c r="H1" s="3" t="str">
        <x:v>MODEL GUIDE</x:v>
      </x:c>
      <x:c r="I1" s="3" t="str">
        <x:v>MODEL GUIDE</x:v>
      </x:c>
      <x:c r="J1" s="3" t="str">
        <x:v>MODEL GUIDE</x:v>
      </x:c>
    </x:row>
    <x:row r="2" ht="24" customHeight="1">
      <x:c r="A2" s="6" t="str">
        <x:v>Personal Budget &amp; Net Worth  |  Scope, setup, flexibility, and limitations</x:v>
      </x:c>
      <x:c r="B2" s="6" t="str">
        <x:v>Personal Budget &amp; Net Worth  |  Scope, setup, flexibility, and limitations</x:v>
      </x:c>
      <x:c r="C2" s="6" t="str">
        <x:v>Personal Budget &amp; Net Worth  |  Scope, setup, flexibility, and limitations</x:v>
      </x:c>
      <x:c r="D2" s="6" t="str">
        <x:v>Personal Budget &amp; Net Worth  |  Scope, setup, flexibility, and limitations</x:v>
      </x:c>
      <x:c r="E2" s="6" t="str">
        <x:v>Personal Budget &amp; Net Worth  |  Scope, setup, flexibility, and limitations</x:v>
      </x:c>
      <x:c r="F2" s="6" t="str">
        <x:v>Personal Budget &amp; Net Worth  |  Scope, setup, flexibility, and limitations</x:v>
      </x:c>
      <x:c r="G2" s="6" t="str">
        <x:v>Personal Budget &amp; Net Worth  |  Scope, setup, flexibility, and limitations</x:v>
      </x:c>
      <x:c r="H2" s="6" t="str">
        <x:v>Personal Budget &amp; Net Worth  |  Scope, setup, flexibility, and limitations</x:v>
      </x:c>
      <x:c r="I2" s="6" t="str">
        <x:v>Personal Budget &amp; Net Worth  |  Scope, setup, flexibility, and limitations</x:v>
      </x:c>
      <x:c r="J2" s="6" t="str">
        <x:v>Personal Budget &amp; Net Worth  |  Scope, setup, flexibility, and limitations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PURPOSE AND USERS</x:v>
      </x:c>
      <x:c r="B5" s="9" t="str">
        <x:v>PURPOSE AND USERS</x:v>
      </x:c>
      <x:c r="C5" s="9" t="str">
        <x:v>PURPOSE AND USERS</x:v>
      </x:c>
      <x:c r="D5" s="9" t="str">
        <x:v>PURPOSE AND USERS</x:v>
      </x:c>
      <x:c r="E5" s="9" t="str">
        <x:v>PURPOSE AND USERS</x:v>
      </x:c>
      <x:c r="F5" s="9" t="str">
        <x:v>PURPOSE AND USERS</x:v>
      </x:c>
      <x:c r="G5" s="9" t="str">
        <x:v>PURPOSE AND USERS</x:v>
      </x:c>
      <x:c r="H5" s="9" t="str">
        <x:v>PURPOSE AND USERS</x:v>
      </x:c>
      <x:c r="I5" s="9" t="str">
        <x:v>PURPOSE AND USERS</x:v>
      </x:c>
      <x:c r="J5" s="9" t="str">
        <x:v>PURPOSE AND USERS</x:v>
      </x:c>
    </x:row>
    <x:row r="6">
      <x:c r="A6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B6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C6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D6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E6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F6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G6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H6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I6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J6" s="12" t="str">
        <x:v>Monthly cash flow, net worth, debt payoff, emergency fund, and goal-tracking template for educational use.
Primary users: Individual / Household, Financial Education / Learner. Typical use: Budget, Net worth, Debt payoff.</x:v>
      </x:c>
    </x:row>
    <x:row r="7">
      <x:c r="A7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B7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C7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D7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E7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F7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G7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H7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I7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J7" s="12" t="str">
        <x:v>Monthly cash flow, net worth, debt payoff, emergency fund, and goal-tracking template for educational use.
Primary users: Individual / Household, Financial Education / Learner. Typical use: Budget, Net worth, Debt payoff.</x:v>
      </x:c>
    </x:row>
    <x:row r="8">
      <x:c r="A8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B8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C8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D8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E8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F8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G8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H8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I8" s="12" t="str">
        <x:v>Monthly cash flow, net worth, debt payoff, emergency fund, and goal-tracking template for educational use.
Primary users: Individual / Household, Financial Education / Learner. Typical use: Budget, Net worth, Debt payoff.</x:v>
      </x:c>
      <x:c r="J8" s="12" t="str">
        <x:v>Monthly cash flow, net worth, debt payoff, emergency fund, and goal-tracking template for educational use.
Primary users: Individual / Household, Financial Education / Learner. Typical use: Budget, Net worth, Debt payoff.</x:v>
      </x:c>
    </x:row>
    <x:row r="10" ht="22" customHeight="1">
      <x:c r="A10" s="9" t="str">
        <x:v>QUICK START</x:v>
      </x:c>
      <x:c r="B10" s="9" t="str">
        <x:v>QUICK START</x:v>
      </x:c>
      <x:c r="C10" s="9" t="str">
        <x:v>QUICK START</x:v>
      </x:c>
      <x:c r="D10" s="9" t="str">
        <x:v>QUICK START</x:v>
      </x:c>
      <x:c r="E10" s="9" t="str">
        <x:v>QUICK START</x:v>
      </x:c>
      <x:c r="F10" s="9" t="str">
        <x:v>QUICK START</x:v>
      </x:c>
      <x:c r="G10" s="9" t="str">
        <x:v>QUICK START</x:v>
      </x:c>
      <x:c r="H10" s="9" t="str">
        <x:v>QUICK START</x:v>
      </x:c>
      <x:c r="I10" s="9" t="str">
        <x:v>QUICK START</x:v>
      </x:c>
      <x:c r="J10" s="9" t="str">
        <x:v>QUICK START</x:v>
      </x:c>
    </x:row>
    <x:row r="11" ht="30" customHeight="1">
      <x:c r="A11" s="14" t="str">
        <x:v>01</x:v>
      </x:c>
      <x:c r="B11" s="15" t="str">
        <x:v>Confirm the decision</x:v>
      </x:c>
      <x:c r="C11" s="17" t="str">
        <x:v>How should income, spending, debt, savings, and goals be balanced over time?</x:v>
      </x:c>
      <x:c r="D11" s="17" t="str"/>
      <x:c r="E11" s="17" t="str"/>
      <x:c r="F11" s="17" t="str"/>
      <x:c r="G11" s="17" t="str"/>
      <x:c r="H11" s="17" t="str"/>
      <x:c r="I11" s="17" t="str"/>
      <x:c r="J11" s="17" t="str"/>
    </x:row>
    <x:row r="12" ht="30" customHeight="1">
      <x:c r="A12" s="14" t="str">
        <x:v>02</x:v>
      </x:c>
      <x:c r="B12" s="15" t="str">
        <x:v>Set model controls</x:v>
      </x:c>
      <x:c r="C12" s="17" t="str">
        <x:v>Select Base, Upside, or Downside; confirm currency, units, horizon, and calculation method.</x:v>
      </x:c>
      <x:c r="D12" s="17" t="str"/>
      <x:c r="E12" s="17" t="str"/>
      <x:c r="F12" s="17" t="str"/>
      <x:c r="G12" s="17" t="str"/>
      <x:c r="H12" s="17" t="str"/>
      <x:c r="I12" s="17" t="str"/>
      <x:c r="J12" s="17" t="str"/>
    </x:row>
    <x:row r="13" ht="30" customHeight="1">
      <x:c r="A13" s="14" t="str">
        <x:v>03</x:v>
      </x:c>
      <x:c r="B13" s="15" t="str">
        <x:v>Replace blue inputs</x:v>
      </x:c>
      <x:c r="C13" s="17" t="str">
        <x:v>Update the synthetic values on Monthly Inputs and the scenario drivers on Assumptions.</x:v>
      </x:c>
      <x:c r="D13" s="17" t="str"/>
      <x:c r="E13" s="17" t="str"/>
      <x:c r="F13" s="17" t="str"/>
      <x:c r="G13" s="17" t="str"/>
      <x:c r="H13" s="17" t="str"/>
      <x:c r="I13" s="17" t="str"/>
      <x:c r="J13" s="17" t="str"/>
    </x:row>
    <x:row r="14" ht="30" customHeight="1">
      <x:c r="A14" s="14" t="str">
        <x:v>04</x:v>
      </x:c>
      <x:c r="B14" s="15" t="str">
        <x:v>Review the engine</x:v>
      </x:c>
      <x:c r="C14" s="17" t="str">
        <x:v>Trace the calculations on Budget &amp; Net Worth; challenge definitions, signs, timing, and edge cases.</x:v>
      </x:c>
      <x:c r="D14" s="17" t="str"/>
      <x:c r="E14" s="17" t="str"/>
      <x:c r="F14" s="17" t="str"/>
      <x:c r="G14" s="17" t="str"/>
      <x:c r="H14" s="17" t="str"/>
      <x:c r="I14" s="17" t="str"/>
      <x:c r="J14" s="17" t="str"/>
    </x:row>
    <x:row r="15" ht="30" customHeight="1">
      <x:c r="A15" s="14" t="str">
        <x:v>05</x:v>
      </x:c>
      <x:c r="B15" s="15" t="str">
        <x:v>Use the summary</x:v>
      </x:c>
      <x:c r="C15" s="17" t="str">
        <x:v>Read headline outputs, sensitivities, breakpoints, and the owner/action prompts.</x:v>
      </x:c>
      <x:c r="D15" s="17" t="str"/>
      <x:c r="E15" s="17" t="str"/>
      <x:c r="F15" s="17" t="str"/>
      <x:c r="G15" s="17" t="str"/>
      <x:c r="H15" s="17" t="str"/>
      <x:c r="I15" s="17" t="str"/>
      <x:c r="J15" s="17" t="str"/>
    </x:row>
    <x:row r="16" ht="30" customHeight="1">
      <x:c r="A16" s="14" t="str">
        <x:v>06</x:v>
      </x:c>
      <x:c r="B16" s="15" t="str">
        <x:v>Resolve Checks</x:v>
      </x:c>
      <x:c r="C16" s="17" t="str">
        <x:v>Do not rely on the output until every published control passes and source readiness is reviewed.</x:v>
      </x:c>
      <x:c r="D16" s="17" t="str"/>
      <x:c r="E16" s="17" t="str"/>
      <x:c r="F16" s="17" t="str"/>
      <x:c r="G16" s="17" t="str"/>
      <x:c r="H16" s="17" t="str"/>
      <x:c r="I16" s="17" t="str"/>
      <x:c r="J16" s="17" t="str"/>
    </x:row>
    <x:row r="18" ht="22" customHeight="1">
      <x:c r="A18" s="9" t="str">
        <x:v>WORKBOOK MAP</x:v>
      </x:c>
      <x:c r="B18" s="9" t="str">
        <x:v>WORKBOOK MAP</x:v>
      </x:c>
      <x:c r="C18" s="9" t="str">
        <x:v>WORKBOOK MAP</x:v>
      </x:c>
      <x:c r="D18" s="9" t="str">
        <x:v>WORKBOOK MAP</x:v>
      </x:c>
      <x:c r="E18" s="9" t="str">
        <x:v>WORKBOOK MAP</x:v>
      </x:c>
      <x:c r="F18" s="9" t="str">
        <x:v>WORKBOOK MAP</x:v>
      </x:c>
      <x:c r="G18" s="9" t="str">
        <x:v>WORKBOOK MAP</x:v>
      </x:c>
      <x:c r="H18" s="9" t="str">
        <x:v>WORKBOOK MAP</x:v>
      </x:c>
      <x:c r="I18" s="9" t="str">
        <x:v>WORKBOOK MAP</x:v>
      </x:c>
      <x:c r="J18" s="9" t="str">
        <x:v>WORKBOOK MAP</x:v>
      </x:c>
    </x:row>
    <x:row r="19">
      <x:c r="A19" s="19" t="str">
        <x:v>Cover</x:v>
      </x:c>
      <x:c r="B19" s="17" t="str">
        <x:v>First-read status, model identity, key outputs, readiness, and cell-color legend.</x:v>
      </x:c>
      <x:c r="C19" s="17" t="str"/>
      <x:c r="D19" s="17" t="str"/>
      <x:c r="E19" s="17" t="str"/>
      <x:c r="F19" s="17" t="str"/>
      <x:c r="G19" s="17" t="str"/>
      <x:c r="H19" s="17" t="str"/>
      <x:c r="I19" s="17" t="str"/>
      <x:c r="J19" s="17" t="str"/>
    </x:row>
    <x:row r="20">
      <x:c r="A20" s="19" t="str">
        <x:v>Guide</x:v>
      </x:c>
      <x:c r="B20" s="17" t="str">
        <x:v>Purpose, quick start, workbook map, flexibility rules, Q&amp;A, and limitations.</x:v>
      </x:c>
      <x:c r="C20" s="17" t="str"/>
      <x:c r="D20" s="17" t="str"/>
      <x:c r="E20" s="17" t="str"/>
      <x:c r="F20" s="17" t="str"/>
      <x:c r="G20" s="17" t="str"/>
      <x:c r="H20" s="17" t="str"/>
      <x:c r="I20" s="17" t="str"/>
      <x:c r="J20" s="17" t="str"/>
    </x:row>
    <x:row r="21">
      <x:c r="A21" s="19" t="str">
        <x:v>Assumptions</x:v>
      </x:c>
      <x:c r="B21" s="17" t="str">
        <x:v>Base, Upside, Downside, selector, units, and selected driver values.</x:v>
      </x:c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</x:row>
    <x:row r="22">
      <x:c r="A22" s="19" t="str">
        <x:v>Monthly Inputs</x:v>
      </x:c>
      <x:c r="B22" s="17" t="str">
        <x:v>Synthetic worked source inputs. Replace blue cells and keep the layout or extend it carefully.</x:v>
      </x:c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</x:row>
    <x:row r="23">
      <x:c r="A23" s="19" t="str">
        <x:v>Budget &amp; Net Worth</x:v>
      </x:c>
      <x:c r="B23" s="17" t="str">
        <x:v>Formula-driven calculations and core finance mechanics.</x:v>
      </x:c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</x:row>
    <x:row r="24">
      <x:c r="A24" s="19" t="str">
        <x:v>Sensitivity</x:v>
      </x:c>
      <x:c r="B24" s="17" t="str">
        <x:v>Income change × Expense change recalculation of Ending net worth.</x:v>
      </x:c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</x:row>
    <x:row r="25">
      <x:c r="A25" s="19" t="str">
        <x:v>Summary</x:v>
      </x:c>
      <x:c r="B25" s="17" t="str">
        <x:v>Decision KPIs, trend, scenario, status, management questions, and next actions.</x:v>
      </x:c>
      <x:c r="C25" s="17" t="str"/>
      <x:c r="D25" s="17" t="str"/>
      <x:c r="E25" s="17" t="str"/>
      <x:c r="F25" s="17" t="str"/>
      <x:c r="G25" s="17" t="str"/>
      <x:c r="H25" s="17" t="str"/>
      <x:c r="I25" s="17" t="str"/>
      <x:c r="J25" s="17" t="str"/>
    </x:row>
    <x:row r="26">
      <x:c r="A26" s="19" t="str">
        <x:v>Checks</x:v>
      </x:c>
      <x:c r="B26" s="17" t="str">
        <x:v>One assertion per row with actual, expected, difference, tolerance, status, and fix location.</x:v>
      </x:c>
      <x:c r="C26" s="17" t="str"/>
      <x:c r="D26" s="17" t="str"/>
      <x:c r="E26" s="17" t="str"/>
      <x:c r="F26" s="17" t="str"/>
      <x:c r="G26" s="17" t="str"/>
      <x:c r="H26" s="17" t="str"/>
      <x:c r="I26" s="17" t="str"/>
      <x:c r="J26" s="17" t="str"/>
    </x:row>
    <x:row r="27">
      <x:c r="A27" s="19" t="str">
        <x:v>Sources &amp; Version</x:v>
      </x:c>
      <x:c r="B27" s="17" t="str">
        <x:v>Source/assumption register, release facts, version history, distribution and privacy notes.</x:v>
      </x:c>
      <x:c r="C27" s="17" t="str"/>
      <x:c r="D27" s="17" t="str"/>
      <x:c r="E27" s="17" t="str"/>
      <x:c r="F27" s="17" t="str"/>
      <x:c r="G27" s="17" t="str"/>
      <x:c r="H27" s="17" t="str"/>
      <x:c r="I27" s="17" t="str"/>
      <x:c r="J27" s="17" t="str"/>
    </x:row>
    <x:row r="29" ht="22" customHeight="1">
      <x:c r="A29" s="9" t="str">
        <x:v>PRACTICAL Q&amp;A</x:v>
      </x:c>
      <x:c r="B29" s="9" t="str">
        <x:v>PRACTICAL Q&amp;A</x:v>
      </x:c>
      <x:c r="C29" s="9" t="str">
        <x:v>PRACTICAL Q&amp;A</x:v>
      </x:c>
      <x:c r="D29" s="9" t="str">
        <x:v>PRACTICAL Q&amp;A</x:v>
      </x:c>
      <x:c r="E29" s="9" t="str">
        <x:v>PRACTICAL Q&amp;A</x:v>
      </x:c>
      <x:c r="F29" s="9" t="str">
        <x:v>PRACTICAL Q&amp;A</x:v>
      </x:c>
      <x:c r="G29" s="9" t="str">
        <x:v>PRACTICAL Q&amp;A</x:v>
      </x:c>
      <x:c r="H29" s="9" t="str">
        <x:v>PRACTICAL Q&amp;A</x:v>
      </x:c>
      <x:c r="I29" s="9" t="str">
        <x:v>PRACTICAL Q&amp;A</x:v>
      </x:c>
      <x:c r="J29" s="9" t="str">
        <x:v>PRACTICAL Q&amp;A</x:v>
      </x:c>
    </x:row>
    <x:row r="30" ht="34" customHeight="1">
      <x:c r="A30" s="22" t="str">
        <x:v>What should I replace first?</x:v>
      </x:c>
      <x:c r="B30" s="17" t="str">
        <x:v>Replace blue cells on Monthly Inputs, then review scenario drivers and selected values on Assumptions.</x:v>
      </x:c>
      <x:c r="C30" s="17" t="str"/>
      <x:c r="D30" s="17" t="str"/>
      <x:c r="E30" s="17" t="str"/>
      <x:c r="F30" s="17" t="str"/>
      <x:c r="G30" s="17" t="str"/>
      <x:c r="H30" s="17" t="str"/>
      <x:c r="I30" s="17" t="str"/>
      <x:c r="J30" s="17" t="str"/>
    </x:row>
    <x:row r="31" ht="34" customHeight="1">
      <x:c r="A31" s="22" t="str">
        <x:v>How do I flex the template?</x:v>
      </x:c>
      <x:c r="B31" s="17" t="str">
        <x:v>Add periods or input rows in the source layer, extend formulas and formats together, and reconcile the new dimension back to Budget &amp; Net Worth and Checks.</x:v>
      </x:c>
      <x:c r="C31" s="17" t="str"/>
      <x:c r="D31" s="17" t="str"/>
      <x:c r="E31" s="17" t="str"/>
      <x:c r="F31" s="17" t="str"/>
      <x:c r="G31" s="17" t="str"/>
      <x:c r="H31" s="17" t="str"/>
      <x:c r="I31" s="17" t="str"/>
      <x:c r="J31" s="17" t="str"/>
    </x:row>
    <x:row r="32" ht="34" customHeight="1">
      <x:c r="A32" s="22" t="str">
        <x:v>What does PASS mean?</x:v>
      </x:c>
      <x:c r="B32" s="17" t="str">
        <x:v>The published calculations and tie-outs are within tolerance. PASS does not confirm source quality, policy, accounting, regulation, tax, legal treatment, or suitability.</x:v>
      </x:c>
      <x:c r="C32" s="17" t="str"/>
      <x:c r="D32" s="17" t="str"/>
      <x:c r="E32" s="17" t="str"/>
      <x:c r="F32" s="17" t="str"/>
      <x:c r="G32" s="17" t="str"/>
      <x:c r="H32" s="17" t="str"/>
      <x:c r="I32" s="17" t="str"/>
      <x:c r="J32" s="17" t="str"/>
    </x:row>
    <x:row r="33" ht="34" customHeight="1">
      <x:c r="A33" s="22" t="str">
        <x:v>Can I use real company data?</x:v>
      </x:c>
      <x:c r="B33" s="17" t="str">
        <x:v>Yes, in your private copy. Confirm permissions, source ownership, privacy requirements, and distribution restrictions before sharing.</x:v>
      </x:c>
      <x:c r="C33" s="17" t="str"/>
      <x:c r="D33" s="17" t="str"/>
      <x:c r="E33" s="17" t="str"/>
      <x:c r="F33" s="17" t="str"/>
      <x:c r="G33" s="17" t="str"/>
      <x:c r="H33" s="17" t="str"/>
      <x:c r="I33" s="17" t="str"/>
      <x:c r="J33" s="17" t="str"/>
    </x:row>
    <x:row r="34" ht="34" customHeight="1">
      <x:c r="A34" s="22" t="str">
        <x:v>Does it work in Google Sheets or LibreOffice?</x:v>
      </x:c>
      <x:c r="B34" s="17" t="str">
        <x:v>Not verified. Excel 365 is the supported target; test formulas, charts, validations, formats, and checks after conversion.</x:v>
      </x:c>
      <x:c r="C34" s="17" t="str"/>
      <x:c r="D34" s="17" t="str"/>
      <x:c r="E34" s="17" t="str"/>
      <x:c r="F34" s="17" t="str"/>
      <x:c r="G34" s="17" t="str"/>
      <x:c r="H34" s="17" t="str"/>
      <x:c r="I34" s="17" t="str"/>
      <x:c r="J34" s="17" t="str"/>
    </x:row>
    <x:row r="35" ht="34" customHeight="1">
      <x:c r="A35" s="22" t="str">
        <x:v>Can this replace professional review?</x:v>
      </x:c>
      <x:c r="B35" s="17" t="str">
        <x:v>Educational household-planning template only; it is not financial, tax, legal, investment, debt, or insurance advice. Validate personal circumstances, risks, fees, taxes, liquidity, product terms, and suitability with qualified professionals.</x:v>
      </x:c>
      <x:c r="C35" s="17" t="str"/>
      <x:c r="D35" s="17" t="str"/>
      <x:c r="E35" s="17" t="str"/>
      <x:c r="F35" s="17" t="str"/>
      <x:c r="G35" s="17" t="str"/>
      <x:c r="H35" s="17" t="str"/>
      <x:c r="I35" s="17" t="str"/>
      <x:c r="J35" s="17" t="str"/>
    </x:row>
    <x:row r="37">
      <x:c r="A37" s="42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B37" s="43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C37" s="43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D37" s="43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E37" s="43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F37" s="43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G37" s="43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H37" s="43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I37" s="43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J37" s="44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</x:row>
    <x:row r="38">
      <x:c r="A38" s="45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B38" s="46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C38" s="46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D38" s="46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E38" s="46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F38" s="46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G38" s="46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H38" s="46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I38" s="46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J38" s="47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</x:row>
    <x:row r="39">
      <x:c r="A39" s="48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B39" s="49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C39" s="49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D39" s="49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E39" s="49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F39" s="49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G39" s="49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H39" s="49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I39" s="49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  <x:c r="J39" s="50" t="str">
        <x:v>Deliberately excluded in version 1.0.0: tax planning; credit-score impact; insurance needs; probabilistic returns; financial-product recommendation; fiduciary advice. Extend only after the underlying method, source availability, checks, and review responsibility are defined.</x:v>
      </x:c>
    </x:row>
    <x:row r="41">
      <x:c r="A41" s="53" t="str">
        <x:v>TDAT Model Library  |  Trust builds the brand. Insight builds the decision.</x:v>
      </x:c>
      <x:c r="B41" s="53" t="str">
        <x:v>TDAT Model Library  |  Trust builds the brand. Insight builds the decision.</x:v>
      </x:c>
      <x:c r="C41" s="53" t="str">
        <x:v>TDAT Model Library  |  Trust builds the brand. Insight builds the decision.</x:v>
      </x:c>
      <x:c r="D41" s="53" t="str">
        <x:v>TDAT Model Library  |  Trust builds the brand. Insight builds the decision.</x:v>
      </x:c>
      <x:c r="E41" s="53" t="str">
        <x:v>TDAT Model Library  |  Trust builds the brand. Insight builds the decision.</x:v>
      </x:c>
      <x:c r="F41" s="53" t="str">
        <x:v>TDAT Model Library  |  Trust builds the brand. Insight builds the decision.</x:v>
      </x:c>
      <x:c r="G41" s="53" t="str">
        <x:v>TDAT Model Library  |  Trust builds the brand. Insight builds the decision.</x:v>
      </x:c>
      <x:c r="H41" s="53" t="str">
        <x:v>TDAT Model Library  |  Trust builds the brand. Insight builds the decision.</x:v>
      </x:c>
      <x:c r="I41" s="53" t="str">
        <x:v>TDAT Model Library  |  Trust builds the brand. Insight builds the decision.</x:v>
      </x:c>
      <x:c r="J41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6:J8"/>
    <x:mergeCell ref="A10:J10"/>
    <x:mergeCell ref="C11:J11"/>
    <x:mergeCell ref="C12:J12"/>
    <x:mergeCell ref="C13:J13"/>
    <x:mergeCell ref="C14:J14"/>
    <x:mergeCell ref="C15:J15"/>
    <x:mergeCell ref="C16:J16"/>
    <x:mergeCell ref="A18:J18"/>
    <x:mergeCell ref="B19:J19"/>
    <x:mergeCell ref="B20:J20"/>
    <x:mergeCell ref="B21:J21"/>
    <x:mergeCell ref="B22:J22"/>
    <x:mergeCell ref="B23:J23"/>
    <x:mergeCell ref="B24:J24"/>
    <x:mergeCell ref="B25:J25"/>
    <x:mergeCell ref="B26:J26"/>
    <x:mergeCell ref="B27:J27"/>
    <x:mergeCell ref="A29:J29"/>
    <x:mergeCell ref="B30:J30"/>
    <x:mergeCell ref="B31:J31"/>
    <x:mergeCell ref="B32:J32"/>
    <x:mergeCell ref="B33:J33"/>
    <x:mergeCell ref="B34:J34"/>
    <x:mergeCell ref="B35:J35"/>
    <x:mergeCell ref="A37:J39"/>
    <x:mergeCell ref="A41:J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44" hidden="0" customWidth="1"/>
  </x:cols>
  <x:sheetData>
    <x:row r="1" ht="34" customHeight="1">
      <x:c r="A1" s="3" t="str">
        <x:v>ASSUMPTIONS &amp; SCENARIOS</x:v>
      </x:c>
      <x:c r="B1" s="3" t="str">
        <x:v>ASSUMPTIONS &amp; SCENARIOS</x:v>
      </x:c>
      <x:c r="C1" s="3" t="str">
        <x:v>ASSUMPTIONS &amp; SCENARIOS</x:v>
      </x:c>
      <x:c r="D1" s="3" t="str">
        <x:v>ASSUMPTIONS &amp; SCENARIOS</x:v>
      </x:c>
      <x:c r="E1" s="3" t="str">
        <x:v>ASSUMPTIONS &amp; SCENARIOS</x:v>
      </x:c>
      <x:c r="F1" s="3" t="str">
        <x:v>ASSUMPTIONS &amp; SCENARIOS</x:v>
      </x:c>
      <x:c r="G1" s="3" t="str">
        <x:v>ASSUMPTIONS &amp; SCENARIOS</x:v>
      </x:c>
    </x:row>
    <x:row r="2" ht="24" customHeight="1">
      <x:c r="A2" s="6" t="str">
        <x:v>Personal Budget &amp; Net Worth  |  One controlled selector and visible driver cases</x:v>
      </x:c>
      <x:c r="B2" s="6" t="str">
        <x:v>Personal Budget &amp; Net Worth  |  One controlled selector and visible driver cases</x:v>
      </x:c>
      <x:c r="C2" s="6" t="str">
        <x:v>Personal Budget &amp; Net Worth  |  One controlled selector and visible driver cases</x:v>
      </x:c>
      <x:c r="D2" s="6" t="str">
        <x:v>Personal Budget &amp; Net Worth  |  One controlled selector and visible driver cases</x:v>
      </x:c>
      <x:c r="E2" s="6" t="str">
        <x:v>Personal Budget &amp; Net Worth  |  One controlled selector and visible driver cases</x:v>
      </x:c>
      <x:c r="F2" s="6" t="str">
        <x:v>Personal Budget &amp; Net Worth  |  One controlled selector and visible driver cases</x:v>
      </x:c>
      <x:c r="G2" s="6" t="str">
        <x:v>Personal Budget &amp; Net Worth  |  One controlled selector and visible driver cases</x:v>
      </x:c>
    </x:row>
    <x:row r="3" ht="4" customHeight="1">
      <x:c r="A3" s="54" t="str">
        <x:v>Selected Scenario</x:v>
      </x:c>
      <x:c r="B3" s="56" t="str">
        <x:v>Base</x:v>
      </x:c>
      <x:c r="C3" s="7"/>
      <x:c r="D3" s="7"/>
      <x:c r="E3" s="7"/>
      <x:c r="F3" s="7"/>
      <x:c r="G3" s="7"/>
    </x:row>
    <x:row r="5" ht="24" customHeight="1">
      <x:c r="A5" s="66" t="str">
        <x:v>Driver</x:v>
      </x:c>
      <x:c r="B5" s="67" t="str">
        <x:v>Unit</x:v>
      </x:c>
      <x:c r="C5" s="67" t="str">
        <x:v>Base</x:v>
      </x:c>
      <x:c r="D5" s="67" t="str">
        <x:v>Upside</x:v>
      </x:c>
      <x:c r="E5" s="67" t="str">
        <x:v>Downside</x:v>
      </x:c>
      <x:c r="F5" s="67" t="str">
        <x:v>Selected</x:v>
      </x:c>
      <x:c r="G5" s="68" t="str">
        <x:v>Rationale / edit cue</x:v>
      </x:c>
    </x:row>
    <x:row r="6">
      <x:c r="A6" s="84" t="str">
        <x:v>Starting cash</x:v>
      </x:c>
      <x:c r="B6" s="85" t="str">
        <x:v>LCY</x:v>
      </x:c>
      <x:c r="C6" s="86" t="n">
        <x:v>12</x:v>
      </x:c>
      <x:c r="D6" s="86" t="n">
        <x:v>15</x:v>
      </x:c>
      <x:c r="E6" s="86" t="n">
        <x:v>8</x:v>
      </x:c>
      <x:c r="F6" s="87" t="n">
        <x:f>IF($B$3="Base",C6,IF($B$3="Upside",D6,E6))</x:f>
        <x:v>12</x:v>
      </x:c>
      <x:c r="G6" s="88" t="str">
        <x:v>Replace with an approved, sourced assumption.</x:v>
      </x:c>
    </x:row>
    <x:row r="7">
      <x:c r="A7" s="89" t="str">
        <x:v>Starting debt</x:v>
      </x:c>
      <x:c r="B7" s="90" t="str">
        <x:v>LCY</x:v>
      </x:c>
      <x:c r="C7" s="91" t="n">
        <x:v>28</x:v>
      </x:c>
      <x:c r="D7" s="91" t="n">
        <x:v>24</x:v>
      </x:c>
      <x:c r="E7" s="91" t="n">
        <x:v>34</x:v>
      </x:c>
      <x:c r="F7" s="92" t="n">
        <x:f>IF($B$3="Base",C7,IF($B$3="Upside",D7,E7))</x:f>
        <x:v>28</x:v>
      </x:c>
      <x:c r="G7" s="93" t="str">
        <x:v>Replace with an approved, sourced assumption.</x:v>
      </x:c>
    </x:row>
    <x:row r="8">
      <x:c r="A8" s="89" t="str">
        <x:v>Annual debt rate</x:v>
      </x:c>
      <x:c r="B8" s="90" t="str">
        <x:v>%</x:v>
      </x:c>
      <x:c r="C8" s="94" t="n">
        <x:v>0.12</x:v>
      </x:c>
      <x:c r="D8" s="94" t="n">
        <x:v>0.1</x:v>
      </x:c>
      <x:c r="E8" s="94" t="n">
        <x:v>0.16</x:v>
      </x:c>
      <x:c r="F8" s="95" t="n">
        <x:f>IF($B$3="Base",C8,IF($B$3="Upside",D8,E8))</x:f>
        <x:v>0.12</x:v>
      </x:c>
      <x:c r="G8" s="93" t="str">
        <x:v>Replace with an approved, sourced assumption.</x:v>
      </x:c>
    </x:row>
    <x:row r="9">
      <x:c r="A9" s="89" t="str">
        <x:v>Starting investments</x:v>
      </x:c>
      <x:c r="B9" s="90" t="str">
        <x:v>LCY</x:v>
      </x:c>
      <x:c r="C9" s="91" t="n">
        <x:v>20</x:v>
      </x:c>
      <x:c r="D9" s="91" t="n">
        <x:v>24</x:v>
      </x:c>
      <x:c r="E9" s="91" t="n">
        <x:v>16</x:v>
      </x:c>
      <x:c r="F9" s="92" t="n">
        <x:f>IF($B$3="Base",C9,IF($B$3="Upside",D9,E9))</x:f>
        <x:v>20</x:v>
      </x:c>
      <x:c r="G9" s="93" t="str">
        <x:v>Replace with an approved, sourced assumption.</x:v>
      </x:c>
    </x:row>
    <x:row r="10">
      <x:c r="A10" s="89" t="str">
        <x:v>Annual investment return</x:v>
      </x:c>
      <x:c r="B10" s="90" t="str">
        <x:v>%</x:v>
      </x:c>
      <x:c r="C10" s="94" t="n">
        <x:v>0.06</x:v>
      </x:c>
      <x:c r="D10" s="94" t="n">
        <x:v>0.09</x:v>
      </x:c>
      <x:c r="E10" s="94" t="n">
        <x:v>0.02</x:v>
      </x:c>
      <x:c r="F10" s="95" t="n">
        <x:f>IF($B$3="Base",C10,IF($B$3="Upside",D10,E10))</x:f>
        <x:v>0.06</x:v>
      </x:c>
      <x:c r="G10" s="93" t="str">
        <x:v>Replace with an approved, sourced assumption.</x:v>
      </x:c>
    </x:row>
    <x:row r="11">
      <x:c r="A11" s="96" t="str">
        <x:v>Emergency-fund target</x:v>
      </x:c>
      <x:c r="B11" s="97" t="str">
        <x:v>months</x:v>
      </x:c>
      <x:c r="C11" s="98" t="n">
        <x:v>6</x:v>
      </x:c>
      <x:c r="D11" s="98" t="n">
        <x:v>6</x:v>
      </x:c>
      <x:c r="E11" s="98" t="n">
        <x:v>9</x:v>
      </x:c>
      <x:c r="F11" s="99" t="n">
        <x:f>IF($B$3="Base",C11,IF($B$3="Upside",D11,E11))</x:f>
        <x:v>6</x:v>
      </x:c>
      <x:c r="G11" s="100" t="str">
        <x:v>Replace with an approved, sourced assumption.</x:v>
      </x:c>
    </x:row>
    <x:row r="13">
      <x:c r="A13" s="42" t="str">
        <x:v>Scenario discipline: change a small number of decision-relevant drivers, preserve the core formula architecture, and document what changed, why, who owns it, and what action follows.</x:v>
      </x:c>
      <x:c r="B13" s="43" t="str">
        <x:v>Scenario discipline: change a small number of decision-relevant drivers, preserve the core formula architecture, and document what changed, why, who owns it, and what action follows.</x:v>
      </x:c>
      <x:c r="C13" s="43" t="str">
        <x:v>Scenario discipline: change a small number of decision-relevant drivers, preserve the core formula architecture, and document what changed, why, who owns it, and what action follows.</x:v>
      </x:c>
      <x:c r="D13" s="43" t="str">
        <x:v>Scenario discipline: change a small number of decision-relevant drivers, preserve the core formula architecture, and document what changed, why, who owns it, and what action follows.</x:v>
      </x:c>
      <x:c r="E13" s="43" t="str">
        <x:v>Scenario discipline: change a small number of decision-relevant drivers, preserve the core formula architecture, and document what changed, why, who owns it, and what action follows.</x:v>
      </x:c>
      <x:c r="F13" s="43" t="str">
        <x:v>Scenario discipline: change a small number of decision-relevant drivers, preserve the core formula architecture, and document what changed, why, who owns it, and what action follows.</x:v>
      </x:c>
      <x:c r="G13" s="44" t="str">
        <x:v>Scenario discipline: change a small number of decision-relevant drivers, preserve the core formula architecture, and document what changed, why, who owns it, and what action follows.</x:v>
      </x:c>
    </x:row>
    <x:row r="14">
      <x:c r="A14" s="45" t="str">
        <x:v>Scenario discipline: change a small number of decision-relevant drivers, preserve the core formula architecture, and document what changed, why, who owns it, and what action follows.</x:v>
      </x:c>
      <x:c r="B14" s="46" t="str">
        <x:v>Scenario discipline: change a small number of decision-relevant drivers, preserve the core formula architecture, and document what changed, why, who owns it, and what action follows.</x:v>
      </x:c>
      <x:c r="C14" s="46" t="str">
        <x:v>Scenario discipline: change a small number of decision-relevant drivers, preserve the core formula architecture, and document what changed, why, who owns it, and what action follows.</x:v>
      </x:c>
      <x:c r="D14" s="46" t="str">
        <x:v>Scenario discipline: change a small number of decision-relevant drivers, preserve the core formula architecture, and document what changed, why, who owns it, and what action follows.</x:v>
      </x:c>
      <x:c r="E14" s="46" t="str">
        <x:v>Scenario discipline: change a small number of decision-relevant drivers, preserve the core formula architecture, and document what changed, why, who owns it, and what action follows.</x:v>
      </x:c>
      <x:c r="F14" s="46" t="str">
        <x:v>Scenario discipline: change a small number of decision-relevant drivers, preserve the core formula architecture, and document what changed, why, who owns it, and what action follows.</x:v>
      </x:c>
      <x:c r="G14" s="47" t="str">
        <x:v>Scenario discipline: change a small number of decision-relevant drivers, preserve the core formula architecture, and document what changed, why, who owns it, and what action follows.</x:v>
      </x:c>
    </x:row>
    <x:row r="15">
      <x:c r="A15" s="48" t="str">
        <x:v>Scenario discipline: change a small number of decision-relevant drivers, preserve the core formula architecture, and document what changed, why, who owns it, and what action follows.</x:v>
      </x:c>
      <x:c r="B15" s="49" t="str">
        <x:v>Scenario discipline: change a small number of decision-relevant drivers, preserve the core formula architecture, and document what changed, why, who owns it, and what action follows.</x:v>
      </x:c>
      <x:c r="C15" s="49" t="str">
        <x:v>Scenario discipline: change a small number of decision-relevant drivers, preserve the core formula architecture, and document what changed, why, who owns it, and what action follows.</x:v>
      </x:c>
      <x:c r="D15" s="49" t="str">
        <x:v>Scenario discipline: change a small number of decision-relevant drivers, preserve the core formula architecture, and document what changed, why, who owns it, and what action follows.</x:v>
      </x:c>
      <x:c r="E15" s="49" t="str">
        <x:v>Scenario discipline: change a small number of decision-relevant drivers, preserve the core formula architecture, and document what changed, why, who owns it, and what action follows.</x:v>
      </x:c>
      <x:c r="F15" s="49" t="str">
        <x:v>Scenario discipline: change a small number of decision-relevant drivers, preserve the core formula architecture, and document what changed, why, who owns it, and what action follows.</x:v>
      </x:c>
      <x:c r="G15" s="50" t="str">
        <x:v>Scenario discipline: change a small number of decision-relevant drivers, preserve the core formula architecture, and document what changed, why, who owns it, and what action follows.</x:v>
      </x:c>
    </x:row>
    <x:row r="17">
      <x:c r="A17" s="53" t="str">
        <x:v>TDAT Model Library  |  Trust builds the brand. Insight builds the decision.</x:v>
      </x:c>
      <x:c r="B17" s="53" t="str">
        <x:v>TDAT Model Library  |  Trust builds the brand. Insight builds the decision.</x:v>
      </x:c>
      <x:c r="C17" s="53" t="str">
        <x:v>TDAT Model Library  |  Trust builds the brand. Insight builds the decision.</x:v>
      </x:c>
      <x:c r="D17" s="53" t="str">
        <x:v>TDAT Model Library  |  Trust builds the brand. Insight builds the decision.</x:v>
      </x:c>
      <x:c r="E17" s="53" t="str">
        <x:v>TDAT Model Library  |  Trust builds the brand. Insight builds the decision.</x:v>
      </x:c>
      <x:c r="F17" s="53" t="str">
        <x:v>TDAT Model Library  |  Trust builds the brand. Insight builds the decision.</x:v>
      </x:c>
      <x:c r="G17" s="53" t="str">
        <x:v>TDAT Model Library  |  Trust builds the brand. Insight builds the decision.</x:v>
      </x:c>
    </x:row>
  </x:sheetData>
  <x:mergeCells>
    <x:mergeCell ref="A1:G1"/>
    <x:mergeCell ref="A2:G2"/>
    <x:mergeCell ref="A13:G15"/>
    <x:mergeCell ref="A17:G17"/>
  </x:mergeCells>
  <x:dataValidations count="1">
    <x:dataValidation type="list" sqref="B3">
      <x:formula1>"Base,Upside,Downside"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3" t="str">
        <x:v>MONTHLY INPUTS</x:v>
      </x:c>
      <x:c r="B1" s="3" t="str">
        <x:v>MONTHLY INPUTS</x:v>
      </x:c>
      <x:c r="C1" s="3" t="str">
        <x:v>MONTHLY INPUTS</x:v>
      </x:c>
      <x:c r="D1" s="3" t="str">
        <x:v>MONTHLY INPUTS</x:v>
      </x:c>
      <x:c r="E1" s="3" t="str">
        <x:v>MONTHLY INPUTS</x:v>
      </x:c>
      <x:c r="F1" s="3" t="str">
        <x:v>MONTHLY INPUTS</x:v>
      </x:c>
      <x:c r="G1" s="3" t="str">
        <x:v>MONTHLY INPUTS</x:v>
      </x:c>
      <x:c r="H1" s="3" t="str">
        <x:v>MONTHLY INPUTS</x:v>
      </x:c>
      <x:c r="I1" s="3" t="str">
        <x:v>MONTHLY INPUTS</x:v>
      </x:c>
      <x:c r="J1" s="3" t="str">
        <x:v>MONTHLY INPUTS</x:v>
      </x:c>
      <x:c r="K1" s="3" t="str">
        <x:v>MONTHLY INPUTS</x:v>
      </x:c>
      <x:c r="L1" s="3" t="str">
        <x:v>MONTHLY INPUTS</x:v>
      </x:c>
      <x:c r="M1" s="3" t="str">
        <x:v>MONTHLY INPUTS</x:v>
      </x:c>
    </x:row>
    <x:row r="2" ht="24" customHeight="1">
      <x:c r="A2" s="6" t="str">
        <x:v>Personal Budget &amp; Net Worth  |  Synthetic worked inputs — replace blue cells</x:v>
      </x:c>
      <x:c r="B2" s="6" t="str">
        <x:v>Personal Budget &amp; Net Worth  |  Synthetic worked inputs — replace blue cells</x:v>
      </x:c>
      <x:c r="C2" s="6" t="str">
        <x:v>Personal Budget &amp; Net Worth  |  Synthetic worked inputs — replace blue cells</x:v>
      </x:c>
      <x:c r="D2" s="6" t="str">
        <x:v>Personal Budget &amp; Net Worth  |  Synthetic worked inputs — replace blue cells</x:v>
      </x:c>
      <x:c r="E2" s="6" t="str">
        <x:v>Personal Budget &amp; Net Worth  |  Synthetic worked inputs — replace blue cells</x:v>
      </x:c>
      <x:c r="F2" s="6" t="str">
        <x:v>Personal Budget &amp; Net Worth  |  Synthetic worked inputs — replace blue cells</x:v>
      </x:c>
      <x:c r="G2" s="6" t="str">
        <x:v>Personal Budget &amp; Net Worth  |  Synthetic worked inputs — replace blue cells</x:v>
      </x:c>
      <x:c r="H2" s="6" t="str">
        <x:v>Personal Budget &amp; Net Worth  |  Synthetic worked inputs — replace blue cells</x:v>
      </x:c>
      <x:c r="I2" s="6" t="str">
        <x:v>Personal Budget &amp; Net Worth  |  Synthetic worked inputs — replace blue cells</x:v>
      </x:c>
      <x:c r="J2" s="6" t="str">
        <x:v>Personal Budget &amp; Net Worth  |  Synthetic worked inputs — replace blue cells</x:v>
      </x:c>
      <x:c r="K2" s="6" t="str">
        <x:v>Personal Budget &amp; Net Worth  |  Synthetic worked inputs — replace blue cells</x:v>
      </x:c>
      <x:c r="L2" s="6" t="str">
        <x:v>Personal Budget &amp; Net Worth  |  Synthetic worked inputs — replace blue cells</x:v>
      </x:c>
      <x:c r="M2" s="6" t="str">
        <x:v>Personal Budget &amp; Net Worth  |  Synthetic worked inputs — replace blue cells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24" customHeight="1">
      <x:c r="A5" s="66" t="str">
        <x:v>Input / Period</x:v>
      </x:c>
      <x:c r="B5" s="67" t="str">
        <x:v>Jan</x:v>
      </x:c>
      <x:c r="C5" s="67" t="str">
        <x:v>Feb</x:v>
      </x:c>
      <x:c r="D5" s="67" t="str">
        <x:v>Mar</x:v>
      </x:c>
      <x:c r="E5" s="67" t="str">
        <x:v>Apr</x:v>
      </x:c>
      <x:c r="F5" s="67" t="str">
        <x:v>May</x:v>
      </x:c>
      <x:c r="G5" s="67" t="str">
        <x:v>Jun</x:v>
      </x:c>
      <x:c r="H5" s="67" t="str">
        <x:v>Jul</x:v>
      </x:c>
      <x:c r="I5" s="67" t="str">
        <x:v>Aug</x:v>
      </x:c>
      <x:c r="J5" s="67" t="str">
        <x:v>Sep</x:v>
      </x:c>
      <x:c r="K5" s="67" t="str">
        <x:v>Oct</x:v>
      </x:c>
      <x:c r="L5" s="67" t="str">
        <x:v>Nov</x:v>
      </x:c>
      <x:c r="M5" s="68" t="str">
        <x:v>Dec</x:v>
      </x:c>
    </x:row>
    <x:row r="6">
      <x:c r="A6" s="102" t="str">
        <x:v>After-tax income</x:v>
      </x:c>
      <x:c r="B6" s="103" t="n">
        <x:v>8</x:v>
      </x:c>
      <x:c r="C6" s="103" t="n">
        <x:v>8</x:v>
      </x:c>
      <x:c r="D6" s="103" t="n">
        <x:v>8.2</x:v>
      </x:c>
      <x:c r="E6" s="103" t="n">
        <x:v>8.2</x:v>
      </x:c>
      <x:c r="F6" s="103" t="n">
        <x:v>8.2</x:v>
      </x:c>
      <x:c r="G6" s="103" t="n">
        <x:v>8.5</x:v>
      </x:c>
      <x:c r="H6" s="103" t="n">
        <x:v>8.5</x:v>
      </x:c>
      <x:c r="I6" s="103" t="n">
        <x:v>8.5</x:v>
      </x:c>
      <x:c r="J6" s="103" t="n">
        <x:v>8.8</x:v>
      </x:c>
      <x:c r="K6" s="103" t="n">
        <x:v>8.8</x:v>
      </x:c>
      <x:c r="L6" s="103" t="n">
        <x:v>9</x:v>
      </x:c>
      <x:c r="M6" s="103" t="n">
        <x:v>9</x:v>
      </x:c>
    </x:row>
    <x:row r="7">
      <x:c r="A7" s="104" t="str">
        <x:v>Housing</x:v>
      </x:c>
      <x:c r="B7" s="105" t="n">
        <x:v>2.2</x:v>
      </x:c>
      <x:c r="C7" s="105" t="n">
        <x:v>2.2</x:v>
      </x:c>
      <x:c r="D7" s="105" t="n">
        <x:v>2.2</x:v>
      </x:c>
      <x:c r="E7" s="105" t="n">
        <x:v>2.2</x:v>
      </x:c>
      <x:c r="F7" s="105" t="n">
        <x:v>2.2</x:v>
      </x:c>
      <x:c r="G7" s="105" t="n">
        <x:v>2.2</x:v>
      </x:c>
      <x:c r="H7" s="105" t="n">
        <x:v>2.2</x:v>
      </x:c>
      <x:c r="I7" s="105" t="n">
        <x:v>2.2</x:v>
      </x:c>
      <x:c r="J7" s="105" t="n">
        <x:v>2.2</x:v>
      </x:c>
      <x:c r="K7" s="105" t="n">
        <x:v>2.2</x:v>
      </x:c>
      <x:c r="L7" s="105" t="n">
        <x:v>2.2</x:v>
      </x:c>
      <x:c r="M7" s="105" t="n">
        <x:v>2.2</x:v>
      </x:c>
    </x:row>
    <x:row r="8">
      <x:c r="A8" s="104" t="str">
        <x:v>Food</x:v>
      </x:c>
      <x:c r="B8" s="105" t="n">
        <x:v>0.9</x:v>
      </x:c>
      <x:c r="C8" s="105" t="n">
        <x:v>0.9</x:v>
      </x:c>
      <x:c r="D8" s="105" t="n">
        <x:v>0.9</x:v>
      </x:c>
      <x:c r="E8" s="105" t="n">
        <x:v>0.9</x:v>
      </x:c>
      <x:c r="F8" s="105" t="n">
        <x:v>0.9</x:v>
      </x:c>
      <x:c r="G8" s="105" t="n">
        <x:v>0.9</x:v>
      </x:c>
      <x:c r="H8" s="105" t="n">
        <x:v>0.9</x:v>
      </x:c>
      <x:c r="I8" s="105" t="n">
        <x:v>0.9</x:v>
      </x:c>
      <x:c r="J8" s="105" t="n">
        <x:v>0.9</x:v>
      </x:c>
      <x:c r="K8" s="105" t="n">
        <x:v>0.9</x:v>
      </x:c>
      <x:c r="L8" s="105" t="n">
        <x:v>0.9</x:v>
      </x:c>
      <x:c r="M8" s="105" t="n">
        <x:v>0.9</x:v>
      </x:c>
    </x:row>
    <x:row r="9">
      <x:c r="A9" s="104" t="str">
        <x:v>Transport</x:v>
      </x:c>
      <x:c r="B9" s="105" t="n">
        <x:v>0.6</x:v>
      </x:c>
      <x:c r="C9" s="105" t="n">
        <x:v>0.6</x:v>
      </x:c>
      <x:c r="D9" s="105" t="n">
        <x:v>0.6</x:v>
      </x:c>
      <x:c r="E9" s="105" t="n">
        <x:v>0.6</x:v>
      </x:c>
      <x:c r="F9" s="105" t="n">
        <x:v>0.6</x:v>
      </x:c>
      <x:c r="G9" s="105" t="n">
        <x:v>0.6</x:v>
      </x:c>
      <x:c r="H9" s="105" t="n">
        <x:v>0.6</x:v>
      </x:c>
      <x:c r="I9" s="105" t="n">
        <x:v>0.6</x:v>
      </x:c>
      <x:c r="J9" s="105" t="n">
        <x:v>0.6</x:v>
      </x:c>
      <x:c r="K9" s="105" t="n">
        <x:v>0.6</x:v>
      </x:c>
      <x:c r="L9" s="105" t="n">
        <x:v>0.6</x:v>
      </x:c>
      <x:c r="M9" s="105" t="n">
        <x:v>0.6</x:v>
      </x:c>
    </x:row>
    <x:row r="10">
      <x:c r="A10" s="104" t="str">
        <x:v>Utilities and insurance</x:v>
      </x:c>
      <x:c r="B10" s="105" t="n">
        <x:v>0.45</x:v>
      </x:c>
      <x:c r="C10" s="105" t="n">
        <x:v>0.45</x:v>
      </x:c>
      <x:c r="D10" s="105" t="n">
        <x:v>0.45</x:v>
      </x:c>
      <x:c r="E10" s="105" t="n">
        <x:v>0.45</x:v>
      </x:c>
      <x:c r="F10" s="105" t="n">
        <x:v>0.45</x:v>
      </x:c>
      <x:c r="G10" s="105" t="n">
        <x:v>0.45</x:v>
      </x:c>
      <x:c r="H10" s="105" t="n">
        <x:v>0.45</x:v>
      </x:c>
      <x:c r="I10" s="105" t="n">
        <x:v>0.45</x:v>
      </x:c>
      <x:c r="J10" s="105" t="n">
        <x:v>0.45</x:v>
      </x:c>
      <x:c r="K10" s="105" t="n">
        <x:v>0.45</x:v>
      </x:c>
      <x:c r="L10" s="105" t="n">
        <x:v>0.45</x:v>
      </x:c>
      <x:c r="M10" s="105" t="n">
        <x:v>0.45</x:v>
      </x:c>
    </x:row>
    <x:row r="11">
      <x:c r="A11" s="104" t="str">
        <x:v>Discretionary spending</x:v>
      </x:c>
      <x:c r="B11" s="105" t="n">
        <x:v>0.8</x:v>
      </x:c>
      <x:c r="C11" s="105" t="n">
        <x:v>0.8</x:v>
      </x:c>
      <x:c r="D11" s="105" t="n">
        <x:v>0.8</x:v>
      </x:c>
      <x:c r="E11" s="105" t="n">
        <x:v>0.8</x:v>
      </x:c>
      <x:c r="F11" s="105" t="n">
        <x:v>0.8</x:v>
      </x:c>
      <x:c r="G11" s="105" t="n">
        <x:v>0.8</x:v>
      </x:c>
      <x:c r="H11" s="105" t="n">
        <x:v>0.8</x:v>
      </x:c>
      <x:c r="I11" s="105" t="n">
        <x:v>0.8</x:v>
      </x:c>
      <x:c r="J11" s="105" t="n">
        <x:v>0.8</x:v>
      </x:c>
      <x:c r="K11" s="105" t="n">
        <x:v>0.8</x:v>
      </x:c>
      <x:c r="L11" s="105" t="n">
        <x:v>0.8</x:v>
      </x:c>
      <x:c r="M11" s="105" t="n">
        <x:v>0.8</x:v>
      </x:c>
    </x:row>
    <x:row r="12">
      <x:c r="A12" s="104" t="str">
        <x:v>Debt payment</x:v>
      </x:c>
      <x:c r="B12" s="105" t="n">
        <x:v>0.75</x:v>
      </x:c>
      <x:c r="C12" s="105" t="n">
        <x:v>0.75</x:v>
      </x:c>
      <x:c r="D12" s="105" t="n">
        <x:v>0.75</x:v>
      </x:c>
      <x:c r="E12" s="105" t="n">
        <x:v>0.75</x:v>
      </x:c>
      <x:c r="F12" s="105" t="n">
        <x:v>0.75</x:v>
      </x:c>
      <x:c r="G12" s="105" t="n">
        <x:v>0.75</x:v>
      </x:c>
      <x:c r="H12" s="105" t="n">
        <x:v>0.75</x:v>
      </x:c>
      <x:c r="I12" s="105" t="n">
        <x:v>0.75</x:v>
      </x:c>
      <x:c r="J12" s="105" t="n">
        <x:v>0.75</x:v>
      </x:c>
      <x:c r="K12" s="105" t="n">
        <x:v>0.75</x:v>
      </x:c>
      <x:c r="L12" s="105" t="n">
        <x:v>0.75</x:v>
      </x:c>
      <x:c r="M12" s="105" t="n">
        <x:v>0.75</x:v>
      </x:c>
    </x:row>
    <x:row r="13">
      <x:c r="A13" s="106" t="str">
        <x:v>Investment contribution</x:v>
      </x:c>
      <x:c r="B13" s="107" t="n">
        <x:v>1</x:v>
      </x:c>
      <x:c r="C13" s="107" t="n">
        <x:v>1</x:v>
      </x:c>
      <x:c r="D13" s="107" t="n">
        <x:v>1</x:v>
      </x:c>
      <x:c r="E13" s="107" t="n">
        <x:v>1</x:v>
      </x:c>
      <x:c r="F13" s="107" t="n">
        <x:v>1</x:v>
      </x:c>
      <x:c r="G13" s="107" t="n">
        <x:v>1</x:v>
      </x:c>
      <x:c r="H13" s="107" t="n">
        <x:v>1</x:v>
      </x:c>
      <x:c r="I13" s="107" t="n">
        <x:v>1</x:v>
      </x:c>
      <x:c r="J13" s="107" t="n">
        <x:v>1</x:v>
      </x:c>
      <x:c r="K13" s="107" t="n">
        <x:v>1</x:v>
      </x:c>
      <x:c r="L13" s="107" t="n">
        <x:v>1</x:v>
      </x:c>
      <x:c r="M13" s="107" t="n">
        <x:v>1</x:v>
      </x:c>
    </x:row>
    <x:row r="15">
      <x:c r="A15" s="42" t="str">
        <x:v>Synthetic input pack. Preserve source definitions, units, period basis, and sign convention when replacing values.</x:v>
      </x:c>
      <x:c r="B15" s="43" t="str">
        <x:v>Synthetic input pack. Preserve source definitions, units, period basis, and sign convention when replacing values.</x:v>
      </x:c>
      <x:c r="C15" s="43" t="str">
        <x:v>Synthetic input pack. Preserve source definitions, units, period basis, and sign convention when replacing values.</x:v>
      </x:c>
      <x:c r="D15" s="43" t="str">
        <x:v>Synthetic input pack. Preserve source definitions, units, period basis, and sign convention when replacing values.</x:v>
      </x:c>
      <x:c r="E15" s="43" t="str">
        <x:v>Synthetic input pack. Preserve source definitions, units, period basis, and sign convention when replacing values.</x:v>
      </x:c>
      <x:c r="F15" s="43" t="str">
        <x:v>Synthetic input pack. Preserve source definitions, units, period basis, and sign convention when replacing values.</x:v>
      </x:c>
      <x:c r="G15" s="43" t="str">
        <x:v>Synthetic input pack. Preserve source definitions, units, period basis, and sign convention when replacing values.</x:v>
      </x:c>
      <x:c r="H15" s="43" t="str">
        <x:v>Synthetic input pack. Preserve source definitions, units, period basis, and sign convention when replacing values.</x:v>
      </x:c>
      <x:c r="I15" s="43" t="str">
        <x:v>Synthetic input pack. Preserve source definitions, units, period basis, and sign convention when replacing values.</x:v>
      </x:c>
      <x:c r="J15" s="43" t="str">
        <x:v>Synthetic input pack. Preserve source definitions, units, period basis, and sign convention when replacing values.</x:v>
      </x:c>
      <x:c r="K15" s="43" t="str">
        <x:v>Synthetic input pack. Preserve source definitions, units, period basis, and sign convention when replacing values.</x:v>
      </x:c>
      <x:c r="L15" s="43" t="str">
        <x:v>Synthetic input pack. Preserve source definitions, units, period basis, and sign convention when replacing values.</x:v>
      </x:c>
      <x:c r="M15" s="44" t="str">
        <x:v>Synthetic input pack. Preserve source definitions, units, period basis, and sign convention when replacing values.</x:v>
      </x:c>
    </x:row>
    <x:row r="16">
      <x:c r="A16" s="45" t="str">
        <x:v>Synthetic input pack. Preserve source definitions, units, period basis, and sign convention when replacing values.</x:v>
      </x:c>
      <x:c r="B16" s="46" t="str">
        <x:v>Synthetic input pack. Preserve source definitions, units, period basis, and sign convention when replacing values.</x:v>
      </x:c>
      <x:c r="C16" s="46" t="str">
        <x:v>Synthetic input pack. Preserve source definitions, units, period basis, and sign convention when replacing values.</x:v>
      </x:c>
      <x:c r="D16" s="46" t="str">
        <x:v>Synthetic input pack. Preserve source definitions, units, period basis, and sign convention when replacing values.</x:v>
      </x:c>
      <x:c r="E16" s="46" t="str">
        <x:v>Synthetic input pack. Preserve source definitions, units, period basis, and sign convention when replacing values.</x:v>
      </x:c>
      <x:c r="F16" s="46" t="str">
        <x:v>Synthetic input pack. Preserve source definitions, units, period basis, and sign convention when replacing values.</x:v>
      </x:c>
      <x:c r="G16" s="46" t="str">
        <x:v>Synthetic input pack. Preserve source definitions, units, period basis, and sign convention when replacing values.</x:v>
      </x:c>
      <x:c r="H16" s="46" t="str">
        <x:v>Synthetic input pack. Preserve source definitions, units, period basis, and sign convention when replacing values.</x:v>
      </x:c>
      <x:c r="I16" s="46" t="str">
        <x:v>Synthetic input pack. Preserve source definitions, units, period basis, and sign convention when replacing values.</x:v>
      </x:c>
      <x:c r="J16" s="46" t="str">
        <x:v>Synthetic input pack. Preserve source definitions, units, period basis, and sign convention when replacing values.</x:v>
      </x:c>
      <x:c r="K16" s="46" t="str">
        <x:v>Synthetic input pack. Preserve source definitions, units, period basis, and sign convention when replacing values.</x:v>
      </x:c>
      <x:c r="L16" s="46" t="str">
        <x:v>Synthetic input pack. Preserve source definitions, units, period basis, and sign convention when replacing values.</x:v>
      </x:c>
      <x:c r="M16" s="47" t="str">
        <x:v>Synthetic input pack. Preserve source definitions, units, period basis, and sign convention when replacing values.</x:v>
      </x:c>
    </x:row>
    <x:row r="17">
      <x:c r="A17" s="48" t="str">
        <x:v>Synthetic input pack. Preserve source definitions, units, period basis, and sign convention when replacing values.</x:v>
      </x:c>
      <x:c r="B17" s="49" t="str">
        <x:v>Synthetic input pack. Preserve source definitions, units, period basis, and sign convention when replacing values.</x:v>
      </x:c>
      <x:c r="C17" s="49" t="str">
        <x:v>Synthetic input pack. Preserve source definitions, units, period basis, and sign convention when replacing values.</x:v>
      </x:c>
      <x:c r="D17" s="49" t="str">
        <x:v>Synthetic input pack. Preserve source definitions, units, period basis, and sign convention when replacing values.</x:v>
      </x:c>
      <x:c r="E17" s="49" t="str">
        <x:v>Synthetic input pack. Preserve source definitions, units, period basis, and sign convention when replacing values.</x:v>
      </x:c>
      <x:c r="F17" s="49" t="str">
        <x:v>Synthetic input pack. Preserve source definitions, units, period basis, and sign convention when replacing values.</x:v>
      </x:c>
      <x:c r="G17" s="49" t="str">
        <x:v>Synthetic input pack. Preserve source definitions, units, period basis, and sign convention when replacing values.</x:v>
      </x:c>
      <x:c r="H17" s="49" t="str">
        <x:v>Synthetic input pack. Preserve source definitions, units, period basis, and sign convention when replacing values.</x:v>
      </x:c>
      <x:c r="I17" s="49" t="str">
        <x:v>Synthetic input pack. Preserve source definitions, units, period basis, and sign convention when replacing values.</x:v>
      </x:c>
      <x:c r="J17" s="49" t="str">
        <x:v>Synthetic input pack. Preserve source definitions, units, period basis, and sign convention when replacing values.</x:v>
      </x:c>
      <x:c r="K17" s="49" t="str">
        <x:v>Synthetic input pack. Preserve source definitions, units, period basis, and sign convention when replacing values.</x:v>
      </x:c>
      <x:c r="L17" s="49" t="str">
        <x:v>Synthetic input pack. Preserve source definitions, units, period basis, and sign convention when replacing values.</x:v>
      </x:c>
      <x:c r="M17" s="50" t="str">
        <x:v>Synthetic input pack. Preserve source definitions, units, period basis, and sign convention when replacing values.</x:v>
      </x:c>
    </x:row>
    <x:row r="19">
      <x:c r="A19" s="53" t="str">
        <x:v>TDAT Model Library  |  Trust builds the brand. Insight builds the decision.</x:v>
      </x:c>
      <x:c r="B19" s="53" t="str">
        <x:v>TDAT Model Library  |  Trust builds the brand. Insight builds the decision.</x:v>
      </x:c>
      <x:c r="C19" s="53" t="str">
        <x:v>TDAT Model Library  |  Trust builds the brand. Insight builds the decision.</x:v>
      </x:c>
      <x:c r="D19" s="53" t="str">
        <x:v>TDAT Model Library  |  Trust builds the brand. Insight builds the decision.</x:v>
      </x:c>
      <x:c r="E19" s="53" t="str">
        <x:v>TDAT Model Library  |  Trust builds the brand. Insight builds the decision.</x:v>
      </x:c>
      <x:c r="F19" s="53" t="str">
        <x:v>TDAT Model Library  |  Trust builds the brand. Insight builds the decision.</x:v>
      </x:c>
      <x:c r="G19" s="53" t="str">
        <x:v>TDAT Model Library  |  Trust builds the brand. Insight builds the decision.</x:v>
      </x:c>
      <x:c r="H19" s="53" t="str">
        <x:v>TDAT Model Library  |  Trust builds the brand. Insight builds the decision.</x:v>
      </x:c>
      <x:c r="I19" s="53" t="str">
        <x:v>TDAT Model Library  |  Trust builds the brand. Insight builds the decision.</x:v>
      </x:c>
      <x:c r="J19" s="53" t="str">
        <x:v>TDAT Model Library  |  Trust builds the brand. Insight builds the decision.</x:v>
      </x:c>
      <x:c r="K19" s="53" t="str">
        <x:v>TDAT Model Library  |  Trust builds the brand. Insight builds the decision.</x:v>
      </x:c>
      <x:c r="L19" s="53" t="str">
        <x:v>TDAT Model Library  |  Trust builds the brand. Insight builds the decision.</x:v>
      </x:c>
      <x:c r="M19" s="53" t="str">
        <x:v>TDAT Model Library  |  Trust builds the brand. Insight builds the decision.</x:v>
      </x:c>
    </x:row>
  </x:sheetData>
  <x:mergeCells>
    <x:mergeCell ref="A1:M1"/>
    <x:mergeCell ref="A2:M2"/>
    <x:mergeCell ref="A15:M17"/>
    <x:mergeCell ref="A19:M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3" t="str">
        <x:v>BUDGET &amp; NET WORTH</x:v>
      </x:c>
      <x:c r="B1" s="3" t="str">
        <x:v>BUDGET &amp; NET WORTH</x:v>
      </x:c>
      <x:c r="C1" s="3" t="str">
        <x:v>BUDGET &amp; NET WORTH</x:v>
      </x:c>
      <x:c r="D1" s="3" t="str">
        <x:v>BUDGET &amp; NET WORTH</x:v>
      </x:c>
      <x:c r="E1" s="3" t="str">
        <x:v>BUDGET &amp; NET WORTH</x:v>
      </x:c>
      <x:c r="F1" s="3" t="str">
        <x:v>BUDGET &amp; NET WORTH</x:v>
      </x:c>
      <x:c r="G1" s="3" t="str">
        <x:v>BUDGET &amp; NET WORTH</x:v>
      </x:c>
      <x:c r="H1" s="3" t="str">
        <x:v>BUDGET &amp; NET WORTH</x:v>
      </x:c>
      <x:c r="I1" s="3" t="str">
        <x:v>BUDGET &amp; NET WORTH</x:v>
      </x:c>
      <x:c r="J1" s="3" t="str">
        <x:v>BUDGET &amp; NET WORTH</x:v>
      </x:c>
      <x:c r="K1" s="3" t="str">
        <x:v>BUDGET &amp; NET WORTH</x:v>
      </x:c>
      <x:c r="L1" s="3" t="str">
        <x:v>BUDGET &amp; NET WORTH</x:v>
      </x:c>
      <x:c r="M1" s="3" t="str">
        <x:v>BUDGET &amp; NET WORTH</x:v>
      </x:c>
    </x:row>
    <x:row r="2" ht="24" customHeight="1">
      <x:c r="A2" s="6" t="str">
        <x:v>Personal Budget &amp; Net Worth  |  Formula-driven core mechanics</x:v>
      </x:c>
      <x:c r="B2" s="6" t="str">
        <x:v>Personal Budget &amp; Net Worth  |  Formula-driven core mechanics</x:v>
      </x:c>
      <x:c r="C2" s="6" t="str">
        <x:v>Personal Budget &amp; Net Worth  |  Formula-driven core mechanics</x:v>
      </x:c>
      <x:c r="D2" s="6" t="str">
        <x:v>Personal Budget &amp; Net Worth  |  Formula-driven core mechanics</x:v>
      </x:c>
      <x:c r="E2" s="6" t="str">
        <x:v>Personal Budget &amp; Net Worth  |  Formula-driven core mechanics</x:v>
      </x:c>
      <x:c r="F2" s="6" t="str">
        <x:v>Personal Budget &amp; Net Worth  |  Formula-driven core mechanics</x:v>
      </x:c>
      <x:c r="G2" s="6" t="str">
        <x:v>Personal Budget &amp; Net Worth  |  Formula-driven core mechanics</x:v>
      </x:c>
      <x:c r="H2" s="6" t="str">
        <x:v>Personal Budget &amp; Net Worth  |  Formula-driven core mechanics</x:v>
      </x:c>
      <x:c r="I2" s="6" t="str">
        <x:v>Personal Budget &amp; Net Worth  |  Formula-driven core mechanics</x:v>
      </x:c>
      <x:c r="J2" s="6" t="str">
        <x:v>Personal Budget &amp; Net Worth  |  Formula-driven core mechanics</x:v>
      </x:c>
      <x:c r="K2" s="6" t="str">
        <x:v>Personal Budget &amp; Net Worth  |  Formula-driven core mechanics</x:v>
      </x:c>
      <x:c r="L2" s="6" t="str">
        <x:v>Personal Budget &amp; Net Worth  |  Formula-driven core mechanics</x:v>
      </x:c>
      <x:c r="M2" s="6" t="str">
        <x:v>Personal Budget &amp; Net Worth  |  Formula-driven core mechanics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24" customHeight="1">
      <x:c r="A5" s="66" t="str">
        <x:v>Calculation / Period</x:v>
      </x:c>
      <x:c r="B5" s="67" t="str">
        <x:v>Jan</x:v>
      </x:c>
      <x:c r="C5" s="67" t="str">
        <x:v>Feb</x:v>
      </x:c>
      <x:c r="D5" s="67" t="str">
        <x:v>Mar</x:v>
      </x:c>
      <x:c r="E5" s="67" t="str">
        <x:v>Apr</x:v>
      </x:c>
      <x:c r="F5" s="67" t="str">
        <x:v>May</x:v>
      </x:c>
      <x:c r="G5" s="67" t="str">
        <x:v>Jun</x:v>
      </x:c>
      <x:c r="H5" s="67" t="str">
        <x:v>Jul</x:v>
      </x:c>
      <x:c r="I5" s="67" t="str">
        <x:v>Aug</x:v>
      </x:c>
      <x:c r="J5" s="67" t="str">
        <x:v>Sep</x:v>
      </x:c>
      <x:c r="K5" s="67" t="str">
        <x:v>Oct</x:v>
      </x:c>
      <x:c r="L5" s="67" t="str">
        <x:v>Nov</x:v>
      </x:c>
      <x:c r="M5" s="68" t="str">
        <x:v>Dec</x:v>
      </x:c>
    </x:row>
    <x:row r="6">
      <x:c r="A6" s="125" t="str">
        <x:v>Essential expenses</x:v>
      </x:c>
      <x:c r="B6" s="126" t="n">
        <x:f>SUM('Monthly Inputs'!B$7:'Monthly Inputs'!B$10)</x:f>
        <x:v>4.15</x:v>
      </x:c>
      <x:c r="C6" s="126" t="n">
        <x:f>SUM('Monthly Inputs'!C$7:'Monthly Inputs'!C$10)</x:f>
        <x:v>4.15</x:v>
      </x:c>
      <x:c r="D6" s="126" t="n">
        <x:f>SUM('Monthly Inputs'!D$7:'Monthly Inputs'!D$10)</x:f>
        <x:v>4.15</x:v>
      </x:c>
      <x:c r="E6" s="126" t="n">
        <x:f>SUM('Monthly Inputs'!E$7:'Monthly Inputs'!E$10)</x:f>
        <x:v>4.15</x:v>
      </x:c>
      <x:c r="F6" s="126" t="n">
        <x:f>SUM('Monthly Inputs'!F$7:'Monthly Inputs'!F$10)</x:f>
        <x:v>4.15</x:v>
      </x:c>
      <x:c r="G6" s="126" t="n">
        <x:f>SUM('Monthly Inputs'!G$7:'Monthly Inputs'!G$10)</x:f>
        <x:v>4.15</x:v>
      </x:c>
      <x:c r="H6" s="126" t="n">
        <x:f>SUM('Monthly Inputs'!H$7:'Monthly Inputs'!H$10)</x:f>
        <x:v>4.15</x:v>
      </x:c>
      <x:c r="I6" s="126" t="n">
        <x:f>SUM('Monthly Inputs'!I$7:'Monthly Inputs'!I$10)</x:f>
        <x:v>4.15</x:v>
      </x:c>
      <x:c r="J6" s="126" t="n">
        <x:f>SUM('Monthly Inputs'!J$7:'Monthly Inputs'!J$10)</x:f>
        <x:v>4.15</x:v>
      </x:c>
      <x:c r="K6" s="126" t="n">
        <x:f>SUM('Monthly Inputs'!K$7:'Monthly Inputs'!K$10)</x:f>
        <x:v>4.15</x:v>
      </x:c>
      <x:c r="L6" s="126" t="n">
        <x:f>SUM('Monthly Inputs'!L$7:'Monthly Inputs'!L$10)</x:f>
        <x:v>4.15</x:v>
      </x:c>
      <x:c r="M6" s="126" t="n">
        <x:f>SUM('Monthly Inputs'!M$7:'Monthly Inputs'!M$10)</x:f>
        <x:v>4.15</x:v>
      </x:c>
    </x:row>
    <x:row r="7">
      <x:c r="A7" s="127" t="str">
        <x:v>Operating expenses</x:v>
      </x:c>
      <x:c r="B7" s="128" t="n">
        <x:f>B$6+'Monthly Inputs'!B$11</x:f>
        <x:v>4.95</x:v>
      </x:c>
      <x:c r="C7" s="128" t="n">
        <x:f>C$6+'Monthly Inputs'!C$11</x:f>
        <x:v>4.95</x:v>
      </x:c>
      <x:c r="D7" s="128" t="n">
        <x:f>D$6+'Monthly Inputs'!D$11</x:f>
        <x:v>4.95</x:v>
      </x:c>
      <x:c r="E7" s="128" t="n">
        <x:f>E$6+'Monthly Inputs'!E$11</x:f>
        <x:v>4.95</x:v>
      </x:c>
      <x:c r="F7" s="128" t="n">
        <x:f>F$6+'Monthly Inputs'!F$11</x:f>
        <x:v>4.95</x:v>
      </x:c>
      <x:c r="G7" s="128" t="n">
        <x:f>G$6+'Monthly Inputs'!G$11</x:f>
        <x:v>4.95</x:v>
      </x:c>
      <x:c r="H7" s="128" t="n">
        <x:f>H$6+'Monthly Inputs'!H$11</x:f>
        <x:v>4.95</x:v>
      </x:c>
      <x:c r="I7" s="128" t="n">
        <x:f>I$6+'Monthly Inputs'!I$11</x:f>
        <x:v>4.95</x:v>
      </x:c>
      <x:c r="J7" s="128" t="n">
        <x:f>J$6+'Monthly Inputs'!J$11</x:f>
        <x:v>4.95</x:v>
      </x:c>
      <x:c r="K7" s="128" t="n">
        <x:f>K$6+'Monthly Inputs'!K$11</x:f>
        <x:v>4.95</x:v>
      </x:c>
      <x:c r="L7" s="128" t="n">
        <x:f>L$6+'Monthly Inputs'!L$11</x:f>
        <x:v>4.95</x:v>
      </x:c>
      <x:c r="M7" s="128" t="n">
        <x:f>M$6+'Monthly Inputs'!M$11</x:f>
        <x:v>4.95</x:v>
      </x:c>
    </x:row>
    <x:row r="8">
      <x:c r="A8" s="129" t="str">
        <x:v>Opening debt</x:v>
      </x:c>
      <x:c r="B8" s="130" t="n">
        <x:f>'Assumptions'!$F$7</x:f>
        <x:v>28</x:v>
      </x:c>
      <x:c r="C8" s="130" t="n">
        <x:f>B$11</x:f>
        <x:v>27.53</x:v>
      </x:c>
      <x:c r="D8" s="130" t="n">
        <x:f>C$11</x:f>
        <x:v>27.055300000000003</x:v>
      </x:c>
      <x:c r="E8" s="130" t="n">
        <x:f>D$11</x:f>
        <x:v>26.575853000000002</x:v>
      </x:c>
      <x:c r="F8" s="130" t="n">
        <x:f>E$11</x:f>
        <x:v>26.09161153</x:v>
      </x:c>
      <x:c r="G8" s="130" t="n">
        <x:f>F$11</x:f>
        <x:v>25.6025276453</x:v>
      </x:c>
      <x:c r="H8" s="130" t="n">
        <x:f>G$11</x:f>
        <x:v>25.108552921753</x:v>
      </x:c>
      <x:c r="I8" s="130" t="n">
        <x:f>H$11</x:f>
        <x:v>24.60963845097053</x:v>
      </x:c>
      <x:c r="J8" s="130" t="n">
        <x:f>I$11</x:f>
        <x:v>24.105734835480234</x:v>
      </x:c>
      <x:c r="K8" s="130" t="n">
        <x:f>J$11</x:f>
        <x:v>23.596792183835035</x:v>
      </x:c>
      <x:c r="L8" s="130" t="n">
        <x:f>K$11</x:f>
        <x:v>23.082760105673387</x:v>
      </x:c>
      <x:c r="M8" s="130" t="n">
        <x:f>L$11</x:f>
        <x:v>22.56358770673012</x:v>
      </x:c>
    </x:row>
    <x:row r="9">
      <x:c r="A9" s="129" t="str">
        <x:v>Debt interest</x:v>
      </x:c>
      <x:c r="B9" s="130" t="n">
        <x:f>B$8*'Assumptions'!$F$8/12</x:f>
        <x:v>0.27999999999999997</x:v>
      </x:c>
      <x:c r="C9" s="130" t="n">
        <x:f>C$8*'Assumptions'!$F$8/12</x:f>
        <x:v>0.2753</x:v>
      </x:c>
      <x:c r="D9" s="130" t="n">
        <x:f>D$8*'Assumptions'!$F$8/12</x:f>
        <x:v>0.270553</x:v>
      </x:c>
      <x:c r="E9" s="130" t="n">
        <x:f>E$8*'Assumptions'!$F$8/12</x:f>
        <x:v>0.26575853</x:v>
      </x:c>
      <x:c r="F9" s="130" t="n">
        <x:f>F$8*'Assumptions'!$F$8/12</x:f>
        <x:v>0.2609161153</x:v>
      </x:c>
      <x:c r="G9" s="130" t="n">
        <x:f>G$8*'Assumptions'!$F$8/12</x:f>
        <x:v>0.256025276453</x:v>
      </x:c>
      <x:c r="H9" s="130" t="n">
        <x:f>H$8*'Assumptions'!$F$8/12</x:f>
        <x:v>0.25108552921752997</x:v>
      </x:c>
      <x:c r="I9" s="130" t="n">
        <x:f>I$8*'Assumptions'!$F$8/12</x:f>
        <x:v>0.24609638450970528</x:v>
      </x:c>
      <x:c r="J9" s="130" t="n">
        <x:f>J$8*'Assumptions'!$F$8/12</x:f>
        <x:v>0.24105734835480233</x:v>
      </x:c>
      <x:c r="K9" s="130" t="n">
        <x:f>K$8*'Assumptions'!$F$8/12</x:f>
        <x:v>0.23596792183835036</x:v>
      </x:c>
      <x:c r="L9" s="130" t="n">
        <x:f>L$8*'Assumptions'!$F$8/12</x:f>
        <x:v>0.23082760105673386</x:v>
      </x:c>
      <x:c r="M9" s="130" t="n">
        <x:f>M$8*'Assumptions'!$F$8/12</x:f>
        <x:v>0.22563587706730123</x:v>
      </x:c>
    </x:row>
    <x:row r="10">
      <x:c r="A10" s="129" t="str">
        <x:v>Principal paid</x:v>
      </x:c>
      <x:c r="B10" s="130" t="n">
        <x:f>MIN(B$8,MAX(0,'Monthly Inputs'!B$12-B$9))</x:f>
        <x:v>0.47000000000000003</x:v>
      </x:c>
      <x:c r="C10" s="130" t="n">
        <x:f>MIN(C$8,MAX(0,'Monthly Inputs'!C$12-C$9))</x:f>
        <x:v>0.4747</x:v>
      </x:c>
      <x:c r="D10" s="130" t="n">
        <x:f>MIN(D$8,MAX(0,'Monthly Inputs'!D$12-D$9))</x:f>
        <x:v>0.479447</x:v>
      </x:c>
      <x:c r="E10" s="130" t="n">
        <x:f>MIN(E$8,MAX(0,'Monthly Inputs'!E$12-E$9))</x:f>
        <x:v>0.48424147</x:v>
      </x:c>
      <x:c r="F10" s="130" t="n">
        <x:f>MIN(F$8,MAX(0,'Monthly Inputs'!F$12-F$9))</x:f>
        <x:v>0.4890838847</x:v>
      </x:c>
      <x:c r="G10" s="130" t="n">
        <x:f>MIN(G$8,MAX(0,'Monthly Inputs'!G$12-G$9))</x:f>
        <x:v>0.493974723547</x:v>
      </x:c>
      <x:c r="H10" s="130" t="n">
        <x:f>MIN(H$8,MAX(0,'Monthly Inputs'!H$12-H$9))</x:f>
        <x:v>0.49891447078247003</x:v>
      </x:c>
      <x:c r="I10" s="130" t="n">
        <x:f>MIN(I$8,MAX(0,'Monthly Inputs'!I$12-I$9))</x:f>
        <x:v>0.5039036154902947</x:v>
      </x:c>
      <x:c r="J10" s="130" t="n">
        <x:f>MIN(J$8,MAX(0,'Monthly Inputs'!J$12-J$9))</x:f>
        <x:v>0.5089426516451977</x:v>
      </x:c>
      <x:c r="K10" s="130" t="n">
        <x:f>MIN(K$8,MAX(0,'Monthly Inputs'!K$12-K$9))</x:f>
        <x:v>0.5140320781616496</x:v>
      </x:c>
      <x:c r="L10" s="130" t="n">
        <x:f>MIN(L$8,MAX(0,'Monthly Inputs'!L$12-L$9))</x:f>
        <x:v>0.5191723989432662</x:v>
      </x:c>
      <x:c r="M10" s="130" t="n">
        <x:f>MIN(M$8,MAX(0,'Monthly Inputs'!M$12-M$9))</x:f>
        <x:v>0.5243641229326987</x:v>
      </x:c>
    </x:row>
    <x:row r="11">
      <x:c r="A11" s="127" t="str">
        <x:v>Closing debt</x:v>
      </x:c>
      <x:c r="B11" s="131" t="n">
        <x:f>B$8-B$10</x:f>
        <x:v>27.53</x:v>
      </x:c>
      <x:c r="C11" s="131" t="n">
        <x:f>C$8-C$10</x:f>
        <x:v>27.055300000000003</x:v>
      </x:c>
      <x:c r="D11" s="131" t="n">
        <x:f>D$8-D$10</x:f>
        <x:v>26.575853000000002</x:v>
      </x:c>
      <x:c r="E11" s="131" t="n">
        <x:f>E$8-E$10</x:f>
        <x:v>26.09161153</x:v>
      </x:c>
      <x:c r="F11" s="131" t="n">
        <x:f>F$8-F$10</x:f>
        <x:v>25.6025276453</x:v>
      </x:c>
      <x:c r="G11" s="131" t="n">
        <x:f>G$8-G$10</x:f>
        <x:v>25.108552921753</x:v>
      </x:c>
      <x:c r="H11" s="131" t="n">
        <x:f>H$8-H$10</x:f>
        <x:v>24.60963845097053</x:v>
      </x:c>
      <x:c r="I11" s="131" t="n">
        <x:f>I$8-I$10</x:f>
        <x:v>24.105734835480234</x:v>
      </x:c>
      <x:c r="J11" s="131" t="n">
        <x:f>J$8-J$10</x:f>
        <x:v>23.596792183835035</x:v>
      </x:c>
      <x:c r="K11" s="131" t="n">
        <x:f>K$8-K$10</x:f>
        <x:v>23.082760105673387</x:v>
      </x:c>
      <x:c r="L11" s="131" t="n">
        <x:f>L$8-L$10</x:f>
        <x:v>22.56358770673012</x:v>
      </x:c>
      <x:c r="M11" s="131" t="n">
        <x:f>M$8-M$10</x:f>
        <x:v>22.039223583797423</x:v>
      </x:c>
    </x:row>
    <x:row r="12">
      <x:c r="A12" s="127" t="str">
        <x:v>Cash change</x:v>
      </x:c>
      <x:c r="B12" s="128" t="n">
        <x:f>'Monthly Inputs'!B$6-B$7-'Monthly Inputs'!B$12-'Monthly Inputs'!B$13</x:f>
        <x:v>1.2999999999999998</x:v>
      </x:c>
      <x:c r="C12" s="128" t="n">
        <x:f>'Monthly Inputs'!C$6-C$7-'Monthly Inputs'!C$12-'Monthly Inputs'!C$13</x:f>
        <x:v>1.2999999999999998</x:v>
      </x:c>
      <x:c r="D12" s="128" t="n">
        <x:f>'Monthly Inputs'!D$6-D$7-'Monthly Inputs'!D$12-'Monthly Inputs'!D$13</x:f>
        <x:v>1.4999999999999991</x:v>
      </x:c>
      <x:c r="E12" s="128" t="n">
        <x:f>'Monthly Inputs'!E$6-E$7-'Monthly Inputs'!E$12-'Monthly Inputs'!E$13</x:f>
        <x:v>1.4999999999999991</x:v>
      </x:c>
      <x:c r="F12" s="128" t="n">
        <x:f>'Monthly Inputs'!F$6-F$7-'Monthly Inputs'!F$12-'Monthly Inputs'!F$13</x:f>
        <x:v>1.4999999999999991</x:v>
      </x:c>
      <x:c r="G12" s="128" t="n">
        <x:f>'Monthly Inputs'!G$6-G$7-'Monthly Inputs'!G$12-'Monthly Inputs'!G$13</x:f>
        <x:v>1.7999999999999998</x:v>
      </x:c>
      <x:c r="H12" s="128" t="n">
        <x:f>'Monthly Inputs'!H$6-H$7-'Monthly Inputs'!H$12-'Monthly Inputs'!H$13</x:f>
        <x:v>1.7999999999999998</x:v>
      </x:c>
      <x:c r="I12" s="128" t="n">
        <x:f>'Monthly Inputs'!I$6-I$7-'Monthly Inputs'!I$12-'Monthly Inputs'!I$13</x:f>
        <x:v>1.7999999999999998</x:v>
      </x:c>
      <x:c r="J12" s="128" t="n">
        <x:f>'Monthly Inputs'!J$6-J$7-'Monthly Inputs'!J$12-'Monthly Inputs'!J$13</x:f>
        <x:v>2.1000000000000005</x:v>
      </x:c>
      <x:c r="K12" s="128" t="n">
        <x:f>'Monthly Inputs'!K$6-K$7-'Monthly Inputs'!K$12-'Monthly Inputs'!K$13</x:f>
        <x:v>2.1000000000000005</x:v>
      </x:c>
      <x:c r="L12" s="128" t="n">
        <x:f>'Monthly Inputs'!L$6-L$7-'Monthly Inputs'!L$12-'Monthly Inputs'!L$13</x:f>
        <x:v>2.3</x:v>
      </x:c>
      <x:c r="M12" s="128" t="n">
        <x:f>'Monthly Inputs'!M$6-M$7-'Monthly Inputs'!M$12-'Monthly Inputs'!M$13</x:f>
        <x:v>2.3</x:v>
      </x:c>
    </x:row>
    <x:row r="13">
      <x:c r="A13" s="129" t="str">
        <x:v>Opening cash</x:v>
      </x:c>
      <x:c r="B13" s="130" t="n">
        <x:f>'Assumptions'!$F$6</x:f>
        <x:v>12</x:v>
      </x:c>
      <x:c r="C13" s="130" t="n">
        <x:f>B$14</x:f>
        <x:v>13.3</x:v>
      </x:c>
      <x:c r="D13" s="130" t="n">
        <x:f>C$14</x:f>
        <x:v>14.600000000000001</x:v>
      </x:c>
      <x:c r="E13" s="130" t="n">
        <x:f>D$14</x:f>
        <x:v>16.1</x:v>
      </x:c>
      <x:c r="F13" s="130" t="n">
        <x:f>E$14</x:f>
        <x:v>17.6</x:v>
      </x:c>
      <x:c r="G13" s="130" t="n">
        <x:f>F$14</x:f>
        <x:v>19.1</x:v>
      </x:c>
      <x:c r="H13" s="130" t="n">
        <x:f>G$14</x:f>
        <x:v>20.900000000000002</x:v>
      </x:c>
      <x:c r="I13" s="130" t="n">
        <x:f>H$14</x:f>
        <x:v>22.700000000000003</x:v>
      </x:c>
      <x:c r="J13" s="130" t="n">
        <x:f>I$14</x:f>
        <x:v>24.500000000000004</x:v>
      </x:c>
      <x:c r="K13" s="130" t="n">
        <x:f>J$14</x:f>
        <x:v>26.600000000000005</x:v>
      </x:c>
      <x:c r="L13" s="130" t="n">
        <x:f>K$14</x:f>
        <x:v>28.700000000000006</x:v>
      </x:c>
      <x:c r="M13" s="130" t="n">
        <x:f>L$14</x:f>
        <x:v>31.000000000000007</x:v>
      </x:c>
    </x:row>
    <x:row r="14">
      <x:c r="A14" s="132" t="str">
        <x:v>Closing cash</x:v>
      </x:c>
      <x:c r="B14" s="133" t="n">
        <x:f>B$13+B$12</x:f>
        <x:v>13.3</x:v>
      </x:c>
      <x:c r="C14" s="133" t="n">
        <x:f>C$13+C$12</x:f>
        <x:v>14.600000000000001</x:v>
      </x:c>
      <x:c r="D14" s="133" t="n">
        <x:f>D$13+D$12</x:f>
        <x:v>16.1</x:v>
      </x:c>
      <x:c r="E14" s="133" t="n">
        <x:f>E$13+E$12</x:f>
        <x:v>17.6</x:v>
      </x:c>
      <x:c r="F14" s="133" t="n">
        <x:f>F$13+F$12</x:f>
        <x:v>19.1</x:v>
      </x:c>
      <x:c r="G14" s="133" t="n">
        <x:f>G$13+G$12</x:f>
        <x:v>20.900000000000002</x:v>
      </x:c>
      <x:c r="H14" s="133" t="n">
        <x:f>H$13+H$12</x:f>
        <x:v>22.700000000000003</x:v>
      </x:c>
      <x:c r="I14" s="133" t="n">
        <x:f>I$13+I$12</x:f>
        <x:v>24.500000000000004</x:v>
      </x:c>
      <x:c r="J14" s="133" t="n">
        <x:f>J$13+J$12</x:f>
        <x:v>26.600000000000005</x:v>
      </x:c>
      <x:c r="K14" s="133" t="n">
        <x:f>K$13+K$12</x:f>
        <x:v>28.700000000000006</x:v>
      </x:c>
      <x:c r="L14" s="133" t="n">
        <x:f>L$13+L$12</x:f>
        <x:v>31.000000000000007</x:v>
      </x:c>
      <x:c r="M14" s="133" t="n">
        <x:f>M$13+M$12</x:f>
        <x:v>33.300000000000004</x:v>
      </x:c>
    </x:row>
    <x:row r="15">
      <x:c r="A15" s="129" t="str">
        <x:v>Opening investments</x:v>
      </x:c>
      <x:c r="B15" s="130" t="n">
        <x:f>'Assumptions'!$F$9</x:f>
        <x:v>20</x:v>
      </x:c>
      <x:c r="C15" s="130" t="n">
        <x:f>B$17</x:f>
        <x:v>21.1</x:v>
      </x:c>
      <x:c r="D15" s="130" t="n">
        <x:f>C$17</x:f>
        <x:v>22.2055</x:v>
      </x:c>
      <x:c r="E15" s="130" t="n">
        <x:f>D$17</x:f>
        <x:v>23.3165275</x:v>
      </x:c>
      <x:c r="F15" s="130" t="n">
        <x:f>E$17</x:f>
        <x:v>24.433110137499998</x:v>
      </x:c>
      <x:c r="G15" s="130" t="n">
        <x:f>F$17</x:f>
        <x:v>25.5552756881875</x:v>
      </x:c>
      <x:c r="H15" s="130" t="n">
        <x:f>G$17</x:f>
        <x:v>26.683052066628438</x:v>
      </x:c>
      <x:c r="I15" s="130" t="n">
        <x:f>H$17</x:f>
        <x:v>27.81646732696158</x:v>
      </x:c>
      <x:c r="J15" s="130" t="n">
        <x:f>I$17</x:f>
        <x:v>28.955549663596386</x:v>
      </x:c>
      <x:c r="K15" s="130" t="n">
        <x:f>J$17</x:f>
        <x:v>30.100327411914368</x:v>
      </x:c>
      <x:c r="L15" s="130" t="n">
        <x:f>K$17</x:f>
        <x:v>31.25082904897394</x:v>
      </x:c>
      <x:c r="M15" s="130" t="n">
        <x:f>L$17</x:f>
        <x:v>32.407083194218814</x:v>
      </x:c>
    </x:row>
    <x:row r="16">
      <x:c r="A16" s="129" t="str">
        <x:v>Investment return</x:v>
      </x:c>
      <x:c r="B16" s="130" t="n">
        <x:f>B$15*'Assumptions'!$F$10/12</x:f>
        <x:v>0.09999999999999999</x:v>
      </x:c>
      <x:c r="C16" s="130" t="n">
        <x:f>C$15*'Assumptions'!$F$10/12</x:f>
        <x:v>0.1055</x:v>
      </x:c>
      <x:c r="D16" s="130" t="n">
        <x:f>D$15*'Assumptions'!$F$10/12</x:f>
        <x:v>0.1110275</x:v>
      </x:c>
      <x:c r="E16" s="130" t="n">
        <x:f>E$15*'Assumptions'!$F$10/12</x:f>
        <x:v>0.11658263749999999</x:v>
      </x:c>
      <x:c r="F16" s="130" t="n">
        <x:f>F$15*'Assumptions'!$F$10/12</x:f>
        <x:v>0.1221655506875</x:v>
      </x:c>
      <x:c r="G16" s="130" t="n">
        <x:f>G$15*'Assumptions'!$F$10/12</x:f>
        <x:v>0.1277763784409375</x:v>
      </x:c>
      <x:c r="H16" s="130" t="n">
        <x:f>H$15*'Assumptions'!$F$10/12</x:f>
        <x:v>0.1334152603331422</x:v>
      </x:c>
      <x:c r="I16" s="130" t="n">
        <x:f>I$15*'Assumptions'!$F$10/12</x:f>
        <x:v>0.13908233663480787</x:v>
      </x:c>
      <x:c r="J16" s="130" t="n">
        <x:f>J$15*'Assumptions'!$F$10/12</x:f>
        <x:v>0.14477774831798193</x:v>
      </x:c>
      <x:c r="K16" s="130" t="n">
        <x:f>K$15*'Assumptions'!$F$10/12</x:f>
        <x:v>0.15050163705957184</x:v>
      </x:c>
      <x:c r="L16" s="130" t="n">
        <x:f>L$15*'Assumptions'!$F$10/12</x:f>
        <x:v>0.1562541452448697</x:v>
      </x:c>
      <x:c r="M16" s="130" t="n">
        <x:f>M$15*'Assumptions'!$F$10/12</x:f>
        <x:v>0.16203541597109405</x:v>
      </x:c>
    </x:row>
    <x:row r="17">
      <x:c r="A17" s="127" t="str">
        <x:v>Closing investments</x:v>
      </x:c>
      <x:c r="B17" s="128" t="n">
        <x:f>B$15+B$16+'Monthly Inputs'!B$13</x:f>
        <x:v>21.1</x:v>
      </x:c>
      <x:c r="C17" s="128" t="n">
        <x:f>C$15+C$16+'Monthly Inputs'!C$13</x:f>
        <x:v>22.2055</x:v>
      </x:c>
      <x:c r="D17" s="128" t="n">
        <x:f>D$15+D$16+'Monthly Inputs'!D$13</x:f>
        <x:v>23.3165275</x:v>
      </x:c>
      <x:c r="E17" s="128" t="n">
        <x:f>E$15+E$16+'Monthly Inputs'!E$13</x:f>
        <x:v>24.433110137499998</x:v>
      </x:c>
      <x:c r="F17" s="128" t="n">
        <x:f>F$15+F$16+'Monthly Inputs'!F$13</x:f>
        <x:v>25.5552756881875</x:v>
      </x:c>
      <x:c r="G17" s="128" t="n">
        <x:f>G$15+G$16+'Monthly Inputs'!G$13</x:f>
        <x:v>26.683052066628438</x:v>
      </x:c>
      <x:c r="H17" s="128" t="n">
        <x:f>H$15+H$16+'Monthly Inputs'!H$13</x:f>
        <x:v>27.81646732696158</x:v>
      </x:c>
      <x:c r="I17" s="128" t="n">
        <x:f>I$15+I$16+'Monthly Inputs'!I$13</x:f>
        <x:v>28.955549663596386</x:v>
      </x:c>
      <x:c r="J17" s="128" t="n">
        <x:f>J$15+J$16+'Monthly Inputs'!J$13</x:f>
        <x:v>30.100327411914368</x:v>
      </x:c>
      <x:c r="K17" s="128" t="n">
        <x:f>K$15+K$16+'Monthly Inputs'!K$13</x:f>
        <x:v>31.25082904897394</x:v>
      </x:c>
      <x:c r="L17" s="128" t="n">
        <x:f>L$15+L$16+'Monthly Inputs'!L$13</x:f>
        <x:v>32.407083194218814</x:v>
      </x:c>
      <x:c r="M17" s="128" t="n">
        <x:f>M$15+M$16+'Monthly Inputs'!M$13</x:f>
        <x:v>33.56911861018991</x:v>
      </x:c>
    </x:row>
    <x:row r="18">
      <x:c r="A18" s="132" t="str">
        <x:v>Net worth</x:v>
      </x:c>
      <x:c r="B18" s="133" t="n">
        <x:f>B$14+B$17-B$11</x:f>
        <x:v>6.8700000000000045</x:v>
      </x:c>
      <x:c r="C18" s="133" t="n">
        <x:f>C$14+C$17-C$11</x:f>
        <x:v>9.7502</x:v>
      </x:c>
      <x:c r="D18" s="133" t="n">
        <x:f>D$14+D$17-D$11</x:f>
        <x:v>12.840674499999999</x:v>
      </x:c>
      <x:c r="E18" s="133" t="n">
        <x:f>E$14+E$17-E$11</x:f>
        <x:v>15.941498607500002</x:v>
      </x:c>
      <x:c r="F18" s="133" t="n">
        <x:f>F$14+F$17-F$11</x:f>
        <x:v>19.0527480428875</x:v>
      </x:c>
      <x:c r="G18" s="133" t="n">
        <x:f>G$14+G$17-G$11</x:f>
        <x:v>22.47449914487544</x:v>
      </x:c>
      <x:c r="H18" s="133" t="n">
        <x:f>H$14+H$17-H$11</x:f>
        <x:v>25.906828875991053</x:v>
      </x:c>
      <x:c r="I18" s="133" t="n">
        <x:f>I$14+I$17-I$11</x:f>
        <x:v>29.349814828116152</x:v>
      </x:c>
      <x:c r="J18" s="133" t="n">
        <x:f>J$14+J$17-J$11</x:f>
        <x:v>33.10353522807934</x:v>
      </x:c>
      <x:c r="K18" s="133" t="n">
        <x:f>K$14+K$17-K$11</x:f>
        <x:v>36.86806894330056</x:v>
      </x:c>
      <x:c r="L18" s="133" t="n">
        <x:f>L$14+L$17-L$11</x:f>
        <x:v>40.843495487488696</x:v>
      </x:c>
      <x:c r="M18" s="133" t="n">
        <x:f>M$14+M$17-M$11</x:f>
        <x:v>44.82989502639249</x:v>
      </x:c>
    </x:row>
    <x:row r="19">
      <x:c r="A19" s="129" t="str">
        <x:v>Emergency-fund months</x:v>
      </x:c>
      <x:c r="B19" s="134" t="n">
        <x:f>IF(B$6=0,0,B$14/B$6)</x:f>
        <x:v>3.2048192771084336</x:v>
      </x:c>
      <x:c r="C19" s="134" t="n">
        <x:f>IF(C$6=0,0,C$14/C$6)</x:f>
        <x:v>3.5180722891566267</x:v>
      </x:c>
      <x:c r="D19" s="134" t="n">
        <x:f>IF(D$6=0,0,D$14/D$6)</x:f>
        <x:v>3.8795180722891565</x:v>
      </x:c>
      <x:c r="E19" s="134" t="n">
        <x:f>IF(E$6=0,0,E$14/E$6)</x:f>
        <x:v>4.240963855421687</x:v>
      </x:c>
      <x:c r="F19" s="134" t="n">
        <x:f>IF(F$6=0,0,F$14/F$6)</x:f>
        <x:v>4.602409638554217</x:v>
      </x:c>
      <x:c r="G19" s="134" t="n">
        <x:f>IF(G$6=0,0,G$14/G$6)</x:f>
        <x:v>5.0361445783132535</x:v>
      </x:c>
      <x:c r="H19" s="134" t="n">
        <x:f>IF(H$6=0,0,H$14/H$6)</x:f>
        <x:v>5.46987951807229</x:v>
      </x:c>
      <x:c r="I19" s="134" t="n">
        <x:f>IF(I$6=0,0,I$14/I$6)</x:f>
        <x:v>5.903614457831326</x:v>
      </x:c>
      <x:c r="J19" s="134" t="n">
        <x:f>IF(J$6=0,0,J$14/J$6)</x:f>
        <x:v>6.409638554216868</x:v>
      </x:c>
      <x:c r="K19" s="134" t="n">
        <x:f>IF(K$6=0,0,K$14/K$6)</x:f>
        <x:v>6.91566265060241</x:v>
      </x:c>
      <x:c r="L19" s="134" t="n">
        <x:f>IF(L$6=0,0,L$14/L$6)</x:f>
        <x:v>7.469879518072291</x:v>
      </x:c>
      <x:c r="M19" s="134" t="n">
        <x:f>IF(M$6=0,0,M$14/M$6)</x:f>
        <x:v>8.024096385542169</x:v>
      </x:c>
    </x:row>
    <x:row r="20">
      <x:c r="A20" s="129" t="str">
        <x:v>Savings rate</x:v>
      </x:c>
      <x:c r="B20" s="135" t="n">
        <x:f>IF('Monthly Inputs'!B$6=0,0,(B$12+'Monthly Inputs'!B$13)/'Monthly Inputs'!B$6)</x:f>
        <x:v>0.2875</x:v>
      </x:c>
      <x:c r="C20" s="135" t="n">
        <x:f>IF('Monthly Inputs'!C$6=0,0,(C$12+'Monthly Inputs'!C$13)/'Monthly Inputs'!C$6)</x:f>
        <x:v>0.2875</x:v>
      </x:c>
      <x:c r="D20" s="135" t="n">
        <x:f>IF('Monthly Inputs'!D$6=0,0,(D$12+'Monthly Inputs'!D$13)/'Monthly Inputs'!D$6)</x:f>
        <x:v>0.30487804878048774</x:v>
      </x:c>
      <x:c r="E20" s="135" t="n">
        <x:f>IF('Monthly Inputs'!E$6=0,0,(E$12+'Monthly Inputs'!E$13)/'Monthly Inputs'!E$6)</x:f>
        <x:v>0.30487804878048774</x:v>
      </x:c>
      <x:c r="F20" s="135" t="n">
        <x:f>IF('Monthly Inputs'!F$6=0,0,(F$12+'Monthly Inputs'!F$13)/'Monthly Inputs'!F$6)</x:f>
        <x:v>0.30487804878048774</x:v>
      </x:c>
      <x:c r="G20" s="135" t="n">
        <x:f>IF('Monthly Inputs'!G$6=0,0,(G$12+'Monthly Inputs'!G$13)/'Monthly Inputs'!G$6)</x:f>
        <x:v>0.32941176470588235</x:v>
      </x:c>
      <x:c r="H20" s="135" t="n">
        <x:f>IF('Monthly Inputs'!H$6=0,0,(H$12+'Monthly Inputs'!H$13)/'Monthly Inputs'!H$6)</x:f>
        <x:v>0.32941176470588235</x:v>
      </x:c>
      <x:c r="I20" s="135" t="n">
        <x:f>IF('Monthly Inputs'!I$6=0,0,(I$12+'Monthly Inputs'!I$13)/'Monthly Inputs'!I$6)</x:f>
        <x:v>0.32941176470588235</x:v>
      </x:c>
      <x:c r="J20" s="135" t="n">
        <x:f>IF('Monthly Inputs'!J$6=0,0,(J$12+'Monthly Inputs'!J$13)/'Monthly Inputs'!J$6)</x:f>
        <x:v>0.3522727272727273</x:v>
      </x:c>
      <x:c r="K20" s="135" t="n">
        <x:f>IF('Monthly Inputs'!K$6=0,0,(K$12+'Monthly Inputs'!K$13)/'Monthly Inputs'!K$6)</x:f>
        <x:v>0.3522727272727273</x:v>
      </x:c>
      <x:c r="L20" s="135" t="n">
        <x:f>IF('Monthly Inputs'!L$6=0,0,(L$12+'Monthly Inputs'!L$13)/'Monthly Inputs'!L$6)</x:f>
        <x:v>0.36666666666666664</x:v>
      </x:c>
      <x:c r="M20" s="135" t="n">
        <x:f>IF('Monthly Inputs'!M$6=0,0,(M$12+'Monthly Inputs'!M$13)/'Monthly Inputs'!M$6)</x:f>
        <x:v>0.36666666666666664</x:v>
      </x:c>
    </x:row>
    <x:row r="21">
      <x:c r="A21" s="136" t="str">
        <x:v>Debt roll-forward check</x:v>
      </x:c>
      <x:c r="B21" s="137" t="n">
        <x:f>B$11-B$8+B$10</x:f>
        <x:v>1.1657341758564144e-15</x:v>
      </x:c>
      <x:c r="C21" s="137" t="n">
        <x:f>C$11-C$8+C$10</x:f>
        <x:v>1.4432899320127035e-15</x:v>
      </x:c>
      <x:c r="D21" s="137" t="n">
        <x:f>D$11-D$8+D$10</x:f>
        <x:v>-3.885780586188048e-16</x:v>
      </x:c>
      <x:c r="E21" s="137" t="n">
        <x:f>E$11-E$8+E$10</x:f>
        <x:v>-6.106226635438361e-16</x:v>
      </x:c>
      <x:c r="F21" s="137" t="n">
        <x:f>F$11-F$8+F$10</x:f>
        <x:v>-1.1657341758564144e-15</x:v>
      </x:c>
      <x:c r="G21" s="137" t="n">
        <x:f>G$11-G$8+G$10</x:f>
        <x:v>-1.5543122344752192e-15</x:v>
      </x:c>
      <x:c r="H21" s="137" t="n">
        <x:f>H$11-H$8+H$10</x:f>
        <x:v>5.551115123125783e-17</x:v>
      </x:c>
      <x:c r="I21" s="137" t="n">
        <x:f>I$11-I$8+I$10</x:f>
        <x:v>2.220446049250313e-16</x:v>
      </x:c>
      <x:c r="J21" s="137" t="n">
        <x:f>J$11-J$8+J$10</x:f>
        <x:v>-1.6653345369377348e-15</x:v>
      </x:c>
      <x:c r="K21" s="137" t="n">
        <x:f>K$11-K$8+K$10</x:f>
        <x:v>1.5543122344752192e-15</x:v>
      </x:c>
      <x:c r="L21" s="137" t="n">
        <x:f>L$11-L$8+L$10</x:f>
        <x:v>8.881784197001252e-16</x:v>
      </x:c>
      <x:c r="M21" s="137" t="n">
        <x:f>M$11-M$8+M$10</x:f>
        <x:v>-2.220446049250313e-16</x:v>
      </x:c>
    </x:row>
    <x:row r="23">
      <x:c r="A23" s="42" t="str">
        <x:v>Review row definitions, sign convention, period basis, scenario mechanics, and every breakpoint before relying on the output.</x:v>
      </x:c>
      <x:c r="B23" s="43" t="str">
        <x:v>Review row definitions, sign convention, period basis, scenario mechanics, and every breakpoint before relying on the output.</x:v>
      </x:c>
      <x:c r="C23" s="43" t="str">
        <x:v>Review row definitions, sign convention, period basis, scenario mechanics, and every breakpoint before relying on the output.</x:v>
      </x:c>
      <x:c r="D23" s="43" t="str">
        <x:v>Review row definitions, sign convention, period basis, scenario mechanics, and every breakpoint before relying on the output.</x:v>
      </x:c>
      <x:c r="E23" s="43" t="str">
        <x:v>Review row definitions, sign convention, period basis, scenario mechanics, and every breakpoint before relying on the output.</x:v>
      </x:c>
      <x:c r="F23" s="43" t="str">
        <x:v>Review row definitions, sign convention, period basis, scenario mechanics, and every breakpoint before relying on the output.</x:v>
      </x:c>
      <x:c r="G23" s="43" t="str">
        <x:v>Review row definitions, sign convention, period basis, scenario mechanics, and every breakpoint before relying on the output.</x:v>
      </x:c>
      <x:c r="H23" s="43" t="str">
        <x:v>Review row definitions, sign convention, period basis, scenario mechanics, and every breakpoint before relying on the output.</x:v>
      </x:c>
      <x:c r="I23" s="43" t="str">
        <x:v>Review row definitions, sign convention, period basis, scenario mechanics, and every breakpoint before relying on the output.</x:v>
      </x:c>
      <x:c r="J23" s="43" t="str">
        <x:v>Review row definitions, sign convention, period basis, scenario mechanics, and every breakpoint before relying on the output.</x:v>
      </x:c>
      <x:c r="K23" s="43" t="str">
        <x:v>Review row definitions, sign convention, period basis, scenario mechanics, and every breakpoint before relying on the output.</x:v>
      </x:c>
      <x:c r="L23" s="43" t="str">
        <x:v>Review row definitions, sign convention, period basis, scenario mechanics, and every breakpoint before relying on the output.</x:v>
      </x:c>
      <x:c r="M23" s="44" t="str">
        <x:v>Review row definitions, sign convention, period basis, scenario mechanics, and every breakpoint before relying on the output.</x:v>
      </x:c>
    </x:row>
    <x:row r="24">
      <x:c r="A24" s="45" t="str">
        <x:v>Review row definitions, sign convention, period basis, scenario mechanics, and every breakpoint before relying on the output.</x:v>
      </x:c>
      <x:c r="B24" s="46" t="str">
        <x:v>Review row definitions, sign convention, period basis, scenario mechanics, and every breakpoint before relying on the output.</x:v>
      </x:c>
      <x:c r="C24" s="46" t="str">
        <x:v>Review row definitions, sign convention, period basis, scenario mechanics, and every breakpoint before relying on the output.</x:v>
      </x:c>
      <x:c r="D24" s="46" t="str">
        <x:v>Review row definitions, sign convention, period basis, scenario mechanics, and every breakpoint before relying on the output.</x:v>
      </x:c>
      <x:c r="E24" s="46" t="str">
        <x:v>Review row definitions, sign convention, period basis, scenario mechanics, and every breakpoint before relying on the output.</x:v>
      </x:c>
      <x:c r="F24" s="46" t="str">
        <x:v>Review row definitions, sign convention, period basis, scenario mechanics, and every breakpoint before relying on the output.</x:v>
      </x:c>
      <x:c r="G24" s="46" t="str">
        <x:v>Review row definitions, sign convention, period basis, scenario mechanics, and every breakpoint before relying on the output.</x:v>
      </x:c>
      <x:c r="H24" s="46" t="str">
        <x:v>Review row definitions, sign convention, period basis, scenario mechanics, and every breakpoint before relying on the output.</x:v>
      </x:c>
      <x:c r="I24" s="46" t="str">
        <x:v>Review row definitions, sign convention, period basis, scenario mechanics, and every breakpoint before relying on the output.</x:v>
      </x:c>
      <x:c r="J24" s="46" t="str">
        <x:v>Review row definitions, sign convention, period basis, scenario mechanics, and every breakpoint before relying on the output.</x:v>
      </x:c>
      <x:c r="K24" s="46" t="str">
        <x:v>Review row definitions, sign convention, period basis, scenario mechanics, and every breakpoint before relying on the output.</x:v>
      </x:c>
      <x:c r="L24" s="46" t="str">
        <x:v>Review row definitions, sign convention, period basis, scenario mechanics, and every breakpoint before relying on the output.</x:v>
      </x:c>
      <x:c r="M24" s="47" t="str">
        <x:v>Review row definitions, sign convention, period basis, scenario mechanics, and every breakpoint before relying on the output.</x:v>
      </x:c>
    </x:row>
    <x:row r="25">
      <x:c r="A25" s="48" t="str">
        <x:v>Review row definitions, sign convention, period basis, scenario mechanics, and every breakpoint before relying on the output.</x:v>
      </x:c>
      <x:c r="B25" s="49" t="str">
        <x:v>Review row definitions, sign convention, period basis, scenario mechanics, and every breakpoint before relying on the output.</x:v>
      </x:c>
      <x:c r="C25" s="49" t="str">
        <x:v>Review row definitions, sign convention, period basis, scenario mechanics, and every breakpoint before relying on the output.</x:v>
      </x:c>
      <x:c r="D25" s="49" t="str">
        <x:v>Review row definitions, sign convention, period basis, scenario mechanics, and every breakpoint before relying on the output.</x:v>
      </x:c>
      <x:c r="E25" s="49" t="str">
        <x:v>Review row definitions, sign convention, period basis, scenario mechanics, and every breakpoint before relying on the output.</x:v>
      </x:c>
      <x:c r="F25" s="49" t="str">
        <x:v>Review row definitions, sign convention, period basis, scenario mechanics, and every breakpoint before relying on the output.</x:v>
      </x:c>
      <x:c r="G25" s="49" t="str">
        <x:v>Review row definitions, sign convention, period basis, scenario mechanics, and every breakpoint before relying on the output.</x:v>
      </x:c>
      <x:c r="H25" s="49" t="str">
        <x:v>Review row definitions, sign convention, period basis, scenario mechanics, and every breakpoint before relying on the output.</x:v>
      </x:c>
      <x:c r="I25" s="49" t="str">
        <x:v>Review row definitions, sign convention, period basis, scenario mechanics, and every breakpoint before relying on the output.</x:v>
      </x:c>
      <x:c r="J25" s="49" t="str">
        <x:v>Review row definitions, sign convention, period basis, scenario mechanics, and every breakpoint before relying on the output.</x:v>
      </x:c>
      <x:c r="K25" s="49" t="str">
        <x:v>Review row definitions, sign convention, period basis, scenario mechanics, and every breakpoint before relying on the output.</x:v>
      </x:c>
      <x:c r="L25" s="49" t="str">
        <x:v>Review row definitions, sign convention, period basis, scenario mechanics, and every breakpoint before relying on the output.</x:v>
      </x:c>
      <x:c r="M25" s="50" t="str">
        <x:v>Review row definitions, sign convention, period basis, scenario mechanics, and every breakpoint before relying on the output.</x:v>
      </x:c>
    </x:row>
    <x:row r="27">
      <x:c r="A27" s="53" t="str">
        <x:v>TDAT Model Library  |  Trust builds the brand. Insight builds the decision.</x:v>
      </x:c>
      <x:c r="B27" s="53" t="str">
        <x:v>TDAT Model Library  |  Trust builds the brand. Insight builds the decision.</x:v>
      </x:c>
      <x:c r="C27" s="53" t="str">
        <x:v>TDAT Model Library  |  Trust builds the brand. Insight builds the decision.</x:v>
      </x:c>
      <x:c r="D27" s="53" t="str">
        <x:v>TDAT Model Library  |  Trust builds the brand. Insight builds the decision.</x:v>
      </x:c>
      <x:c r="E27" s="53" t="str">
        <x:v>TDAT Model Library  |  Trust builds the brand. Insight builds the decision.</x:v>
      </x:c>
      <x:c r="F27" s="53" t="str">
        <x:v>TDAT Model Library  |  Trust builds the brand. Insight builds the decision.</x:v>
      </x:c>
      <x:c r="G27" s="53" t="str">
        <x:v>TDAT Model Library  |  Trust builds the brand. Insight builds the decision.</x:v>
      </x:c>
      <x:c r="H27" s="53" t="str">
        <x:v>TDAT Model Library  |  Trust builds the brand. Insight builds the decision.</x:v>
      </x:c>
      <x:c r="I27" s="53" t="str">
        <x:v>TDAT Model Library  |  Trust builds the brand. Insight builds the decision.</x:v>
      </x:c>
      <x:c r="J27" s="53" t="str">
        <x:v>TDAT Model Library  |  Trust builds the brand. Insight builds the decision.</x:v>
      </x:c>
      <x:c r="K27" s="53" t="str">
        <x:v>TDAT Model Library  |  Trust builds the brand. Insight builds the decision.</x:v>
      </x:c>
      <x:c r="L27" s="53" t="str">
        <x:v>TDAT Model Library  |  Trust builds the brand. Insight builds the decision.</x:v>
      </x:c>
      <x:c r="M27" s="53" t="str">
        <x:v>TDAT Model Library  |  Trust builds the brand. Insight builds the decision.</x:v>
      </x:c>
    </x:row>
  </x:sheetData>
  <x:mergeCells>
    <x:mergeCell ref="A1:M1"/>
    <x:mergeCell ref="A2:M2"/>
    <x:mergeCell ref="A23:M25"/>
    <x:mergeCell ref="A27:M2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SCENARIOS &amp; SENSITIVITY</x:v>
      </x:c>
      <x:c r="B1" s="3" t="str">
        <x:v>SCENARIOS &amp; SENSITIVITY</x:v>
      </x:c>
      <x:c r="C1" s="3" t="str">
        <x:v>SCENARIOS &amp; SENSITIVITY</x:v>
      </x:c>
      <x:c r="D1" s="3" t="str">
        <x:v>SCENARIOS &amp; SENSITIVITY</x:v>
      </x:c>
      <x:c r="E1" s="3" t="str">
        <x:v>SCENARIOS &amp; SENSITIVITY</x:v>
      </x:c>
      <x:c r="F1" s="3" t="str">
        <x:v>SCENARIOS &amp; SENSITIVITY</x:v>
      </x:c>
      <x:c r="G1" s="3" t="str">
        <x:v>SCENARIOS &amp; SENSITIVITY</x:v>
      </x:c>
      <x:c r="H1" s="3" t="str">
        <x:v>SCENARIOS &amp; SENSITIVITY</x:v>
      </x:c>
      <x:c r="I1" s="3" t="str">
        <x:v>SCENARIOS &amp; SENSITIVITY</x:v>
      </x:c>
      <x:c r="J1" s="3" t="str">
        <x:v>SCENARIOS &amp; SENSITIVITY</x:v>
      </x:c>
    </x:row>
    <x:row r="2" ht="24" customHeight="1">
      <x:c r="A2" s="6" t="str">
        <x:v>Personal Budget &amp; Net Worth  |  Formula-backed decision range</x:v>
      </x:c>
      <x:c r="B2" s="6" t="str">
        <x:v>Personal Budget &amp; Net Worth  |  Formula-backed decision range</x:v>
      </x:c>
      <x:c r="C2" s="6" t="str">
        <x:v>Personal Budget &amp; Net Worth  |  Formula-backed decision range</x:v>
      </x:c>
      <x:c r="D2" s="6" t="str">
        <x:v>Personal Budget &amp; Net Worth  |  Formula-backed decision range</x:v>
      </x:c>
      <x:c r="E2" s="6" t="str">
        <x:v>Personal Budget &amp; Net Worth  |  Formula-backed decision range</x:v>
      </x:c>
      <x:c r="F2" s="6" t="str">
        <x:v>Personal Budget &amp; Net Worth  |  Formula-backed decision range</x:v>
      </x:c>
      <x:c r="G2" s="6" t="str">
        <x:v>Personal Budget &amp; Net Worth  |  Formula-backed decision range</x:v>
      </x:c>
      <x:c r="H2" s="6" t="str">
        <x:v>Personal Budget &amp; Net Worth  |  Formula-backed decision range</x:v>
      </x:c>
      <x:c r="I2" s="6" t="str">
        <x:v>Personal Budget &amp; Net Worth  |  Formula-backed decision range</x:v>
      </x:c>
      <x:c r="J2" s="6" t="str">
        <x:v>Personal Budget &amp; Net Worth  |  Formula-backed decision range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38" t="str">
        <x:v>Ending net worth — Income change by Expense change</x:v>
      </x:c>
      <x:c r="B5" s="138" t="str">
        <x:v>Ending net worth — Income change by Expense change</x:v>
      </x:c>
      <x:c r="C5" s="138" t="str">
        <x:v>Ending net worth — Income change by Expense change</x:v>
      </x:c>
      <x:c r="D5" s="138" t="str">
        <x:v>Ending net worth — Income change by Expense change</x:v>
      </x:c>
      <x:c r="E5" s="138" t="str">
        <x:v>Ending net worth — Income change by Expense change</x:v>
      </x:c>
      <x:c r="F5" s="138" t="str">
        <x:v>Ending net worth — Income change by Expense change</x:v>
      </x:c>
      <x:c r="G5" s="138" t="str">
        <x:v>Ending net worth — Income change by Expense change</x:v>
      </x:c>
      <x:c r="H5" s="138" t="str">
        <x:v>Ending net worth — Income change by Expense change</x:v>
      </x:c>
      <x:c r="I5" s="138" t="str">
        <x:v>Ending net worth — Income change by Expense change</x:v>
      </x:c>
      <x:c r="J5" s="138" t="str">
        <x:v>Ending net worth — Income change by Expense change</x:v>
      </x:c>
    </x:row>
    <x:row r="6">
      <x:c r="A6" t="str">
        <x:v>Income change</x:v>
      </x:c>
      <x:c r="B6" t="str">
        <x:v>Expense change</x:v>
      </x:c>
    </x:row>
    <x:row r="7">
      <x:c r="B7" s="76" t="n">
        <x:v>-0.2</x:v>
      </x:c>
      <x:c r="C7" s="76" t="n">
        <x:v>-0.1</x:v>
      </x:c>
      <x:c r="D7" s="76" t="n">
        <x:v>0</x:v>
      </x:c>
      <x:c r="E7" s="76" t="n">
        <x:v>0.1</x:v>
      </x:c>
      <x:c r="F7" s="76" t="n">
        <x:v>0.2</x:v>
      </x:c>
    </x:row>
    <x:row r="8">
      <x:c r="A8" s="76" t="n">
        <x:v>-0.2</x:v>
      </x:c>
      <x:c r="B8" s="140" t="n">
        <x:f>'Budget &amp; Net Worth'!M$18+SUM('Monthly Inputs'!B$6:'Monthly Inputs'!M$6)*$A8-SUM('Monthly Inputs'!B$7:'Monthly Inputs'!M$11)*B$7</x:f>
        <x:v>36.36989502639249</x:v>
      </x:c>
      <x:c r="C8" s="140" t="n">
        <x:f>'Budget &amp; Net Worth'!M$18+SUM('Monthly Inputs'!B$6:'Monthly Inputs'!M$6)*$A8-SUM('Monthly Inputs'!B$7:'Monthly Inputs'!M$11)*C$7</x:f>
        <x:v>30.429895026392494</x:v>
      </x:c>
      <x:c r="D8" s="140" t="n">
        <x:f>'Budget &amp; Net Worth'!M$18+SUM('Monthly Inputs'!B$6:'Monthly Inputs'!M$6)*$A8-SUM('Monthly Inputs'!B$7:'Monthly Inputs'!M$11)*D$7</x:f>
        <x:v>24.489895026392492</x:v>
      </x:c>
      <x:c r="E8" s="140" t="n">
        <x:f>'Budget &amp; Net Worth'!M$18+SUM('Monthly Inputs'!B$6:'Monthly Inputs'!M$6)*$A8-SUM('Monthly Inputs'!B$7:'Monthly Inputs'!M$11)*E$7</x:f>
        <x:v>18.54989502639249</x:v>
      </x:c>
      <x:c r="F8" s="140" t="n">
        <x:f>'Budget &amp; Net Worth'!M$18+SUM('Monthly Inputs'!B$6:'Monthly Inputs'!M$6)*$A8-SUM('Monthly Inputs'!B$7:'Monthly Inputs'!M$11)*F$7</x:f>
        <x:v>12.609895026392492</x:v>
      </x:c>
    </x:row>
    <x:row r="9">
      <x:c r="A9" s="76" t="n">
        <x:v>-0.1</x:v>
      </x:c>
      <x:c r="B9" s="140" t="n">
        <x:f>'Budget &amp; Net Worth'!M$18+SUM('Monthly Inputs'!B$6:'Monthly Inputs'!M$6)*$A9-SUM('Monthly Inputs'!B$7:'Monthly Inputs'!M$11)*B$7</x:f>
        <x:v>46.53989502639249</x:v>
      </x:c>
      <x:c r="C9" s="140" t="n">
        <x:f>'Budget &amp; Net Worth'!M$18+SUM('Monthly Inputs'!B$6:'Monthly Inputs'!M$6)*$A9-SUM('Monthly Inputs'!B$7:'Monthly Inputs'!M$11)*C$7</x:f>
        <x:v>40.59989502639249</x:v>
      </x:c>
      <x:c r="D9" s="140" t="n">
        <x:f>'Budget &amp; Net Worth'!M$18+SUM('Monthly Inputs'!B$6:'Monthly Inputs'!M$6)*$A9-SUM('Monthly Inputs'!B$7:'Monthly Inputs'!M$11)*D$7</x:f>
        <x:v>34.65989502639249</x:v>
      </x:c>
      <x:c r="E9" s="140" t="n">
        <x:f>'Budget &amp; Net Worth'!M$18+SUM('Monthly Inputs'!B$6:'Monthly Inputs'!M$6)*$A9-SUM('Monthly Inputs'!B$7:'Monthly Inputs'!M$11)*E$7</x:f>
        <x:v>28.71989502639249</x:v>
      </x:c>
      <x:c r="F9" s="140" t="n">
        <x:f>'Budget &amp; Net Worth'!M$18+SUM('Monthly Inputs'!B$6:'Monthly Inputs'!M$6)*$A9-SUM('Monthly Inputs'!B$7:'Monthly Inputs'!M$11)*F$7</x:f>
        <x:v>22.779895026392488</x:v>
      </x:c>
    </x:row>
    <x:row r="10">
      <x:c r="A10" s="76" t="n">
        <x:v>0</x:v>
      </x:c>
      <x:c r="B10" s="140" t="n">
        <x:f>'Budget &amp; Net Worth'!M$18+SUM('Monthly Inputs'!B$6:'Monthly Inputs'!M$6)*$A10-SUM('Monthly Inputs'!B$7:'Monthly Inputs'!M$11)*B$7</x:f>
        <x:v>56.709895026392495</x:v>
      </x:c>
      <x:c r="C10" s="140" t="n">
        <x:f>'Budget &amp; Net Worth'!M$18+SUM('Monthly Inputs'!B$6:'Monthly Inputs'!M$6)*$A10-SUM('Monthly Inputs'!B$7:'Monthly Inputs'!M$11)*C$7</x:f>
        <x:v>50.76989502639249</x:v>
      </x:c>
      <x:c r="D10" s="140" t="n">
        <x:f>'Budget &amp; Net Worth'!M$18+SUM('Monthly Inputs'!B$6:'Monthly Inputs'!M$6)*$A10-SUM('Monthly Inputs'!B$7:'Monthly Inputs'!M$11)*D$7</x:f>
        <x:v>44.82989502639249</x:v>
      </x:c>
      <x:c r="E10" s="140" t="n">
        <x:f>'Budget &amp; Net Worth'!M$18+SUM('Monthly Inputs'!B$6:'Monthly Inputs'!M$6)*$A10-SUM('Monthly Inputs'!B$7:'Monthly Inputs'!M$11)*E$7</x:f>
        <x:v>38.889895026392495</x:v>
      </x:c>
      <x:c r="F10" s="140" t="n">
        <x:f>'Budget &amp; Net Worth'!M$18+SUM('Monthly Inputs'!B$6:'Monthly Inputs'!M$6)*$A10-SUM('Monthly Inputs'!B$7:'Monthly Inputs'!M$11)*F$7</x:f>
        <x:v>32.94989502639249</x:v>
      </x:c>
    </x:row>
    <x:row r="11">
      <x:c r="A11" s="76" t="n">
        <x:v>0.1</x:v>
      </x:c>
      <x:c r="B11" s="140" t="n">
        <x:f>'Budget &amp; Net Worth'!M$18+SUM('Monthly Inputs'!B$6:'Monthly Inputs'!M$6)*$A11-SUM('Monthly Inputs'!B$7:'Monthly Inputs'!M$11)*B$7</x:f>
        <x:v>66.87989502639249</x:v>
      </x:c>
      <x:c r="C11" s="140" t="n">
        <x:f>'Budget &amp; Net Worth'!M$18+SUM('Monthly Inputs'!B$6:'Monthly Inputs'!M$6)*$A11-SUM('Monthly Inputs'!B$7:'Monthly Inputs'!M$11)*C$7</x:f>
        <x:v>60.93989502639249</x:v>
      </x:c>
      <x:c r="D11" s="140" t="n">
        <x:f>'Budget &amp; Net Worth'!M$18+SUM('Monthly Inputs'!B$6:'Monthly Inputs'!M$6)*$A11-SUM('Monthly Inputs'!B$7:'Monthly Inputs'!M$11)*D$7</x:f>
        <x:v>54.999895026392494</x:v>
      </x:c>
      <x:c r="E11" s="140" t="n">
        <x:f>'Budget &amp; Net Worth'!M$18+SUM('Monthly Inputs'!B$6:'Monthly Inputs'!M$6)*$A11-SUM('Monthly Inputs'!B$7:'Monthly Inputs'!M$11)*E$7</x:f>
        <x:v>49.059895026392496</x:v>
      </x:c>
      <x:c r="F11" s="140" t="n">
        <x:f>'Budget &amp; Net Worth'!M$18+SUM('Monthly Inputs'!B$6:'Monthly Inputs'!M$6)*$A11-SUM('Monthly Inputs'!B$7:'Monthly Inputs'!M$11)*F$7</x:f>
        <x:v>43.11989502639249</x:v>
      </x:c>
    </x:row>
    <x:row r="12">
      <x:c r="A12" s="76" t="n">
        <x:v>0.2</x:v>
      </x:c>
      <x:c r="B12" s="140" t="n">
        <x:f>'Budget &amp; Net Worth'!M$18+SUM('Monthly Inputs'!B$6:'Monthly Inputs'!M$6)*$A12-SUM('Monthly Inputs'!B$7:'Monthly Inputs'!M$11)*B$7</x:f>
        <x:v>77.04989502639249</x:v>
      </x:c>
      <x:c r="C12" s="140" t="n">
        <x:f>'Budget &amp; Net Worth'!M$18+SUM('Monthly Inputs'!B$6:'Monthly Inputs'!M$6)*$A12-SUM('Monthly Inputs'!B$7:'Monthly Inputs'!M$11)*C$7</x:f>
        <x:v>71.1098950263925</x:v>
      </x:c>
      <x:c r="D12" s="140" t="n">
        <x:f>'Budget &amp; Net Worth'!M$18+SUM('Monthly Inputs'!B$6:'Monthly Inputs'!M$6)*$A12-SUM('Monthly Inputs'!B$7:'Monthly Inputs'!M$11)*D$7</x:f>
        <x:v>65.1698950263925</x:v>
      </x:c>
      <x:c r="E12" s="140" t="n">
        <x:f>'Budget &amp; Net Worth'!M$18+SUM('Monthly Inputs'!B$6:'Monthly Inputs'!M$6)*$A12-SUM('Monthly Inputs'!B$7:'Monthly Inputs'!M$11)*E$7</x:f>
        <x:v>59.2298950263925</x:v>
      </x:c>
      <x:c r="F12" s="140" t="n">
        <x:f>'Budget &amp; Net Worth'!M$18+SUM('Monthly Inputs'!B$6:'Monthly Inputs'!M$6)*$A12-SUM('Monthly Inputs'!B$7:'Monthly Inputs'!M$11)*F$7</x:f>
        <x:v>53.28989502639249</x:v>
      </x:c>
    </x:row>
    <x:row r="16" ht="22" customHeight="1">
      <x:c r="A16" s="9" t="str">
        <x:v>SCENARIO OUTPUTS</x:v>
      </x:c>
      <x:c r="B16" s="9" t="str">
        <x:v>SCENARIO OUTPUTS</x:v>
      </x:c>
      <x:c r="C16" s="9" t="str">
        <x:v>SCENARIO OUTPUTS</x:v>
      </x:c>
      <x:c r="D16" s="9" t="str">
        <x:v>SCENARIO OUTPUTS</x:v>
      </x:c>
      <x:c r="E16" s="9" t="str">
        <x:v>SCENARIO OUTPUTS</x:v>
      </x:c>
      <x:c r="F16" s="9" t="str">
        <x:v>SCENARIO OUTPUTS</x:v>
      </x:c>
      <x:c r="G16" s="9" t="str">
        <x:v>SCENARIO OUTPUTS</x:v>
      </x:c>
      <x:c r="H16" s="9" t="str">
        <x:v>SCENARIO OUTPUTS</x:v>
      </x:c>
      <x:c r="I16" s="9" t="str">
        <x:v>SCENARIO OUTPUTS</x:v>
      </x:c>
      <x:c r="J16" s="9" t="str">
        <x:v>SCENARIO OUTPUTS</x:v>
      </x:c>
    </x:row>
    <x:row r="17" ht="24" customHeight="1">
      <x:c r="A17" s="66" t="str">
        <x:v>Case</x:v>
      </x:c>
      <x:c r="B17" s="67" t="str">
        <x:v>Narrative</x:v>
      </x:c>
      <x:c r="C17" s="67" t="str">
        <x:v>Selected driver set</x:v>
      </x:c>
      <x:c r="D17" s="68" t="str">
        <x:v>Review question</x:v>
      </x:c>
    </x:row>
    <x:row r="18">
      <x:c r="A18" s="150" t="str">
        <x:v>Base</x:v>
      </x:c>
      <x:c r="B18" s="151" t="str">
        <x:v>Most likely operating and finance assumptions.</x:v>
      </x:c>
      <x:c r="C18" s="151" t="str">
        <x:v>Base</x:v>
      </x:c>
      <x:c r="D18" s="152" t="str">
        <x:v>What must be true for the base case to hold?</x:v>
      </x:c>
    </x:row>
    <x:row r="19">
      <x:c r="A19" s="153" t="str">
        <x:v>Upside</x:v>
      </x:c>
      <x:c r="B19" s="154" t="str">
        <x:v>Stronger performance, faster conversion, or lower risk/cost.</x:v>
      </x:c>
      <x:c r="C19" s="154" t="str">
        <x:v>Upside</x:v>
      </x:c>
      <x:c r="D19" s="155" t="str">
        <x:v>Which actions unlock the upside?</x:v>
      </x:c>
    </x:row>
    <x:row r="20">
      <x:c r="A20" s="156" t="str">
        <x:v>Downside</x:v>
      </x:c>
      <x:c r="B20" s="157" t="str">
        <x:v>Slower activity, weaker conversion, or higher risk/cost.</x:v>
      </x:c>
      <x:c r="C20" s="157" t="str">
        <x:v>Downside</x:v>
      </x:c>
      <x:c r="D20" s="158" t="str">
        <x:v>What breaks first and who acts?</x:v>
      </x:c>
    </x:row>
    <x:row r="22">
      <x:c r="A22" s="42" t="str">
        <x:v>Sensitivity outputs are analytical ranges, not forecasts or guarantees. Recheck directionality, boundaries, source quality, and the business narrative behind each driver before decision use.</x:v>
      </x:c>
      <x:c r="B22" s="43" t="str">
        <x:v>Sensitivity outputs are analytical ranges, not forecasts or guarantees. Recheck directionality, boundaries, source quality, and the business narrative behind each driver before decision use.</x:v>
      </x:c>
      <x:c r="C22" s="43" t="str">
        <x:v>Sensitivity outputs are analytical ranges, not forecasts or guarantees. Recheck directionality, boundaries, source quality, and the business narrative behind each driver before decision use.</x:v>
      </x:c>
      <x:c r="D22" s="43" t="str">
        <x:v>Sensitivity outputs are analytical ranges, not forecasts or guarantees. Recheck directionality, boundaries, source quality, and the business narrative behind each driver before decision use.</x:v>
      </x:c>
      <x:c r="E22" s="43" t="str">
        <x:v>Sensitivity outputs are analytical ranges, not forecasts or guarantees. Recheck directionality, boundaries, source quality, and the business narrative behind each driver before decision use.</x:v>
      </x:c>
      <x:c r="F22" s="43" t="str">
        <x:v>Sensitivity outputs are analytical ranges, not forecasts or guarantees. Recheck directionality, boundaries, source quality, and the business narrative behind each driver before decision use.</x:v>
      </x:c>
      <x:c r="G22" s="43" t="str">
        <x:v>Sensitivity outputs are analytical ranges, not forecasts or guarantees. Recheck directionality, boundaries, source quality, and the business narrative behind each driver before decision use.</x:v>
      </x:c>
      <x:c r="H22" s="43" t="str">
        <x:v>Sensitivity outputs are analytical ranges, not forecasts or guarantees. Recheck directionality, boundaries, source quality, and the business narrative behind each driver before decision use.</x:v>
      </x:c>
      <x:c r="I22" s="43" t="str">
        <x:v>Sensitivity outputs are analytical ranges, not forecasts or guarantees. Recheck directionality, boundaries, source quality, and the business narrative behind each driver before decision use.</x:v>
      </x:c>
      <x:c r="J22" s="44" t="str">
        <x:v>Sensitivity outputs are analytical ranges, not forecasts or guarantees. Recheck directionality, boundaries, source quality, and the business narrative behind each driver before decision use.</x:v>
      </x:c>
    </x:row>
    <x:row r="23">
      <x:c r="A23" s="45" t="str">
        <x:v>Sensitivity outputs are analytical ranges, not forecasts or guarantees. Recheck directionality, boundaries, source quality, and the business narrative behind each driver before decision use.</x:v>
      </x:c>
      <x:c r="B23" s="46" t="str">
        <x:v>Sensitivity outputs are analytical ranges, not forecasts or guarantees. Recheck directionality, boundaries, source quality, and the business narrative behind each driver before decision use.</x:v>
      </x:c>
      <x:c r="C23" s="46" t="str">
        <x:v>Sensitivity outputs are analytical ranges, not forecasts or guarantees. Recheck directionality, boundaries, source quality, and the business narrative behind each driver before decision use.</x:v>
      </x:c>
      <x:c r="D23" s="46" t="str">
        <x:v>Sensitivity outputs are analytical ranges, not forecasts or guarantees. Recheck directionality, boundaries, source quality, and the business narrative behind each driver before decision use.</x:v>
      </x:c>
      <x:c r="E23" s="46" t="str">
        <x:v>Sensitivity outputs are analytical ranges, not forecasts or guarantees. Recheck directionality, boundaries, source quality, and the business narrative behind each driver before decision use.</x:v>
      </x:c>
      <x:c r="F23" s="46" t="str">
        <x:v>Sensitivity outputs are analytical ranges, not forecasts or guarantees. Recheck directionality, boundaries, source quality, and the business narrative behind each driver before decision use.</x:v>
      </x:c>
      <x:c r="G23" s="46" t="str">
        <x:v>Sensitivity outputs are analytical ranges, not forecasts or guarantees. Recheck directionality, boundaries, source quality, and the business narrative behind each driver before decision use.</x:v>
      </x:c>
      <x:c r="H23" s="46" t="str">
        <x:v>Sensitivity outputs are analytical ranges, not forecasts or guarantees. Recheck directionality, boundaries, source quality, and the business narrative behind each driver before decision use.</x:v>
      </x:c>
      <x:c r="I23" s="46" t="str">
        <x:v>Sensitivity outputs are analytical ranges, not forecasts or guarantees. Recheck directionality, boundaries, source quality, and the business narrative behind each driver before decision use.</x:v>
      </x:c>
      <x:c r="J23" s="47" t="str">
        <x:v>Sensitivity outputs are analytical ranges, not forecasts or guarantees. Recheck directionality, boundaries, source quality, and the business narrative behind each driver before decision use.</x:v>
      </x:c>
    </x:row>
    <x:row r="24">
      <x:c r="A24" s="48" t="str">
        <x:v>Sensitivity outputs are analytical ranges, not forecasts or guarantees. Recheck directionality, boundaries, source quality, and the business narrative behind each driver before decision use.</x:v>
      </x:c>
      <x:c r="B24" s="49" t="str">
        <x:v>Sensitivity outputs are analytical ranges, not forecasts or guarantees. Recheck directionality, boundaries, source quality, and the business narrative behind each driver before decision use.</x:v>
      </x:c>
      <x:c r="C24" s="49" t="str">
        <x:v>Sensitivity outputs are analytical ranges, not forecasts or guarantees. Recheck directionality, boundaries, source quality, and the business narrative behind each driver before decision use.</x:v>
      </x:c>
      <x:c r="D24" s="49" t="str">
        <x:v>Sensitivity outputs are analytical ranges, not forecasts or guarantees. Recheck directionality, boundaries, source quality, and the business narrative behind each driver before decision use.</x:v>
      </x:c>
      <x:c r="E24" s="49" t="str">
        <x:v>Sensitivity outputs are analytical ranges, not forecasts or guarantees. Recheck directionality, boundaries, source quality, and the business narrative behind each driver before decision use.</x:v>
      </x:c>
      <x:c r="F24" s="49" t="str">
        <x:v>Sensitivity outputs are analytical ranges, not forecasts or guarantees. Recheck directionality, boundaries, source quality, and the business narrative behind each driver before decision use.</x:v>
      </x:c>
      <x:c r="G24" s="49" t="str">
        <x:v>Sensitivity outputs are analytical ranges, not forecasts or guarantees. Recheck directionality, boundaries, source quality, and the business narrative behind each driver before decision use.</x:v>
      </x:c>
      <x:c r="H24" s="49" t="str">
        <x:v>Sensitivity outputs are analytical ranges, not forecasts or guarantees. Recheck directionality, boundaries, source quality, and the business narrative behind each driver before decision use.</x:v>
      </x:c>
      <x:c r="I24" s="49" t="str">
        <x:v>Sensitivity outputs are analytical ranges, not forecasts or guarantees. Recheck directionality, boundaries, source quality, and the business narrative behind each driver before decision use.</x:v>
      </x:c>
      <x:c r="J24" s="50" t="str">
        <x:v>Sensitivity outputs are analytical ranges, not forecasts or guarantees. Recheck directionality, boundaries, source quality, and the business narrative behind each driver before decision use.</x:v>
      </x:c>
    </x:row>
    <x:row r="26">
      <x:c r="A26" s="53" t="str">
        <x:v>TDAT Model Library  |  Trust builds the brand. Insight builds the decision.</x:v>
      </x:c>
      <x:c r="B26" s="53" t="str">
        <x:v>TDAT Model Library  |  Trust builds the brand. Insight builds the decision.</x:v>
      </x:c>
      <x:c r="C26" s="53" t="str">
        <x:v>TDAT Model Library  |  Trust builds the brand. Insight builds the decision.</x:v>
      </x:c>
      <x:c r="D26" s="53" t="str">
        <x:v>TDAT Model Library  |  Trust builds the brand. Insight builds the decision.</x:v>
      </x:c>
      <x:c r="E26" s="53" t="str">
        <x:v>TDAT Model Library  |  Trust builds the brand. Insight builds the decision.</x:v>
      </x:c>
      <x:c r="F26" s="53" t="str">
        <x:v>TDAT Model Library  |  Trust builds the brand. Insight builds the decision.</x:v>
      </x:c>
      <x:c r="G26" s="53" t="str">
        <x:v>TDAT Model Library  |  Trust builds the brand. Insight builds the decision.</x:v>
      </x:c>
      <x:c r="H26" s="53" t="str">
        <x:v>TDAT Model Library  |  Trust builds the brand. Insight builds the decision.</x:v>
      </x:c>
      <x:c r="I26" s="53" t="str">
        <x:v>TDAT Model Library  |  Trust builds the brand. Insight builds the decision.</x:v>
      </x:c>
      <x:c r="J26" s="53" t="str">
        <x:v>TDAT Model Library  |  Trust builds the brand. Insight builds the decision.</x:v>
      </x:c>
    </x:row>
  </x:sheetData>
  <x:mergeCells>
    <x:mergeCell ref="A1:J1"/>
    <x:mergeCell ref="A2:J2"/>
    <x:mergeCell ref="A5:J5"/>
    <x:mergeCell ref="A16:J16"/>
    <x:mergeCell ref="A22:J24"/>
    <x:mergeCell ref="A26:J26"/>
  </x:mergeCells>
  <x:conditionalFormatting sqref="B8:F12">
    <x:cfRule type="colorScale" priority="1">
      <x:colorScale>
        <x:cfvo type="min"/>
        <x:cfvo type="percentile" val="50"/>
        <x:cfvo type="max"/>
        <x:color rgb="FFFCE8E6"/>
        <x:color rgb="FFFFF4DB"/>
        <x:color rgb="FFE5F6F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EXECUTIVE SUMMARY</x:v>
      </x:c>
      <x:c r="B1" s="3" t="str">
        <x:v>EXECUTIVE SUMMARY</x:v>
      </x:c>
      <x:c r="C1" s="3" t="str">
        <x:v>EXECUTIVE SUMMARY</x:v>
      </x:c>
      <x:c r="D1" s="3" t="str">
        <x:v>EXECUTIVE SUMMARY</x:v>
      </x:c>
      <x:c r="E1" s="3" t="str">
        <x:v>EXECUTIVE SUMMARY</x:v>
      </x:c>
      <x:c r="F1" s="3" t="str">
        <x:v>EXECUTIVE SUMMARY</x:v>
      </x:c>
      <x:c r="G1" s="3" t="str">
        <x:v>EXECUTIVE SUMMARY</x:v>
      </x:c>
      <x:c r="H1" s="3" t="str">
        <x:v>EXECUTIVE SUMMARY</x:v>
      </x:c>
      <x:c r="I1" s="3" t="str">
        <x:v>EXECUTIVE SUMMARY</x:v>
      </x:c>
      <x:c r="J1" s="3" t="str">
        <x:v>EXECUTIVE SUMMARY</x:v>
      </x:c>
    </x:row>
    <x:row r="2" ht="24" customHeight="1">
      <x:c r="A2" s="6" t="str">
        <x:v>Personal Budget &amp; Net Worth  |  Decision outputs, trend, breakpoints, and action prompts</x:v>
      </x:c>
      <x:c r="B2" s="6" t="str">
        <x:v>Personal Budget &amp; Net Worth  |  Decision outputs, trend, breakpoints, and action prompts</x:v>
      </x:c>
      <x:c r="C2" s="6" t="str">
        <x:v>Personal Budget &amp; Net Worth  |  Decision outputs, trend, breakpoints, and action prompts</x:v>
      </x:c>
      <x:c r="D2" s="6" t="str">
        <x:v>Personal Budget &amp; Net Worth  |  Decision outputs, trend, breakpoints, and action prompts</x:v>
      </x:c>
      <x:c r="E2" s="6" t="str">
        <x:v>Personal Budget &amp; Net Worth  |  Decision outputs, trend, breakpoints, and action prompts</x:v>
      </x:c>
      <x:c r="F2" s="6" t="str">
        <x:v>Personal Budget &amp; Net Worth  |  Decision outputs, trend, breakpoints, and action prompts</x:v>
      </x:c>
      <x:c r="G2" s="6" t="str">
        <x:v>Personal Budget &amp; Net Worth  |  Decision outputs, trend, breakpoints, and action prompts</x:v>
      </x:c>
      <x:c r="H2" s="6" t="str">
        <x:v>Personal Budget &amp; Net Worth  |  Decision outputs, trend, breakpoints, and action prompts</x:v>
      </x:c>
      <x:c r="I2" s="6" t="str">
        <x:v>Personal Budget &amp; Net Worth  |  Decision outputs, trend, breakpoints, and action prompts</x:v>
      </x:c>
      <x:c r="J2" s="6" t="str">
        <x:v>Personal Budget &amp; Net Worth  |  Decision outputs, trend, breakpoints, and action prompts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60" t="str">
        <x:v>ENDING NET WORTH</x:v>
      </x:c>
      <x:c r="B5" s="160" t="str">
        <x:v>ENDING NET WORTH</x:v>
      </x:c>
      <x:c r="C5" s="160" t="str">
        <x:v>ENDING NET WORTH</x:v>
      </x:c>
      <x:c r="D5" s="160" t="str">
        <x:v>ENDING CASH</x:v>
      </x:c>
      <x:c r="E5" s="160" t="str">
        <x:v>ENDING CASH</x:v>
      </x:c>
      <x:c r="F5" s="160" t="str">
        <x:v>ENDING CASH</x:v>
      </x:c>
      <x:c r="G5" s="160" t="str">
        <x:v>ENDING INVESTMENTS</x:v>
      </x:c>
      <x:c r="H5" s="160" t="str">
        <x:v>ENDING INVESTMENTS</x:v>
      </x:c>
      <x:c r="I5" s="160" t="str">
        <x:v>ENDING INVESTMENTS</x:v>
      </x:c>
      <x:c r="J5" s="180" t="str">
        <x:v>MODEL STATUS</x:v>
      </x:c>
    </x:row>
    <x:row r="6">
      <x:c r="A6" s="164" t="n">
        <x:f>'Budget &amp; Net Worth'!M$18</x:f>
        <x:v>44.82989502639249</x:v>
      </x:c>
      <x:c r="B6" s="164"/>
      <x:c r="C6" s="164"/>
      <x:c r="D6" s="168" t="n">
        <x:f>'Budget &amp; Net Worth'!M$14</x:f>
        <x:v>33.300000000000004</x:v>
      </x:c>
      <x:c r="E6" s="168"/>
      <x:c r="F6" s="168"/>
      <x:c r="G6" s="164" t="n">
        <x:f>'Budget &amp; Net Worth'!M$17</x:f>
        <x:v>33.56911861018991</x:v>
      </x:c>
      <x:c r="H6" s="164"/>
      <x:c r="I6" s="164"/>
      <x:c r="J6" s="184" t="str">
        <x:f>'Checks'!$B$5</x:f>
        <x:v>PASS</x:v>
      </x:c>
    </x:row>
    <x:row r="7">
      <x:c r="A7" s="164"/>
      <x:c r="B7" s="164"/>
      <x:c r="C7" s="164"/>
      <x:c r="D7" s="168"/>
      <x:c r="E7" s="168"/>
      <x:c r="F7" s="168"/>
      <x:c r="G7" s="164"/>
      <x:c r="H7" s="164"/>
      <x:c r="I7" s="164"/>
      <x:c r="J7" s="184"/>
    </x:row>
    <x:row r="9">
      <x:c r="A9" s="160" t="str">
        <x:v>ENDING DEBT</x:v>
      </x:c>
      <x:c r="B9" s="160" t="str">
        <x:v>ENDING DEBT</x:v>
      </x:c>
      <x:c r="C9" s="160" t="str">
        <x:v>ENDING DEBT</x:v>
      </x:c>
      <x:c r="D9" s="160" t="str">
        <x:v>EMERGENCY-FUND MONTHS</x:v>
      </x:c>
      <x:c r="E9" s="160" t="str">
        <x:v>EMERGENCY-FUND MONTHS</x:v>
      </x:c>
      <x:c r="F9" s="160" t="str">
        <x:v>EMERGENCY-FUND MONTHS</x:v>
      </x:c>
      <x:c r="G9" s="160" t="str">
        <x:v>AVERAGE SAVINGS RATE</x:v>
      </x:c>
      <x:c r="H9" s="160" t="str">
        <x:v>AVERAGE SAVINGS RATE</x:v>
      </x:c>
      <x:c r="I9" s="160" t="str">
        <x:v>AVERAGE SAVINGS RATE</x:v>
      </x:c>
      <x:c r="J9" s="180" t="str">
        <x:v>SCENARIO</x:v>
      </x:c>
    </x:row>
    <x:row r="10">
      <x:c r="A10" s="164" t="n">
        <x:f>'Budget &amp; Net Worth'!M$11</x:f>
        <x:v>22.039223583797423</x:v>
      </x:c>
      <x:c r="B10" s="164"/>
      <x:c r="C10" s="164"/>
      <x:c r="D10" s="174" t="n">
        <x:f>'Budget &amp; Net Worth'!M$19</x:f>
        <x:v>8.024096385542169</x:v>
      </x:c>
      <x:c r="E10" s="174"/>
      <x:c r="F10" s="174"/>
      <x:c r="G10" s="178" t="n">
        <x:f>AVERAGE('Budget &amp; Net Worth'!B20:M20)</x:f>
        <x:v>0.32631235236149153</x:v>
      </x:c>
      <x:c r="H10" s="178"/>
      <x:c r="I10" s="178"/>
      <x:c r="J10" s="187" t="str">
        <x:f>'Assumptions'!$B$3</x:f>
        <x:v>Base</x:v>
      </x:c>
    </x:row>
    <x:row r="11">
      <x:c r="A11" s="164"/>
      <x:c r="B11" s="164"/>
      <x:c r="C11" s="164"/>
      <x:c r="D11" s="174"/>
      <x:c r="E11" s="174"/>
      <x:c r="F11" s="174"/>
      <x:c r="G11" s="178"/>
      <x:c r="H11" s="178"/>
      <x:c r="I11" s="178"/>
      <x:c r="J11" s="187"/>
    </x:row>
    <x:row r="14" ht="22" customHeight="1">
      <x:c r="A14" s="9" t="str">
        <x:v>TREND</x:v>
      </x:c>
      <x:c r="B14" s="9" t="str">
        <x:v>TREND</x:v>
      </x:c>
      <x:c r="C14" s="9" t="str">
        <x:v>TREND</x:v>
      </x:c>
      <x:c r="D14" s="9" t="str">
        <x:v>TREND</x:v>
      </x:c>
      <x:c r="E14" s="9" t="str">
        <x:v>TREND</x:v>
      </x:c>
    </x:row>
    <x:row r="15" ht="24" customHeight="1">
      <x:c r="A15" s="66" t="str">
        <x:v>Period</x:v>
      </x:c>
      <x:c r="B15" s="67" t="str">
        <x:v>Net worth</x:v>
      </x:c>
      <x:c r="C15" s="68" t="str">
        <x:v>Closing debt</x:v>
      </x:c>
    </x:row>
    <x:row r="16">
      <x:c r="A16" t="str">
        <x:v>Jan</x:v>
      </x:c>
      <x:c r="B16" s="189" t="n">
        <x:f>'Budget &amp; Net Worth'!B$18</x:f>
        <x:v>6.8700000000000045</x:v>
      </x:c>
      <x:c r="C16" s="189" t="n">
        <x:f>'Budget &amp; Net Worth'!B$11</x:f>
        <x:v>27.53</x:v>
      </x:c>
    </x:row>
    <x:row r="17">
      <x:c r="A17" t="str">
        <x:v>Feb</x:v>
      </x:c>
      <x:c r="B17" s="189" t="n">
        <x:f>'Budget &amp; Net Worth'!C$18</x:f>
        <x:v>9.7502</x:v>
      </x:c>
      <x:c r="C17" s="189" t="n">
        <x:f>'Budget &amp; Net Worth'!C$11</x:f>
        <x:v>27.055300000000003</x:v>
      </x:c>
    </x:row>
    <x:row r="18">
      <x:c r="A18" t="str">
        <x:v>Mar</x:v>
      </x:c>
      <x:c r="B18" s="189" t="n">
        <x:f>'Budget &amp; Net Worth'!D$18</x:f>
        <x:v>12.840674499999999</x:v>
      </x:c>
      <x:c r="C18" s="189" t="n">
        <x:f>'Budget &amp; Net Worth'!D$11</x:f>
        <x:v>26.575853000000002</x:v>
      </x:c>
    </x:row>
    <x:row r="19">
      <x:c r="A19" t="str">
        <x:v>Apr</x:v>
      </x:c>
      <x:c r="B19" s="189" t="n">
        <x:f>'Budget &amp; Net Worth'!E$18</x:f>
        <x:v>15.941498607500002</x:v>
      </x:c>
      <x:c r="C19" s="189" t="n">
        <x:f>'Budget &amp; Net Worth'!E$11</x:f>
        <x:v>26.09161153</x:v>
      </x:c>
    </x:row>
    <x:row r="20">
      <x:c r="A20" t="str">
        <x:v>May</x:v>
      </x:c>
      <x:c r="B20" s="189" t="n">
        <x:f>'Budget &amp; Net Worth'!F$18</x:f>
        <x:v>19.0527480428875</x:v>
      </x:c>
      <x:c r="C20" s="189" t="n">
        <x:f>'Budget &amp; Net Worth'!F$11</x:f>
        <x:v>25.6025276453</x:v>
      </x:c>
    </x:row>
    <x:row r="21">
      <x:c r="A21" t="str">
        <x:v>Jun</x:v>
      </x:c>
      <x:c r="B21" s="189" t="n">
        <x:f>'Budget &amp; Net Worth'!G$18</x:f>
        <x:v>22.47449914487544</x:v>
      </x:c>
      <x:c r="C21" s="189" t="n">
        <x:f>'Budget &amp; Net Worth'!G$11</x:f>
        <x:v>25.108552921753</x:v>
      </x:c>
    </x:row>
    <x:row r="22">
      <x:c r="A22" t="str">
        <x:v>Jul</x:v>
      </x:c>
      <x:c r="B22" s="189" t="n">
        <x:f>'Budget &amp; Net Worth'!H$18</x:f>
        <x:v>25.906828875991053</x:v>
      </x:c>
      <x:c r="C22" s="189" t="n">
        <x:f>'Budget &amp; Net Worth'!H$11</x:f>
        <x:v>24.60963845097053</x:v>
      </x:c>
    </x:row>
    <x:row r="23">
      <x:c r="A23" t="str">
        <x:v>Aug</x:v>
      </x:c>
      <x:c r="B23" s="189" t="n">
        <x:f>'Budget &amp; Net Worth'!I$18</x:f>
        <x:v>29.349814828116152</x:v>
      </x:c>
      <x:c r="C23" s="189" t="n">
        <x:f>'Budget &amp; Net Worth'!I$11</x:f>
        <x:v>24.105734835480234</x:v>
      </x:c>
    </x:row>
    <x:row r="24">
      <x:c r="A24" t="str">
        <x:v>Sep</x:v>
      </x:c>
      <x:c r="B24" s="189" t="n">
        <x:f>'Budget &amp; Net Worth'!J$18</x:f>
        <x:v>33.10353522807934</x:v>
      </x:c>
      <x:c r="C24" s="189" t="n">
        <x:f>'Budget &amp; Net Worth'!J$11</x:f>
        <x:v>23.596792183835035</x:v>
      </x:c>
    </x:row>
    <x:row r="25">
      <x:c r="A25" t="str">
        <x:v>Oct</x:v>
      </x:c>
      <x:c r="B25" s="189" t="n">
        <x:f>'Budget &amp; Net Worth'!K$18</x:f>
        <x:v>36.86806894330056</x:v>
      </x:c>
      <x:c r="C25" s="189" t="n">
        <x:f>'Budget &amp; Net Worth'!K$11</x:f>
        <x:v>23.082760105673387</x:v>
      </x:c>
    </x:row>
    <x:row r="26">
      <x:c r="A26" t="str">
        <x:v>Nov</x:v>
      </x:c>
      <x:c r="B26" s="189" t="n">
        <x:f>'Budget &amp; Net Worth'!L$18</x:f>
        <x:v>40.843495487488696</x:v>
      </x:c>
      <x:c r="C26" s="189" t="n">
        <x:f>'Budget &amp; Net Worth'!L$11</x:f>
        <x:v>22.56358770673012</x:v>
      </x:c>
    </x:row>
    <x:row r="27">
      <x:c r="A27" t="str">
        <x:v>Dec</x:v>
      </x:c>
      <x:c r="B27" s="189" t="n">
        <x:f>'Budget &amp; Net Worth'!M$18</x:f>
        <x:v>44.82989502639249</x:v>
      </x:c>
      <x:c r="C27" s="189" t="n">
        <x:f>'Budget &amp; Net Worth'!M$11</x:f>
        <x:v>22.039223583797423</x:v>
      </x:c>
    </x:row>
    <x:row r="31" ht="22" customHeight="1">
      <x:c r="A31" s="9" t="str">
        <x:v>DECISION PROMPTS &amp; NEXT ACTIONS</x:v>
      </x:c>
      <x:c r="B31" s="9" t="str">
        <x:v>DECISION PROMPTS &amp; NEXT ACTIONS</x:v>
      </x:c>
      <x:c r="C31" s="9" t="str">
        <x:v>DECISION PROMPTS &amp; NEXT ACTIONS</x:v>
      </x:c>
      <x:c r="D31" s="9" t="str">
        <x:v>DECISION PROMPTS &amp; NEXT ACTIONS</x:v>
      </x:c>
      <x:c r="E31" s="9" t="str">
        <x:v>DECISION PROMPTS &amp; NEXT ACTIONS</x:v>
      </x:c>
      <x:c r="F31" s="9" t="str">
        <x:v>DECISION PROMPTS &amp; NEXT ACTIONS</x:v>
      </x:c>
      <x:c r="G31" s="9" t="str">
        <x:v>DECISION PROMPTS &amp; NEXT ACTIONS</x:v>
      </x:c>
      <x:c r="H31" s="9" t="str">
        <x:v>DECISION PROMPTS &amp; NEXT ACTIONS</x:v>
      </x:c>
      <x:c r="I31" s="9" t="str">
        <x:v>DECISION PROMPTS &amp; NEXT ACTIONS</x:v>
      </x:c>
      <x:c r="J31" s="9" t="str">
        <x:v>DECISION PROMPTS &amp; NEXT ACTIONS</x:v>
      </x:c>
    </x:row>
    <x:row r="32" ht="28" customHeight="1">
      <x:c r="A32" s="15" t="str">
        <x:v>Decision</x:v>
      </x:c>
      <x:c r="B32" s="17" t="str">
        <x:v>How should income, spending, debt, savings, and goals be balanced over time?</x:v>
      </x:c>
      <x:c r="C32" s="17" t="str"/>
      <x:c r="D32" s="17" t="str"/>
      <x:c r="E32" s="17" t="str"/>
      <x:c r="F32" s="17" t="str"/>
      <x:c r="G32" s="17" t="str"/>
      <x:c r="H32" s="191" t="str">
        <x:v>Decision owner</x:v>
      </x:c>
      <x:c r="I32" s="191" t="str"/>
      <x:c r="J32" s="191" t="str"/>
    </x:row>
    <x:row r="33" ht="28" customHeight="1">
      <x:c r="A33" s="15" t="str">
        <x:v>Driver</x:v>
      </x:c>
      <x:c r="B33" s="17" t="str">
        <x:v>Which assumption moves the answer most, and who owns it?</x:v>
      </x:c>
      <x:c r="C33" s="17" t="str"/>
      <x:c r="D33" s="17" t="str"/>
      <x:c r="E33" s="17" t="str"/>
      <x:c r="F33" s="17" t="str"/>
      <x:c r="G33" s="17" t="str"/>
      <x:c r="H33" s="191" t="str">
        <x:v>Finance / business owner</x:v>
      </x:c>
      <x:c r="I33" s="191" t="str"/>
      <x:c r="J33" s="191" t="str"/>
    </x:row>
    <x:row r="34" ht="28" customHeight="1">
      <x:c r="A34" s="15" t="str">
        <x:v>Downside</x:v>
      </x:c>
      <x:c r="B34" s="17" t="str">
        <x:v>What breaks first under Downside, and what action is triggered?</x:v>
      </x:c>
      <x:c r="C34" s="17" t="str"/>
      <x:c r="D34" s="17" t="str"/>
      <x:c r="E34" s="17" t="str"/>
      <x:c r="F34" s="17" t="str"/>
      <x:c r="G34" s="17" t="str"/>
      <x:c r="H34" s="191" t="str">
        <x:v>Finance leader</x:v>
      </x:c>
      <x:c r="I34" s="191" t="str"/>
      <x:c r="J34" s="191" t="str"/>
    </x:row>
    <x:row r="35" ht="28" customHeight="1">
      <x:c r="A35" s="15" t="str">
        <x:v>Source</x:v>
      </x:c>
      <x:c r="B35" s="17" t="str">
        <x:v>Are every material source, date, unit, and definition approved?</x:v>
      </x:c>
      <x:c r="C35" s="17" t="str"/>
      <x:c r="D35" s="17" t="str"/>
      <x:c r="E35" s="17" t="str"/>
      <x:c r="F35" s="17" t="str"/>
      <x:c r="G35" s="17" t="str"/>
      <x:c r="H35" s="191" t="str">
        <x:v>Model owner</x:v>
      </x:c>
      <x:c r="I35" s="191" t="str"/>
      <x:c r="J35" s="191" t="str"/>
    </x:row>
    <x:row r="36" ht="28" customHeight="1">
      <x:c r="A36" s="15" t="str">
        <x:v>Control</x:v>
      </x:c>
      <x:c r="B36" s="17" t="str">
        <x:v>Do all published checks pass after the latest input change?</x:v>
      </x:c>
      <x:c r="C36" s="17" t="str"/>
      <x:c r="D36" s="17" t="str"/>
      <x:c r="E36" s="17" t="str"/>
      <x:c r="F36" s="17" t="str"/>
      <x:c r="G36" s="17" t="str"/>
      <x:c r="H36" s="191" t="str">
        <x:v>Reviewer</x:v>
      </x:c>
      <x:c r="I36" s="191" t="str"/>
      <x:c r="J36" s="191" t="str"/>
    </x:row>
    <x:row r="37" ht="28" customHeight="1">
      <x:c r="A37" s="15" t="str">
        <x:v>Action</x:v>
      </x:c>
      <x:c r="B37" s="17" t="str">
        <x:v>What is the next action, owner, timing, and expected protection or upside?</x:v>
      </x:c>
      <x:c r="C37" s="17" t="str"/>
      <x:c r="D37" s="17" t="str"/>
      <x:c r="E37" s="17" t="str"/>
      <x:c r="F37" s="17" t="str"/>
      <x:c r="G37" s="17" t="str"/>
      <x:c r="H37" s="191" t="str">
        <x:v>Action owner</x:v>
      </x:c>
      <x:c r="I37" s="191" t="str"/>
      <x:c r="J37" s="191" t="str"/>
    </x:row>
    <x:row r="39">
      <x:c r="A39" s="42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39" s="43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39" s="44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0">
      <x:c r="A40" s="45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0" s="46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0" s="47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1">
      <x:c r="A41" s="48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B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C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D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E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F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G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H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I41" s="49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  <x:c r="J41" s="50" t="str">
        <x:v>Decision readiness remains TEMPLATE / SCREEN-GRADE until the user replaces synthetic inputs, confirms source dates and definitions, reviews method and assumptions, resolves any open accounting/regulatory/legal/tax questions, and reruns all checks.</x:v>
      </x:c>
    </x:row>
    <x:row r="43">
      <x:c r="A43" s="53" t="str">
        <x:v>TDAT Model Library  |  Trust builds the brand. Insight builds the decision.</x:v>
      </x:c>
      <x:c r="B43" s="53" t="str">
        <x:v>TDAT Model Library  |  Trust builds the brand. Insight builds the decision.</x:v>
      </x:c>
      <x:c r="C43" s="53" t="str">
        <x:v>TDAT Model Library  |  Trust builds the brand. Insight builds the decision.</x:v>
      </x:c>
      <x:c r="D43" s="53" t="str">
        <x:v>TDAT Model Library  |  Trust builds the brand. Insight builds the decision.</x:v>
      </x:c>
      <x:c r="E43" s="53" t="str">
        <x:v>TDAT Model Library  |  Trust builds the brand. Insight builds the decision.</x:v>
      </x:c>
      <x:c r="F43" s="53" t="str">
        <x:v>TDAT Model Library  |  Trust builds the brand. Insight builds the decision.</x:v>
      </x:c>
      <x:c r="G43" s="53" t="str">
        <x:v>TDAT Model Library  |  Trust builds the brand. Insight builds the decision.</x:v>
      </x:c>
      <x:c r="H43" s="53" t="str">
        <x:v>TDAT Model Library  |  Trust builds the brand. Insight builds the decision.</x:v>
      </x:c>
      <x:c r="I43" s="53" t="str">
        <x:v>TDAT Model Library  |  Trust builds the brand. Insight builds the decision.</x:v>
      </x:c>
      <x:c r="J43" s="53" t="str">
        <x:v>TDAT Model Library  |  Trust builds the brand. Insight builds the decision.</x:v>
      </x:c>
    </x:row>
  </x:sheetData>
  <x:mergeCells>
    <x:mergeCell ref="A1:J1"/>
    <x:mergeCell ref="A2:J2"/>
    <x:mergeCell ref="A5:C5"/>
    <x:mergeCell ref="A6:C7"/>
    <x:mergeCell ref="D5:F5"/>
    <x:mergeCell ref="D6:F7"/>
    <x:mergeCell ref="G5:I5"/>
    <x:mergeCell ref="G6:I7"/>
    <x:mergeCell ref="A9:C9"/>
    <x:mergeCell ref="A10:C11"/>
    <x:mergeCell ref="D9:F9"/>
    <x:mergeCell ref="D10:F11"/>
    <x:mergeCell ref="G9:I9"/>
    <x:mergeCell ref="G10:I11"/>
    <x:mergeCell ref="J6:J7"/>
    <x:mergeCell ref="J10:J11"/>
    <x:mergeCell ref="A14:E14"/>
    <x:mergeCell ref="A31:J31"/>
    <x:mergeCell ref="B32:G32"/>
    <x:mergeCell ref="B33:G33"/>
    <x:mergeCell ref="B34:G34"/>
    <x:mergeCell ref="B35:G35"/>
    <x:mergeCell ref="B36:G36"/>
    <x:mergeCell ref="B37:G37"/>
    <x:mergeCell ref="H32:J32"/>
    <x:mergeCell ref="H33:J33"/>
    <x:mergeCell ref="H34:J34"/>
    <x:mergeCell ref="H35:J35"/>
    <x:mergeCell ref="H36:J36"/>
    <x:mergeCell ref="H37:J37"/>
    <x:mergeCell ref="A39:J41"/>
    <x:mergeCell ref="A43:J43"/>
  </x:mergeCells>
  <x:pageMargins left="0.7" right="0.7" top="0.75" bottom="0.75" header="0.3" footer="0.3"/>
  <x:drawing xmlns:r="http://schemas.openxmlformats.org/officeDocument/2006/relationships" r:id="R2058b072bb5c4c24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30" hidden="0" customWidth="1"/>
    <x:col min="9" max="9" width="42" hidden="0" customWidth="1"/>
  </x:cols>
  <x:sheetData>
    <x:row r="1" ht="34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  <x:c r="I1" s="3" t="str">
        <x:v>MODEL CHECKS</x:v>
      </x:c>
    </x:row>
    <x:row r="2" ht="24" customHeight="1">
      <x:c r="A2" s="6" t="str">
        <x:v>Personal Budget &amp; Net Worth  |  One assertion per row — investigate every FAIL</x:v>
      </x:c>
      <x:c r="B2" s="6" t="str">
        <x:v>Personal Budget &amp; Net Worth  |  One assertion per row — investigate every FAIL</x:v>
      </x:c>
      <x:c r="C2" s="6" t="str">
        <x:v>Personal Budget &amp; Net Worth  |  One assertion per row — investigate every FAIL</x:v>
      </x:c>
      <x:c r="D2" s="6" t="str">
        <x:v>Personal Budget &amp; Net Worth  |  One assertion per row — investigate every FAIL</x:v>
      </x:c>
      <x:c r="E2" s="6" t="str">
        <x:v>Personal Budget &amp; Net Worth  |  One assertion per row — investigate every FAIL</x:v>
      </x:c>
      <x:c r="F2" s="6" t="str">
        <x:v>Personal Budget &amp; Net Worth  |  One assertion per row — investigate every FAIL</x:v>
      </x:c>
      <x:c r="G2" s="6" t="str">
        <x:v>Personal Budget &amp; Net Worth  |  One assertion per row — investigate every FAIL</x:v>
      </x:c>
      <x:c r="H2" s="6" t="str">
        <x:v>Personal Budget &amp; Net Worth  |  One assertion per row — investigate every FAIL</x:v>
      </x:c>
      <x:c r="I2" s="6" t="str">
        <x:v>Personal Budget &amp; Net Worth  |  One assertion per row — investigate every FAIL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5">
      <x:c r="A5" s="54" t="str">
        <x:v>MODEL STATUS</x:v>
      </x:c>
      <x:c r="B5" s="193" t="str">
        <x:f>IF(COUNTIF(G8:G18,"FAIL")=0,"PASS","FAIL")</x:f>
        <x:v>PASS</x:v>
      </x:c>
      <x:c r="C5" s="193"/>
      <x:c r="D5" s="195" t="str">
        <x:v>Published controls: 11. PASS means the listed calculations tie within tolerance; source and decision readiness remain separate.</x:v>
      </x:c>
      <x:c r="E5" s="195" t="str">
        <x:v>Published controls: 11. PASS means the listed calculations tie within tolerance; source and decision readiness remain separate.</x:v>
      </x:c>
      <x:c r="F5" s="195" t="str">
        <x:v>Published controls: 11. PASS means the listed calculations tie within tolerance; source and decision readiness remain separate.</x:v>
      </x:c>
      <x:c r="G5" s="195" t="str">
        <x:v>Published controls: 11. PASS means the listed calculations tie within tolerance; source and decision readiness remain separate.</x:v>
      </x:c>
      <x:c r="H5" s="195" t="str">
        <x:v>Published controls: 11. PASS means the listed calculations tie within tolerance; source and decision readiness remain separate.</x:v>
      </x:c>
      <x:c r="I5" s="195" t="str">
        <x:v>Published controls: 11. PASS means the listed calculations tie within tolerance; source and decision readiness remain separate.</x:v>
      </x:c>
    </x:row>
    <x:row r="7" ht="24" customHeight="1">
      <x:c r="A7" s="66" t="str">
        <x:v>Check</x:v>
      </x:c>
      <x:c r="B7" s="67" t="str">
        <x:v>Period</x:v>
      </x:c>
      <x:c r="C7" s="67" t="str">
        <x:v>Actual</x:v>
      </x:c>
      <x:c r="D7" s="67" t="str">
        <x:v>Expected</x:v>
      </x:c>
      <x:c r="E7" s="67" t="str">
        <x:v>Difference</x:v>
      </x:c>
      <x:c r="F7" s="67" t="str">
        <x:v>Tolerance</x:v>
      </x:c>
      <x:c r="G7" s="67" t="str">
        <x:v>Status</x:v>
      </x:c>
      <x:c r="H7" s="67" t="str">
        <x:v>Where to fix</x:v>
      </x:c>
      <x:c r="I7" s="68" t="str">
        <x:v>Notes</x:v>
      </x:c>
    </x:row>
    <x:row r="8">
      <x:c r="A8" s="204" t="str">
        <x:v>Debt roll-forward ties</x:v>
      </x:c>
      <x:c r="B8" s="204" t="str">
        <x:v>Model</x:v>
      </x:c>
      <x:c r="C8" s="205" t="n">
        <x:f>SUM('Budget &amp; Net Worth'!B21:M21)</x:f>
        <x:v>-2.7755575615628914e-16</x:v>
      </x:c>
      <x:c r="D8" s="205" t="n">
        <x:v>0</x:v>
      </x:c>
      <x:c r="E8" s="205" t="n">
        <x:f>C8-D8</x:f>
        <x:v>-2.7755575615628914e-16</x:v>
      </x:c>
      <x:c r="F8" s="205" t="n">
        <x:v>0.01</x:v>
      </x:c>
      <x:c r="G8" s="206" t="str">
        <x:f>IF(ABS(E8)&lt;=F8,"PASS","FAIL")</x:f>
        <x:v>PASS</x:v>
      </x:c>
      <x:c r="H8" s="207" t="str">
        <x:v>Budget &amp; Net Worth — debt</x:v>
      </x:c>
      <x:c r="I8" s="207" t="str">
        <x:v>Opening debt less principal equals closing debt.</x:v>
      </x:c>
    </x:row>
    <x:row r="9">
      <x:c r="A9" s="208" t="str">
        <x:v>Debt remains non-negative</x:v>
      </x:c>
      <x:c r="B9" s="208" t="str">
        <x:v>Model</x:v>
      </x:c>
      <x:c r="C9" s="209" t="n">
        <x:f>MAX(0,-MIN('Budget &amp; Net Worth'!B11:M11))</x:f>
        <x:v>0</x:v>
      </x:c>
      <x:c r="D9" s="209" t="n">
        <x:v>0</x:v>
      </x:c>
      <x:c r="E9" s="209" t="n">
        <x:f>C9-D9</x:f>
        <x:v>0</x:v>
      </x:c>
      <x:c r="F9" s="209" t="n">
        <x:v>0.01</x:v>
      </x:c>
      <x:c r="G9" s="210" t="str">
        <x:f>IF(ABS(E9)&lt;=F9,"PASS","FAIL")</x:f>
        <x:v>PASS</x:v>
      </x:c>
      <x:c r="H9" s="211" t="str">
        <x:v>Budget &amp; Net Worth — debt</x:v>
      </x:c>
      <x:c r="I9" s="211" t="str">
        <x:v>Debt repayment is capped at the amount outstanding.</x:v>
      </x:c>
    </x:row>
    <x:row r="10">
      <x:c r="A10" s="208" t="str">
        <x:v>Cash remains non-negative in worked case</x:v>
      </x:c>
      <x:c r="B10" s="208" t="str">
        <x:v>Model</x:v>
      </x:c>
      <x:c r="C10" s="209" t="n">
        <x:f>MAX(0,-MIN('Budget &amp; Net Worth'!B14:M14))</x:f>
        <x:v>0</x:v>
      </x:c>
      <x:c r="D10" s="209" t="n">
        <x:v>0</x:v>
      </x:c>
      <x:c r="E10" s="209" t="n">
        <x:f>C10-D10</x:f>
        <x:v>0</x:v>
      </x:c>
      <x:c r="F10" s="209" t="n">
        <x:v>0.01</x:v>
      </x:c>
      <x:c r="G10" s="210" t="str">
        <x:f>IF(ABS(E10)&lt;=F10,"PASS","FAIL")</x:f>
        <x:v>PASS</x:v>
      </x:c>
      <x:c r="H10" s="211" t="str">
        <x:v>Budget &amp; Net Worth — cash</x:v>
      </x:c>
      <x:c r="I10" s="211" t="str">
        <x:v>A negative cash month requires a funding or spending action.</x:v>
      </x:c>
    </x:row>
    <x:row r="11">
      <x:c r="A11" s="208" t="str">
        <x:v>Emergency-fund target is met by year end</x:v>
      </x:c>
      <x:c r="B11" s="208" t="str">
        <x:v>Model</x:v>
      </x:c>
      <x:c r="C11" s="212" t="n">
        <x:f>MAX(0,'Assumptions'!$F$11-'Budget &amp; Net Worth'!M$19)</x:f>
        <x:v>0</x:v>
      </x:c>
      <x:c r="D11" s="212" t="n">
        <x:v>0</x:v>
      </x:c>
      <x:c r="E11" s="212" t="n">
        <x:f>C11-D11</x:f>
        <x:v>0</x:v>
      </x:c>
      <x:c r="F11" s="212" t="n">
        <x:v>0.01</x:v>
      </x:c>
      <x:c r="G11" s="210" t="str">
        <x:f>IF(ABS(E11)&lt;=F11,"PASS","FAIL")</x:f>
        <x:v>PASS</x:v>
      </x:c>
      <x:c r="H11" s="211" t="str">
        <x:v>Budget &amp; Net Worth — emergency fund</x:v>
      </x:c>
      <x:c r="I11" s="211" t="str">
        <x:v>The worked case should build the selected cash buffer.</x:v>
      </x:c>
    </x:row>
    <x:row r="12">
      <x:c r="A12" s="208" t="str">
        <x:v>Scenario selector is valid</x:v>
      </x:c>
      <x:c r="B12" s="208" t="str">
        <x:v>Current</x:v>
      </x:c>
      <x:c r="C12" s="213" t="n">
        <x:f>COUNTIF('Assumptions'!$C$5:$E$5,'Assumptions'!$B$3)</x:f>
        <x:v>1</x:v>
      </x:c>
      <x:c r="D12" s="213" t="n">
        <x:v>1</x:v>
      </x:c>
      <x:c r="E12" s="213" t="n">
        <x:f>C12-D12</x:f>
        <x:v>0</x:v>
      </x:c>
      <x:c r="F12" s="213" t="n">
        <x:v>0</x:v>
      </x:c>
      <x:c r="G12" s="210" t="str">
        <x:f>IF(ABS(E12)&lt;=F12,"PASS","FAIL")</x:f>
        <x:v>PASS</x:v>
      </x:c>
      <x:c r="H12" s="211" t="str">
        <x:v>Assumptions B3</x:v>
      </x:c>
      <x:c r="I12" s="211" t="str">
        <x:v>Base, Upside, or Downside only.</x:v>
      </x:c>
    </x:row>
    <x:row r="13">
      <x:c r="A13" s="208" t="str">
        <x:v>Period headers are complete</x:v>
      </x:c>
      <x:c r="B13" s="208" t="str">
        <x:v>All periods</x:v>
      </x:c>
      <x:c r="C13" s="213" t="n">
        <x:f>COUNTA('Monthly Inputs'!B5:M5)</x:f>
        <x:v>12</x:v>
      </x:c>
      <x:c r="D13" s="213" t="n">
        <x:v>12</x:v>
      </x:c>
      <x:c r="E13" s="213" t="n">
        <x:f>C13-D13</x:f>
        <x:v>0</x:v>
      </x:c>
      <x:c r="F13" s="213" t="n">
        <x:v>0</x:v>
      </x:c>
      <x:c r="G13" s="210" t="str">
        <x:f>IF(ABS(E13)&lt;=F13,"PASS","FAIL")</x:f>
        <x:v>PASS</x:v>
      </x:c>
      <x:c r="H13" s="211" t="str">
        <x:v>Monthly Inputs row 5</x:v>
      </x:c>
      <x:c r="I13" s="211" t="str">
        <x:v>All modeled periods must have a visible header.</x:v>
      </x:c>
    </x:row>
    <x:row r="14">
      <x:c r="A14" s="208" t="str">
        <x:v>Source input grid is complete</x:v>
      </x:c>
      <x:c r="B14" s="208" t="str">
        <x:v>All periods</x:v>
      </x:c>
      <x:c r="C14" s="213" t="n">
        <x:f>COUNTA('Monthly Inputs'!B6:M13)</x:f>
        <x:v>96</x:v>
      </x:c>
      <x:c r="D14" s="213" t="n">
        <x:v>96</x:v>
      </x:c>
      <x:c r="E14" s="213" t="n">
        <x:f>C14-D14</x:f>
        <x:v>0</x:v>
      </x:c>
      <x:c r="F14" s="213" t="n">
        <x:v>0</x:v>
      </x:c>
      <x:c r="G14" s="210" t="str">
        <x:f>IF(ABS(E14)&lt;=F14,"PASS","FAIL")</x:f>
        <x:v>PASS</x:v>
      </x:c>
      <x:c r="H14" s="211" t="str">
        <x:v>Monthly Inputs</x:v>
      </x:c>
      <x:c r="I14" s="211" t="str">
        <x:v>Replace blanks with an approved value or an explicitly documented zero.</x:v>
      </x:c>
    </x:row>
    <x:row r="15">
      <x:c r="A15" s="208" t="str">
        <x:v>Selected assumptions are complete</x:v>
      </x:c>
      <x:c r="B15" s="208" t="str">
        <x:v>Current</x:v>
      </x:c>
      <x:c r="C15" s="213" t="n">
        <x:f>COUNT('Assumptions'!F6:F11)</x:f>
        <x:v>6</x:v>
      </x:c>
      <x:c r="D15" s="213" t="n">
        <x:v>6</x:v>
      </x:c>
      <x:c r="E15" s="213" t="n">
        <x:f>C15-D15</x:f>
        <x:v>0</x:v>
      </x:c>
      <x:c r="F15" s="213" t="n">
        <x:v>0</x:v>
      </x:c>
      <x:c r="G15" s="210" t="str">
        <x:f>IF(ABS(E15)&lt;=F15,"PASS","FAIL")</x:f>
        <x:v>PASS</x:v>
      </x:c>
      <x:c r="H15" s="211" t="str">
        <x:v>Assumptions column F</x:v>
      </x:c>
      <x:c r="I15" s="211" t="str">
        <x:v>Every scenario driver must resolve to a numeric selected value.</x:v>
      </x:c>
    </x:row>
    <x:row r="16">
      <x:c r="A16" s="208" t="str">
        <x:v>Core model cells calculate to numbers</x:v>
      </x:c>
      <x:c r="B16" s="208" t="str">
        <x:v>All periods</x:v>
      </x:c>
      <x:c r="C16" s="213" t="n">
        <x:f>COUNT('Budget &amp; Net Worth'!B6:M21)</x:f>
        <x:v>192</x:v>
      </x:c>
      <x:c r="D16" s="213" t="n">
        <x:v>192</x:v>
      </x:c>
      <x:c r="E16" s="213" t="n">
        <x:f>C16-D16</x:f>
        <x:v>0</x:v>
      </x:c>
      <x:c r="F16" s="213" t="n">
        <x:v>0</x:v>
      </x:c>
      <x:c r="G16" s="210" t="str">
        <x:f>IF(ABS(E16)&lt;=F16,"PASS","FAIL")</x:f>
        <x:v>PASS</x:v>
      </x:c>
      <x:c r="H16" s="211" t="str">
        <x:v>Budget &amp; Net Worth</x:v>
      </x:c>
      <x:c r="I16" s="211" t="str">
        <x:v>No blank or text output is permitted inside the calculation block.</x:v>
      </x:c>
    </x:row>
    <x:row r="17">
      <x:c r="A17" s="208" t="str">
        <x:v>Sensitivity base ties the headline output</x:v>
      </x:c>
      <x:c r="B17" s="208" t="str">
        <x:v>Base center</x:v>
      </x:c>
      <x:c r="C17" s="209" t="n">
        <x:f>IF('Assumptions'!$B$3="Base",'Sensitivity'!D10,'Budget &amp; Net Worth'!M$18)</x:f>
        <x:v>44.82989502639249</x:v>
      </x:c>
      <x:c r="D17" s="209" t="n">
        <x:f>'Budget &amp; Net Worth'!M$18</x:f>
        <x:v>44.82989502639249</x:v>
      </x:c>
      <x:c r="E17" s="209" t="n">
        <x:f>C17-D17</x:f>
        <x:v>0</x:v>
      </x:c>
      <x:c r="F17" s="209" t="n">
        <x:v>0.1</x:v>
      </x:c>
      <x:c r="G17" s="210" t="str">
        <x:f>IF(ABS(E17)&lt;=F17,"PASS","FAIL")</x:f>
        <x:v>PASS</x:v>
      </x:c>
      <x:c r="H17" s="211" t="str">
        <x:v>Sensitivity / core model</x:v>
      </x:c>
      <x:c r="I17" s="211" t="str">
        <x:v>The center cell must recalculate the Base-case headline output; the assertion is N/A under Upside or Downside.</x:v>
      </x:c>
    </x:row>
    <x:row r="18">
      <x:c r="A18" s="214" t="str">
        <x:v>Headline output is non-negative</x:v>
      </x:c>
      <x:c r="B18" s="214" t="str">
        <x:v>All periods</x:v>
      </x:c>
      <x:c r="C18" s="215" t="n">
        <x:f>MAX(0,-MIN('Budget &amp; Net Worth'!B18:M18))</x:f>
        <x:v>0</x:v>
      </x:c>
      <x:c r="D18" s="215" t="n">
        <x:v>0</x:v>
      </x:c>
      <x:c r="E18" s="215" t="n">
        <x:f>C18-D18</x:f>
        <x:v>0</x:v>
      </x:c>
      <x:c r="F18" s="215" t="n">
        <x:v>0.01</x:v>
      </x:c>
      <x:c r="G18" s="216" t="str">
        <x:f>IF(ABS(E18)&lt;=F18,"PASS","FAIL")</x:f>
        <x:v>PASS</x:v>
      </x:c>
      <x:c r="H18" s="217" t="str">
        <x:v>Budget &amp; Net Worth — netWorth</x:v>
      </x:c>
      <x:c r="I18" s="217" t="str">
        <x:v>Negative outputs require an explicit method and decision interpretation.</x:v>
      </x:c>
    </x:row>
    <x:row r="20">
      <x:c r="A20" s="42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0" s="43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0" s="44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1">
      <x:c r="A21" s="45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1" s="46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1" s="47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2">
      <x:c r="A22" s="48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B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C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D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E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F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G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H22" s="49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  <x:c r="I22" s="50" t="str">
        <x:v>Release note: this check set is transparent internal QA, not an independent certification. Also review source quality, method, accounting, regulatory/tax/legal treatment, compatibility, privacy, and file metadata before distribution.</x:v>
      </x:c>
    </x:row>
    <x:row r="24">
      <x:c r="A24" s="53" t="str">
        <x:v>TDAT Model Library  |  Trust builds the brand. Insight builds the decision.</x:v>
      </x:c>
      <x:c r="B24" s="53" t="str">
        <x:v>TDAT Model Library  |  Trust builds the brand. Insight builds the decision.</x:v>
      </x:c>
      <x:c r="C24" s="53" t="str">
        <x:v>TDAT Model Library  |  Trust builds the brand. Insight builds the decision.</x:v>
      </x:c>
      <x:c r="D24" s="53" t="str">
        <x:v>TDAT Model Library  |  Trust builds the brand. Insight builds the decision.</x:v>
      </x:c>
      <x:c r="E24" s="53" t="str">
        <x:v>TDAT Model Library  |  Trust builds the brand. Insight builds the decision.</x:v>
      </x:c>
      <x:c r="F24" s="53" t="str">
        <x:v>TDAT Model Library  |  Trust builds the brand. Insight builds the decision.</x:v>
      </x:c>
      <x:c r="G24" s="53" t="str">
        <x:v>TDAT Model Library  |  Trust builds the brand. Insight builds the decision.</x:v>
      </x:c>
      <x:c r="H24" s="53" t="str">
        <x:v>TDAT Model Library  |  Trust builds the brand. Insight builds the decision.</x:v>
      </x:c>
      <x:c r="I24" s="53" t="str">
        <x:v>TDAT Model Library  |  Trust builds the brand. Insight builds the decision.</x:v>
      </x:c>
    </x:row>
  </x:sheetData>
  <x:mergeCells>
    <x:mergeCell ref="A1:I1"/>
    <x:mergeCell ref="A2:I2"/>
    <x:mergeCell ref="B5:C5"/>
    <x:mergeCell ref="D5:I5"/>
    <x:mergeCell ref="A20:I22"/>
    <x:mergeCell ref="A24:I24"/>
  </x:mergeCells>
  <x:conditionalFormatting sqref="G8:G18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6" hidden="0" customWidth="1"/>
    <x:col min="4" max="4" width="16" hidden="0" customWidth="1"/>
    <x:col min="5" max="5" width="22" hidden="0" customWidth="1"/>
    <x:col min="6" max="6" width="28" hidden="0" customWidth="1"/>
    <x:col min="7" max="7" width="18" hidden="0" customWidth="1"/>
    <x:col min="8" max="8" width="18" hidden="0" customWidth="1"/>
    <x:col min="9" max="9" width="16" hidden="0" customWidth="1"/>
    <x:col min="10" max="10" width="30" hidden="0" customWidth="1"/>
  </x:cols>
  <x:sheetData>
    <x:row r="1" ht="34" customHeight="1">
      <x:c r="A1" s="3" t="str">
        <x:v>SOURCES &amp; VERSION</x:v>
      </x:c>
      <x:c r="B1" s="3" t="str">
        <x:v>SOURCES &amp; VERSION</x:v>
      </x:c>
      <x:c r="C1" s="3" t="str">
        <x:v>SOURCES &amp; VERSION</x:v>
      </x:c>
      <x:c r="D1" s="3" t="str">
        <x:v>SOURCES &amp; VERSION</x:v>
      </x:c>
      <x:c r="E1" s="3" t="str">
        <x:v>SOURCES &amp; VERSION</x:v>
      </x:c>
      <x:c r="F1" s="3" t="str">
        <x:v>SOURCES &amp; VERSION</x:v>
      </x:c>
      <x:c r="G1" s="3" t="str">
        <x:v>SOURCES &amp; VERSION</x:v>
      </x:c>
      <x:c r="H1" s="3" t="str">
        <x:v>SOURCES &amp; VERSION</x:v>
      </x:c>
      <x:c r="I1" s="3" t="str">
        <x:v>SOURCES &amp; VERSION</x:v>
      </x:c>
      <x:c r="J1" s="3" t="str">
        <x:v>SOURCES &amp; VERSION</x:v>
      </x:c>
    </x:row>
    <x:row r="2" ht="24" customHeight="1">
      <x:c r="A2" s="6" t="str">
        <x:v>Personal Budget &amp; Net Worth  |  Assumption register, release facts, and distribution controls</x:v>
      </x:c>
      <x:c r="B2" s="6" t="str">
        <x:v>Personal Budget &amp; Net Worth  |  Assumption register, release facts, and distribution controls</x:v>
      </x:c>
      <x:c r="C2" s="6" t="str">
        <x:v>Personal Budget &amp; Net Worth  |  Assumption register, release facts, and distribution controls</x:v>
      </x:c>
      <x:c r="D2" s="6" t="str">
        <x:v>Personal Budget &amp; Net Worth  |  Assumption register, release facts, and distribution controls</x:v>
      </x:c>
      <x:c r="E2" s="6" t="str">
        <x:v>Personal Budget &amp; Net Worth  |  Assumption register, release facts, and distribution controls</x:v>
      </x:c>
      <x:c r="F2" s="6" t="str">
        <x:v>Personal Budget &amp; Net Worth  |  Assumption register, release facts, and distribution controls</x:v>
      </x:c>
      <x:c r="G2" s="6" t="str">
        <x:v>Personal Budget &amp; Net Worth  |  Assumption register, release facts, and distribution controls</x:v>
      </x:c>
      <x:c r="H2" s="6" t="str">
        <x:v>Personal Budget &amp; Net Worth  |  Assumption register, release facts, and distribution controls</x:v>
      </x:c>
      <x:c r="I2" s="6" t="str">
        <x:v>Personal Budget &amp; Net Worth  |  Assumption register, release facts, and distribution controls</x:v>
      </x:c>
      <x:c r="J2" s="6" t="str">
        <x:v>Personal Budget &amp; Net Worth  |  Assumption register, release facts, and distribution controls</x:v>
      </x:c>
    </x:row>
    <x:row r="3" ht="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5" ht="22" customHeight="1">
      <x:c r="A5" s="9" t="str">
        <x:v>SOURCE / ASSUMPTION REGISTER</x:v>
      </x:c>
      <x:c r="B5" s="9" t="str">
        <x:v>SOURCE / ASSUMPTION REGISTER</x:v>
      </x:c>
      <x:c r="C5" s="9" t="str">
        <x:v>SOURCE / ASSUMPTION REGISTER</x:v>
      </x:c>
      <x:c r="D5" s="9" t="str">
        <x:v>SOURCE / ASSUMPTION REGISTER</x:v>
      </x:c>
      <x:c r="E5" s="9" t="str">
        <x:v>SOURCE / ASSUMPTION REGISTER</x:v>
      </x:c>
      <x:c r="F5" s="9" t="str">
        <x:v>SOURCE / ASSUMPTION REGISTER</x:v>
      </x:c>
      <x:c r="G5" s="9" t="str">
        <x:v>SOURCE / ASSUMPTION REGISTER</x:v>
      </x:c>
      <x:c r="H5" s="9" t="str">
        <x:v>SOURCE / ASSUMPTION REGISTER</x:v>
      </x:c>
      <x:c r="I5" s="9" t="str">
        <x:v>SOURCE / ASSUMPTION REGISTER</x:v>
      </x:c>
    </x:row>
    <x:row r="6" ht="24" customHeight="1">
      <x:c r="A6" s="66" t="str">
        <x:v>Item</x:v>
      </x:c>
      <x:c r="B6" s="67" t="str">
        <x:v>Value / definition</x:v>
      </x:c>
      <x:c r="C6" s="67" t="str">
        <x:v>Units</x:v>
      </x:c>
      <x:c r="D6" s="67" t="str">
        <x:v>Period / as-of</x:v>
      </x:c>
      <x:c r="E6" s="67" t="str">
        <x:v>Source type</x:v>
      </x:c>
      <x:c r="F6" s="67" t="str">
        <x:v>Source / owner</x:v>
      </x:c>
      <x:c r="G6" s="67" t="str">
        <x:v>Ref</x:v>
      </x:c>
      <x:c r="H6" s="67" t="str">
        <x:v>Confidence</x:v>
      </x:c>
      <x:c r="I6" s="68" t="str">
        <x:v>Notes</x:v>
      </x:c>
    </x:row>
    <x:row r="7">
      <x:c r="A7" s="150" t="str">
        <x:v>Worked example</x:v>
      </x:c>
      <x:c r="B7" s="151" t="str">
        <x:v>Synthetic case values</x:v>
      </x:c>
      <x:c r="C7" s="151" t="str">
        <x:v>LCY</x:v>
      </x:c>
      <x:c r="D7" s="151" t="str">
        <x:v>2026-07-13</x:v>
      </x:c>
      <x:c r="E7" s="151" t="str">
        <x:v>Illustrative</x:v>
      </x:c>
      <x:c r="F7" s="151" t="str">
        <x:v>TDAT model build</x:v>
      </x:c>
      <x:c r="G7" s="151" t="str">
        <x:v>SYN-001</x:v>
      </x:c>
      <x:c r="H7" s="151" t="str">
        <x:v>Illustrative</x:v>
      </x:c>
      <x:c r="I7" s="152" t="str">
        <x:v>Replace before use.</x:v>
      </x:c>
    </x:row>
    <x:row r="8">
      <x:c r="A8" s="153" t="str">
        <x:v>Scenario drivers</x:v>
      </x:c>
      <x:c r="B8" s="154" t="str">
        <x:v>Base / Upside / Downside</x:v>
      </x:c>
      <x:c r="C8" s="154" t="str">
        <x:v>Mixed</x:v>
      </x:c>
      <x:c r="D8" s="154" t="str">
        <x:v>Model horizon</x:v>
      </x:c>
      <x:c r="E8" s="154" t="str">
        <x:v>Assumption</x:v>
      </x:c>
      <x:c r="F8" s="154" t="str">
        <x:v>User / finance owner</x:v>
      </x:c>
      <x:c r="G8" s="154" t="str">
        <x:v>ASM-001</x:v>
      </x:c>
      <x:c r="H8" s="154" t="str">
        <x:v>Open</x:v>
      </x:c>
      <x:c r="I8" s="155" t="str">
        <x:v>Confirm rationale and owner.</x:v>
      </x:c>
    </x:row>
    <x:row r="9">
      <x:c r="A9" s="156" t="str">
        <x:v>Method</x:v>
      </x:c>
      <x:c r="B9" s="157" t="str">
        <x:v>Budget &amp; Net Worth</x:v>
      </x:c>
      <x:c r="C9" s="157" t="str">
        <x:v>Method</x:v>
      </x:c>
      <x:c r="D9" s="157" t="str">
        <x:v>Version 1.0.0</x:v>
      </x:c>
      <x:c r="E9" s="157" t="str">
        <x:v>Model method</x:v>
      </x:c>
      <x:c r="F9" s="157" t="str">
        <x:v>Model Guide</x:v>
      </x:c>
      <x:c r="G9" s="157" t="str">
        <x:v>MTH-001</x:v>
      </x:c>
      <x:c r="H9" s="157" t="str">
        <x:v>Template</x:v>
      </x:c>
      <x:c r="I9" s="158" t="str">
        <x:v>Validate for the intended use and jurisdiction.</x:v>
      </x:c>
    </x:row>
    <x:row r="11" ht="22" customHeight="1">
      <x:c r="A11" s="9" t="str">
        <x:v>RELEASE FACTS</x:v>
      </x:c>
      <x:c r="B11" s="9" t="str">
        <x:v>RELEASE FACTS</x:v>
      </x:c>
      <x:c r="C11" s="9" t="str">
        <x:v>RELEASE FACTS</x:v>
      </x:c>
      <x:c r="D11" s="9" t="str">
        <x:v>RELEASE FACTS</x:v>
      </x:c>
      <x:c r="E11" s="9" t="str">
        <x:v>RELEASE FACTS</x:v>
      </x:c>
      <x:c r="F11" s="9" t="str">
        <x:v>RELEASE FACTS</x:v>
      </x:c>
      <x:c r="G11" s="9" t="str">
        <x:v>RELEASE FACTS</x:v>
      </x:c>
      <x:c r="H11" s="9" t="str">
        <x:v>RELEASE FACTS</x:v>
      </x:c>
      <x:c r="I11" s="9" t="str">
        <x:v>RELEASE FACTS</x:v>
      </x:c>
    </x:row>
    <x:row r="12">
      <x:c r="A12" s="218" t="str">
        <x:v>Owner</x:v>
      </x:c>
      <x:c r="B12" s="151" t="str">
        <x:v>Truong Dinh Anh Tu</x:v>
      </x:c>
      <x:c r="C12" s="220" t="str">
        <x:v>Version</x:v>
      </x:c>
      <x:c r="D12" s="151" t="str">
        <x:v>1.0.0</x:v>
      </x:c>
      <x:c r="E12" s="220" t="str">
        <x:v>Standard</x:v>
      </x:c>
      <x:c r="F12" s="151" t="str">
        <x:v>TDAT Model Standard 1.0</x:v>
      </x:c>
      <x:c r="G12" s="220" t="str">
        <x:v>Last QA</x:v>
      </x:c>
      <x:c r="H12" s="151" t="str">
        <x:v>2026-07-13</x:v>
      </x:c>
      <x:c r="I12" s="220" t="str">
        <x:v>Status</x:v>
      </x:c>
      <x:c r="J12" s="152" t="str">
        <x:v>Available after release gates</x:v>
      </x:c>
    </x:row>
    <x:row r="13">
      <x:c r="A13" s="219" t="str">
        <x:v>Compatibility</x:v>
      </x:c>
      <x:c r="B13" s="157" t="str">
        <x:v>Excel 365</x:v>
      </x:c>
      <x:c r="C13" s="221" t="str">
        <x:v>Macros</x:v>
      </x:c>
      <x:c r="D13" s="157" t="str">
        <x:v>None</x:v>
      </x:c>
      <x:c r="E13" s="221" t="str">
        <x:v>External links</x:v>
      </x:c>
      <x:c r="F13" s="157" t="str">
        <x:v>None</x:v>
      </x:c>
      <x:c r="G13" s="221" t="str">
        <x:v>Circularity</x:v>
      </x:c>
      <x:c r="H13" s="157" t="str">
        <x:v>None</x:v>
      </x:c>
      <x:c r="I13" s="221" t="str">
        <x:v>Evidence</x:v>
      </x:c>
      <x:c r="J13" s="158" t="str">
        <x:v>Synthetic worked template</x:v>
      </x:c>
    </x:row>
    <x:row r="15" ht="22" customHeight="1">
      <x:c r="A15" s="9" t="str">
        <x:v>CHANGE LOG</x:v>
      </x:c>
      <x:c r="B15" s="9" t="str">
        <x:v>CHANGE LOG</x:v>
      </x:c>
      <x:c r="C15" s="9" t="str">
        <x:v>CHANGE LOG</x:v>
      </x:c>
      <x:c r="D15" s="9" t="str">
        <x:v>CHANGE LOG</x:v>
      </x:c>
      <x:c r="E15" s="9" t="str">
        <x:v>CHANGE LOG</x:v>
      </x:c>
      <x:c r="F15" s="9" t="str">
        <x:v>CHANGE LOG</x:v>
      </x:c>
      <x:c r="G15" s="9" t="str">
        <x:v>CHANGE LOG</x:v>
      </x:c>
      <x:c r="H15" s="9" t="str">
        <x:v>CHANGE LOG</x:v>
      </x:c>
      <x:c r="I15" s="9" t="str">
        <x:v>CHANGE LOG</x:v>
      </x:c>
    </x:row>
    <x:row r="16" ht="24" customHeight="1">
      <x:c r="A16" s="66" t="str">
        <x:v>Version</x:v>
      </x:c>
      <x:c r="B16" s="67" t="str">
        <x:v>Date</x:v>
      </x:c>
      <x:c r="C16" s="67" t="str">
        <x:v>Changed sheets</x:v>
      </x:c>
      <x:c r="D16" s="67" t="str">
        <x:v>Change</x:v>
      </x:c>
      <x:c r="E16" s="67" t="str">
        <x:v>Impact</x:v>
      </x:c>
      <x:c r="F16" s="67" t="str">
        <x:v>Migration note</x:v>
      </x:c>
      <x:c r="G16" s="67" t="str">
        <x:v>Owner</x:v>
      </x:c>
      <x:c r="H16" s="67" t="str">
        <x:v>Reviewer</x:v>
      </x:c>
      <x:c r="I16" s="68" t="str">
        <x:v>Status</x:v>
      </x:c>
    </x:row>
    <x:row r="17">
      <x:c r="A17" s="225" t="str">
        <x:v>1.0.0</x:v>
      </x:c>
      <x:c r="B17" s="226" t="str">
        <x:v>2026-07-13</x:v>
      </x:c>
      <x:c r="C17" s="226" t="str">
        <x:v>All</x:v>
      </x:c>
      <x:c r="D17" s="226" t="str">
        <x:v>Initial public reusable template</x:v>
      </x:c>
      <x:c r="E17" s="226" t="str">
        <x:v>New model release</x:v>
      </x:c>
      <x:c r="F17" s="226" t="str">
        <x:v>None</x:v>
      </x:c>
      <x:c r="G17" s="226" t="str">
        <x:v>Truong Dinh Anh Tu</x:v>
      </x:c>
      <x:c r="H17" s="226" t="str">
        <x:v>TDAT QA review</x:v>
      </x:c>
      <x:c r="I17" s="227" t="str">
        <x:v>Released</x:v>
      </x:c>
    </x:row>
    <x:row r="19" ht="22" customHeight="1">
      <x:c r="A19" s="9" t="str">
        <x:v>DISTRIBUTION &amp; PRIVACY</x:v>
      </x:c>
      <x:c r="B19" s="9" t="str">
        <x:v>DISTRIBUTION &amp; PRIVACY</x:v>
      </x:c>
      <x:c r="C19" s="9" t="str">
        <x:v>DISTRIBUTION &amp; PRIVACY</x:v>
      </x:c>
      <x:c r="D19" s="9" t="str">
        <x:v>DISTRIBUTION &amp; PRIVACY</x:v>
      </x:c>
      <x:c r="E19" s="9" t="str">
        <x:v>DISTRIBUTION &amp; PRIVACY</x:v>
      </x:c>
      <x:c r="F19" s="9" t="str">
        <x:v>DISTRIBUTION &amp; PRIVACY</x:v>
      </x:c>
      <x:c r="G19" s="9" t="str">
        <x:v>DISTRIBUTION &amp; PRIVACY</x:v>
      </x:c>
      <x:c r="H19" s="9" t="str">
        <x:v>DISTRIBUTION &amp; PRIVACY</x:v>
      </x:c>
      <x:c r="I19" s="9" t="str">
        <x:v>DISTRIBUTION &amp; PRIVACY</x:v>
      </x:c>
    </x:row>
    <x:row r="20" ht="32" customHeight="1">
      <x:c r="A20" s="21" t="str">
        <x:v>Public-safe evidence</x:v>
      </x:c>
      <x:c r="B20" s="17" t="str">
        <x:v>Synthetic company/case values only</x:v>
      </x:c>
      <x:c r="C20" s="17" t="str"/>
      <x:c r="D20" s="17" t="str"/>
      <x:c r="E20" s="17" t="str"/>
      <x:c r="F20" s="17" t="str"/>
      <x:c r="G20" s="17" t="str"/>
      <x:c r="H20" s="17" t="str"/>
      <x:c r="I20" s="17" t="str"/>
    </x:row>
    <x:row r="21" ht="32" customHeight="1">
      <x:c r="A21" s="21" t="str">
        <x:v>Excluded content</x:v>
      </x:c>
      <x:c r="B21" s="17" t="str">
        <x:v>No real customer, employee, vendor, borrower, issuer, position, policyholder, transaction, or household record</x:v>
      </x:c>
      <x:c r="C21" s="17" t="str"/>
      <x:c r="D21" s="17" t="str"/>
      <x:c r="E21" s="17" t="str"/>
      <x:c r="F21" s="17" t="str"/>
      <x:c r="G21" s="17" t="str"/>
      <x:c r="H21" s="17" t="str"/>
      <x:c r="I21" s="17" t="str"/>
    </x:row>
    <x:row r="22" ht="32" customHeight="1">
      <x:c r="A22" s="21" t="str">
        <x:v>Dependencies</x:v>
      </x:c>
      <x:c r="B22" s="17" t="str">
        <x:v>Macro-free .xlsx; no external workbooks, add-ins, live connections, or intentional circular references</x:v>
      </x:c>
      <x:c r="C22" s="17" t="str"/>
      <x:c r="D22" s="17" t="str"/>
      <x:c r="E22" s="17" t="str"/>
      <x:c r="F22" s="17" t="str"/>
      <x:c r="G22" s="17" t="str"/>
      <x:c r="H22" s="17" t="str"/>
      <x:c r="I22" s="17" t="str"/>
    </x:row>
    <x:row r="23" ht="32" customHeight="1">
      <x:c r="A23" s="21" t="str">
        <x:v>Usage</x:v>
      </x:c>
      <x:c r="B23" s="17" t="str">
        <x:v>Adapt for learning, interview cases, internal planning, or analysis. Do not resell an unchanged copy as your own product.</x:v>
      </x:c>
      <x:c r="C23" s="17" t="str"/>
      <x:c r="D23" s="17" t="str"/>
      <x:c r="E23" s="17" t="str"/>
      <x:c r="F23" s="17" t="str"/>
      <x:c r="G23" s="17" t="str"/>
      <x:c r="H23" s="17" t="str"/>
      <x:c r="I23" s="17" t="str"/>
    </x:row>
    <x:row r="24" ht="32" customHeight="1">
      <x:c r="A24" s="21" t="str">
        <x:v>Responsibility</x:v>
      </x:c>
      <x:c r="B24" s="17" t="str">
        <x:v>Educational household-planning template only; it is not financial, tax, legal, investment, debt, or insurance advice. Validate personal circumstances, risks, fees, taxes, liquidity, product terms, and suitability with qualified professionals.</x:v>
      </x:c>
      <x:c r="C24" s="17" t="str"/>
      <x:c r="D24" s="17" t="str"/>
      <x:c r="E24" s="17" t="str"/>
      <x:c r="F24" s="17" t="str"/>
      <x:c r="G24" s="17" t="str"/>
      <x:c r="H24" s="17" t="str"/>
      <x:c r="I24" s="17" t="str"/>
    </x:row>
    <x:row r="26">
      <x:c r="A26" s="42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6" s="43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6" s="44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7">
      <x:c r="A27" s="45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7" s="46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7" s="47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28">
      <x:c r="A28" s="48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B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C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D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E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F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G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H28" s="49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  <x:c r="I28" s="50" t="str">
        <x:v>Before distributing a populated copy, inspect visible and hidden sheets, formulas, comments, names, links, connections, metadata, caches, embedded objects, local paths, user identifiers, and deleted-looking data. Password protection is not a privacy control.</x:v>
      </x:c>
    </x:row>
    <x:row r="30">
      <x:c r="A30" s="53" t="str">
        <x:v>TDAT Model Library  |  Trust builds the brand. Insight builds the decision.</x:v>
      </x:c>
      <x:c r="B30" s="53" t="str">
        <x:v>TDAT Model Library  |  Trust builds the brand. Insight builds the decision.</x:v>
      </x:c>
      <x:c r="C30" s="53" t="str">
        <x:v>TDAT Model Library  |  Trust builds the brand. Insight builds the decision.</x:v>
      </x:c>
      <x:c r="D30" s="53" t="str">
        <x:v>TDAT Model Library  |  Trust builds the brand. Insight builds the decision.</x:v>
      </x:c>
      <x:c r="E30" s="53" t="str">
        <x:v>TDAT Model Library  |  Trust builds the brand. Insight builds the decision.</x:v>
      </x:c>
      <x:c r="F30" s="53" t="str">
        <x:v>TDAT Model Library  |  Trust builds the brand. Insight builds the decision.</x:v>
      </x:c>
      <x:c r="G30" s="53" t="str">
        <x:v>TDAT Model Library  |  Trust builds the brand. Insight builds the decision.</x:v>
      </x:c>
      <x:c r="H30" s="53" t="str">
        <x:v>TDAT Model Library  |  Trust builds the brand. Insight builds the decision.</x:v>
      </x:c>
      <x:c r="I30" s="53" t="str">
        <x:v>TDAT Model Library  |  Trust builds the brand. Insight builds the decision.</x:v>
      </x:c>
      <x:c r="J30" s="53" t="str">
        <x:v>TDAT Model Library  |  Trust builds the brand. Insight builds the decision.</x:v>
      </x:c>
    </x:row>
  </x:sheetData>
  <x:mergeCells>
    <x:mergeCell ref="A1:J1"/>
    <x:mergeCell ref="A2:J2"/>
    <x:mergeCell ref="A5:I5"/>
    <x:mergeCell ref="A11:I11"/>
    <x:mergeCell ref="A15:I15"/>
    <x:mergeCell ref="A19:I19"/>
    <x:mergeCell ref="B20:I20"/>
    <x:mergeCell ref="B21:I21"/>
    <x:mergeCell ref="B22:I22"/>
    <x:mergeCell ref="B23:I23"/>
    <x:mergeCell ref="B24:I24"/>
    <x:mergeCell ref="A26:I28"/>
    <x:mergeCell ref="A30:J30"/>
  </x:mergeCells>
  <x:pageMargins left="0.7" right="0.7" top="0.75" bottom="0.75" header="0.3" footer="0.3"/>
</x:worksheet>
</file>