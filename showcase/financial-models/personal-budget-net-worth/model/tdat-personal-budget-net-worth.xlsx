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83286d5a8b44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" sheetId="1" r:id="Rd73646e3b3ac4799"/>
    <x:sheet xmlns:r="http://schemas.openxmlformats.org/officeDocument/2006/relationships" name="Inputs" sheetId="2" r:id="R049d44ced30849dd"/>
    <x:sheet xmlns:r="http://schemas.openxmlformats.org/officeDocument/2006/relationships" name="Model" sheetId="3" r:id="R042ec068ccd94a26"/>
    <x:sheet xmlns:r="http://schemas.openxmlformats.org/officeDocument/2006/relationships" name="Results" sheetId="4" r:id="R899af501d64d484e"/>
    <x:sheet xmlns:r="http://schemas.openxmlformats.org/officeDocument/2006/relationships" name="Checks" sheetId="5" r:id="R2996ce4f692b41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;[Red](#,##0);-"/>
    <x:numFmt numFmtId="201" formatCode="0.0%;[Red](0.0%);-"/>
    <x:numFmt numFmtId="202" formatCode="#,##0.0;[Red](#,##0.0);-"/>
    <x:numFmt numFmtId="203" formatCode="0.00;[Red](0.00);-"/>
  </x:numFmts>
  <x:fonts count="15">
    <x:font>
      <x:sz val="11"/>
      <x:name val="Carlito"/>
    </x:font>
    <x:font>
      <x:sz val="11"/>
      <x:color rgb="FF202833"/>
      <x:name val="Carlito"/>
    </x:font>
    <x:font>
      <x:b/>
      <x:sz val="11"/>
      <x:color rgb="FFFFFFFF"/>
      <x:name val="Carlito"/>
    </x:font>
    <x:font>
      <x:b/>
      <x:sz val="11"/>
      <x:color rgb="FF202833"/>
      <x:name val="Carlito"/>
    </x:font>
    <x:font>
      <x:b/>
      <x:sz val="11"/>
      <x:color rgb="FF0000FF"/>
      <x:name val="Carlito"/>
    </x:font>
    <x:font>
      <x:sz val="11"/>
      <x:color rgb="FF68717C"/>
      <x:name val="Carlito"/>
    </x:font>
    <x:font>
      <x:sz val="11"/>
      <x:color rgb="FF805C19"/>
      <x:name val="Carlito"/>
    </x:font>
    <x:font>
      <x:sz val="11"/>
      <x:color rgb="FF008000"/>
      <x:name val="Carlito"/>
    </x:font>
    <x:font>
      <x:sz val="11"/>
      <x:color rgb="FF247252"/>
      <x:name val="Carlito"/>
    </x:font>
    <x:font>
      <x:sz val="11"/>
      <x:color rgb="FF202833"/>
      <x:name val="Carlito"/>
    </x:font>
    <x:font>
      <x:b/>
      <x:sz val="11"/>
      <x:color rgb="FFB5883A"/>
      <x:name val="Carlito"/>
    </x:font>
    <x:font>
      <x:b/>
      <x:sz val="11"/>
      <x:color rgb="FF68717C"/>
      <x:name val="Carlito"/>
    </x:font>
    <x:font>
      <x:b/>
      <x:sz val="11"/>
      <x:color rgb="FF247252"/>
      <x:name val="Carlito"/>
    </x:font>
    <x:font>
      <x:b/>
      <x:sz val="11"/>
      <x:color rgb="FF805C19"/>
      <x:name val="Carlito"/>
    </x:font>
    <x:font>
      <x:sz val="11"/>
      <x:color rgb="FFF5F6F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F5F6F8"/>
      </x:patternFill>
    </x:fill>
    <x:fill>
      <x:patternFill patternType="solid">
        <x:fgColor rgb="FF1C2430"/>
      </x:patternFill>
    </x:fill>
    <x:fill>
      <x:patternFill patternType="solid">
        <x:fgColor rgb="FFB5883A"/>
      </x:patternFill>
    </x:fill>
    <x:fill>
      <x:patternFill patternType="solid">
        <x:fgColor rgb="FFF2E8D5"/>
      </x:patternFill>
    </x:fill>
    <x:fill>
      <x:patternFill patternType="solid">
        <x:fgColor rgb="FF303B49"/>
      </x:patternFill>
    </x:fill>
    <x:fill>
      <x:patternFill patternType="solid">
        <x:fgColor rgb="FFECEFF2"/>
      </x:patternFill>
    </x:fill>
    <x:fill>
      <x:patternFill patternType="solid">
        <x:fgColor rgb="FFFFFFFF"/>
      </x:patternFill>
    </x:fill>
    <x:fill>
      <x:patternFill patternType="solid">
        <x:fgColor rgb="FFF8EBCF"/>
      </x:patternFill>
    </x:fill>
  </x:fills>
  <x:borders count="30">
    <x:border/>
    <x:border>
      <x:left style="thin">
        <x:color rgb="FFD7DBE0"/>
      </x:left>
      <x:top style="thin">
        <x:color rgb="FFD7DBE0"/>
      </x:top>
    </x:border>
    <x:border>
      <x:top style="thin">
        <x:color rgb="FFD7DBE0"/>
      </x:top>
    </x:border>
    <x:border>
      <x:right style="thin">
        <x:color rgb="FFD7DBE0"/>
      </x:right>
      <x:top style="thin">
        <x:color rgb="FFD7DBE0"/>
      </x:top>
    </x:border>
    <x:border>
      <x:left style="thin">
        <x:color rgb="FFD7DBE0"/>
      </x:left>
      <x:bottom style="thin">
        <x:color rgb="FFD7DBE0"/>
      </x:bottom>
    </x:border>
    <x:border>
      <x:bottom style="thin">
        <x:color rgb="FFD7DBE0"/>
      </x:bottom>
    </x:border>
    <x:border>
      <x:right style="thin">
        <x:color rgb="FFD7DBE0"/>
      </x:right>
      <x:bottom style="thin">
        <x:color rgb="FFD7DBE0"/>
      </x:bottom>
    </x:border>
    <x:border>
      <x:bottom style="medium">
        <x:color rgb="FFB5883A"/>
      </x:bottom>
    </x:border>
    <x:border>
      <x:left style="thin">
        <x:color rgb="FFD3AE64"/>
      </x:left>
      <x:right style="thin">
        <x:color rgb="FFD3AE64"/>
      </x:right>
      <x:top style="thin">
        <x:color rgb="FFD3AE64"/>
      </x:top>
      <x:bottom style="thin">
        <x:color rgb="FFD3AE64"/>
      </x:bottom>
    </x:border>
    <x:border>
      <x:left style="thin">
        <x:color rgb="FFD3AE64"/>
      </x:left>
      <x:right style="thin">
        <x:color rgb="FFD3AE64"/>
      </x:right>
    </x:border>
    <x:border>
      <x:left style="thin">
        <x:color rgb="FFD3AE64"/>
      </x:left>
      <x:top style="thin">
        <x:color rgb="FFD3AE64"/>
      </x:top>
    </x:border>
    <x:border>
      <x:top style="thin">
        <x:color rgb="FFD3AE64"/>
      </x:top>
    </x:border>
    <x:border>
      <x:right style="thin">
        <x:color rgb="FFD3AE64"/>
      </x:right>
      <x:top style="thin">
        <x:color rgb="FFD3AE64"/>
      </x:top>
    </x:border>
    <x:border>
      <x:left style="thin">
        <x:color rgb="FFD3AE64"/>
      </x:left>
      <x:bottom style="thin">
        <x:color rgb="FFD3AE64"/>
      </x:bottom>
    </x:border>
    <x:border>
      <x:bottom style="thin">
        <x:color rgb="FFD3AE64"/>
      </x:bottom>
    </x:border>
    <x:border>
      <x:right style="thin">
        <x:color rgb="FFD3AE64"/>
      </x:right>
      <x:bottom style="thin">
        <x:color rgb="FFD3AE64"/>
      </x:bottom>
    </x:border>
    <x:border>
      <x:bottom style="thin">
        <x:color rgb="FFB5883A"/>
      </x:bottom>
    </x:border>
    <x:border>
      <x:left style="thin">
        <x:color rgb="FFD7DBE0"/>
      </x:left>
      <x:bottom style="thin">
        <x:color rgb="FFB5883A"/>
      </x:bottom>
    </x:border>
    <x:border>
      <x:left style="thin">
        <x:color rgb="FF1C2430"/>
      </x:left>
      <x:top style="thin">
        <x:color rgb="FF1C2430"/>
      </x:top>
      <x:bottom style="thin">
        <x:color rgb="FF1C2430"/>
      </x:bottom>
    </x:border>
    <x:border>
      <x:right style="thin">
        <x:color rgb="FF1C2430"/>
      </x:right>
      <x:top style="thin">
        <x:color rgb="FF1C2430"/>
      </x:top>
      <x:bottom style="thin">
        <x:color rgb="FF1C2430"/>
      </x:bottom>
    </x:border>
    <x:border>
      <x:left style="thin">
        <x:color rgb="FFD7DBE0"/>
      </x:left>
    </x:border>
    <x:border>
      <x:right style="thin">
        <x:color rgb="FFD7DBE0"/>
      </x:right>
    </x:border>
    <x:border>
      <x:left style="thin">
        <x:color rgb="FFB5883A"/>
      </x:left>
      <x:top style="thin">
        <x:color rgb="FFB5883A"/>
      </x:top>
    </x:border>
    <x:border>
      <x:top style="thin">
        <x:color rgb="FFB5883A"/>
      </x:top>
    </x:border>
    <x:border>
      <x:right style="thin">
        <x:color rgb="FFB5883A"/>
      </x:right>
      <x:top style="thin">
        <x:color rgb="FFB5883A"/>
      </x:top>
    </x:border>
    <x:border>
      <x:left style="thin">
        <x:color rgb="FFB5883A"/>
      </x:left>
      <x:bottom style="thin">
        <x:color rgb="FFB5883A"/>
      </x:bottom>
    </x:border>
    <x:border>
      <x:right style="thin">
        <x:color rgb="FFB5883A"/>
      </x:right>
      <x:bottom style="thin">
        <x:color rgb="FFB5883A"/>
      </x:bottom>
    </x:border>
    <x:border>
      <x:left style="thin">
        <x:color rgb="FFD7DBE0"/>
      </x:left>
      <x:top style="thin">
        <x:color rgb="FFD7DBE0"/>
      </x:top>
      <x:bottom style="thin">
        <x:color rgb="FFD7DBE0"/>
      </x:bottom>
    </x:border>
    <x:border>
      <x:right style="thin">
        <x:color rgb="FFD7DBE0"/>
      </x:right>
      <x:top style="thin">
        <x:color rgb="FFD7DBE0"/>
      </x:top>
      <x:bottom style="thin">
        <x:color rgb="FFD7DBE0"/>
      </x:bottom>
    </x:border>
    <x:border>
      <x:top style="thin">
        <x:color rgb="FFD7DBE0"/>
      </x:top>
      <x:bottom style="thin">
        <x:color rgb="FFD7DBE0"/>
      </x:bottom>
    </x:border>
  </x:borders>
  <x:cellStyleXfs count="1">
    <x:xf numFmtId="0" fontId="0" fillId="0" borderId="0"/>
  </x:cellStyleXfs>
  <x:cellXfs count="2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horizontal="left" vertical="center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/>
    </x:xf>
    <x:xf numFmtId="0" fontId="3" fillId="5" borderId="3" xfId="0" applyNumberFormat="1" applyFont="1" applyFill="1" applyBorder="1" applyAlignment="1">
      <x:alignment vertical="center"/>
    </x:xf>
    <x:xf numFmtId="0" fontId="3" fillId="5" borderId="4" xfId="0" applyNumberFormat="1" applyFont="1" applyFill="1" applyBorder="1" applyAlignment="1">
      <x:alignment vertical="center"/>
    </x:xf>
    <x:xf numFmtId="0" fontId="3" fillId="5" borderId="5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0" fontId="3" fillId="5" borderId="3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 wrapText="1"/>
    </x:xf>
    <x:xf numFmtId="0" fontId="3" fillId="5" borderId="5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vertical="center"/>
    </x:xf>
    <x:xf numFmtId="0" fontId="2" fillId="6" borderId="7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4" fillId="8" borderId="8" xfId="0" applyNumberFormat="1" applyFont="1" applyFill="1" applyBorder="1" applyAlignment="1">
      <x:alignment vertical="center"/>
    </x:xf>
    <x:xf numFmtId="200" fontId="4" fillId="8" borderId="8" xfId="0" applyNumberFormat="1" applyFont="1" applyFill="1" applyBorder="1" applyAlignment="1">
      <x:alignment vertical="center"/>
    </x:xf>
    <x:xf numFmtId="200" fontId="4" fillId="8" borderId="8" xfId="0" applyNumberFormat="1" applyFont="1" applyFill="1" applyBorder="1" applyAlignment="1">
      <x:alignment horizontal="right"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/>
    </x:xf>
    <x:xf numFmtId="0" fontId="5" fillId="8" borderId="5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 wrapText="1"/>
    </x:xf>
    <x:xf numFmtId="0" fontId="5" fillId="8" borderId="5" xfId="0" applyNumberFormat="1" applyFont="1" applyFill="1" applyBorder="1" applyAlignment="1">
      <x:alignment vertical="center" wrapText="1"/>
    </x:xf>
    <x:xf numFmtId="200" fontId="4" fillId="8" borderId="9" xfId="0" applyNumberFormat="1" applyFont="1" applyFill="1" applyBorder="1" applyAlignment="1">
      <x:alignment horizontal="right" vertical="center"/>
    </x:xf>
    <x:xf numFmtId="201" fontId="4" fillId="8" borderId="8" xfId="0" applyNumberFormat="1" applyFont="1" applyFill="1" applyBorder="1" applyAlignment="1">
      <x:alignment vertical="center"/>
    </x:xf>
    <x:xf numFmtId="201" fontId="4" fillId="8" borderId="8" xfId="0" applyNumberFormat="1" applyFont="1" applyFill="1" applyBorder="1" applyAlignment="1">
      <x:alignment horizontal="right" vertical="center"/>
    </x:xf>
    <x:xf numFmtId="201" fontId="4" fillId="8" borderId="9" xfId="0" applyNumberFormat="1" applyFont="1" applyFill="1" applyBorder="1" applyAlignment="1">
      <x:alignment horizontal="right" vertical="center"/>
    </x:xf>
    <x:xf numFmtId="0" fontId="1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/>
    </x:xf>
    <x:xf numFmtId="0" fontId="6" fillId="9" borderId="10" xfId="0" applyNumberFormat="1" applyFont="1" applyFill="1" applyBorder="1" applyAlignment="1">
      <x:alignment vertical="center"/>
    </x:xf>
    <x:xf numFmtId="0" fontId="6" fillId="9" borderId="11" xfId="0" applyNumberFormat="1" applyFont="1" applyFill="1" applyBorder="1" applyAlignment="1">
      <x:alignment vertical="center"/>
    </x:xf>
    <x:xf numFmtId="0" fontId="6" fillId="9" borderId="12" xfId="0" applyNumberFormat="1" applyFont="1" applyFill="1" applyBorder="1" applyAlignment="1">
      <x:alignment vertical="center"/>
    </x:xf>
    <x:xf numFmtId="0" fontId="6" fillId="9" borderId="13" xfId="0" applyNumberFormat="1" applyFont="1" applyFill="1" applyBorder="1" applyAlignment="1">
      <x:alignment vertical="center"/>
    </x:xf>
    <x:xf numFmtId="0" fontId="6" fillId="9" borderId="14" xfId="0" applyNumberFormat="1" applyFont="1" applyFill="1" applyBorder="1" applyAlignment="1">
      <x:alignment vertical="center"/>
    </x:xf>
    <x:xf numFmtId="0" fontId="6" fillId="9" borderId="15" xfId="0" applyNumberFormat="1" applyFont="1" applyFill="1" applyBorder="1" applyAlignment="1">
      <x:alignment vertical="center"/>
    </x:xf>
    <x:xf numFmtId="0" fontId="6" fillId="9" borderId="10" xfId="0" applyNumberFormat="1" applyFont="1" applyFill="1" applyBorder="1" applyAlignment="1">
      <x:alignment vertical="center" wrapText="1"/>
    </x:xf>
    <x:xf numFmtId="0" fontId="6" fillId="9" borderId="11" xfId="0" applyNumberFormat="1" applyFont="1" applyFill="1" applyBorder="1" applyAlignment="1">
      <x:alignment vertical="center" wrapText="1"/>
    </x:xf>
    <x:xf numFmtId="0" fontId="6" fillId="9" borderId="12" xfId="0" applyNumberFormat="1" applyFont="1" applyFill="1" applyBorder="1" applyAlignment="1">
      <x:alignment vertical="center" wrapText="1"/>
    </x:xf>
    <x:xf numFmtId="0" fontId="6" fillId="9" borderId="13" xfId="0" applyNumberFormat="1" applyFont="1" applyFill="1" applyBorder="1" applyAlignment="1">
      <x:alignment vertical="center" wrapText="1"/>
    </x:xf>
    <x:xf numFmtId="0" fontId="6" fillId="9" borderId="14" xfId="0" applyNumberFormat="1" applyFont="1" applyFill="1" applyBorder="1" applyAlignment="1">
      <x:alignment vertical="center" wrapText="1"/>
    </x:xf>
    <x:xf numFmtId="0" fontId="6" fillId="9" borderId="15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6" borderId="7" xfId="0" applyNumberFormat="1" applyFont="1" applyFill="1" applyBorder="1" applyAlignment="1">
      <x:alignment horizontal="left" vertical="center"/>
    </x:xf>
    <x:xf numFmtId="0" fontId="2" fillId="6" borderId="16" xfId="0" applyNumberFormat="1" applyFont="1" applyFill="1" applyBorder="1" applyAlignment="1">
      <x:alignment horizontal="left" vertical="center"/>
    </x:xf>
    <x:xf numFmtId="0" fontId="3" fillId="7" borderId="4" xfId="0" applyNumberFormat="1" applyFont="1" applyFill="1" applyBorder="1" applyAlignment="1">
      <x:alignment vertical="center"/>
    </x:xf>
    <x:xf numFmtId="0" fontId="3" fillId="7" borderId="5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202" fontId="7" fillId="8" borderId="0" xfId="0" applyNumberFormat="1" applyFont="1" applyFill="1" applyBorder="1" applyAlignment="1">
      <x:alignment vertical="center"/>
    </x:xf>
    <x:xf numFmtId="202" fontId="7" fillId="8" borderId="0" xfId="0" applyNumberFormat="1" applyFont="1" applyFill="1" applyBorder="1" applyAlignment="1">
      <x:alignment horizontal="right" vertical="center"/>
    </x:xf>
    <x:xf numFmtId="202" fontId="3" fillId="5" borderId="0" xfId="0" applyNumberFormat="1" applyFont="1" applyFill="1" applyBorder="1" applyAlignment="1">
      <x:alignment vertical="center"/>
    </x:xf>
    <x:xf numFmtId="202" fontId="3" fillId="5" borderId="0" xfId="0" applyNumberFormat="1" applyFont="1" applyFill="1" applyBorder="1" applyAlignment="1">
      <x:alignment horizontal="right"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/>
    </x:xf>
    <x:xf numFmtId="0" fontId="3" fillId="6" borderId="4" xfId="0" applyNumberFormat="1" applyFont="1" applyFill="1" applyBorder="1" applyAlignment="1">
      <x:alignment vertical="center"/>
    </x:xf>
    <x:xf numFmtId="0" fontId="3" fillId="6" borderId="5" xfId="0" applyNumberFormat="1" applyFont="1" applyFill="1" applyBorder="1" applyAlignment="1">
      <x:alignment vertical="center"/>
    </x:xf>
    <x:xf numFmtId="0" fontId="2" fillId="6" borderId="4" xfId="0" applyNumberFormat="1" applyFont="1" applyFill="1" applyBorder="1" applyAlignment="1">
      <x:alignment vertical="center"/>
    </x:xf>
    <x:xf numFmtId="0" fontId="2" fillId="6" borderId="5" xfId="0" applyNumberFormat="1" applyFont="1" applyFill="1" applyBorder="1" applyAlignment="1">
      <x:alignment vertical="center"/>
    </x:xf>
    <x:xf numFmtId="0" fontId="2" fillId="6" borderId="16" xfId="0" applyNumberFormat="1" applyFont="1" applyFill="1" applyBorder="1" applyAlignment="1">
      <x:alignment vertical="center"/>
    </x:xf>
    <x:xf numFmtId="0" fontId="2" fillId="6" borderId="17" xfId="0" applyNumberFormat="1" applyFont="1" applyFill="1" applyBorder="1" applyAlignment="1">
      <x:alignment vertical="center"/>
    </x:xf>
    <x:xf numFmtId="202" fontId="8" fillId="8" borderId="0" xfId="0" applyNumberFormat="1" applyFont="1" applyFill="1" applyBorder="1" applyAlignment="1">
      <x:alignment horizontal="right" vertical="center"/>
    </x:xf>
    <x:xf numFmtId="0" fontId="2" fillId="6" borderId="16" xfId="0" applyNumberFormat="1" applyFont="1" applyFill="1" applyBorder="1" applyAlignment="1">
      <x:alignment horizontal="right" vertical="center"/>
    </x:xf>
    <x:xf numFmtId="200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horizontal="right" vertical="center"/>
    </x:xf>
    <x:xf numFmtId="202" fontId="1" fillId="8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horizontal="right" vertical="center"/>
    </x:xf>
    <x:xf numFmtId="0" fontId="9" fillId="8" borderId="0" xfId="0" applyNumberFormat="1" applyFont="1" applyFill="1" applyBorder="1" applyAlignment="1">
      <x:alignment vertical="center"/>
    </x:xf>
    <x:xf numFmtId="202" fontId="9" fillId="8" borderId="0" xfId="0" applyNumberFormat="1" applyFont="1" applyFill="1" applyBorder="1" applyAlignment="1">
      <x:alignment vertical="center"/>
    </x:xf>
    <x:xf numFmtId="202" fontId="9" fillId="8" borderId="0" xfId="0" applyNumberFormat="1" applyFont="1" applyFill="1" applyBorder="1" applyAlignment="1">
      <x:alignment horizontal="right" vertical="center"/>
    </x:xf>
    <x:xf numFmtId="203" fontId="7" fillId="8" borderId="0" xfId="0" applyNumberFormat="1" applyFont="1" applyFill="1" applyBorder="1" applyAlignment="1">
      <x:alignment vertical="center"/>
    </x:xf>
    <x:xf numFmtId="203" fontId="7" fillId="8" borderId="0" xfId="0" applyNumberFormat="1" applyFont="1" applyFill="1" applyBorder="1" applyAlignment="1">
      <x:alignment horizontal="right" vertical="center"/>
    </x:xf>
    <x:xf numFmtId="0" fontId="2" fillId="3" borderId="18" xfId="0" applyNumberFormat="1" applyFont="1" applyFill="1" applyBorder="1" applyAlignment="1">
      <x:alignment vertical="center"/>
    </x:xf>
    <x:xf numFmtId="0" fontId="2" fillId="3" borderId="19" xfId="0" applyNumberFormat="1" applyFont="1" applyFill="1" applyBorder="1" applyAlignment="1">
      <x:alignment vertical="center"/>
    </x:xf>
    <x:xf numFmtId="0" fontId="2" fillId="3" borderId="18" xfId="0" applyNumberFormat="1" applyFont="1" applyFill="1" applyBorder="1" applyAlignment="1">
      <x:alignment horizontal="center" vertical="center"/>
    </x:xf>
    <x:xf numFmtId="0" fontId="2" fillId="3" borderId="19" xfId="0" applyNumberFormat="1" applyFont="1" applyFill="1" applyBorder="1" applyAlignment="1">
      <x:alignment horizontal="center" vertical="center"/>
    </x:xf>
    <x:xf numFmtId="0" fontId="10" fillId="8" borderId="0" xfId="0" applyNumberFormat="1" applyFont="1" applyFill="1" applyBorder="1" applyAlignment="1">
      <x:alignment vertical="center"/>
    </x:xf>
    <x:xf numFmtId="0" fontId="10" fillId="8" borderId="1" xfId="0" applyNumberFormat="1" applyFont="1" applyFill="1" applyBorder="1" applyAlignment="1">
      <x:alignment vertical="center"/>
    </x:xf>
    <x:xf numFmtId="0" fontId="10" fillId="8" borderId="3" xfId="0" applyNumberFormat="1" applyFont="1" applyFill="1" applyBorder="1" applyAlignment="1">
      <x:alignment vertical="center"/>
    </x:xf>
    <x:xf numFmtId="0" fontId="10" fillId="8" borderId="20" xfId="0" applyNumberFormat="1" applyFont="1" applyFill="1" applyBorder="1" applyAlignment="1">
      <x:alignment vertical="center"/>
    </x:xf>
    <x:xf numFmtId="0" fontId="10" fillId="8" borderId="21" xfId="0" applyNumberFormat="1" applyFont="1" applyFill="1" applyBorder="1" applyAlignment="1">
      <x:alignment vertical="center"/>
    </x:xf>
    <x:xf numFmtId="0" fontId="10" fillId="8" borderId="4" xfId="0" applyNumberFormat="1" applyFont="1" applyFill="1" applyBorder="1" applyAlignment="1">
      <x:alignment vertical="center"/>
    </x:xf>
    <x:xf numFmtId="0" fontId="10" fillId="8" borderId="6" xfId="0" applyNumberFormat="1" applyFont="1" applyFill="1" applyBorder="1" applyAlignment="1">
      <x:alignment vertical="center"/>
    </x:xf>
    <x:xf numFmtId="202" fontId="10" fillId="8" borderId="1" xfId="0" applyNumberFormat="1" applyFont="1" applyFill="1" applyBorder="1" applyAlignment="1">
      <x:alignment vertical="center"/>
    </x:xf>
    <x:xf numFmtId="202" fontId="10" fillId="8" borderId="3" xfId="0" applyNumberFormat="1" applyFont="1" applyFill="1" applyBorder="1" applyAlignment="1">
      <x:alignment vertical="center"/>
    </x:xf>
    <x:xf numFmtId="202" fontId="10" fillId="8" borderId="20" xfId="0" applyNumberFormat="1" applyFont="1" applyFill="1" applyBorder="1" applyAlignment="1">
      <x:alignment vertical="center"/>
    </x:xf>
    <x:xf numFmtId="202" fontId="10" fillId="8" borderId="21" xfId="0" applyNumberFormat="1" applyFont="1" applyFill="1" applyBorder="1" applyAlignment="1">
      <x:alignment vertical="center"/>
    </x:xf>
    <x:xf numFmtId="202" fontId="10" fillId="8" borderId="4" xfId="0" applyNumberFormat="1" applyFont="1" applyFill="1" applyBorder="1" applyAlignment="1">
      <x:alignment vertical="center"/>
    </x:xf>
    <x:xf numFmtId="202" fontId="10" fillId="8" borderId="6" xfId="0" applyNumberFormat="1" applyFont="1" applyFill="1" applyBorder="1" applyAlignment="1">
      <x:alignment vertical="center"/>
    </x:xf>
    <x:xf numFmtId="202" fontId="10" fillId="8" borderId="1" xfId="0" applyNumberFormat="1" applyFont="1" applyFill="1" applyBorder="1" applyAlignment="1">
      <x:alignment horizontal="center" vertical="center"/>
    </x:xf>
    <x:xf numFmtId="202" fontId="10" fillId="8" borderId="3" xfId="0" applyNumberFormat="1" applyFont="1" applyFill="1" applyBorder="1" applyAlignment="1">
      <x:alignment horizontal="center" vertical="center"/>
    </x:xf>
    <x:xf numFmtId="202" fontId="10" fillId="8" borderId="20" xfId="0" applyNumberFormat="1" applyFont="1" applyFill="1" applyBorder="1" applyAlignment="1">
      <x:alignment horizontal="center" vertical="center"/>
    </x:xf>
    <x:xf numFmtId="202" fontId="10" fillId="8" borderId="21" xfId="0" applyNumberFormat="1" applyFont="1" applyFill="1" applyBorder="1" applyAlignment="1">
      <x:alignment horizontal="center" vertical="center"/>
    </x:xf>
    <x:xf numFmtId="202" fontId="10" fillId="8" borderId="4" xfId="0" applyNumberFormat="1" applyFont="1" applyFill="1" applyBorder="1" applyAlignment="1">
      <x:alignment horizontal="center" vertical="center"/>
    </x:xf>
    <x:xf numFmtId="202" fontId="10" fillId="8" borderId="6" xfId="0" applyNumberFormat="1" applyFont="1" applyFill="1" applyBorder="1" applyAlignment="1">
      <x:alignment horizontal="center" vertical="center"/>
    </x:xf>
    <x:xf numFmtId="0" fontId="10" fillId="5" borderId="0" xfId="0" applyNumberFormat="1" applyFont="1" applyFill="1" applyBorder="1" applyAlignment="1">
      <x:alignment vertical="center"/>
    </x:xf>
    <x:xf numFmtId="0" fontId="10" fillId="5" borderId="22" xfId="0" applyNumberFormat="1" applyFont="1" applyFill="1" applyBorder="1" applyAlignment="1">
      <x:alignment vertical="center"/>
    </x:xf>
    <x:xf numFmtId="0" fontId="10" fillId="5" borderId="23" xfId="0" applyNumberFormat="1" applyFont="1" applyFill="1" applyBorder="1" applyAlignment="1">
      <x:alignment vertical="center"/>
    </x:xf>
    <x:xf numFmtId="0" fontId="10" fillId="5" borderId="24" xfId="0" applyNumberFormat="1" applyFont="1" applyFill="1" applyBorder="1" applyAlignment="1">
      <x:alignment vertical="center"/>
    </x:xf>
    <x:xf numFmtId="0" fontId="10" fillId="5" borderId="25" xfId="0" applyNumberFormat="1" applyFont="1" applyFill="1" applyBorder="1" applyAlignment="1">
      <x:alignment vertical="center"/>
    </x:xf>
    <x:xf numFmtId="0" fontId="10" fillId="5" borderId="16" xfId="0" applyNumberFormat="1" applyFont="1" applyFill="1" applyBorder="1" applyAlignment="1">
      <x:alignment vertical="center"/>
    </x:xf>
    <x:xf numFmtId="0" fontId="10" fillId="5" borderId="26" xfId="0" applyNumberFormat="1" applyFont="1" applyFill="1" applyBorder="1" applyAlignment="1">
      <x:alignment vertical="center"/>
    </x:xf>
    <x:xf numFmtId="0" fontId="10" fillId="5" borderId="22" xfId="0" applyNumberFormat="1" applyFont="1" applyFill="1" applyBorder="1" applyAlignment="1">
      <x:alignment vertical="center" wrapText="1"/>
    </x:xf>
    <x:xf numFmtId="0" fontId="10" fillId="5" borderId="23" xfId="0" applyNumberFormat="1" applyFont="1" applyFill="1" applyBorder="1" applyAlignment="1">
      <x:alignment vertical="center" wrapText="1"/>
    </x:xf>
    <x:xf numFmtId="0" fontId="10" fillId="5" borderId="24" xfId="0" applyNumberFormat="1" applyFont="1" applyFill="1" applyBorder="1" applyAlignment="1">
      <x:alignment vertical="center" wrapText="1"/>
    </x:xf>
    <x:xf numFmtId="0" fontId="10" fillId="5" borderId="25" xfId="0" applyNumberFormat="1" applyFont="1" applyFill="1" applyBorder="1" applyAlignment="1">
      <x:alignment vertical="center" wrapText="1"/>
    </x:xf>
    <x:xf numFmtId="0" fontId="10" fillId="5" borderId="16" xfId="0" applyNumberFormat="1" applyFont="1" applyFill="1" applyBorder="1" applyAlignment="1">
      <x:alignment vertical="center" wrapText="1"/>
    </x:xf>
    <x:xf numFmtId="0" fontId="10" fillId="5" borderId="26" xfId="0" applyNumberFormat="1" applyFont="1" applyFill="1" applyBorder="1" applyAlignment="1">
      <x:alignment vertical="center" wrapText="1"/>
    </x:xf>
    <x:xf numFmtId="0" fontId="10" fillId="5" borderId="22" xfId="0" applyNumberFormat="1" applyFont="1" applyFill="1" applyBorder="1" applyAlignment="1">
      <x:alignment horizontal="center" vertical="center" wrapText="1"/>
    </x:xf>
    <x:xf numFmtId="0" fontId="10" fillId="5" borderId="23" xfId="0" applyNumberFormat="1" applyFont="1" applyFill="1" applyBorder="1" applyAlignment="1">
      <x:alignment horizontal="center" vertical="center" wrapText="1"/>
    </x:xf>
    <x:xf numFmtId="0" fontId="10" fillId="5" borderId="24" xfId="0" applyNumberFormat="1" applyFont="1" applyFill="1" applyBorder="1" applyAlignment="1">
      <x:alignment horizontal="center" vertical="center" wrapText="1"/>
    </x:xf>
    <x:xf numFmtId="0" fontId="10" fillId="5" borderId="25" xfId="0" applyNumberFormat="1" applyFont="1" applyFill="1" applyBorder="1" applyAlignment="1">
      <x:alignment horizontal="center" vertical="center" wrapText="1"/>
    </x:xf>
    <x:xf numFmtId="0" fontId="10" fillId="5" borderId="16" xfId="0" applyNumberFormat="1" applyFont="1" applyFill="1" applyBorder="1" applyAlignment="1">
      <x:alignment horizontal="center" vertical="center" wrapText="1"/>
    </x:xf>
    <x:xf numFmtId="0" fontId="10" fillId="5" borderId="26" xfId="0" applyNumberFormat="1" applyFont="1" applyFill="1" applyBorder="1" applyAlignment="1">
      <x:alignment horizontal="center" vertical="center" wrapText="1"/>
    </x:xf>
    <x:xf numFmtId="0" fontId="11" fillId="7" borderId="0" xfId="0" applyNumberFormat="1" applyFont="1" applyFill="1" applyBorder="1" applyAlignment="1">
      <x:alignment vertical="center"/>
    </x:xf>
    <x:xf numFmtId="0" fontId="11" fillId="7" borderId="0" xfId="0" applyNumberFormat="1" applyFont="1" applyFill="1" applyBorder="1" applyAlignment="1">
      <x:alignment horizontal="center" vertical="center"/>
    </x:xf>
    <x:xf numFmtId="0" fontId="12" fillId="8" borderId="0" xfId="0" applyNumberFormat="1" applyFont="1" applyFill="1" applyBorder="1" applyAlignment="1">
      <x:alignment vertical="center"/>
    </x:xf>
    <x:xf numFmtId="0" fontId="12" fillId="8" borderId="27" xfId="0" applyNumberFormat="1" applyFont="1" applyFill="1" applyBorder="1" applyAlignment="1">
      <x:alignment vertical="center"/>
    </x:xf>
    <x:xf numFmtId="0" fontId="12" fillId="8" borderId="28" xfId="0" applyNumberFormat="1" applyFont="1" applyFill="1" applyBorder="1" applyAlignment="1">
      <x:alignment vertical="center"/>
    </x:xf>
    <x:xf numFmtId="0" fontId="12" fillId="8" borderId="27" xfId="0" applyNumberFormat="1" applyFont="1" applyFill="1" applyBorder="1" applyAlignment="1">
      <x:alignment horizontal="center" vertical="center"/>
    </x:xf>
    <x:xf numFmtId="0" fontId="12" fillId="8" borderId="28" xfId="0" applyNumberFormat="1" applyFont="1" applyFill="1" applyBorder="1" applyAlignment="1">
      <x:alignment horizontal="center" vertical="center"/>
    </x:xf>
    <x:xf numFmtId="0" fontId="13" fillId="9" borderId="0" xfId="0" applyNumberFormat="1" applyFont="1" applyFill="1" applyBorder="1" applyAlignment="1">
      <x:alignment vertical="center"/>
    </x:xf>
    <x:xf numFmtId="0" fontId="13" fillId="9" borderId="27" xfId="0" applyNumberFormat="1" applyFont="1" applyFill="1" applyBorder="1" applyAlignment="1">
      <x:alignment vertical="center"/>
    </x:xf>
    <x:xf numFmtId="0" fontId="13" fillId="9" borderId="28" xfId="0" applyNumberFormat="1" applyFont="1" applyFill="1" applyBorder="1" applyAlignment="1">
      <x:alignment vertical="center"/>
    </x:xf>
    <x:xf numFmtId="0" fontId="13" fillId="9" borderId="27" xfId="0" applyNumberFormat="1" applyFont="1" applyFill="1" applyBorder="1" applyAlignment="1">
      <x:alignment vertical="center" wrapText="1"/>
    </x:xf>
    <x:xf numFmtId="0" fontId="13" fillId="9" borderId="28" xfId="0" applyNumberFormat="1" applyFont="1" applyFill="1" applyBorder="1" applyAlignment="1">
      <x:alignment vertical="center" wrapText="1"/>
    </x:xf>
    <x:xf numFmtId="0" fontId="13" fillId="9" borderId="27" xfId="0" applyNumberFormat="1" applyFont="1" applyFill="1" applyBorder="1" applyAlignment="1">
      <x:alignment horizontal="center" vertical="center" wrapText="1"/>
    </x:xf>
    <x:xf numFmtId="0" fontId="13" fillId="9" borderId="28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vertical="center"/>
    </x:xf>
    <x:xf numFmtId="0" fontId="3" fillId="8" borderId="2" xfId="0" applyNumberFormat="1" applyFont="1" applyFill="1" applyBorder="1" applyAlignment="1">
      <x:alignment vertical="center"/>
    </x:xf>
    <x:xf numFmtId="0" fontId="3" fillId="8" borderId="3" xfId="0" applyNumberFormat="1" applyFont="1" applyFill="1" applyBorder="1" applyAlignment="1">
      <x:alignment vertical="center"/>
    </x:xf>
    <x:xf numFmtId="0" fontId="3" fillId="8" borderId="4" xfId="0" applyNumberFormat="1" applyFont="1" applyFill="1" applyBorder="1" applyAlignment="1">
      <x:alignment vertical="center"/>
    </x:xf>
    <x:xf numFmtId="0" fontId="3" fillId="8" borderId="5" xfId="0" applyNumberFormat="1" applyFont="1" applyFill="1" applyBorder="1" applyAlignment="1">
      <x:alignment vertical="center"/>
    </x:xf>
    <x:xf numFmtId="0" fontId="3" fillId="8" borderId="6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vertical="center" wrapText="1"/>
    </x:xf>
    <x:xf numFmtId="0" fontId="3" fillId="8" borderId="2" xfId="0" applyNumberFormat="1" applyFont="1" applyFill="1" applyBorder="1" applyAlignment="1">
      <x:alignment vertical="center" wrapText="1"/>
    </x:xf>
    <x:xf numFmtId="0" fontId="3" fillId="8" borderId="3" xfId="0" applyNumberFormat="1" applyFont="1" applyFill="1" applyBorder="1" applyAlignment="1">
      <x:alignment vertical="center" wrapText="1"/>
    </x:xf>
    <x:xf numFmtId="0" fontId="3" fillId="8" borderId="4" xfId="0" applyNumberFormat="1" applyFont="1" applyFill="1" applyBorder="1" applyAlignment="1">
      <x:alignment vertical="center" wrapText="1"/>
    </x:xf>
    <x:xf numFmtId="0" fontId="3" fillId="8" borderId="5" xfId="0" applyNumberFormat="1" applyFont="1" applyFill="1" applyBorder="1" applyAlignment="1">
      <x:alignment vertical="center" wrapText="1"/>
    </x:xf>
    <x:xf numFmtId="0" fontId="3" fillId="8" borderId="6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/>
    </x:xf>
    <x:xf numFmtId="0" fontId="1" fillId="8" borderId="2" xfId="0" applyNumberFormat="1" applyFont="1" applyFill="1" applyBorder="1" applyAlignment="1">
      <x:alignment vertical="center"/>
    </x:xf>
    <x:xf numFmtId="0" fontId="1" fillId="8" borderId="3" xfId="0" applyNumberFormat="1" applyFont="1" applyFill="1" applyBorder="1" applyAlignment="1">
      <x:alignment vertical="center"/>
    </x:xf>
    <x:xf numFmtId="0" fontId="1" fillId="8" borderId="20" xfId="0" applyNumberFormat="1" applyFont="1" applyFill="1" applyBorder="1" applyAlignment="1">
      <x:alignment vertical="center"/>
    </x:xf>
    <x:xf numFmtId="0" fontId="1" fillId="8" borderId="21" xfId="0" applyNumberFormat="1" applyFont="1" applyFill="1" applyBorder="1" applyAlignment="1">
      <x:alignment vertical="center"/>
    </x:xf>
    <x:xf numFmtId="0" fontId="1" fillId="8" borderId="4" xfId="0" applyNumberFormat="1" applyFont="1" applyFill="1" applyBorder="1" applyAlignment="1">
      <x:alignment vertical="center"/>
    </x:xf>
    <x:xf numFmtId="0" fontId="1" fillId="8" borderId="5" xfId="0" applyNumberFormat="1" applyFont="1" applyFill="1" applyBorder="1" applyAlignment="1">
      <x:alignment vertical="center"/>
    </x:xf>
    <x:xf numFmtId="0" fontId="1" fillId="8" borderId="6" xfId="0" applyNumberFormat="1" applyFont="1" applyFill="1" applyBorder="1" applyAlignment="1">
      <x:alignment vertical="center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2" xfId="0" applyNumberFormat="1" applyFont="1" applyFill="1" applyBorder="1" applyAlignment="1">
      <x:alignment vertical="center" wrapText="1"/>
    </x:xf>
    <x:xf numFmtId="0" fontId="1" fillId="8" borderId="3" xfId="0" applyNumberFormat="1" applyFont="1" applyFill="1" applyBorder="1" applyAlignment="1">
      <x:alignment vertical="center" wrapText="1"/>
    </x:xf>
    <x:xf numFmtId="0" fontId="1" fillId="8" borderId="2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21" xfId="0" applyNumberFormat="1" applyFont="1" applyFill="1" applyBorder="1" applyAlignment="1">
      <x:alignment vertical="center" wrapText="1"/>
    </x:xf>
    <x:xf numFmtId="0" fontId="1" fillId="8" borderId="4" xfId="0" applyNumberFormat="1" applyFont="1" applyFill="1" applyBorder="1" applyAlignment="1">
      <x:alignment vertical="center" wrapText="1"/>
    </x:xf>
    <x:xf numFmtId="0" fontId="1" fillId="8" borderId="5" xfId="0" applyNumberFormat="1" applyFont="1" applyFill="1" applyBorder="1" applyAlignment="1">
      <x:alignment vertical="center" wrapText="1"/>
    </x:xf>
    <x:xf numFmtId="0" fontId="1" fillId="8" borderId="6" xfId="0" applyNumberFormat="1" applyFont="1" applyFill="1" applyBorder="1" applyAlignment="1">
      <x:alignment vertical="center" wrapText="1"/>
    </x:xf>
    <x:xf numFmtId="0" fontId="3" fillId="5" borderId="27" xfId="0" applyNumberFormat="1" applyFont="1" applyFill="1" applyBorder="1" applyAlignment="1">
      <x:alignment vertical="center"/>
    </x:xf>
    <x:xf numFmtId="0" fontId="3" fillId="5" borderId="29" xfId="0" applyNumberFormat="1" applyFont="1" applyFill="1" applyBorder="1" applyAlignment="1">
      <x:alignment vertical="center"/>
    </x:xf>
    <x:xf numFmtId="0" fontId="3" fillId="5" borderId="28" xfId="0" applyNumberFormat="1" applyFont="1" applyFill="1" applyBorder="1" applyAlignment="1">
      <x:alignment vertical="center"/>
    </x:xf>
    <x:xf numFmtId="0" fontId="3" fillId="5" borderId="27" xfId="0" applyNumberFormat="1" applyFont="1" applyFill="1" applyBorder="1" applyAlignment="1">
      <x:alignment horizontal="center" vertical="center"/>
    </x:xf>
    <x:xf numFmtId="0" fontId="3" fillId="5" borderId="29" xfId="0" applyNumberFormat="1" applyFont="1" applyFill="1" applyBorder="1" applyAlignment="1">
      <x:alignment horizontal="center" vertical="center"/>
    </x:xf>
    <x:xf numFmtId="0" fontId="3" fillId="5" borderId="28" xfId="0" applyNumberFormat="1" applyFont="1" applyFill="1" applyBorder="1" applyAlignment="1">
      <x:alignment horizontal="center" vertical="center"/>
    </x:xf>
    <x:xf numFmtId="0" fontId="14" fillId="2" borderId="0" xfId="0" applyNumberFormat="1" applyFont="1" applyFill="1" applyBorder="1" applyAlignment="1">
      <x:alignment vertical="center"/>
    </x:xf>
    <x:xf numFmtId="0" fontId="12" fillId="8" borderId="29" xfId="0" applyNumberFormat="1" applyFont="1" applyFill="1" applyBorder="1" applyAlignment="1">
      <x:alignment vertical="center"/>
    </x:xf>
    <x:xf numFmtId="0" fontId="12" fillId="8" borderId="29" xfId="0" applyNumberFormat="1" applyFont="1" applyFill="1" applyBorder="1" applyAlignment="1">
      <x:alignment horizontal="center" vertical="center"/>
    </x:xf>
    <x:xf numFmtId="200" fontId="1" fillId="2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vertical="center" wrapText="1"/>
    </x:xf>
    <x:xf numFmtId="0" fontId="6" fillId="9" borderId="27" xfId="0" applyNumberFormat="1" applyFont="1" applyFill="1" applyBorder="1" applyAlignment="1">
      <x:alignment vertical="center"/>
    </x:xf>
    <x:xf numFmtId="0" fontId="6" fillId="9" borderId="29" xfId="0" applyNumberFormat="1" applyFont="1" applyFill="1" applyBorder="1" applyAlignment="1">
      <x:alignment vertical="center"/>
    </x:xf>
    <x:xf numFmtId="0" fontId="6" fillId="9" borderId="28" xfId="0" applyNumberFormat="1" applyFont="1" applyFill="1" applyBorder="1" applyAlignment="1">
      <x:alignment vertical="center"/>
    </x:xf>
    <x:xf numFmtId="0" fontId="6" fillId="9" borderId="27" xfId="0" applyNumberFormat="1" applyFont="1" applyFill="1" applyBorder="1" applyAlignment="1">
      <x:alignment horizontal="center" vertical="center"/>
    </x:xf>
    <x:xf numFmtId="0" fontId="6" fillId="9" borderId="29" xfId="0" applyNumberFormat="1" applyFont="1" applyFill="1" applyBorder="1" applyAlignment="1">
      <x:alignment horizontal="center" vertical="center"/>
    </x:xf>
    <x:xf numFmtId="0" fontId="6" fillId="9" borderId="28" xfId="0" applyNumberFormat="1" applyFont="1" applyFill="1" applyBorder="1" applyAlignment="1">
      <x:alignment horizontal="center" vertical="center"/>
    </x:xf>
    <x:xf numFmtId="0" fontId="3" fillId="5" borderId="20" xfId="0" applyNumberFormat="1" applyFont="1" applyFill="1" applyBorder="1" applyAlignment="1">
      <x:alignment vertical="center"/>
    </x:xf>
    <x:xf numFmtId="0" fontId="3" fillId="5" borderId="21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horizontal="left" vertical="center"/>
    </x:xf>
    <x:xf numFmtId="0" fontId="3" fillId="5" borderId="2" xfId="0" applyNumberFormat="1" applyFont="1" applyFill="1" applyBorder="1" applyAlignment="1">
      <x:alignment horizontal="left" vertical="center"/>
    </x:xf>
    <x:xf numFmtId="0" fontId="3" fillId="5" borderId="3" xfId="0" applyNumberFormat="1" applyFont="1" applyFill="1" applyBorder="1" applyAlignment="1">
      <x:alignment horizontal="left" vertical="center"/>
    </x:xf>
    <x:xf numFmtId="0" fontId="3" fillId="5" borderId="20" xfId="0" applyNumberFormat="1" applyFont="1" applyFill="1" applyBorder="1" applyAlignment="1">
      <x:alignment horizontal="left" vertical="center"/>
    </x:xf>
    <x:xf numFmtId="0" fontId="3" fillId="5" borderId="0" xfId="0" applyNumberFormat="1" applyFont="1" applyFill="1" applyBorder="1" applyAlignment="1">
      <x:alignment horizontal="left" vertical="center"/>
    </x:xf>
    <x:xf numFmtId="0" fontId="3" fillId="5" borderId="21" xfId="0" applyNumberFormat="1" applyFont="1" applyFill="1" applyBorder="1" applyAlignment="1">
      <x:alignment horizontal="left" vertical="center"/>
    </x:xf>
    <x:xf numFmtId="0" fontId="3" fillId="5" borderId="4" xfId="0" applyNumberFormat="1" applyFont="1" applyFill="1" applyBorder="1" applyAlignment="1">
      <x:alignment horizontal="left" vertical="center"/>
    </x:xf>
    <x:xf numFmtId="0" fontId="3" fillId="5" borderId="5" xfId="0" applyNumberFormat="1" applyFont="1" applyFill="1" applyBorder="1" applyAlignment="1">
      <x:alignment horizontal="left" vertical="center"/>
    </x:xf>
    <x:xf numFmtId="0" fontId="3" fillId="5" borderId="6" xfId="0" applyNumberFormat="1" applyFont="1" applyFill="1" applyBorder="1" applyAlignment="1">
      <x:alignment horizontal="left" vertical="center"/>
    </x:xf>
    <x:xf numFmtId="0" fontId="12" fillId="8" borderId="1" xfId="0" applyNumberFormat="1" applyFont="1" applyFill="1" applyBorder="1" applyAlignment="1">
      <x:alignment vertical="center"/>
    </x:xf>
    <x:xf numFmtId="0" fontId="12" fillId="8" borderId="3" xfId="0" applyNumberFormat="1" applyFont="1" applyFill="1" applyBorder="1" applyAlignment="1">
      <x:alignment vertical="center"/>
    </x:xf>
    <x:xf numFmtId="0" fontId="12" fillId="8" borderId="4" xfId="0" applyNumberFormat="1" applyFont="1" applyFill="1" applyBorder="1" applyAlignment="1">
      <x:alignment vertical="center"/>
    </x:xf>
    <x:xf numFmtId="0" fontId="12" fillId="8" borderId="6" xfId="0" applyNumberFormat="1" applyFont="1" applyFill="1" applyBorder="1" applyAlignment="1">
      <x:alignment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8" borderId="3" xfId="0" applyNumberFormat="1" applyFont="1" applyFill="1" applyBorder="1" applyAlignment="1">
      <x:alignment horizontal="center" vertical="center"/>
    </x:xf>
    <x:xf numFmtId="0" fontId="12" fillId="8" borderId="4" xfId="0" applyNumberFormat="1" applyFont="1" applyFill="1" applyBorder="1" applyAlignment="1">
      <x:alignment horizontal="center" vertical="center"/>
    </x:xf>
    <x:xf numFmtId="0" fontId="12" fillId="8" borderId="6" xfId="0" applyNumberFormat="1" applyFont="1" applyFill="1" applyBorder="1" applyAlignment="1">
      <x:alignment horizontal="center" vertical="center"/>
    </x:xf>
    <x:xf numFmtId="0" fontId="10" fillId="5" borderId="27" xfId="0" applyNumberFormat="1" applyFont="1" applyFill="1" applyBorder="1" applyAlignment="1">
      <x:alignment vertical="center"/>
    </x:xf>
    <x:xf numFmtId="0" fontId="10" fillId="5" borderId="28" xfId="0" applyNumberFormat="1" applyFont="1" applyFill="1" applyBorder="1" applyAlignment="1">
      <x:alignment vertical="center"/>
    </x:xf>
    <x:xf numFmtId="0" fontId="10" fillId="5" borderId="27" xfId="0" applyNumberFormat="1" applyFont="1" applyFill="1" applyBorder="1" applyAlignment="1">
      <x:alignment horizontal="center" vertical="center"/>
    </x:xf>
    <x:xf numFmtId="0" fontId="10" fillId="5" borderId="28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0" fontId="1" fillId="8" borderId="4" xfId="0" applyNumberFormat="1" applyFont="1" applyFill="1" applyBorder="1" applyAlignment="1">
      <x:alignment horizontal="center" vertical="center" wrapText="1"/>
    </x:xf>
    <x:xf numFmtId="0" fontId="1" fillId="8" borderId="6" xfId="0" applyNumberFormat="1" applyFont="1" applyFill="1" applyBorder="1" applyAlignment="1">
      <x:alignment horizontal="center" vertical="center" wrapText="1"/>
    </x:xf>
    <x:xf numFmtId="0" fontId="6" fillId="9" borderId="1" xfId="0" applyNumberFormat="1" applyFont="1" applyFill="1" applyBorder="1" applyAlignment="1">
      <x:alignment vertical="center"/>
    </x:xf>
    <x:xf numFmtId="0" fontId="6" fillId="9" borderId="2" xfId="0" applyNumberFormat="1" applyFont="1" applyFill="1" applyBorder="1" applyAlignment="1">
      <x:alignment vertical="center"/>
    </x:xf>
    <x:xf numFmtId="0" fontId="6" fillId="9" borderId="3" xfId="0" applyNumberFormat="1" applyFont="1" applyFill="1" applyBorder="1" applyAlignment="1">
      <x:alignment vertical="center"/>
    </x:xf>
    <x:xf numFmtId="0" fontId="6" fillId="9" borderId="4" xfId="0" applyNumberFormat="1" applyFont="1" applyFill="1" applyBorder="1" applyAlignment="1">
      <x:alignment vertical="center"/>
    </x:xf>
    <x:xf numFmtId="0" fontId="6" fillId="9" borderId="5" xfId="0" applyNumberFormat="1" applyFont="1" applyFill="1" applyBorder="1" applyAlignment="1">
      <x:alignment vertical="center"/>
    </x:xf>
    <x:xf numFmtId="0" fontId="6" fillId="9" borderId="6" xfId="0" applyNumberFormat="1" applyFont="1" applyFill="1" applyBorder="1" applyAlignment="1">
      <x:alignment vertical="center"/>
    </x:xf>
    <x:xf numFmtId="0" fontId="6" fillId="9" borderId="1" xfId="0" applyNumberFormat="1" applyFont="1" applyFill="1" applyBorder="1" applyAlignment="1">
      <x:alignment vertical="center" wrapText="1"/>
    </x:xf>
    <x:xf numFmtId="0" fontId="6" fillId="9" borderId="2" xfId="0" applyNumberFormat="1" applyFont="1" applyFill="1" applyBorder="1" applyAlignment="1">
      <x:alignment vertical="center" wrapText="1"/>
    </x:xf>
    <x:xf numFmtId="0" fontId="6" fillId="9" borderId="3" xfId="0" applyNumberFormat="1" applyFont="1" applyFill="1" applyBorder="1" applyAlignment="1">
      <x:alignment vertical="center" wrapText="1"/>
    </x:xf>
    <x:xf numFmtId="0" fontId="6" fillId="9" borderId="4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0" fontId="6" fillId="9" borderId="6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vertical="center"/>
    </x:xf>
    <x:xf numFmtId="0" fontId="11" fillId="8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6"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2394267c6048ff" /><Relationship Type="http://schemas.openxmlformats.org/officeDocument/2006/relationships/theme" Target="/xl/theme/theme1.xml" Id="R3d816880c458447e" /><Relationship Type="http://schemas.openxmlformats.org/officeDocument/2006/relationships/sharedStrings" Target="/xl/sharedStrings.xml" Id="R4323d5f82d884041" /><Relationship Type="http://schemas.openxmlformats.org/officeDocument/2006/relationships/worksheet" Target="/xl/worksheets/sheet1.xml" Id="Rd73646e3b3ac4799" /><Relationship Type="http://schemas.openxmlformats.org/officeDocument/2006/relationships/worksheet" Target="/xl/worksheets/sheet2.xml" Id="R049d44ced30849dd" /><Relationship Type="http://schemas.openxmlformats.org/officeDocument/2006/relationships/worksheet" Target="/xl/worksheets/sheet3.xml" Id="R042ec068ccd94a26" /><Relationship Type="http://schemas.openxmlformats.org/officeDocument/2006/relationships/worksheet" Target="/xl/worksheets/sheet4.xml" Id="R899af501d64d484e" /><Relationship Type="http://schemas.openxmlformats.org/officeDocument/2006/relationships/worksheet" Target="/xl/worksheets/sheet5.xml" Id="R2996ce4f692b410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6" t="str">
        <x:v>TDAT FINANCIAL MODEL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TDAT-FM-PER-001 · 12 months · v1.4.0 · Five visible tabs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201" t="str">
        <x:v>Personal Budget &amp; Net Worth</x:v>
      </x:c>
      <x:c r="B5" s="202"/>
      <x:c r="C5" s="202"/>
      <x:c r="D5" s="202"/>
      <x:c r="E5" s="202"/>
      <x:c r="F5" s="203"/>
      <x:c r="G5" s="57" t="str">
        <x:v>MODEL STATUS</x:v>
      </x:c>
      <x:c r="H5" s="57"/>
    </x:row>
    <x:row r="6" ht="20" customHeight="1">
      <x:c r="A6" s="204"/>
      <x:c r="B6" s="205"/>
      <x:c r="C6" s="205"/>
      <x:c r="D6" s="205"/>
      <x:c r="E6" s="205"/>
      <x:c r="F6" s="206"/>
      <x:c r="G6" s="214" t="str">
        <x:f>'Checks'!B4</x:f>
        <x:v>PASS</x:v>
      </x:c>
      <x:c r="H6" s="215"/>
    </x:row>
    <x:row r="7" ht="20" customHeight="1">
      <x:c r="A7" s="207"/>
      <x:c r="B7" s="208"/>
      <x:c r="C7" s="208"/>
      <x:c r="D7" s="208"/>
      <x:c r="E7" s="208"/>
      <x:c r="F7" s="209"/>
      <x:c r="G7" s="216"/>
      <x:c r="H7" s="217"/>
    </x:row>
    <x:row r="8" ht="20" customHeight="1">
      <x:c r="A8" s="3"/>
      <x:c r="B8" s="3"/>
      <x:c r="C8" s="3"/>
      <x:c r="D8" s="3"/>
      <x:c r="E8" s="3"/>
      <x:c r="F8" s="3"/>
      <x:c r="G8" s="3"/>
      <x:c r="H8" s="3"/>
    </x:row>
    <x:row r="9" ht="20" customHeight="1">
      <x:c r="A9" s="58" t="str">
        <x:v>WHAT THIS MODEL IS FOR</x:v>
      </x:c>
      <x:c r="B9" s="58"/>
      <x:c r="C9" s="58"/>
      <x:c r="D9" s="58"/>
      <x:c r="E9" s="58"/>
      <x:c r="F9" s="58"/>
      <x:c r="G9" s="58"/>
      <x:c r="H9" s="58"/>
    </x:row>
    <x:row r="10" ht="20" customHeight="1">
      <x:c r="A10" s="153" t="str">
        <x:v>After one year, am I spending within income and building net worth?</x:v>
      </x:c>
      <x:c r="B10" s="154"/>
      <x:c r="C10" s="154"/>
      <x:c r="D10" s="154"/>
      <x:c r="E10" s="154"/>
      <x:c r="F10" s="154"/>
      <x:c r="G10" s="154"/>
      <x:c r="H10" s="155"/>
    </x:row>
    <x:row r="11" ht="20" customHeight="1">
      <x:c r="A11" s="156"/>
      <x:c r="B11" s="157"/>
      <x:c r="C11" s="157"/>
      <x:c r="D11" s="157"/>
      <x:c r="E11" s="157"/>
      <x:c r="F11" s="157"/>
      <x:c r="G11" s="157"/>
      <x:c r="H11" s="158"/>
    </x:row>
    <x:row r="12" ht="20" customHeight="1">
      <x:c r="A12" s="3"/>
      <x:c r="B12" s="3"/>
      <x:c r="C12" s="3"/>
      <x:c r="D12" s="3"/>
      <x:c r="E12" s="3"/>
      <x:c r="F12" s="3"/>
      <x:c r="G12" s="3"/>
      <x:c r="H12" s="3"/>
    </x:row>
    <x:row r="13" ht="20" customHeight="1">
      <x:c r="A13" s="58" t="str">
        <x:v>USE IT IN FOUR STEPS</x:v>
      </x:c>
      <x:c r="B13" s="58"/>
      <x:c r="C13" s="58"/>
      <x:c r="D13" s="58"/>
      <x:c r="E13" s="58"/>
      <x:c r="F13" s="58"/>
      <x:c r="G13" s="58"/>
      <x:c r="H13" s="58"/>
    </x:row>
    <x:row r="14" ht="20" customHeight="1">
      <x:c r="A14" s="220" t="str">
        <x:v>1 · INPUTS</x:v>
      </x:c>
      <x:c r="B14" s="221"/>
      <x:c r="C14" s="220" t="str">
        <x:v>2 · MODEL</x:v>
      </x:c>
      <x:c r="D14" s="221"/>
      <x:c r="E14" s="220" t="str">
        <x:v>3 · RESULTS</x:v>
      </x:c>
      <x:c r="F14" s="221"/>
      <x:c r="G14" s="220" t="str">
        <x:v>4 · CHECKS</x:v>
      </x:c>
      <x:c r="H14" s="221"/>
    </x:row>
    <x:row r="15" ht="20" customHeight="1">
      <x:c r="A15" s="222" t="str">
        <x:v>Edit only blue cells</x:v>
      </x:c>
      <x:c r="B15" s="223"/>
      <x:c r="C15" s="222" t="str">
        <x:v>Trace schedules and formulas</x:v>
      </x:c>
      <x:c r="D15" s="223"/>
      <x:c r="E15" s="222" t="str">
        <x:v>Read the linked decision view</x:v>
      </x:c>
      <x:c r="F15" s="223"/>
      <x:c r="G15" s="222" t="str">
        <x:v>Resolve every FAIL</x:v>
      </x:c>
      <x:c r="H15" s="223"/>
    </x:row>
    <x:row r="16" ht="20" customHeight="1">
      <x:c r="A16" s="224"/>
      <x:c r="B16" s="225"/>
      <x:c r="C16" s="224"/>
      <x:c r="D16" s="225"/>
      <x:c r="E16" s="224"/>
      <x:c r="F16" s="225"/>
      <x:c r="G16" s="224"/>
      <x:c r="H16" s="225"/>
    </x:row>
    <x:row r="17" ht="20" customHeight="1">
      <x:c r="A17" s="3"/>
      <x:c r="B17" s="3"/>
      <x:c r="C17" s="3"/>
      <x:c r="D17" s="3"/>
      <x:c r="E17" s="3"/>
      <x:c r="F17" s="3"/>
      <x:c r="G17" s="3"/>
      <x:c r="H17" s="3"/>
    </x:row>
    <x:row r="18" ht="20" customHeight="1">
      <x:c r="A18" s="58" t="str">
        <x:v>DEPTH WITHOUT EXTRA TABS</x:v>
      </x:c>
      <x:c r="B18" s="58"/>
      <x:c r="C18" s="58"/>
      <x:c r="D18" s="58"/>
      <x:c r="E18" s="58"/>
      <x:c r="F18" s="58"/>
      <x:c r="G18" s="58"/>
      <x:c r="H18" s="58"/>
    </x:row>
    <x:row r="19" ht="20" customHeight="1">
      <x:c r="A19" s="132" t="str">
        <x:v>Forecast</x:v>
      </x:c>
      <x:c r="B19" s="132"/>
      <x:c r="C19" s="146" t="str">
        <x:v>12 months</x:v>
      </x:c>
      <x:c r="D19" s="146"/>
      <x:c r="E19" s="146"/>
      <x:c r="F19" s="146"/>
      <x:c r="G19" s="146"/>
      <x:c r="H19" s="146"/>
    </x:row>
    <x:row r="20" ht="20" customHeight="1">
      <x:c r="A20" s="132" t="str">
        <x:v>Editable inputs</x:v>
      </x:c>
      <x:c r="B20" s="132"/>
      <x:c r="C20" s="146" t="str">
        <x:v>10</x:v>
      </x:c>
      <x:c r="D20" s="146"/>
      <x:c r="E20" s="146"/>
      <x:c r="F20" s="146"/>
      <x:c r="G20" s="146"/>
      <x:c r="H20" s="146"/>
    </x:row>
    <x:row r="21" ht="20" customHeight="1">
      <x:c r="A21" s="132" t="str">
        <x:v>Visible sheets</x:v>
      </x:c>
      <x:c r="B21" s="132"/>
      <x:c r="C21" s="146" t="str">
        <x:v>5</x:v>
      </x:c>
      <x:c r="D21" s="146"/>
      <x:c r="E21" s="146"/>
      <x:c r="F21" s="146"/>
      <x:c r="G21" s="146"/>
      <x:c r="H21" s="146"/>
    </x:row>
    <x:row r="22" ht="20" customHeight="1">
      <x:c r="A22" s="132" t="str">
        <x:v>Setup</x:v>
      </x:c>
      <x:c r="B22" s="132"/>
      <x:c r="C22" s="146" t="str">
        <x:v>15–20 minutes</x:v>
      </x:c>
      <x:c r="D22" s="146"/>
      <x:c r="E22" s="146"/>
      <x:c r="F22" s="146"/>
      <x:c r="G22" s="146"/>
      <x:c r="H22" s="146"/>
    </x:row>
    <x:row r="23" ht="20" customHeight="1">
      <x:c r="A23" s="3"/>
      <x:c r="B23" s="3"/>
      <x:c r="C23" s="3"/>
      <x:c r="D23" s="3"/>
      <x:c r="E23" s="3"/>
      <x:c r="F23" s="3"/>
      <x:c r="G23" s="3"/>
      <x:c r="H23" s="3"/>
    </x:row>
    <x:row r="24" ht="20" customHeight="1">
      <x:c r="A24" s="58" t="str">
        <x:v>FIT &amp; SCOPE</x:v>
      </x:c>
      <x:c r="B24" s="58"/>
      <x:c r="C24" s="58"/>
      <x:c r="D24" s="58"/>
      <x:c r="E24" s="58"/>
      <x:c r="F24" s="58"/>
      <x:c r="G24" s="58"/>
      <x:c r="H24" s="58"/>
    </x:row>
    <x:row r="25" ht="20" customHeight="1">
      <x:c r="A25" s="167" t="str">
        <x:v>Included: One monthly income and two spending totals · Twelve-month debt, cash, and investment roll-forward · Ending net worth and emergency-cash view</x:v>
      </x:c>
      <x:c r="B25" s="168"/>
      <x:c r="C25" s="168"/>
      <x:c r="D25" s="168"/>
      <x:c r="E25" s="168"/>
      <x:c r="F25" s="168"/>
      <x:c r="G25" s="168"/>
      <x:c r="H25" s="169"/>
    </x:row>
    <x:row r="26" ht="20" customHeight="1">
      <x:c r="A26" s="173"/>
      <x:c r="B26" s="174"/>
      <x:c r="C26" s="174"/>
      <x:c r="D26" s="174"/>
      <x:c r="E26" s="174"/>
      <x:c r="F26" s="174"/>
      <x:c r="G26" s="174"/>
      <x:c r="H26" s="175"/>
    </x:row>
    <x:row r="27" ht="20" customHeight="1">
      <x:c r="A27" s="232" t="str">
        <x:v>Scope boundary: Detailed categories, monthly manual grids, tax planning, insurance, products, and advice.</x:v>
      </x:c>
      <x:c r="B27" s="233"/>
      <x:c r="C27" s="233"/>
      <x:c r="D27" s="233"/>
      <x:c r="E27" s="233"/>
      <x:c r="F27" s="233"/>
      <x:c r="G27" s="233"/>
      <x:c r="H27" s="234"/>
    </x:row>
    <x:row r="28" ht="20" customHeight="1">
      <x:c r="A28" s="235"/>
      <x:c r="B28" s="236"/>
      <x:c r="C28" s="236"/>
      <x:c r="D28" s="236"/>
      <x:c r="E28" s="236"/>
      <x:c r="F28" s="236"/>
      <x:c r="G28" s="236"/>
      <x:c r="H28" s="237"/>
    </x:row>
    <x:row r="29" ht="20" customHeight="1">
      <x:c r="A29" s="239" t="str">
        <x:v>Synthetic demonstration only · Tested 2026-08-17 · Excel 365 · Macro-free · No external links</x:v>
      </x:c>
      <x:c r="B29" s="239"/>
      <x:c r="C29" s="239"/>
      <x:c r="D29" s="239"/>
      <x:c r="E29" s="239"/>
      <x:c r="F29" s="239"/>
      <x:c r="G29" s="239"/>
      <x:c r="H29" s="239"/>
    </x:row>
    <x:row r="30" ht="20" customHeight="1">
      <x:c r="A30" s="3"/>
      <x:c r="B30" s="3"/>
      <x:c r="C30" s="3"/>
      <x:c r="D30" s="3"/>
      <x:c r="E30" s="3"/>
      <x:c r="F30" s="3"/>
      <x:c r="G30" s="3"/>
      <x:c r="H30" s="3"/>
    </x:row>
    <x:row r="31" ht="20" customHeight="1">
      <x:c r="A31" s="57" t="str">
        <x:v>Personal Budget &amp; Net Worth · Start → Inputs → Model → Results → Checks</x:v>
      </x:c>
      <x:c r="B31" s="57"/>
      <x:c r="C31" s="57"/>
      <x:c r="D31" s="57"/>
      <x:c r="E31" s="57"/>
      <x:c r="F31" s="57"/>
      <x:c r="G31" s="57"/>
      <x:c r="H31" s="57"/>
    </x:row>
  </x:sheetData>
  <x:mergeCells>
    <x:mergeCell ref="A1:H2"/>
    <x:mergeCell ref="A3:H3"/>
    <x:mergeCell ref="A5:F7"/>
    <x:mergeCell ref="G5:H5"/>
    <x:mergeCell ref="G6:H7"/>
    <x:mergeCell ref="A9:H9"/>
    <x:mergeCell ref="A10:H11"/>
    <x:mergeCell ref="A13:H13"/>
    <x:mergeCell ref="A14:B14"/>
    <x:mergeCell ref="A15:B16"/>
    <x:mergeCell ref="C14:D14"/>
    <x:mergeCell ref="C15:D16"/>
    <x:mergeCell ref="E14:F14"/>
    <x:mergeCell ref="E15:F16"/>
    <x:mergeCell ref="G14:H14"/>
    <x:mergeCell ref="G15:H16"/>
    <x:mergeCell ref="A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4:H24"/>
    <x:mergeCell ref="A25:H26"/>
    <x:mergeCell ref="A27:H28"/>
    <x:mergeCell ref="A29:H29"/>
    <x:mergeCell ref="A31:H31"/>
  </x:mergeCells>
  <x:conditionalFormatting sqref="G6:H7">
    <x:cfRule type="containsText" dxfId="24" priority="1" operator="containsText" text="FAIL"/>
    <x:cfRule type="containsText" dxfId="25" priority="2" operator="containsText" text="PASS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7" customHeight="1">
      <x:c r="A1" s="6" t="str">
        <x:v>INPUTS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Personal Budget &amp; Net Worth · Only blue cells are editable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18" t="str">
        <x:v>Change the blue assumptions below. The Model sheet expands them into visible formulas, schedules, and roll-forwards.</x:v>
      </x:c>
      <x:c r="B5" s="19"/>
      <x:c r="C5" s="19"/>
      <x:c r="D5" s="19"/>
      <x:c r="E5" s="19"/>
      <x:c r="F5" s="19"/>
      <x:c r="G5" s="19"/>
      <x:c r="H5" s="20"/>
    </x:row>
    <x:row r="6" ht="20" customHeight="1">
      <x:c r="A6" s="21"/>
      <x:c r="B6" s="22"/>
      <x:c r="C6" s="22"/>
      <x:c r="D6" s="22"/>
      <x:c r="E6" s="22"/>
      <x:c r="F6" s="22"/>
      <x:c r="G6" s="22"/>
      <x:c r="H6" s="23"/>
    </x:row>
    <x:row r="7" ht="20" customHeight="1">
      <x:c r="A7" s="3"/>
      <x:c r="B7" s="3"/>
      <x:c r="C7" s="3"/>
      <x:c r="D7" s="3"/>
      <x:c r="E7" s="3"/>
      <x:c r="F7" s="3"/>
      <x:c r="G7" s="3"/>
      <x:c r="H7" s="3"/>
    </x:row>
    <x:row r="8" ht="20" customHeight="1">
      <x:c r="A8" s="26" t="str">
        <x:v>CORE ASSUMPTIONS</x:v>
      </x:c>
      <x:c r="B8" s="26"/>
      <x:c r="C8" s="26"/>
      <x:c r="D8" s="26"/>
      <x:c r="E8" s="26"/>
      <x:c r="F8" s="26"/>
      <x:c r="G8" s="26"/>
      <x:c r="H8" s="26"/>
    </x:row>
    <x:row r="9" ht="20" customHeight="1">
      <x:c r="A9" s="28" t="str">
        <x:v>Input</x:v>
      </x:c>
      <x:c r="B9" s="28" t="str">
        <x:v>Value</x:v>
      </x:c>
      <x:c r="C9" s="28" t="str">
        <x:v>Unit</x:v>
      </x:c>
      <x:c r="D9" s="28" t="str">
        <x:v>Purpose</x:v>
      </x:c>
      <x:c r="E9" s="28"/>
      <x:c r="F9" s="28"/>
      <x:c r="G9" s="28"/>
      <x:c r="H9" s="28"/>
    </x:row>
    <x:row r="10" ht="20" customHeight="1">
      <x:c r="A10" s="3" t="str">
        <x:v>Monthly take-home income</x:v>
      </x:c>
      <x:c r="B10" s="39" t="n">
        <x:v>8000</x:v>
      </x:c>
      <x:c r="C10" s="3" t="str">
        <x:v>LCY / month</x:v>
      </x:c>
      <x:c r="D10" s="37" t="str">
        <x:v>Income after tax</x:v>
      </x:c>
      <x:c r="E10" s="38"/>
      <x:c r="F10" s="38"/>
      <x:c r="G10" s="38"/>
      <x:c r="H10" s="38"/>
    </x:row>
    <x:row r="11" ht="20" customHeight="1">
      <x:c r="A11" s="3" t="str">
        <x:v>Essential spending</x:v>
      </x:c>
      <x:c r="B11" s="39" t="n">
        <x:v>4150</x:v>
      </x:c>
      <x:c r="C11" s="3" t="str">
        <x:v>LCY / month</x:v>
      </x:c>
      <x:c r="D11" s="37" t="str">
        <x:v>Housing, food, transport, and bills</x:v>
      </x:c>
      <x:c r="E11" s="38"/>
      <x:c r="F11" s="38"/>
      <x:c r="G11" s="38"/>
      <x:c r="H11" s="38"/>
    </x:row>
    <x:row r="12" ht="20" customHeight="1">
      <x:c r="A12" s="3" t="str">
        <x:v>Flexible spending</x:v>
      </x:c>
      <x:c r="B12" s="39" t="n">
        <x:v>800</x:v>
      </x:c>
      <x:c r="C12" s="3" t="str">
        <x:v>LCY / month</x:v>
      </x:c>
      <x:c r="D12" s="37" t="str">
        <x:v>All other planned spending</x:v>
      </x:c>
      <x:c r="E12" s="38"/>
      <x:c r="F12" s="38"/>
      <x:c r="G12" s="38"/>
      <x:c r="H12" s="38"/>
    </x:row>
    <x:row r="13" ht="20" customHeight="1">
      <x:c r="A13" s="3" t="str">
        <x:v>Planned debt payment</x:v>
      </x:c>
      <x:c r="B13" s="39" t="n">
        <x:v>750</x:v>
      </x:c>
      <x:c r="C13" s="3" t="str">
        <x:v>LCY / month</x:v>
      </x:c>
      <x:c r="D13" s="37" t="str">
        <x:v>Payment is capped when debt is repaid</x:v>
      </x:c>
      <x:c r="E13" s="38"/>
      <x:c r="F13" s="38"/>
      <x:c r="G13" s="38"/>
      <x:c r="H13" s="38"/>
    </x:row>
    <x:row r="14" ht="20" customHeight="1">
      <x:c r="A14" s="3" t="str">
        <x:v>Investment contribution</x:v>
      </x:c>
      <x:c r="B14" s="39" t="n">
        <x:v>1000</x:v>
      </x:c>
      <x:c r="C14" s="3" t="str">
        <x:v>LCY / month</x:v>
      </x:c>
      <x:c r="D14" s="37" t="str">
        <x:v>Regular monthly contribution</x:v>
      </x:c>
      <x:c r="E14" s="38"/>
      <x:c r="F14" s="38"/>
      <x:c r="G14" s="38"/>
      <x:c r="H14" s="38"/>
    </x:row>
    <x:row r="15" ht="20" customHeight="1">
      <x:c r="A15" s="3" t="str">
        <x:v>Starting cash</x:v>
      </x:c>
      <x:c r="B15" s="39" t="n">
        <x:v>12000</x:v>
      </x:c>
      <x:c r="C15" s="3" t="str">
        <x:v>LCY</x:v>
      </x:c>
      <x:c r="D15" s="37" t="str">
        <x:v>Cash available now</x:v>
      </x:c>
      <x:c r="E15" s="38"/>
      <x:c r="F15" s="38"/>
      <x:c r="G15" s="38"/>
      <x:c r="H15" s="38"/>
    </x:row>
    <x:row r="16" ht="20" customHeight="1">
      <x:c r="A16" s="3" t="str">
        <x:v>Starting debt</x:v>
      </x:c>
      <x:c r="B16" s="39" t="n">
        <x:v>28000</x:v>
      </x:c>
      <x:c r="C16" s="3" t="str">
        <x:v>LCY</x:v>
      </x:c>
      <x:c r="D16" s="37" t="str">
        <x:v>Debt outstanding now</x:v>
      </x:c>
      <x:c r="E16" s="38"/>
      <x:c r="F16" s="38"/>
      <x:c r="G16" s="38"/>
      <x:c r="H16" s="38"/>
    </x:row>
    <x:row r="17" ht="20" customHeight="1">
      <x:c r="A17" s="3" t="str">
        <x:v>Annual debt rate</x:v>
      </x:c>
      <x:c r="B17" s="42" t="n">
        <x:v>0.12</x:v>
      </x:c>
      <x:c r="C17" s="3" t="str">
        <x:v>%</x:v>
      </x:c>
      <x:c r="D17" s="37" t="str">
        <x:v>Annual interest rate</x:v>
      </x:c>
      <x:c r="E17" s="38"/>
      <x:c r="F17" s="38"/>
      <x:c r="G17" s="38"/>
      <x:c r="H17" s="38"/>
    </x:row>
    <x:row r="18" ht="20" customHeight="1">
      <x:c r="A18" s="3" t="str">
        <x:v>Starting investments</x:v>
      </x:c>
      <x:c r="B18" s="39" t="n">
        <x:v>20000</x:v>
      </x:c>
      <x:c r="C18" s="3" t="str">
        <x:v>LCY</x:v>
      </x:c>
      <x:c r="D18" s="37" t="str">
        <x:v>Invested balance now</x:v>
      </x:c>
      <x:c r="E18" s="38"/>
      <x:c r="F18" s="38"/>
      <x:c r="G18" s="38"/>
      <x:c r="H18" s="38"/>
    </x:row>
    <x:row r="19" ht="20" customHeight="1">
      <x:c r="A19" s="3" t="str">
        <x:v>Annual investment return</x:v>
      </x:c>
      <x:c r="B19" s="42" t="n">
        <x:v>0.06</x:v>
      </x:c>
      <x:c r="C19" s="3" t="str">
        <x:v>%</x:v>
      </x:c>
      <x:c r="D19" s="37" t="str">
        <x:v>Simple monthly-compounded assumption</x:v>
      </x:c>
      <x:c r="E19" s="38"/>
      <x:c r="F19" s="38"/>
      <x:c r="G19" s="38"/>
      <x:c r="H19" s="38"/>
    </x:row>
    <x:row r="20" ht="20" customHeight="1">
      <x:c r="A20" s="3"/>
      <x:c r="B20" s="3"/>
      <x:c r="C20" s="3"/>
      <x:c r="D20" s="3"/>
      <x:c r="E20" s="3"/>
      <x:c r="F20" s="3"/>
      <x:c r="G20" s="3"/>
      <x:c r="H20" s="3"/>
    </x:row>
    <x:row r="21" ht="20" customHeight="1">
      <x:c r="A21" s="51" t="str">
        <x:v>Synthetic example. Replace only the blue values, trace the calculation on Model, then review Results and Checks.</x:v>
      </x:c>
      <x:c r="B21" s="52"/>
      <x:c r="C21" s="52"/>
      <x:c r="D21" s="52"/>
      <x:c r="E21" s="52"/>
      <x:c r="F21" s="52"/>
      <x:c r="G21" s="52"/>
      <x:c r="H21" s="53"/>
    </x:row>
    <x:row r="22" ht="20" customHeight="1">
      <x:c r="A22" s="54"/>
      <x:c r="B22" s="55"/>
      <x:c r="C22" s="55"/>
      <x:c r="D22" s="55"/>
      <x:c r="E22" s="55"/>
      <x:c r="F22" s="55"/>
      <x:c r="G22" s="55"/>
      <x:c r="H22" s="56"/>
    </x:row>
    <x:row r="23" ht="20" customHeight="1">
      <x:c r="A23" s="3"/>
      <x:c r="B23" s="3"/>
      <x:c r="C23" s="3"/>
      <x:c r="D23" s="3"/>
      <x:c r="E23" s="3"/>
      <x:c r="F23" s="3"/>
      <x:c r="G23" s="3"/>
      <x:c r="H23" s="3"/>
    </x:row>
    <x:row r="24" ht="20" customHeight="1">
      <x:c r="A24" s="3"/>
      <x:c r="B24" s="3"/>
      <x:c r="C24" s="3"/>
      <x:c r="D24" s="3"/>
      <x:c r="E24" s="3"/>
      <x:c r="F24" s="3"/>
      <x:c r="G24" s="3"/>
      <x:c r="H24" s="3"/>
    </x:row>
    <x:row r="25" ht="20" customHeight="1">
      <x:c r="A25" s="3"/>
      <x:c r="B25" s="3"/>
      <x:c r="C25" s="3"/>
      <x:c r="D25" s="3"/>
      <x:c r="E25" s="3"/>
      <x:c r="F25" s="3"/>
      <x:c r="G25" s="3"/>
      <x:c r="H25" s="3"/>
    </x:row>
    <x:row r="26" ht="20" customHeight="1">
      <x:c r="A26" s="57" t="str">
        <x:v>Personal Budget &amp; Net Worth · 10 editable assumptions · v1.4.0</x:v>
      </x:c>
      <x:c r="B26" s="57"/>
      <x:c r="C26" s="57"/>
      <x:c r="D26" s="57"/>
      <x:c r="E26" s="57"/>
      <x:c r="F26" s="57"/>
      <x:c r="G26" s="57"/>
      <x:c r="H26" s="57"/>
    </x:row>
  </x:sheetData>
  <x:mergeCells>
    <x:mergeCell ref="A1:H2"/>
    <x:mergeCell ref="A3:H3"/>
    <x:mergeCell ref="A5:H6"/>
    <x:mergeCell ref="A8:H8"/>
    <x:mergeCell ref="D9:H9"/>
    <x:mergeCell ref="D10:H10"/>
    <x:mergeCell ref="D11:H11"/>
    <x:mergeCell ref="D12:H12"/>
    <x:mergeCell ref="D13:H13"/>
    <x:mergeCell ref="D14:H14"/>
    <x:mergeCell ref="D15:H15"/>
    <x:mergeCell ref="D16:H16"/>
    <x:mergeCell ref="D17:H17"/>
    <x:mergeCell ref="D18:H18"/>
    <x:mergeCell ref="D19:H19"/>
    <x:mergeCell ref="A21:H22"/>
    <x:mergeCell ref="A26:H2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7" customHeight="1">
      <x:c r="A1" s="6" t="str">
        <x:v>MODEL DETAIL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Personal Budget &amp; Net Worth · Monthly cash allocation and balance roll-forward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92" t="str">
        <x:v>MONTH 1 CASH LEFT</x:v>
      </x:c>
      <x:c r="B5" s="93"/>
      <x:c r="C5" s="92" t="str">
        <x:v>ENDING NET WORTH</x:v>
      </x:c>
      <x:c r="D5" s="93"/>
      <x:c r="E5" s="92" t="str">
        <x:v>DEBT REDUCED</x:v>
      </x:c>
      <x:c r="F5" s="93"/>
      <x:c r="G5" s="92" t="str">
        <x:v>ENDING CASH</x:v>
      </x:c>
      <x:c r="H5" s="93"/>
    </x:row>
    <x:row r="6" ht="20" customHeight="1">
      <x:c r="A6" s="107" t="n">
        <x:f>H21</x:f>
        <x:v>1300</x:v>
      </x:c>
      <x:c r="B6" s="108"/>
      <x:c r="C6" s="107" t="n">
        <x:f>E32</x:f>
        <x:v>39129.89502639244</x:v>
      </x:c>
      <x:c r="D6" s="108"/>
      <x:c r="E6" s="107" t="n">
        <x:f>B36</x:f>
        <x:v>5960.776416202578</x:v>
      </x:c>
      <x:c r="F6" s="108"/>
      <x:c r="G6" s="107" t="n">
        <x:f>B32</x:f>
        <x:v>27600</x:v>
      </x:c>
      <x:c r="H6" s="108"/>
    </x:row>
    <x:row r="7" ht="20" customHeight="1">
      <x:c r="A7" s="109"/>
      <x:c r="B7" s="110"/>
      <x:c r="C7" s="109"/>
      <x:c r="D7" s="110"/>
      <x:c r="E7" s="109"/>
      <x:c r="F7" s="110"/>
      <x:c r="G7" s="109"/>
      <x:c r="H7" s="110"/>
    </x:row>
    <x:row r="8" ht="20" customHeight="1">
      <x:c r="A8" s="111"/>
      <x:c r="B8" s="112"/>
      <x:c r="C8" s="111"/>
      <x:c r="D8" s="112"/>
      <x:c r="E8" s="111"/>
      <x:c r="F8" s="112"/>
      <x:c r="G8" s="111"/>
      <x:c r="H8" s="112"/>
    </x:row>
    <x:row r="9" ht="20" customHeight="1">
      <x:c r="A9" s="3"/>
      <x:c r="B9" s="3"/>
      <x:c r="C9" s="3"/>
      <x:c r="D9" s="3"/>
      <x:c r="E9" s="3"/>
      <x:c r="F9" s="3"/>
      <x:c r="G9" s="3"/>
      <x:c r="H9" s="3"/>
    </x:row>
    <x:row r="10" ht="20" customHeight="1">
      <x:c r="A10" s="59" t="str">
        <x:v>MONTHLY CASH ALLOCATION</x:v>
      </x:c>
      <x:c r="B10" s="59"/>
      <x:c r="C10" s="59"/>
      <x:c r="D10" s="59"/>
      <x:c r="E10" s="59"/>
      <x:c r="F10" s="59"/>
      <x:c r="G10" s="59"/>
      <x:c r="H10" s="59"/>
    </x:row>
    <x:row r="11" ht="20" customHeight="1">
      <x:c r="A11" s="77" t="str">
        <x:v>Metric</x:v>
      </x:c>
      <x:c r="B11" s="77" t="str">
        <x:v>Value</x:v>
      </x:c>
      <x:c r="C11" s="77" t="str">
        <x:v>Unit</x:v>
      </x:c>
      <x:c r="D11" s="78" t="str">
        <x:v>Notes</x:v>
      </x:c>
      <x:c r="E11" s="77"/>
      <x:c r="F11" s="77"/>
      <x:c r="G11" s="77"/>
      <x:c r="H11" s="77"/>
    </x:row>
    <x:row r="12" ht="20" customHeight="1">
      <x:c r="A12" s="29" t="str">
        <x:v>Take-home income</x:v>
      </x:c>
      <x:c r="B12" s="79" t="n">
        <x:f>'Inputs'!$B$10</x:f>
        <x:v>8000</x:v>
      </x:c>
      <x:c r="C12" s="29" t="str">
        <x:v>LCY / month</x:v>
      </x:c>
      <x:c r="D12" s="37" t="str">
        <x:v>Recurring cash income</x:v>
      </x:c>
      <x:c r="E12" s="38"/>
      <x:c r="F12" s="38"/>
      <x:c r="G12" s="38"/>
      <x:c r="H12" s="38"/>
    </x:row>
    <x:row r="13" ht="20" customHeight="1">
      <x:c r="A13" s="29" t="str">
        <x:v>Essential spending</x:v>
      </x:c>
      <x:c r="B13" s="79" t="n">
        <x:f>-'Inputs'!$B$11</x:f>
        <x:v>-4150</x:v>
      </x:c>
      <x:c r="C13" s="29" t="str">
        <x:v>LCY / month</x:v>
      </x:c>
      <x:c r="D13" s="37" t="str">
        <x:v>Recurring essential cash outflow</x:v>
      </x:c>
      <x:c r="E13" s="38"/>
      <x:c r="F13" s="38"/>
      <x:c r="G13" s="38"/>
      <x:c r="H13" s="38"/>
    </x:row>
    <x:row r="14" ht="20" customHeight="1">
      <x:c r="A14" s="29" t="str">
        <x:v>Flexible spending</x:v>
      </x:c>
      <x:c r="B14" s="79" t="n">
        <x:f>-'Inputs'!$B$12</x:f>
        <x:v>-800</x:v>
      </x:c>
      <x:c r="C14" s="29" t="str">
        <x:v>LCY / month</x:v>
      </x:c>
      <x:c r="D14" s="37" t="str">
        <x:v>Recurring discretionary cash outflow</x:v>
      </x:c>
      <x:c r="E14" s="38"/>
      <x:c r="F14" s="38"/>
      <x:c r="G14" s="38"/>
      <x:c r="H14" s="38"/>
    </x:row>
    <x:row r="15" ht="20" customHeight="1">
      <x:c r="A15" s="29" t="str">
        <x:v>Planned debt payment</x:v>
      </x:c>
      <x:c r="B15" s="79" t="n">
        <x:f>-'Inputs'!$B$13</x:f>
        <x:v>-750</x:v>
      </x:c>
      <x:c r="C15" s="29" t="str">
        <x:v>LCY / month</x:v>
      </x:c>
      <x:c r="D15" s="37" t="str">
        <x:v>Capped once principal is repaid</x:v>
      </x:c>
      <x:c r="E15" s="38"/>
      <x:c r="F15" s="38"/>
      <x:c r="G15" s="38"/>
      <x:c r="H15" s="38"/>
    </x:row>
    <x:row r="16" ht="20" customHeight="1">
      <x:c r="A16" s="29" t="str">
        <x:v>Investment contribution</x:v>
      </x:c>
      <x:c r="B16" s="79" t="n">
        <x:f>-'Inputs'!$B$14</x:f>
        <x:v>-1000</x:v>
      </x:c>
      <x:c r="C16" s="29" t="str">
        <x:v>LCY / month</x:v>
      </x:c>
      <x:c r="D16" s="37" t="str">
        <x:v>Monthly transfer to investments</x:v>
      </x:c>
      <x:c r="E16" s="38"/>
      <x:c r="F16" s="38"/>
      <x:c r="G16" s="38"/>
      <x:c r="H16" s="38"/>
    </x:row>
    <x:row r="17" ht="20" customHeight="1">
      <x:c r="A17" s="11" t="str">
        <x:v>Planned monthly cash left</x:v>
      </x:c>
      <x:c r="B17" s="66" t="n">
        <x:f>SUM(B12:B16)</x:f>
        <x:v>1300</x:v>
      </x:c>
      <x:c r="C17" s="11" t="str">
        <x:v>LCY / month</x:v>
      </x:c>
      <x:c r="D17" s="70" t="str">
        <x:v>Before the debt-payment cap changes the final months</x:v>
      </x:c>
      <x:c r="E17" s="71"/>
      <x:c r="F17" s="71"/>
      <x:c r="G17" s="71"/>
      <x:c r="H17" s="71"/>
    </x:row>
    <x:row r="18" ht="20" customHeight="1">
      <x:c r="A18" s="3"/>
      <x:c r="B18" s="3"/>
      <x:c r="C18" s="3"/>
      <x:c r="D18" s="3"/>
      <x:c r="E18" s="3"/>
      <x:c r="F18" s="3"/>
      <x:c r="G18" s="3"/>
      <x:c r="H18" s="3"/>
    </x:row>
    <x:row r="19" ht="20" customHeight="1">
      <x:c r="A19" s="59" t="str">
        <x:v>TWELVE-MONTH BALANCE ROLL-FORWARD</x:v>
      </x:c>
      <x:c r="B19" s="59"/>
      <x:c r="C19" s="59"/>
      <x:c r="D19" s="59"/>
      <x:c r="E19" s="59"/>
      <x:c r="F19" s="59"/>
      <x:c r="G19" s="59"/>
      <x:c r="H19" s="59"/>
    </x:row>
    <x:row r="20" ht="20" customHeight="1">
      <x:c r="A20" s="59" t="str">
        <x:v>Month</x:v>
      </x:c>
      <x:c r="B20" s="80" t="str">
        <x:v>Cash</x:v>
      </x:c>
      <x:c r="C20" s="80" t="str">
        <x:v>Debt</x:v>
      </x:c>
      <x:c r="D20" s="80" t="str">
        <x:v>Investments</x:v>
      </x:c>
      <x:c r="E20" s="80" t="str">
        <x:v>Net worth</x:v>
      </x:c>
      <x:c r="F20" s="80" t="str">
        <x:v>Interest</x:v>
      </x:c>
      <x:c r="G20" s="80" t="str">
        <x:v>Principal</x:v>
      </x:c>
      <x:c r="H20" s="80" t="str">
        <x:v>Cash left</x:v>
      </x:c>
    </x:row>
    <x:row r="21" ht="20" customHeight="1">
      <x:c r="A21" s="82" t="n">
        <x:v>1</x:v>
      </x:c>
      <x:c r="B21" s="84" t="n">
        <x:f>'Inputs'!$B$15+H21</x:f>
        <x:v>13300</x:v>
      </x:c>
      <x:c r="C21" s="84" t="n">
        <x:f>MAX(0,'Inputs'!$B$16+F21-MIN('Inputs'!$B$13,'Inputs'!$B$16+F21))</x:f>
        <x:v>27530</x:v>
      </x:c>
      <x:c r="D21" s="84" t="n">
        <x:f>'Inputs'!$B$18*(1+'Inputs'!$B$19/12)+'Inputs'!$B$14</x:f>
        <x:v>21099.999999999996</x:v>
      </x:c>
      <x:c r="E21" s="84" t="n">
        <x:f>B21+D21-C21</x:f>
        <x:v>6870</x:v>
      </x:c>
      <x:c r="F21" s="84" t="n">
        <x:f>'Inputs'!$B$16*'Inputs'!$B$17/12</x:f>
        <x:v>280</x:v>
      </x:c>
      <x:c r="G21" s="84" t="n">
        <x:f>MAX(0,MIN('Inputs'!$B$13,'Inputs'!$B$16+F21)-F21)</x:f>
        <x:v>470</x:v>
      </x:c>
      <x:c r="H21" s="84" t="n">
        <x:f>'Inputs'!$B$10-'Inputs'!$B$11-'Inputs'!$B$12-MIN('Inputs'!$B$13,'Inputs'!$B$16+F21)-'Inputs'!$B$14</x:f>
        <x:v>1300</x:v>
      </x:c>
    </x:row>
    <x:row r="22" ht="20" customHeight="1">
      <x:c r="A22" s="82" t="n">
        <x:v>2</x:v>
      </x:c>
      <x:c r="B22" s="84" t="n">
        <x:f>B21+H22</x:f>
        <x:v>14600</x:v>
      </x:c>
      <x:c r="C22" s="84" t="n">
        <x:f>MAX(0,C21+F22-MIN('Inputs'!$B$13,C21+F22))</x:f>
        <x:v>27055.3</x:v>
      </x:c>
      <x:c r="D22" s="84" t="n">
        <x:f>D21*(1+'Inputs'!$B$19/12)+'Inputs'!$B$14</x:f>
        <x:v>22205.499999999993</x:v>
      </x:c>
      <x:c r="E22" s="84" t="n">
        <x:f>B22+D22-C22</x:f>
        <x:v>9750.199999999993</x:v>
      </x:c>
      <x:c r="F22" s="84" t="n">
        <x:f>C21*'Inputs'!$B$17/12</x:f>
        <x:v>275.3</x:v>
      </x:c>
      <x:c r="G22" s="84" t="n">
        <x:f>MAX(0,MIN('Inputs'!$B$13,C21+F22)-F22)</x:f>
        <x:v>474.7</x:v>
      </x:c>
      <x:c r="H22" s="84" t="n">
        <x:f>'Inputs'!$B$10-'Inputs'!$B$11-'Inputs'!$B$12-MIN('Inputs'!$B$13,C21+F22)-'Inputs'!$B$14</x:f>
        <x:v>1300</x:v>
      </x:c>
    </x:row>
    <x:row r="23" ht="20" customHeight="1">
      <x:c r="A23" s="82" t="n">
        <x:v>3</x:v>
      </x:c>
      <x:c r="B23" s="84" t="n">
        <x:f>B22+H23</x:f>
        <x:v>15900</x:v>
      </x:c>
      <x:c r="C23" s="84" t="n">
        <x:f>MAX(0,C22+F23-MIN('Inputs'!$B$13,C22+F23))</x:f>
        <x:v>26575.853</x:v>
      </x:c>
      <x:c r="D23" s="84" t="n">
        <x:f>D22*(1+'Inputs'!$B$19/12)+'Inputs'!$B$14</x:f>
        <x:v>23316.52749999999</x:v>
      </x:c>
      <x:c r="E23" s="84" t="n">
        <x:f>B23+D23-C23</x:f>
        <x:v>12640.67449999999</x:v>
      </x:c>
      <x:c r="F23" s="84" t="n">
        <x:f>C22*'Inputs'!$B$17/12</x:f>
        <x:v>270.553</x:v>
      </x:c>
      <x:c r="G23" s="84" t="n">
        <x:f>MAX(0,MIN('Inputs'!$B$13,C22+F23)-F23)</x:f>
        <x:v>479.447</x:v>
      </x:c>
      <x:c r="H23" s="84" t="n">
        <x:f>'Inputs'!$B$10-'Inputs'!$B$11-'Inputs'!$B$12-MIN('Inputs'!$B$13,C22+F23)-'Inputs'!$B$14</x:f>
        <x:v>1300</x:v>
      </x:c>
    </x:row>
    <x:row r="24" ht="20" customHeight="1">
      <x:c r="A24" s="82" t="n">
        <x:v>4</x:v>
      </x:c>
      <x:c r="B24" s="84" t="n">
        <x:f>B23+H24</x:f>
        <x:v>17200</x:v>
      </x:c>
      <x:c r="C24" s="84" t="n">
        <x:f>MAX(0,C23+F24-MIN('Inputs'!$B$13,C23+F24))</x:f>
        <x:v>26091.61153</x:v>
      </x:c>
      <x:c r="D24" s="84" t="n">
        <x:f>D23*(1+'Inputs'!$B$19/12)+'Inputs'!$B$14</x:f>
        <x:v>24433.110137499985</x:v>
      </x:c>
      <x:c r="E24" s="84" t="n">
        <x:f>B24+D24-C24</x:f>
        <x:v>15541.498607499987</x:v>
      </x:c>
      <x:c r="F24" s="84" t="n">
        <x:f>C23*'Inputs'!$B$17/12</x:f>
        <x:v>265.75853</x:v>
      </x:c>
      <x:c r="G24" s="84" t="n">
        <x:f>MAX(0,MIN('Inputs'!$B$13,C23+F24)-F24)</x:f>
        <x:v>484.24147</x:v>
      </x:c>
      <x:c r="H24" s="84" t="n">
        <x:f>'Inputs'!$B$10-'Inputs'!$B$11-'Inputs'!$B$12-MIN('Inputs'!$B$13,C23+F24)-'Inputs'!$B$14</x:f>
        <x:v>1300</x:v>
      </x:c>
    </x:row>
    <x:row r="25" ht="20" customHeight="1">
      <x:c r="A25" s="82" t="n">
        <x:v>5</x:v>
      </x:c>
      <x:c r="B25" s="84" t="n">
        <x:f>B24+H25</x:f>
        <x:v>18500</x:v>
      </x:c>
      <x:c r="C25" s="84" t="n">
        <x:f>MAX(0,C24+F25-MIN('Inputs'!$B$13,C24+F25))</x:f>
        <x:v>25602.527645299997</x:v>
      </x:c>
      <x:c r="D25" s="84" t="n">
        <x:f>D24*(1+'Inputs'!$B$19/12)+'Inputs'!$B$14</x:f>
        <x:v>25555.27568818748</x:v>
      </x:c>
      <x:c r="E25" s="84" t="n">
        <x:f>B25+D25-C25</x:f>
        <x:v>18452.748042887484</x:v>
      </x:c>
      <x:c r="F25" s="84" t="n">
        <x:f>C24*'Inputs'!$B$17/12</x:f>
        <x:v>260.91611529999994</x:v>
      </x:c>
      <x:c r="G25" s="84" t="n">
        <x:f>MAX(0,MIN('Inputs'!$B$13,C24+F25)-F25)</x:f>
        <x:v>489.08388470000006</x:v>
      </x:c>
      <x:c r="H25" s="84" t="n">
        <x:f>'Inputs'!$B$10-'Inputs'!$B$11-'Inputs'!$B$12-MIN('Inputs'!$B$13,C24+F25)-'Inputs'!$B$14</x:f>
        <x:v>1300</x:v>
      </x:c>
    </x:row>
    <x:row r="26" ht="20" customHeight="1">
      <x:c r="A26" s="82" t="n">
        <x:v>6</x:v>
      </x:c>
      <x:c r="B26" s="84" t="n">
        <x:f>B25+H26</x:f>
        <x:v>19800</x:v>
      </x:c>
      <x:c r="C26" s="84" t="n">
        <x:f>MAX(0,C25+F26-MIN('Inputs'!$B$13,C25+F26))</x:f>
        <x:v>25108.552921753</x:v>
      </x:c>
      <x:c r="D26" s="84" t="n">
        <x:f>D25*(1+'Inputs'!$B$19/12)+'Inputs'!$B$14</x:f>
        <x:v>26683.052066628417</x:v>
      </x:c>
      <x:c r="E26" s="84" t="n">
        <x:f>B26+D26-C26</x:f>
        <x:v>21374.499144875415</x:v>
      </x:c>
      <x:c r="F26" s="84" t="n">
        <x:f>C25*'Inputs'!$B$17/12</x:f>
        <x:v>256.02527645299995</x:v>
      </x:c>
      <x:c r="G26" s="84" t="n">
        <x:f>MAX(0,MIN('Inputs'!$B$13,C25+F26)-F26)</x:f>
        <x:v>493.97472354700005</x:v>
      </x:c>
      <x:c r="H26" s="84" t="n">
        <x:f>'Inputs'!$B$10-'Inputs'!$B$11-'Inputs'!$B$12-MIN('Inputs'!$B$13,C25+F26)-'Inputs'!$B$14</x:f>
        <x:v>1300</x:v>
      </x:c>
    </x:row>
    <x:row r="27" ht="20" customHeight="1">
      <x:c r="A27" s="82" t="n">
        <x:v>7</x:v>
      </x:c>
      <x:c r="B27" s="84" t="n">
        <x:f>B26+H27</x:f>
        <x:v>21100</x:v>
      </x:c>
      <x:c r="C27" s="84" t="n">
        <x:f>MAX(0,C26+F27-MIN('Inputs'!$B$13,C26+F27))</x:f>
        <x:v>24609.638450970528</x:v>
      </x:c>
      <x:c r="D27" s="84" t="n">
        <x:f>D26*(1+'Inputs'!$B$19/12)+'Inputs'!$B$14</x:f>
        <x:v>27816.467326961556</x:v>
      </x:c>
      <x:c r="E27" s="84" t="n">
        <x:f>B27+D27-C27</x:f>
        <x:v>24306.828875991032</x:v>
      </x:c>
      <x:c r="F27" s="84" t="n">
        <x:f>C26*'Inputs'!$B$17/12</x:f>
        <x:v>251.08552921752997</x:v>
      </x:c>
      <x:c r="G27" s="84" t="n">
        <x:f>MAX(0,MIN('Inputs'!$B$13,C26+F27)-F27)</x:f>
        <x:v>498.91447078247006</x:v>
      </x:c>
      <x:c r="H27" s="84" t="n">
        <x:f>'Inputs'!$B$10-'Inputs'!$B$11-'Inputs'!$B$12-MIN('Inputs'!$B$13,C26+F27)-'Inputs'!$B$14</x:f>
        <x:v>1300</x:v>
      </x:c>
    </x:row>
    <x:row r="28" ht="20" customHeight="1">
      <x:c r="A28" s="82" t="n">
        <x:v>8</x:v>
      </x:c>
      <x:c r="B28" s="84" t="n">
        <x:f>B27+H28</x:f>
        <x:v>22400</x:v>
      </x:c>
      <x:c r="C28" s="84" t="n">
        <x:f>MAX(0,C27+F28-MIN('Inputs'!$B$13,C27+F28))</x:f>
        <x:v>24105.734835480234</x:v>
      </x:c>
      <x:c r="D28" s="84" t="n">
        <x:f>D27*(1+'Inputs'!$B$19/12)+'Inputs'!$B$14</x:f>
        <x:v>28955.54966359636</x:v>
      </x:c>
      <x:c r="E28" s="84" t="n">
        <x:f>B28+D28-C28</x:f>
        <x:v>27249.81482811613</x:v>
      </x:c>
      <x:c r="F28" s="84" t="n">
        <x:f>C27*'Inputs'!$B$17/12</x:f>
        <x:v>246.09638450970525</x:v>
      </x:c>
      <x:c r="G28" s="84" t="n">
        <x:f>MAX(0,MIN('Inputs'!$B$13,C27+F28)-F28)</x:f>
        <x:v>503.9036154902948</x:v>
      </x:c>
      <x:c r="H28" s="84" t="n">
        <x:f>'Inputs'!$B$10-'Inputs'!$B$11-'Inputs'!$B$12-MIN('Inputs'!$B$13,C27+F28)-'Inputs'!$B$14</x:f>
        <x:v>1300</x:v>
      </x:c>
    </x:row>
    <x:row r="29" ht="20" customHeight="1">
      <x:c r="A29" s="82" t="n">
        <x:v>9</x:v>
      </x:c>
      <x:c r="B29" s="84" t="n">
        <x:f>B28+H29</x:f>
        <x:v>23700</x:v>
      </x:c>
      <x:c r="C29" s="84" t="n">
        <x:f>MAX(0,C28+F29-MIN('Inputs'!$B$13,C28+F29))</x:f>
        <x:v>23596.792183835038</x:v>
      </x:c>
      <x:c r="D29" s="84" t="n">
        <x:f>D28*(1+'Inputs'!$B$19/12)+'Inputs'!$B$14</x:f>
        <x:v>30100.32741191434</x:v>
      </x:c>
      <x:c r="E29" s="84" t="n">
        <x:f>B29+D29-C29</x:f>
        <x:v>30203.5352280793</x:v>
      </x:c>
      <x:c r="F29" s="84" t="n">
        <x:f>C28*'Inputs'!$B$17/12</x:f>
        <x:v>241.05734835480234</x:v>
      </x:c>
      <x:c r="G29" s="84" t="n">
        <x:f>MAX(0,MIN('Inputs'!$B$13,C28+F29)-F29)</x:f>
        <x:v>508.94265164519766</x:v>
      </x:c>
      <x:c r="H29" s="84" t="n">
        <x:f>'Inputs'!$B$10-'Inputs'!$B$11-'Inputs'!$B$12-MIN('Inputs'!$B$13,C28+F29)-'Inputs'!$B$14</x:f>
        <x:v>1300</x:v>
      </x:c>
    </x:row>
    <x:row r="30" ht="20" customHeight="1">
      <x:c r="A30" s="82" t="n">
        <x:v>10</x:v>
      </x:c>
      <x:c r="B30" s="84" t="n">
        <x:f>B29+H30</x:f>
        <x:v>25000</x:v>
      </x:c>
      <x:c r="C30" s="84" t="n">
        <x:f>MAX(0,C29+F30-MIN('Inputs'!$B$13,C29+F30))</x:f>
        <x:v>23082.760105673387</x:v>
      </x:c>
      <x:c r="D30" s="84" t="n">
        <x:f>D29*(1+'Inputs'!$B$19/12)+'Inputs'!$B$14</x:f>
        <x:v>31250.82904897391</x:v>
      </x:c>
      <x:c r="E30" s="84" t="n">
        <x:f>B30+D30-C30</x:f>
        <x:v>33168.06894330052</x:v>
      </x:c>
      <x:c r="F30" s="84" t="n">
        <x:f>C29*'Inputs'!$B$17/12</x:f>
        <x:v>235.96792183835035</x:v>
      </x:c>
      <x:c r="G30" s="84" t="n">
        <x:f>MAX(0,MIN('Inputs'!$B$13,C29+F30)-F30)</x:f>
        <x:v>514.0320781616497</x:v>
      </x:c>
      <x:c r="H30" s="84" t="n">
        <x:f>'Inputs'!$B$10-'Inputs'!$B$11-'Inputs'!$B$12-MIN('Inputs'!$B$13,C29+F30)-'Inputs'!$B$14</x:f>
        <x:v>1300</x:v>
      </x:c>
    </x:row>
    <x:row r="31" ht="20" customHeight="1">
      <x:c r="A31" s="82" t="n">
        <x:v>11</x:v>
      </x:c>
      <x:c r="B31" s="84" t="n">
        <x:f>B30+H31</x:f>
        <x:v>26300</x:v>
      </x:c>
      <x:c r="C31" s="84" t="n">
        <x:f>MAX(0,C30+F31-MIN('Inputs'!$B$13,C30+F31))</x:f>
        <x:v>22563.587706730123</x:v>
      </x:c>
      <x:c r="D31" s="84" t="n">
        <x:f>D30*(1+'Inputs'!$B$19/12)+'Inputs'!$B$14</x:f>
        <x:v>32407.083194218776</x:v>
      </x:c>
      <x:c r="E31" s="84" t="n">
        <x:f>B31+D31-C31</x:f>
        <x:v>36143.49548748866</x:v>
      </x:c>
      <x:c r="F31" s="84" t="n">
        <x:f>C30*'Inputs'!$B$17/12</x:f>
        <x:v>230.82760105673387</x:v>
      </x:c>
      <x:c r="G31" s="84" t="n">
        <x:f>MAX(0,MIN('Inputs'!$B$13,C30+F31)-F31)</x:f>
        <x:v>519.1723989432661</x:v>
      </x:c>
      <x:c r="H31" s="84" t="n">
        <x:f>'Inputs'!$B$10-'Inputs'!$B$11-'Inputs'!$B$12-MIN('Inputs'!$B$13,C30+F31)-'Inputs'!$B$14</x:f>
        <x:v>1300</x:v>
      </x:c>
    </x:row>
    <x:row r="32" ht="20" customHeight="1">
      <x:c r="A32" s="82" t="n">
        <x:v>12</x:v>
      </x:c>
      <x:c r="B32" s="84" t="n">
        <x:f>B31+H32</x:f>
        <x:v>27600</x:v>
      </x:c>
      <x:c r="C32" s="84" t="n">
        <x:f>MAX(0,C31+F32-MIN('Inputs'!$B$13,C31+F32))</x:f>
        <x:v>22039.223583797422</x:v>
      </x:c>
      <x:c r="D32" s="84" t="n">
        <x:f>D31*(1+'Inputs'!$B$19/12)+'Inputs'!$B$14</x:f>
        <x:v>33569.118610189864</x:v>
      </x:c>
      <x:c r="E32" s="84" t="n">
        <x:f>B32+D32-C32</x:f>
        <x:v>39129.89502639244</x:v>
      </x:c>
      <x:c r="F32" s="84" t="n">
        <x:f>C31*'Inputs'!$B$17/12</x:f>
        <x:v>225.6358770673012</x:v>
      </x:c>
      <x:c r="G32" s="84" t="n">
        <x:f>MAX(0,MIN('Inputs'!$B$13,C31+F32)-F32)</x:f>
        <x:v>524.3641229326988</x:v>
      </x:c>
      <x:c r="H32" s="84" t="n">
        <x:f>'Inputs'!$B$10-'Inputs'!$B$11-'Inputs'!$B$12-MIN('Inputs'!$B$13,C31+F32)-'Inputs'!$B$14</x:f>
        <x:v>1300</x:v>
      </x:c>
    </x:row>
    <x:row r="33" ht="20" customHeight="1">
      <x:c r="A33" s="3"/>
      <x:c r="B33" s="3"/>
      <x:c r="C33" s="3"/>
      <x:c r="D33" s="3"/>
      <x:c r="E33" s="3"/>
      <x:c r="F33" s="3"/>
      <x:c r="G33" s="3"/>
      <x:c r="H33" s="3"/>
    </x:row>
    <x:row r="34" ht="20" customHeight="1">
      <x:c r="A34" s="77" t="str">
        <x:v>Metric</x:v>
      </x:c>
      <x:c r="B34" s="77" t="str">
        <x:v>Value</x:v>
      </x:c>
      <x:c r="C34" s="77" t="str">
        <x:v>Unit</x:v>
      </x:c>
      <x:c r="D34" s="78" t="str">
        <x:v>Notes</x:v>
      </x:c>
      <x:c r="E34" s="77"/>
      <x:c r="F34" s="77"/>
      <x:c r="G34" s="77"/>
      <x:c r="H34" s="77"/>
    </x:row>
    <x:row r="35" ht="20" customHeight="1">
      <x:c r="A35" s="29" t="str">
        <x:v>Ending investments</x:v>
      </x:c>
      <x:c r="B35" s="87" t="n">
        <x:f>D32</x:f>
        <x:v>33569.118610189864</x:v>
      </x:c>
      <x:c r="C35" s="29" t="str">
        <x:v>LCY</x:v>
      </x:c>
      <x:c r="D35" s="37" t="str">
        <x:v>Balance after twelve contributions and returns</x:v>
      </x:c>
      <x:c r="E35" s="38"/>
      <x:c r="F35" s="38"/>
      <x:c r="G35" s="38"/>
      <x:c r="H35" s="38"/>
    </x:row>
    <x:row r="36" ht="20" customHeight="1">
      <x:c r="A36" s="29" t="str">
        <x:v>Debt reduced</x:v>
      </x:c>
      <x:c r="B36" s="64" t="n">
        <x:f>'Inputs'!$B$16-C32</x:f>
        <x:v>5960.776416202578</x:v>
      </x:c>
      <x:c r="C36" s="29" t="str">
        <x:v>LCY</x:v>
      </x:c>
      <x:c r="D36" s="37" t="str">
        <x:v>Principal repaid during the year</x:v>
      </x:c>
      <x:c r="E36" s="38"/>
      <x:c r="F36" s="38"/>
      <x:c r="G36" s="38"/>
      <x:c r="H36" s="38"/>
    </x:row>
    <x:row r="37" ht="20" customHeight="1">
      <x:c r="A37" s="29" t="str">
        <x:v>Emergency cash</x:v>
      </x:c>
      <x:c r="B37" s="89" t="n">
        <x:f>IF('Inputs'!$B$11=0,0,B32/'Inputs'!$B$11)</x:f>
        <x:v>6.650602409638554</x:v>
      </x:c>
      <x:c r="C37" s="29" t="str">
        <x:v>months</x:v>
      </x:c>
      <x:c r="D37" s="37" t="str">
        <x:v>Ending cash divided by essential spending</x:v>
      </x:c>
      <x:c r="E37" s="38"/>
      <x:c r="F37" s="38"/>
      <x:c r="G37" s="38"/>
      <x:c r="H37" s="38"/>
    </x:row>
    <x:row r="38" ht="20" customHeight="1">
      <x:c r="A38" s="29" t="str">
        <x:v>Total principal paid</x:v>
      </x:c>
      <x:c r="B38" s="87" t="n">
        <x:f>SUM(G21:G32)</x:f>
        <x:v>5960.776416202577</x:v>
      </x:c>
      <x:c r="C38" s="29" t="str">
        <x:v>LCY</x:v>
      </x:c>
      <x:c r="D38" s="37" t="str">
        <x:v>Debt payment less interest</x:v>
      </x:c>
      <x:c r="E38" s="38"/>
      <x:c r="F38" s="38"/>
      <x:c r="G38" s="38"/>
      <x:c r="H38" s="38"/>
    </x:row>
    <x:row r="39" ht="20" customHeight="1">
      <x:c r="A39" s="29" t="str">
        <x:v>Total debt interest</x:v>
      </x:c>
      <x:c r="B39" s="87" t="n">
        <x:f>SUM(F21:F32)</x:f>
        <x:v>3039.2235837974226</x:v>
      </x:c>
      <x:c r="C39" s="29" t="str">
        <x:v>LCY</x:v>
      </x:c>
      <x:c r="D39" s="37" t="str">
        <x:v>Interest paid across the twelve-month path</x:v>
      </x:c>
      <x:c r="E39" s="38"/>
      <x:c r="F39" s="38"/>
      <x:c r="G39" s="38"/>
      <x:c r="H39" s="38"/>
    </x:row>
    <x:row r="40" ht="20" customHeight="1">
      <x:c r="A40" s="11" t="str">
        <x:v>Minimum cash balance</x:v>
      </x:c>
      <x:c r="B40" s="66" t="n">
        <x:f>MIN(B21:B32)</x:f>
        <x:v>13300</x:v>
      </x:c>
      <x:c r="C40" s="11" t="str">
        <x:v>LCY</x:v>
      </x:c>
      <x:c r="D40" s="70" t="str">
        <x:v>Lowest cash point in the plan</x:v>
      </x:c>
      <x:c r="E40" s="71"/>
      <x:c r="F40" s="71"/>
      <x:c r="G40" s="71"/>
      <x:c r="H40" s="71"/>
    </x:row>
    <x:row r="41" ht="20" customHeight="1">
      <x:c r="A41" s="3"/>
      <x:c r="B41" s="3"/>
      <x:c r="C41" s="3"/>
      <x:c r="D41" s="3"/>
      <x:c r="E41" s="3"/>
      <x:c r="F41" s="3"/>
      <x:c r="G41" s="3"/>
      <x:c r="H41" s="3"/>
    </x:row>
    <x:row r="42" ht="20" customHeight="1">
      <x:c r="A42" s="3"/>
      <x:c r="B42" s="3"/>
      <x:c r="C42" s="3"/>
      <x:c r="D42" s="3"/>
      <x:c r="E42" s="3"/>
      <x:c r="F42" s="3"/>
      <x:c r="G42" s="3"/>
      <x:c r="H42" s="3"/>
    </x:row>
    <x:row r="43" ht="20" customHeight="1">
      <x:c r="A43" s="126" t="str">
        <x:f>IF(MIN(B21:B32)&lt;0,"CASH GAP · reduce spending or contributions","POSITIVE CASH PLAN · review the debt and savings mix")</x:f>
        <x:v>POSITIVE CASH PLAN · review the debt and savings mix</x:v>
      </x:c>
      <x:c r="B43" s="127"/>
      <x:c r="C43" s="127"/>
      <x:c r="D43" s="127"/>
      <x:c r="E43" s="127"/>
      <x:c r="F43" s="127"/>
      <x:c r="G43" s="127"/>
      <x:c r="H43" s="128"/>
    </x:row>
    <x:row r="44" ht="20" customHeight="1">
      <x:c r="A44" s="129"/>
      <x:c r="B44" s="130"/>
      <x:c r="C44" s="130"/>
      <x:c r="D44" s="130"/>
      <x:c r="E44" s="130"/>
      <x:c r="F44" s="130"/>
      <x:c r="G44" s="130"/>
      <x:c r="H44" s="131"/>
    </x:row>
    <x:row r="45" ht="20" customHeight="1">
      <x:c r="A45" s="3"/>
      <x:c r="B45" s="3"/>
      <x:c r="C45" s="3"/>
      <x:c r="D45" s="3"/>
      <x:c r="E45" s="3"/>
      <x:c r="F45" s="3"/>
      <x:c r="G45" s="3"/>
      <x:c r="H45" s="3"/>
    </x:row>
    <x:row r="46" ht="20" customHeight="1">
      <x:c r="A46" s="3"/>
      <x:c r="B46" s="3"/>
      <x:c r="C46" s="3"/>
      <x:c r="D46" s="3"/>
      <x:c r="E46" s="3"/>
      <x:c r="F46" s="3"/>
      <x:c r="G46" s="3"/>
      <x:c r="H46" s="3"/>
    </x:row>
    <x:row r="47" ht="20" customHeight="1">
      <x:c r="A47" s="3"/>
      <x:c r="B47" s="3"/>
      <x:c r="C47" s="3"/>
      <x:c r="D47" s="3"/>
      <x:c r="E47" s="3"/>
      <x:c r="F47" s="3"/>
      <x:c r="G47" s="3"/>
      <x:c r="H47" s="3"/>
    </x:row>
    <x:row r="48" ht="20" customHeight="1">
      <x:c r="A48" s="57" t="str">
        <x:v>Personal Budget &amp; Net Worth · Cash allocation + twelve monthly balances · Educational planning only</x:v>
      </x:c>
      <x:c r="B48" s="57"/>
      <x:c r="C48" s="57"/>
      <x:c r="D48" s="57"/>
      <x:c r="E48" s="57"/>
      <x:c r="F48" s="57"/>
      <x:c r="G48" s="57"/>
      <x:c r="H48" s="57"/>
    </x:row>
  </x:sheetData>
  <x:mergeCells>
    <x:mergeCell ref="A1:H2"/>
    <x:mergeCell ref="A3:H3"/>
    <x:mergeCell ref="A10:H10"/>
    <x:mergeCell ref="D11:H11"/>
    <x:mergeCell ref="D12:H12"/>
    <x:mergeCell ref="D13:H13"/>
    <x:mergeCell ref="D14:H14"/>
    <x:mergeCell ref="D15:H15"/>
    <x:mergeCell ref="D16:H16"/>
    <x:mergeCell ref="D17:H17"/>
    <x:mergeCell ref="A19:H19"/>
    <x:mergeCell ref="D34:H34"/>
    <x:mergeCell ref="D35:H35"/>
    <x:mergeCell ref="D36:H36"/>
    <x:mergeCell ref="D37:H37"/>
    <x:mergeCell ref="D38:H38"/>
    <x:mergeCell ref="D39:H39"/>
    <x:mergeCell ref="D40:H40"/>
    <x:mergeCell ref="A5:B5"/>
    <x:mergeCell ref="A6:B8"/>
    <x:mergeCell ref="C5:D5"/>
    <x:mergeCell ref="C6:D8"/>
    <x:mergeCell ref="E5:F5"/>
    <x:mergeCell ref="E6:F8"/>
    <x:mergeCell ref="G5:H5"/>
    <x:mergeCell ref="G6:H8"/>
    <x:mergeCell ref="A43:H44"/>
    <x:mergeCell ref="A48:H4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6" t="str">
        <x:v>RESULTS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Personal Budget &amp; Net Worth · Decision view linked to the detailed Model sheet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92" t="str">
        <x:v>MONTH 1 CASH LEFT</x:v>
      </x:c>
      <x:c r="B5" s="93"/>
      <x:c r="C5" s="92" t="str">
        <x:v>ENDING NET WORTH</x:v>
      </x:c>
      <x:c r="D5" s="93"/>
      <x:c r="E5" s="92" t="str">
        <x:v>DEBT REDUCED</x:v>
      </x:c>
      <x:c r="F5" s="93"/>
      <x:c r="G5" s="92" t="str">
        <x:v>ENDING CASH</x:v>
      </x:c>
      <x:c r="H5" s="93"/>
    </x:row>
    <x:row r="6" ht="20" customHeight="1">
      <x:c r="A6" s="107" t="n">
        <x:f>'Model'!A6</x:f>
        <x:v>1300</x:v>
      </x:c>
      <x:c r="B6" s="108"/>
      <x:c r="C6" s="107" t="n">
        <x:f>'Model'!C6</x:f>
        <x:v>39129.89502639244</x:v>
      </x:c>
      <x:c r="D6" s="108"/>
      <x:c r="E6" s="107" t="n">
        <x:f>'Model'!E6</x:f>
        <x:v>5960.776416202578</x:v>
      </x:c>
      <x:c r="F6" s="108"/>
      <x:c r="G6" s="107" t="n">
        <x:f>'Model'!G6</x:f>
        <x:v>27600</x:v>
      </x:c>
      <x:c r="H6" s="108"/>
    </x:row>
    <x:row r="7" ht="20" customHeight="1">
      <x:c r="A7" s="109"/>
      <x:c r="B7" s="110"/>
      <x:c r="C7" s="109"/>
      <x:c r="D7" s="110"/>
      <x:c r="E7" s="109"/>
      <x:c r="F7" s="110"/>
      <x:c r="G7" s="109"/>
      <x:c r="H7" s="110"/>
    </x:row>
    <x:row r="8" ht="20" customHeight="1">
      <x:c r="A8" s="111"/>
      <x:c r="B8" s="112"/>
      <x:c r="C8" s="111"/>
      <x:c r="D8" s="112"/>
      <x:c r="E8" s="111"/>
      <x:c r="F8" s="112"/>
      <x:c r="G8" s="111"/>
      <x:c r="H8" s="112"/>
    </x:row>
    <x:row r="9" ht="20" customHeight="1">
      <x:c r="A9" s="3"/>
      <x:c r="B9" s="3"/>
      <x:c r="C9" s="3"/>
      <x:c r="D9" s="3"/>
      <x:c r="E9" s="3"/>
      <x:c r="F9" s="3"/>
      <x:c r="G9" s="3"/>
      <x:c r="H9" s="3"/>
    </x:row>
    <x:row r="10" ht="20" customHeight="1">
      <x:c r="A10" s="58" t="str">
        <x:v>DECISION VIEW</x:v>
      </x:c>
      <x:c r="B10" s="58"/>
      <x:c r="C10" s="58"/>
      <x:c r="D10" s="58"/>
      <x:c r="E10" s="58"/>
      <x:c r="F10" s="58"/>
      <x:c r="G10" s="58"/>
      <x:c r="H10" s="58"/>
    </x:row>
    <x:row r="11" ht="34" customHeight="1">
      <x:c r="A11" s="133" t="str">
        <x:v>CALCULATION STATUS</x:v>
      </x:c>
      <x:c r="B11" s="133"/>
      <x:c r="C11" s="137" t="str">
        <x:f>'Checks'!B4</x:f>
        <x:v>PASS</x:v>
      </x:c>
      <x:c r="D11" s="138"/>
      <x:c r="E11" s="133" t="str">
        <x:v>NET WORTH OUTCOME</x:v>
      </x:c>
      <x:c r="F11" s="133"/>
      <x:c r="G11" s="144" t="str">
        <x:f>'Model'!A43</x:f>
        <x:v>POSITIVE CASH PLAN · review the debt and savings mix</x:v>
      </x:c>
      <x:c r="H11" s="145"/>
    </x:row>
    <x:row r="12" ht="20" customHeight="1">
      <x:c r="A12" s="3"/>
      <x:c r="B12" s="3"/>
      <x:c r="C12" s="3"/>
      <x:c r="D12" s="3"/>
      <x:c r="E12" s="3"/>
      <x:c r="F12" s="3"/>
      <x:c r="G12" s="3"/>
      <x:c r="H12" s="3"/>
    </x:row>
    <x:row r="13" ht="20" customHeight="1">
      <x:c r="A13" s="58" t="str">
        <x:v>WHAT IT ANSWERS</x:v>
      </x:c>
      <x:c r="B13" s="58"/>
      <x:c r="C13" s="58"/>
      <x:c r="D13" s="58"/>
      <x:c r="E13" s="58"/>
      <x:c r="F13" s="58"/>
      <x:c r="G13" s="58"/>
      <x:c r="H13" s="58"/>
    </x:row>
    <x:row r="14" ht="20" customHeight="1">
      <x:c r="A14" s="153" t="str">
        <x:v>After one year, am I spending within income and building net worth?</x:v>
      </x:c>
      <x:c r="B14" s="154"/>
      <x:c r="C14" s="154"/>
      <x:c r="D14" s="154"/>
      <x:c r="E14" s="154"/>
      <x:c r="F14" s="154"/>
      <x:c r="G14" s="154"/>
      <x:c r="H14" s="155"/>
    </x:row>
    <x:row r="15" ht="20" customHeight="1">
      <x:c r="A15" s="156"/>
      <x:c r="B15" s="157"/>
      <x:c r="C15" s="157"/>
      <x:c r="D15" s="157"/>
      <x:c r="E15" s="157"/>
      <x:c r="F15" s="157"/>
      <x:c r="G15" s="157"/>
      <x:c r="H15" s="158"/>
    </x:row>
    <x:row r="16" ht="20" customHeight="1">
      <x:c r="A16" s="3"/>
      <x:c r="B16" s="3"/>
      <x:c r="C16" s="3"/>
      <x:c r="D16" s="3"/>
      <x:c r="E16" s="3"/>
      <x:c r="F16" s="3"/>
      <x:c r="G16" s="3"/>
      <x:c r="H16" s="3"/>
    </x:row>
    <x:row r="17" ht="20" customHeight="1">
      <x:c r="A17" s="58" t="str">
        <x:v>MODEL DEPTH</x:v>
      </x:c>
      <x:c r="B17" s="58"/>
      <x:c r="C17" s="58"/>
      <x:c r="D17" s="58"/>
      <x:c r="E17" s="58"/>
      <x:c r="F17" s="58"/>
      <x:c r="G17" s="58"/>
      <x:c r="H17" s="58"/>
    </x:row>
    <x:row r="18" ht="20" customHeight="1">
      <x:c r="A18" s="132" t="str">
        <x:v>Forecast</x:v>
      </x:c>
      <x:c r="B18" s="132"/>
      <x:c r="C18" s="146" t="str">
        <x:v>12 months</x:v>
      </x:c>
      <x:c r="D18" s="146"/>
      <x:c r="E18" s="146"/>
      <x:c r="F18" s="146"/>
      <x:c r="G18" s="146"/>
      <x:c r="H18" s="146"/>
    </x:row>
    <x:row r="19" ht="20" customHeight="1">
      <x:c r="A19" s="132" t="str">
        <x:v>Editable inputs</x:v>
      </x:c>
      <x:c r="B19" s="132"/>
      <x:c r="C19" s="146" t="str">
        <x:v>10</x:v>
      </x:c>
      <x:c r="D19" s="146"/>
      <x:c r="E19" s="146"/>
      <x:c r="F19" s="146"/>
      <x:c r="G19" s="146"/>
      <x:c r="H19" s="146"/>
    </x:row>
    <x:row r="20" ht="20" customHeight="1">
      <x:c r="A20" s="132" t="str">
        <x:v>Calculation detail</x:v>
      </x:c>
      <x:c r="B20" s="132"/>
      <x:c r="C20" s="146" t="str">
        <x:v>Visible formulas, schedules, roll-forwards, and bridges</x:v>
      </x:c>
      <x:c r="D20" s="146"/>
      <x:c r="E20" s="146"/>
      <x:c r="F20" s="146"/>
      <x:c r="G20" s="146"/>
      <x:c r="H20" s="146"/>
    </x:row>
    <x:row r="21" ht="20" customHeight="1">
      <x:c r="A21" s="132" t="str">
        <x:v>Workbook flow</x:v>
      </x:c>
      <x:c r="B21" s="132"/>
      <x:c r="C21" s="146" t="str">
        <x:v>Start → Inputs → Model → Results → Checks</x:v>
      </x:c>
      <x:c r="D21" s="146"/>
      <x:c r="E21" s="146"/>
      <x:c r="F21" s="146"/>
      <x:c r="G21" s="146"/>
      <x:c r="H21" s="146"/>
    </x:row>
    <x:row r="22" ht="20" customHeight="1">
      <x:c r="A22" s="3"/>
      <x:c r="B22" s="3"/>
      <x:c r="C22" s="3"/>
      <x:c r="D22" s="3"/>
      <x:c r="E22" s="3"/>
      <x:c r="F22" s="3"/>
      <x:c r="G22" s="3"/>
      <x:c r="H22" s="3"/>
    </x:row>
    <x:row r="23" ht="20" customHeight="1">
      <x:c r="A23" s="58" t="str">
        <x:v>SCOPE</x:v>
      </x:c>
      <x:c r="B23" s="58"/>
      <x:c r="C23" s="58"/>
      <x:c r="D23" s="58"/>
      <x:c r="E23" s="58"/>
      <x:c r="F23" s="58"/>
      <x:c r="G23" s="58"/>
      <x:c r="H23" s="58"/>
    </x:row>
    <x:row r="24" ht="20" customHeight="1">
      <x:c r="A24" s="167" t="str">
        <x:v>Included: One monthly income and two spending totals · Twelve-month debt, cash, and investment roll-forward · Ending net worth and emergency-cash view</x:v>
      </x:c>
      <x:c r="B24" s="168"/>
      <x:c r="C24" s="168"/>
      <x:c r="D24" s="168"/>
      <x:c r="E24" s="168"/>
      <x:c r="F24" s="168"/>
      <x:c r="G24" s="168"/>
      <x:c r="H24" s="169"/>
    </x:row>
    <x:row r="25" ht="20" customHeight="1">
      <x:c r="A25" s="170"/>
      <x:c r="B25" s="171"/>
      <x:c r="C25" s="171"/>
      <x:c r="D25" s="171"/>
      <x:c r="E25" s="171"/>
      <x:c r="F25" s="171"/>
      <x:c r="G25" s="171"/>
      <x:c r="H25" s="172"/>
    </x:row>
    <x:row r="26" ht="20" customHeight="1">
      <x:c r="A26" s="173"/>
      <x:c r="B26" s="174"/>
      <x:c r="C26" s="174"/>
      <x:c r="D26" s="174"/>
      <x:c r="E26" s="174"/>
      <x:c r="F26" s="174"/>
      <x:c r="G26" s="174"/>
      <x:c r="H26" s="175"/>
    </x:row>
    <x:row r="27" ht="20" customHeight="1">
      <x:c r="A27" s="51" t="str">
        <x:v>Outside this model: Detailed categories, monthly manual grids, tax planning, insurance, products, and advice.</x:v>
      </x:c>
      <x:c r="B27" s="52"/>
      <x:c r="C27" s="52"/>
      <x:c r="D27" s="52"/>
      <x:c r="E27" s="52"/>
      <x:c r="F27" s="52"/>
      <x:c r="G27" s="52"/>
      <x:c r="H27" s="53"/>
    </x:row>
    <x:row r="28" ht="20" customHeight="1">
      <x:c r="A28" s="54"/>
      <x:c r="B28" s="55"/>
      <x:c r="C28" s="55"/>
      <x:c r="D28" s="55"/>
      <x:c r="E28" s="55"/>
      <x:c r="F28" s="55"/>
      <x:c r="G28" s="55"/>
      <x:c r="H28" s="56"/>
    </x:row>
    <x:row r="29" ht="20" customHeight="1">
      <x:c r="A29" s="179" t="str">
        <x:v>Five visible tabs · No hidden calculations · Calculation status and business outcome are reported separately.</x:v>
      </x:c>
      <x:c r="B29" s="180"/>
      <x:c r="C29" s="180"/>
      <x:c r="D29" s="180"/>
      <x:c r="E29" s="180"/>
      <x:c r="F29" s="180"/>
      <x:c r="G29" s="180"/>
      <x:c r="H29" s="181"/>
    </x:row>
    <x:row r="30" ht="20" customHeight="1">
      <x:c r="A30" s="3"/>
      <x:c r="B30" s="3"/>
      <x:c r="C30" s="3"/>
      <x:c r="D30" s="3"/>
      <x:c r="E30" s="3"/>
      <x:c r="F30" s="3"/>
      <x:c r="G30" s="3"/>
      <x:c r="H30" s="3"/>
    </x:row>
    <x:row r="31" ht="20" customHeight="1">
      <x:c r="A31" s="57" t="str">
        <x:v>Personal Budget &amp; Net Worth · v1.4.0 · Linked summary only · Trace all formulas on Model</x:v>
      </x:c>
      <x:c r="B31" s="57"/>
      <x:c r="C31" s="57"/>
      <x:c r="D31" s="57"/>
      <x:c r="E31" s="57"/>
      <x:c r="F31" s="57"/>
      <x:c r="G31" s="57"/>
      <x:c r="H31" s="57"/>
    </x:row>
  </x:sheetData>
  <x:mergeCells>
    <x:mergeCell ref="A1:H2"/>
    <x:mergeCell ref="A3:H3"/>
    <x:mergeCell ref="A5:B5"/>
    <x:mergeCell ref="A6:B8"/>
    <x:mergeCell ref="C5:D5"/>
    <x:mergeCell ref="C6:D8"/>
    <x:mergeCell ref="E5:F5"/>
    <x:mergeCell ref="E6:F8"/>
    <x:mergeCell ref="G5:H5"/>
    <x:mergeCell ref="G6:H8"/>
    <x:mergeCell ref="A10:H10"/>
    <x:mergeCell ref="A11:B11"/>
    <x:mergeCell ref="C11:D11"/>
    <x:mergeCell ref="E11:F11"/>
    <x:mergeCell ref="G11:H11"/>
    <x:mergeCell ref="A13:H13"/>
    <x:mergeCell ref="A14:H15"/>
    <x:mergeCell ref="A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3:H23"/>
    <x:mergeCell ref="A24:H26"/>
    <x:mergeCell ref="A27:H28"/>
    <x:mergeCell ref="A29:H29"/>
    <x:mergeCell ref="A31:H31"/>
  </x:mergeCells>
  <x:conditionalFormatting sqref="C11:D11">
    <x:cfRule type="containsText" dxfId="0" priority="1" operator="containsText" text="FAIL"/>
    <x:cfRule type="containsText" dxfId="1" priority="2" operator="containsText" text="PASS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23" hidden="0" customWidth="1"/>
    <x:col min="8" max="8" width="16" hidden="0" customWidth="1"/>
  </x:cols>
  <x:sheetData>
    <x:row r="1" ht="27" customHeight="1">
      <x:c r="A1" s="6" t="str">
        <x:v>CHECKS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Personal Budget &amp; Net Worth · Calculation controls only; business outcomes are shown separately</x:v>
      </x:c>
      <x:c r="B3" s="9"/>
      <x:c r="C3" s="9"/>
      <x:c r="D3" s="9"/>
      <x:c r="E3" s="9"/>
      <x:c r="F3" s="9"/>
      <x:c r="G3" s="9"/>
      <x:c r="H3" s="9"/>
    </x:row>
    <x:row r="4" ht="12" customHeight="1">
      <x:c r="A4" s="3"/>
      <x:c r="B4" s="182" t="str">
        <x:f>IF(COUNTIF(F9:F18,"PASS")=10,"PASS","FAIL")</x:f>
        <x:v>PASS</x:v>
      </x:c>
      <x:c r="C4" s="182"/>
      <x:c r="D4" s="182"/>
      <x:c r="E4" s="182"/>
      <x:c r="F4" s="182"/>
      <x:c r="G4" s="182"/>
      <x:c r="H4" s="182"/>
    </x:row>
    <x:row r="5" ht="20" customHeight="1">
      <x:c r="A5" s="57" t="str">
        <x:v>MODEL STATUS</x:v>
      </x:c>
      <x:c r="B5" s="57"/>
      <x:c r="C5" s="137" t="str">
        <x:f>B4</x:f>
        <x:v>PASS</x:v>
      </x:c>
      <x:c r="D5" s="184"/>
      <x:c r="E5" s="184"/>
      <x:c r="F5" s="184"/>
      <x:c r="G5" s="184"/>
      <x:c r="H5" s="138"/>
    </x:row>
    <x:row r="6" ht="20" customHeight="1">
      <x:c r="A6" s="3"/>
      <x:c r="B6" s="3"/>
      <x:c r="C6" s="3"/>
      <x:c r="D6" s="3"/>
      <x:c r="E6" s="3"/>
      <x:c r="F6" s="3"/>
      <x:c r="G6" s="3"/>
      <x:c r="H6" s="3"/>
    </x:row>
    <x:row r="7" ht="20" customHeight="1">
      <x:c r="A7" s="58" t="str">
        <x:v>10 CALCULATION CONTROLS</x:v>
      </x:c>
      <x:c r="B7" s="58"/>
      <x:c r="C7" s="58"/>
      <x:c r="D7" s="58"/>
      <x:c r="E7" s="58"/>
      <x:c r="F7" s="58"/>
      <x:c r="G7" s="58"/>
      <x:c r="H7" s="58"/>
    </x:row>
    <x:row r="8" ht="20" customHeight="1">
      <x:c r="A8" s="28" t="str">
        <x:v>Control</x:v>
      </x:c>
      <x:c r="B8" s="28" t="str">
        <x:v>Actual</x:v>
      </x:c>
      <x:c r="C8" s="28" t="str">
        <x:v>Expected</x:v>
      </x:c>
      <x:c r="D8" s="28" t="str">
        <x:v>Difference</x:v>
      </x:c>
      <x:c r="E8" s="28" t="str">
        <x:v>Tolerance</x:v>
      </x:c>
      <x:c r="F8" s="28" t="str">
        <x:v>Status</x:v>
      </x:c>
      <x:c r="G8" s="28" t="str">
        <x:v>Where to fix</x:v>
      </x:c>
      <x:c r="H8" s="28"/>
    </x:row>
    <x:row r="9" ht="26" customHeight="1">
      <x:c r="A9" s="171" t="str">
        <x:v>All editable inputs are numeric</x:v>
      </x:c>
      <x:c r="B9" s="186" t="n">
        <x:f>ROUND(COUNT('Inputs'!B10,'Inputs'!B11,'Inputs'!B12,'Inputs'!B13,'Inputs'!B14,'Inputs'!B15,'Inputs'!B16,'Inputs'!B17,'Inputs'!B18,'Inputs'!B19),6)</x:f>
        <x:v>10</x:v>
      </x:c>
      <x:c r="C9" s="186" t="n">
        <x:f>10</x:f>
        <x:v>10</x:v>
      </x:c>
      <x:c r="D9" s="186" t="n">
        <x:f>ROUND(B9-C9,6)</x:f>
        <x:v>0</x:v>
      </x:c>
      <x:c r="E9" s="186" t="n">
        <x:f>0</x:f>
        <x:v>0</x:v>
      </x:c>
      <x:c r="F9" s="187" t="str">
        <x:f>IF(ABS(ROUND(D9,6))&lt;=E9,"PASS","FAIL")</x:f>
        <x:v>PASS</x:v>
      </x:c>
      <x:c r="G9" s="171" t="str">
        <x:v>Complete the blue cells on Inputs</x:v>
      </x:c>
      <x:c r="H9" s="171"/>
    </x:row>
    <x:row r="10" ht="26" customHeight="1">
      <x:c r="A10" s="171" t="str">
        <x:v>Results headline KPIs reconcile to Model</x:v>
      </x:c>
      <x:c r="B10" s="190" t="n">
        <x:f>ROUND(IFERROR(SUM(ABS('Results'!A6-'Model'!A6),ABS('Results'!C6-'Model'!C6),ABS('Results'!E6-'Model'!E6),ABS('Results'!G6-'Model'!G6)),1E+99),6)</x:f>
        <x:v>0</x:v>
      </x:c>
      <x:c r="C10" s="190" t="n">
        <x:f>0</x:f>
        <x:v>0</x:v>
      </x:c>
      <x:c r="D10" s="190" t="n">
        <x:f>ROUND(B10-C10,6)</x:f>
        <x:v>0</x:v>
      </x:c>
      <x:c r="E10" s="190" t="n">
        <x:f>0.0001</x:f>
        <x:v>0.0001</x:v>
      </x:c>
      <x:c r="F10" s="187" t="str">
        <x:f>IF(ABS(ROUND(D10,6))&lt;=E10,"PASS","FAIL")</x:f>
        <x:v>PASS</x:v>
      </x:c>
      <x:c r="G10" s="171" t="str">
        <x:v>Review Results-to-Model links</x:v>
      </x:c>
      <x:c r="H10" s="171"/>
    </x:row>
    <x:row r="11" ht="26" customHeight="1">
      <x:c r="A11" s="171" t="str">
        <x:v>Budget and balance inputs are valid</x:v>
      </x:c>
      <x:c r="B11" s="190" t="n">
        <x:f>ROUND(IF(AND('Inputs'!$B$10&gt;=0,'Inputs'!$B$11&gt;=0,'Inputs'!$B$12&gt;=0,'Inputs'!$B$13&gt;=0,'Inputs'!$B$14&gt;=0,'Inputs'!$B$15&gt;=0,'Inputs'!$B$16&gt;=0,'Inputs'!$B$17&gt;=0,'Inputs'!$B$18&gt;=0,'Inputs'!$B$19&gt;-1),1,0),6)</x:f>
        <x:v>1</x:v>
      </x:c>
      <x:c r="C11" s="190" t="n">
        <x:f>1</x:f>
        <x:v>1</x:v>
      </x:c>
      <x:c r="D11" s="190" t="n">
        <x:f>ROUND(B11-C11,6)</x:f>
        <x:v>0</x:v>
      </x:c>
      <x:c r="E11" s="190" t="n">
        <x:f>0.0001</x:f>
        <x:v>0.0001</x:v>
      </x:c>
      <x:c r="F11" s="187" t="str">
        <x:f>IF(ABS(ROUND(D11,6))&lt;=E11,"PASS","FAIL")</x:f>
        <x:v>PASS</x:v>
      </x:c>
      <x:c r="G11" s="171" t="str">
        <x:v>Inputs: budget and balances</x:v>
      </x:c>
      <x:c r="H11" s="171"/>
    </x:row>
    <x:row r="12" ht="26" customHeight="1">
      <x:c r="A12" s="171" t="str">
        <x:v>Balance roll-forwards tie</x:v>
      </x:c>
      <x:c r="B12" s="192" t="n">
        <x:f>ROUND(SUM(ABS('Model'!B21-('Inputs'!$B$15+'Model'!H21)),ABS('Model'!F21-'Inputs'!$B$16*'Inputs'!$B$17/12),ABS('Model'!C21-MAX(0,'Inputs'!$B$16+'Model'!F21-MIN('Inputs'!$B$13,'Inputs'!$B$16+'Model'!F21))),ABS('Model'!D21-('Inputs'!$B$18*(1+'Inputs'!$B$19/12)+'Inputs'!$B$14)),ABS('Model'!B22-('Model'!B21+'Model'!H22)),ABS('Model'!F22-'Model'!C21*'Inputs'!$B$17/12),ABS('Model'!C22-MAX(0,'Model'!C21+'Model'!F22-MIN('Inputs'!$B$13,'Model'!C21+'Model'!F22))),ABS('Model'!D22-('Model'!D21*(1+'Inputs'!$B$19/12)+'Inputs'!$B$14)),ABS('Model'!B23-('Model'!B22+'Model'!H23)),ABS('Model'!F23-'Model'!C22*'Inputs'!$B$17/12),ABS('Model'!C23-MAX(0,'Model'!C22+'Model'!F23-MIN('Inputs'!$B$13,'Model'!C22+'Model'!F23))),ABS('Model'!D23-('Model'!D22*(1+'Inputs'!$B$19/12)+'Inputs'!$B$14)),ABS('Model'!B24-('Model'!B23+'Model'!H24)),ABS('Model'!F24-'Model'!C23*'Inputs'!$B$17/12),ABS('Model'!C24-MAX(0,'Model'!C23+'Model'!F24-MIN('Inputs'!$B$13,'Model'!C23+'Model'!F24))),ABS('Model'!D24-('Model'!D23*(1+'Inputs'!$B$19/12)+'Inputs'!$B$14)),ABS('Model'!B25-('Model'!B24+'Model'!H25)),ABS('Model'!F25-'Model'!C24*'Inputs'!$B$17/12),ABS('Model'!C25-MAX(0,'Model'!C24+'Model'!F25-MIN('Inputs'!$B$13,'Model'!C24+'Model'!F25))),ABS('Model'!D25-('Model'!D24*(1+'Inputs'!$B$19/12)+'Inputs'!$B$14)),ABS('Model'!B26-('Model'!B25+'Model'!H26)),ABS('Model'!F26-'Model'!C25*'Inputs'!$B$17/12),ABS('Model'!C26-MAX(0,'Model'!C25+'Model'!F26-MIN('Inputs'!$B$13,'Model'!C25+'Model'!F26))),ABS('Model'!D26-('Model'!D25*(1+'Inputs'!$B$19/12)+'Inputs'!$B$14)),ABS('Model'!B27-('Model'!B26+'Model'!H27)),ABS('Model'!F27-'Model'!C26*'Inputs'!$B$17/12),ABS('Model'!C27-MAX(0,'Model'!C26+'Model'!F27-MIN('Inputs'!$B$13,'Model'!C26+'Model'!F27))),ABS('Model'!D27-('Model'!D26*(1+'Inputs'!$B$19/12)+'Inputs'!$B$14)),ABS('Model'!B28-('Model'!B27+'Model'!H28)),ABS('Model'!F28-'Model'!C27*'Inputs'!$B$17/12),ABS('Model'!C28-MAX(0,'Model'!C27+'Model'!F28-MIN('Inputs'!$B$13,'Model'!C27+'Model'!F28))),ABS('Model'!D28-('Model'!D27*(1+'Inputs'!$B$19/12)+'Inputs'!$B$14)),ABS('Model'!B29-('Model'!B28+'Model'!H29)),ABS('Model'!F29-'Model'!C28*'Inputs'!$B$17/12),ABS('Model'!C29-MAX(0,'Model'!C28+'Model'!F29-MIN('Inputs'!$B$13,'Model'!C28+'Model'!F29))),ABS('Model'!D29-('Model'!D28*(1+'Inputs'!$B$19/12)+'Inputs'!$B$14)),ABS('Model'!B30-('Model'!B29+'Model'!H30)),ABS('Model'!F30-'Model'!C29*'Inputs'!$B$17/12),ABS('Model'!C30-MAX(0,'Model'!C29+'Model'!F30-MIN('Inputs'!$B$13,'Model'!C29+'Model'!F30))),ABS('Model'!D30-('Model'!D29*(1+'Inputs'!$B$19/12)+'Inputs'!$B$14)),ABS('Model'!B31-('Model'!B30+'Model'!H31)),ABS('Model'!F31-'Model'!C30*'Inputs'!$B$17/12),ABS('Model'!C31-MAX(0,'Model'!C30+'Model'!F31-MIN('Inputs'!$B$13,'Model'!C30+'Model'!F31))),ABS('Model'!D31-('Model'!D30*(1+'Inputs'!$B$19/12)+'Inputs'!$B$14)),ABS('Model'!B32-('Model'!B31+'Model'!H32)),ABS('Model'!F32-'Model'!C31*'Inputs'!$B$17/12),ABS('Model'!C32-MAX(0,'Model'!C31+'Model'!F32-MIN('Inputs'!$B$13,'Model'!C31+'Model'!F32))),ABS('Model'!D32-('Model'!D31*(1+'Inputs'!$B$19/12)+'Inputs'!$B$14))),6)</x:f>
        <x:v>0</x:v>
      </x:c>
      <x:c r="C12" s="192" t="n">
        <x:f>0</x:f>
        <x:v>0</x:v>
      </x:c>
      <x:c r="D12" s="192" t="n">
        <x:f>ROUND(B12-C12,6)</x:f>
        <x:v>0</x:v>
      </x:c>
      <x:c r="E12" s="192" t="n">
        <x:f>0.0001</x:f>
        <x:v>0.0001</x:v>
      </x:c>
      <x:c r="F12" s="187" t="str">
        <x:f>IF(ABS(ROUND(D12,6))&lt;=E12,"PASS","FAIL")</x:f>
        <x:v>PASS</x:v>
      </x:c>
      <x:c r="G12" s="171" t="str">
        <x:v>Model: monthly roll-forward</x:v>
      </x:c>
      <x:c r="H12" s="171"/>
    </x:row>
    <x:row r="13" ht="26" customHeight="1">
      <x:c r="A13" s="171" t="str">
        <x:v>Debt and principal stay non-negative</x:v>
      </x:c>
      <x:c r="B13" s="190" t="n">
        <x:f>ROUND(IF(AND(MIN('Model'!C21:C32)&gt;=0,MIN('Model'!G21:G32)&gt;=0),1,0),6)</x:f>
        <x:v>1</x:v>
      </x:c>
      <x:c r="C13" s="190" t="n">
        <x:f>1</x:f>
        <x:v>1</x:v>
      </x:c>
      <x:c r="D13" s="190" t="n">
        <x:f>ROUND(B13-C13,6)</x:f>
        <x:v>0</x:v>
      </x:c>
      <x:c r="E13" s="190" t="n">
        <x:f>0.0001</x:f>
        <x:v>0.0001</x:v>
      </x:c>
      <x:c r="F13" s="187" t="str">
        <x:f>IF(ABS(ROUND(D13,6))&lt;=E13,"PASS","FAIL")</x:f>
        <x:v>PASS</x:v>
      </x:c>
      <x:c r="G13" s="171" t="str">
        <x:v>Inputs: debt payment and rate</x:v>
      </x:c>
      <x:c r="H13" s="171"/>
    </x:row>
    <x:row r="14" ht="26" customHeight="1">
      <x:c r="A14" s="171" t="str">
        <x:v>Monthly cash allocation ties</x:v>
      </x:c>
      <x:c r="B14" s="192" t="n">
        <x:f>ROUND(SUM(ABS('Model'!H21-('Inputs'!$B$10-'Inputs'!$B$11-'Inputs'!$B$12-MIN('Inputs'!$B$13,'Inputs'!$B$16+'Model'!F21)-'Inputs'!$B$14)),ABS('Model'!H22-('Inputs'!$B$10-'Inputs'!$B$11-'Inputs'!$B$12-MIN('Inputs'!$B$13,'Model'!C21+'Model'!F22)-'Inputs'!$B$14)),ABS('Model'!H23-('Inputs'!$B$10-'Inputs'!$B$11-'Inputs'!$B$12-MIN('Inputs'!$B$13,'Model'!C22+'Model'!F23)-'Inputs'!$B$14)),ABS('Model'!H24-('Inputs'!$B$10-'Inputs'!$B$11-'Inputs'!$B$12-MIN('Inputs'!$B$13,'Model'!C23+'Model'!F24)-'Inputs'!$B$14)),ABS('Model'!H25-('Inputs'!$B$10-'Inputs'!$B$11-'Inputs'!$B$12-MIN('Inputs'!$B$13,'Model'!C24+'Model'!F25)-'Inputs'!$B$14)),ABS('Model'!H26-('Inputs'!$B$10-'Inputs'!$B$11-'Inputs'!$B$12-MIN('Inputs'!$B$13,'Model'!C25+'Model'!F26)-'Inputs'!$B$14)),ABS('Model'!H27-('Inputs'!$B$10-'Inputs'!$B$11-'Inputs'!$B$12-MIN('Inputs'!$B$13,'Model'!C26+'Model'!F27)-'Inputs'!$B$14)),ABS('Model'!H28-('Inputs'!$B$10-'Inputs'!$B$11-'Inputs'!$B$12-MIN('Inputs'!$B$13,'Model'!C27+'Model'!F28)-'Inputs'!$B$14)),ABS('Model'!H29-('Inputs'!$B$10-'Inputs'!$B$11-'Inputs'!$B$12-MIN('Inputs'!$B$13,'Model'!C28+'Model'!F29)-'Inputs'!$B$14)),ABS('Model'!H30-('Inputs'!$B$10-'Inputs'!$B$11-'Inputs'!$B$12-MIN('Inputs'!$B$13,'Model'!C29+'Model'!F30)-'Inputs'!$B$14)),ABS('Model'!H31-('Inputs'!$B$10-'Inputs'!$B$11-'Inputs'!$B$12-MIN('Inputs'!$B$13,'Model'!C30+'Model'!F31)-'Inputs'!$B$14)),ABS('Model'!H32-('Inputs'!$B$10-'Inputs'!$B$11-'Inputs'!$B$12-MIN('Inputs'!$B$13,'Model'!C31+'Model'!F32)-'Inputs'!$B$14))),6)</x:f>
        <x:v>0</x:v>
      </x:c>
      <x:c r="C14" s="192" t="n">
        <x:f>0</x:f>
        <x:v>0</x:v>
      </x:c>
      <x:c r="D14" s="192" t="n">
        <x:f>ROUND(B14-C14,6)</x:f>
        <x:v>0</x:v>
      </x:c>
      <x:c r="E14" s="192" t="n">
        <x:f>0.0001</x:f>
        <x:v>0.0001</x:v>
      </x:c>
      <x:c r="F14" s="187" t="str">
        <x:f>IF(ABS(ROUND(D14,6))&lt;=E14,"PASS","FAIL")</x:f>
        <x:v>PASS</x:v>
      </x:c>
      <x:c r="G14" s="171" t="str">
        <x:v>Model: monthly cash left</x:v>
      </x:c>
      <x:c r="H14" s="171"/>
    </x:row>
    <x:row r="15" ht="26" customHeight="1">
      <x:c r="A15" s="171" t="str">
        <x:v>Monthly net worth ties</x:v>
      </x:c>
      <x:c r="B15" s="192" t="n">
        <x:f>ROUND(SUM(ABS('Model'!E21-'Model'!B21-'Model'!D21+'Model'!C21),ABS('Model'!E22-'Model'!B22-'Model'!D22+'Model'!C22),ABS('Model'!E23-'Model'!B23-'Model'!D23+'Model'!C23),ABS('Model'!E24-'Model'!B24-'Model'!D24+'Model'!C24),ABS('Model'!E25-'Model'!B25-'Model'!D25+'Model'!C25),ABS('Model'!E26-'Model'!B26-'Model'!D26+'Model'!C26),ABS('Model'!E27-'Model'!B27-'Model'!D27+'Model'!C27),ABS('Model'!E28-'Model'!B28-'Model'!D28+'Model'!C28),ABS('Model'!E29-'Model'!B29-'Model'!D29+'Model'!C29),ABS('Model'!E30-'Model'!B30-'Model'!D30+'Model'!C30),ABS('Model'!E31-'Model'!B31-'Model'!D31+'Model'!C31),ABS('Model'!E32-'Model'!B32-'Model'!D32+'Model'!C32)),6)</x:f>
        <x:v>0</x:v>
      </x:c>
      <x:c r="C15" s="192" t="n">
        <x:f>0</x:f>
        <x:v>0</x:v>
      </x:c>
      <x:c r="D15" s="192" t="n">
        <x:f>ROUND(B15-C15,6)</x:f>
        <x:v>0</x:v>
      </x:c>
      <x:c r="E15" s="192" t="n">
        <x:f>0.0001</x:f>
        <x:v>0.0001</x:v>
      </x:c>
      <x:c r="F15" s="187" t="str">
        <x:f>IF(ABS(ROUND(D15,6))&lt;=E15,"PASS","FAIL")</x:f>
        <x:v>PASS</x:v>
      </x:c>
      <x:c r="G15" s="171" t="str">
        <x:v>Model: cash + investments - debt</x:v>
      </x:c>
      <x:c r="H15" s="171"/>
    </x:row>
    <x:row r="16" ht="26" customHeight="1">
      <x:c r="A16" s="171" t="str">
        <x:v>Principal follows payment after interest</x:v>
      </x:c>
      <x:c r="B16" s="192" t="n">
        <x:f>ROUND(SUM(ABS('Model'!G21-MAX(0,MIN('Inputs'!$B$13,'Inputs'!$B$16+'Model'!F21)-'Model'!F21)),ABS('Model'!G22-MAX(0,MIN('Inputs'!$B$13,'Model'!C21+'Model'!F22)-'Model'!F22)),ABS('Model'!G23-MAX(0,MIN('Inputs'!$B$13,'Model'!C22+'Model'!F23)-'Model'!F23)),ABS('Model'!G24-MAX(0,MIN('Inputs'!$B$13,'Model'!C23+'Model'!F24)-'Model'!F24)),ABS('Model'!G25-MAX(0,MIN('Inputs'!$B$13,'Model'!C24+'Model'!F25)-'Model'!F25)),ABS('Model'!G26-MAX(0,MIN('Inputs'!$B$13,'Model'!C25+'Model'!F26)-'Model'!F26)),ABS('Model'!G27-MAX(0,MIN('Inputs'!$B$13,'Model'!C26+'Model'!F27)-'Model'!F27)),ABS('Model'!G28-MAX(0,MIN('Inputs'!$B$13,'Model'!C27+'Model'!F28)-'Model'!F28)),ABS('Model'!G29-MAX(0,MIN('Inputs'!$B$13,'Model'!C28+'Model'!F29)-'Model'!F29)),ABS('Model'!G30-MAX(0,MIN('Inputs'!$B$13,'Model'!C29+'Model'!F30)-'Model'!F30)),ABS('Model'!G31-MAX(0,MIN('Inputs'!$B$13,'Model'!C30+'Model'!F31)-'Model'!F31)),ABS('Model'!G32-MAX(0,MIN('Inputs'!$B$13,'Model'!C31+'Model'!F32)-'Model'!F32))),6)</x:f>
        <x:v>0</x:v>
      </x:c>
      <x:c r="C16" s="192" t="n">
        <x:f>0</x:f>
        <x:v>0</x:v>
      </x:c>
      <x:c r="D16" s="192" t="n">
        <x:f>ROUND(B16-C16,6)</x:f>
        <x:v>0</x:v>
      </x:c>
      <x:c r="E16" s="192" t="n">
        <x:f>0.0001</x:f>
        <x:v>0.0001</x:v>
      </x:c>
      <x:c r="F16" s="187" t="str">
        <x:f>IF(ABS(ROUND(D16,6))&lt;=E16,"PASS","FAIL")</x:f>
        <x:v>PASS</x:v>
      </x:c>
      <x:c r="G16" s="171" t="str">
        <x:v>Model: principal allocation</x:v>
      </x:c>
      <x:c r="H16" s="171"/>
    </x:row>
    <x:row r="17" ht="26" customHeight="1">
      <x:c r="A17" s="171" t="str">
        <x:v>Planned monthly surplus setup ties</x:v>
      </x:c>
      <x:c r="B17" s="192" t="n">
        <x:f>ROUND('Model'!B17-SUM('Model'!B12:B16),6)</x:f>
        <x:v>0</x:v>
      </x:c>
      <x:c r="C17" s="192" t="n">
        <x:f>0</x:f>
        <x:v>0</x:v>
      </x:c>
      <x:c r="D17" s="192" t="n">
        <x:f>ROUND(B17-C17,6)</x:f>
        <x:v>0</x:v>
      </x:c>
      <x:c r="E17" s="192" t="n">
        <x:f>0.0001</x:f>
        <x:v>0.0001</x:v>
      </x:c>
      <x:c r="F17" s="187" t="str">
        <x:f>IF(ABS(ROUND(D17,6))&lt;=E17,"PASS","FAIL")</x:f>
        <x:v>PASS</x:v>
      </x:c>
      <x:c r="G17" s="171" t="str">
        <x:v>Model: monthly cash allocation setup</x:v>
      </x:c>
      <x:c r="H17" s="171"/>
    </x:row>
    <x:row r="18" ht="26" customHeight="1">
      <x:c r="A18" s="171" t="str">
        <x:v>Annual budget summary ties to month 12</x:v>
      </x:c>
      <x:c r="B18" s="192" t="n">
        <x:f>ROUND(SUM(ABS('Model'!B35-'Model'!D32),ABS('Model'!B36-'Inputs'!$B$16+'Model'!C32),ABS('Model'!B38-SUM('Model'!G21:G32)),ABS('Model'!B39-SUM('Model'!F21:F32)),ABS('Model'!B40-MIN('Model'!B21:B32))),6)</x:f>
        <x:v>0</x:v>
      </x:c>
      <x:c r="C18" s="192" t="n">
        <x:f>0</x:f>
        <x:v>0</x:v>
      </x:c>
      <x:c r="D18" s="192" t="n">
        <x:f>ROUND(B18-C18,6)</x:f>
        <x:v>0</x:v>
      </x:c>
      <x:c r="E18" s="192" t="n">
        <x:f>0.0001</x:f>
        <x:v>0.0001</x:v>
      </x:c>
      <x:c r="F18" s="187" t="str">
        <x:f>IF(ABS(ROUND(D18,6))&lt;=E18,"PASS","FAIL")</x:f>
        <x:v>PASS</x:v>
      </x:c>
      <x:c r="G18" s="171" t="str">
        <x:v>Model: annual budget summary</x:v>
      </x:c>
      <x:c r="H18" s="171"/>
    </x:row>
    <x:row r="19" ht="20" customHeight="1">
      <x:c r="A19" s="196" t="str">
        <x:v>A warning business outcome can still pass these controls; review Model and Results before making a decision.</x:v>
      </x:c>
      <x:c r="B19" s="197"/>
      <x:c r="C19" s="197"/>
      <x:c r="D19" s="197"/>
      <x:c r="E19" s="197"/>
      <x:c r="F19" s="197"/>
      <x:c r="G19" s="197"/>
      <x:c r="H19" s="198"/>
    </x:row>
    <x:row r="20" ht="20" customHeight="1">
      <x:c r="A20" s="57" t="str">
        <x:v>Personal Budget &amp; Net Worth · 10 / 10 controls should show PASS · v1.4.0</x:v>
      </x:c>
      <x:c r="B20" s="57"/>
      <x:c r="C20" s="57"/>
      <x:c r="D20" s="57"/>
      <x:c r="E20" s="57"/>
      <x:c r="F20" s="57"/>
      <x:c r="G20" s="57"/>
      <x:c r="H20" s="57"/>
    </x:row>
  </x:sheetData>
  <x:mergeCells>
    <x:mergeCell ref="A1:H2"/>
    <x:mergeCell ref="A3:H3"/>
    <x:mergeCell ref="B4:H4"/>
    <x:mergeCell ref="A5:B5"/>
    <x:mergeCell ref="C5:H5"/>
    <x:mergeCell ref="A7:H7"/>
    <x:mergeCell ref="G8:H8"/>
    <x:mergeCell ref="G9:H9"/>
    <x:mergeCell ref="G10:H10"/>
    <x:mergeCell ref="G11:H11"/>
    <x:mergeCell ref="G12:H12"/>
    <x:mergeCell ref="G13:H13"/>
    <x:mergeCell ref="G14:H14"/>
    <x:mergeCell ref="G15:H15"/>
    <x:mergeCell ref="G16:H16"/>
    <x:mergeCell ref="G17:H17"/>
    <x:mergeCell ref="G18:H18"/>
    <x:mergeCell ref="A19:H19"/>
    <x:mergeCell ref="A20:H20"/>
  </x:mergeCells>
  <x:conditionalFormatting sqref="C5:H5">
    <x:cfRule type="containsText" dxfId="2" priority="1" operator="containsText" text="FAIL"/>
    <x:cfRule type="containsText" dxfId="3" priority="2" operator="containsText" text="PASS"/>
  </x:conditionalFormatting>
  <x:conditionalFormatting sqref="F9:F9">
    <x:cfRule type="containsText" dxfId="4" priority="3" operator="containsText" text="FAIL"/>
    <x:cfRule type="containsText" dxfId="5" priority="4" operator="containsText" text="PASS"/>
  </x:conditionalFormatting>
  <x:conditionalFormatting sqref="F10:F10">
    <x:cfRule type="containsText" dxfId="6" priority="5" operator="containsText" text="FAIL"/>
    <x:cfRule type="containsText" dxfId="7" priority="6" operator="containsText" text="PASS"/>
  </x:conditionalFormatting>
  <x:conditionalFormatting sqref="F11:F11">
    <x:cfRule type="containsText" dxfId="8" priority="7" operator="containsText" text="FAIL"/>
    <x:cfRule type="containsText" dxfId="9" priority="8" operator="containsText" text="PASS"/>
  </x:conditionalFormatting>
  <x:conditionalFormatting sqref="F12:F12">
    <x:cfRule type="containsText" dxfId="10" priority="9" operator="containsText" text="FAIL"/>
    <x:cfRule type="containsText" dxfId="11" priority="10" operator="containsText" text="PASS"/>
  </x:conditionalFormatting>
  <x:conditionalFormatting sqref="F13:F13">
    <x:cfRule type="containsText" dxfId="12" priority="11" operator="containsText" text="FAIL"/>
    <x:cfRule type="containsText" dxfId="13" priority="12" operator="containsText" text="PASS"/>
  </x:conditionalFormatting>
  <x:conditionalFormatting sqref="F14:F14">
    <x:cfRule type="containsText" dxfId="14" priority="13" operator="containsText" text="FAIL"/>
    <x:cfRule type="containsText" dxfId="15" priority="14" operator="containsText" text="PASS"/>
  </x:conditionalFormatting>
  <x:conditionalFormatting sqref="F15:F15">
    <x:cfRule type="containsText" dxfId="16" priority="15" operator="containsText" text="FAIL"/>
    <x:cfRule type="containsText" dxfId="17" priority="16" operator="containsText" text="PASS"/>
  </x:conditionalFormatting>
  <x:conditionalFormatting sqref="F16:F16">
    <x:cfRule type="containsText" dxfId="18" priority="17" operator="containsText" text="FAIL"/>
    <x:cfRule type="containsText" dxfId="19" priority="18" operator="containsText" text="PASS"/>
  </x:conditionalFormatting>
  <x:conditionalFormatting sqref="F17:F17">
    <x:cfRule type="containsText" dxfId="20" priority="19" operator="containsText" text="FAIL"/>
    <x:cfRule type="containsText" dxfId="21" priority="20" operator="containsText" text="PASS"/>
  </x:conditionalFormatting>
  <x:conditionalFormatting sqref="F18:F18">
    <x:cfRule type="containsText" dxfId="22" priority="21" operator="containsText" text="FAIL"/>
    <x:cfRule type="containsText" dxfId="23" priority="22" operator="containsText" text="PASS"/>
  </x:conditionalFormatting>
  <x:pageMargins left="0.7" right="0.7" top="0.75" bottom="0.75" header="0.3" footer="0.3"/>
</x:worksheet>
</file>