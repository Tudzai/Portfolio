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fd36418cef49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" sheetId="1" r:id="R3671d5a44cc445d5"/>
    <x:sheet xmlns:r="http://schemas.openxmlformats.org/officeDocument/2006/relationships" name="Inputs" sheetId="2" r:id="R6c75c3a633014f12"/>
    <x:sheet xmlns:r="http://schemas.openxmlformats.org/officeDocument/2006/relationships" name="Model" sheetId="3" r:id="R881ce3ccbbbb4c9a"/>
    <x:sheet xmlns:r="http://schemas.openxmlformats.org/officeDocument/2006/relationships" name="Results" sheetId="4" r:id="R63618d907ccc40b0"/>
    <x:sheet xmlns:r="http://schemas.openxmlformats.org/officeDocument/2006/relationships" name="Checks" sheetId="5" r:id="R1ed2c2d848e442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;[Red](#,##0);-"/>
    <x:numFmt numFmtId="201" formatCode="#,##0.0;[Red](#,##0.0);-"/>
    <x:numFmt numFmtId="202" formatCode="0.0%;[Red](0.0%);-"/>
    <x:numFmt numFmtId="203" formatCode="0.00;[Red](0.00);-"/>
  </x:numFmts>
  <x:fonts count="15">
    <x:font>
      <x:sz val="11"/>
      <x:name val="Carlito"/>
    </x:font>
    <x:font>
      <x:sz val="11"/>
      <x:color rgb="FF202833"/>
      <x:name val="Carlito"/>
    </x:font>
    <x:font>
      <x:b/>
      <x:sz val="11"/>
      <x:color rgb="FFFFFFFF"/>
      <x:name val="Carlito"/>
    </x:font>
    <x:font>
      <x:b/>
      <x:sz val="11"/>
      <x:color rgb="FF202833"/>
      <x:name val="Carlito"/>
    </x:font>
    <x:font>
      <x:b/>
      <x:sz val="11"/>
      <x:color rgb="FF0000FF"/>
      <x:name val="Carlito"/>
    </x:font>
    <x:font>
      <x:sz val="11"/>
      <x:color rgb="FF68717C"/>
      <x:name val="Carlito"/>
    </x:font>
    <x:font>
      <x:sz val="11"/>
      <x:color rgb="FF805C19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sz val="11"/>
      <x:color rgb="FF202833"/>
      <x:name val="Carlito"/>
    </x:font>
    <x:font>
      <x:b/>
      <x:sz val="11"/>
      <x:color rgb="FFB5883A"/>
      <x:name val="Carlito"/>
    </x:font>
    <x:font>
      <x:b/>
      <x:sz val="11"/>
      <x:color rgb="FF68717C"/>
      <x:name val="Carlito"/>
    </x:font>
    <x:font>
      <x:b/>
      <x:sz val="11"/>
      <x:color rgb="FF247252"/>
      <x:name val="Carlito"/>
    </x:font>
    <x:font>
      <x:b/>
      <x:sz val="11"/>
      <x:color rgb="FF805C19"/>
      <x:name val="Carlito"/>
    </x:font>
    <x:font>
      <x:sz val="11"/>
      <x:color rgb="FFF5F6F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F5F6F8"/>
      </x:patternFill>
    </x:fill>
    <x:fill>
      <x:patternFill patternType="solid">
        <x:fgColor rgb="FF1C2430"/>
      </x:patternFill>
    </x:fill>
    <x:fill>
      <x:patternFill patternType="solid">
        <x:fgColor rgb="FFB5883A"/>
      </x:patternFill>
    </x:fill>
    <x:fill>
      <x:patternFill patternType="solid">
        <x:fgColor rgb="FFF2E8D5"/>
      </x:patternFill>
    </x:fill>
    <x:fill>
      <x:patternFill patternType="solid">
        <x:fgColor rgb="FF303B49"/>
      </x:patternFill>
    </x:fill>
    <x:fill>
      <x:patternFill patternType="solid">
        <x:fgColor rgb="FFECEFF2"/>
      </x:patternFill>
    </x:fill>
    <x:fill>
      <x:patternFill patternType="solid">
        <x:fgColor rgb="FFFFFFFF"/>
      </x:patternFill>
    </x:fill>
    <x:fill>
      <x:patternFill patternType="solid">
        <x:fgColor rgb="FFF8EBCF"/>
      </x:patternFill>
    </x:fill>
  </x:fills>
  <x:borders count="30">
    <x:border/>
    <x:border>
      <x:left style="thin">
        <x:color rgb="FFD7DBE0"/>
      </x:left>
      <x:top style="thin">
        <x:color rgb="FFD7DBE0"/>
      </x:top>
    </x:border>
    <x:border>
      <x:top style="thin">
        <x:color rgb="FFD7DBE0"/>
      </x:top>
    </x:border>
    <x:border>
      <x:right style="thin">
        <x:color rgb="FFD7DBE0"/>
      </x:right>
      <x:top style="thin">
        <x:color rgb="FFD7DBE0"/>
      </x:top>
    </x:border>
    <x:border>
      <x:left style="thin">
        <x:color rgb="FFD7DBE0"/>
      </x:left>
      <x:bottom style="thin">
        <x:color rgb="FFD7DBE0"/>
      </x:bottom>
    </x:border>
    <x:border>
      <x:bottom style="thin">
        <x:color rgb="FFD7DBE0"/>
      </x:bottom>
    </x:border>
    <x:border>
      <x:right style="thin">
        <x:color rgb="FFD7DBE0"/>
      </x:right>
      <x:bottom style="thin">
        <x:color rgb="FFD7DBE0"/>
      </x:bottom>
    </x:border>
    <x:border>
      <x:bottom style="medium">
        <x:color rgb="FFB5883A"/>
      </x:bottom>
    </x:border>
    <x:border>
      <x:left style="thin">
        <x:color rgb="FFD3AE64"/>
      </x:left>
      <x:right style="thin">
        <x:color rgb="FFD3AE64"/>
      </x:right>
      <x:top style="thin">
        <x:color rgb="FFD3AE64"/>
      </x:top>
      <x:bottom style="thin">
        <x:color rgb="FFD3AE64"/>
      </x:bottom>
    </x:border>
    <x:border>
      <x:left style="thin">
        <x:color rgb="FFD3AE64"/>
      </x:left>
      <x:right style="thin">
        <x:color rgb="FFD3AE64"/>
      </x:right>
    </x:border>
    <x:border>
      <x:left style="thin">
        <x:color rgb="FFD3AE64"/>
      </x:left>
      <x:top style="thin">
        <x:color rgb="FFD3AE64"/>
      </x:top>
    </x:border>
    <x:border>
      <x:top style="thin">
        <x:color rgb="FFD3AE64"/>
      </x:top>
    </x:border>
    <x:border>
      <x:right style="thin">
        <x:color rgb="FFD3AE64"/>
      </x:right>
      <x:top style="thin">
        <x:color rgb="FFD3AE64"/>
      </x:top>
    </x:border>
    <x:border>
      <x:left style="thin">
        <x:color rgb="FFD3AE64"/>
      </x:left>
      <x:bottom style="thin">
        <x:color rgb="FFD3AE64"/>
      </x:bottom>
    </x:border>
    <x:border>
      <x:bottom style="thin">
        <x:color rgb="FFD3AE64"/>
      </x:bottom>
    </x:border>
    <x:border>
      <x:right style="thin">
        <x:color rgb="FFD3AE64"/>
      </x:right>
      <x:bottom style="thin">
        <x:color rgb="FFD3AE64"/>
      </x:bottom>
    </x:border>
    <x:border>
      <x:bottom style="thin">
        <x:color rgb="FFB5883A"/>
      </x:bottom>
    </x:border>
    <x:border>
      <x:left style="thin">
        <x:color rgb="FFD7DBE0"/>
      </x:left>
      <x:bottom style="thin">
        <x:color rgb="FFB5883A"/>
      </x:bottom>
    </x:border>
    <x:border>
      <x:left style="thin">
        <x:color rgb="FF1C2430"/>
      </x:left>
      <x:top style="thin">
        <x:color rgb="FF1C2430"/>
      </x:top>
      <x:bottom style="thin">
        <x:color rgb="FF1C2430"/>
      </x:bottom>
    </x:border>
    <x:border>
      <x:right style="thin">
        <x:color rgb="FF1C2430"/>
      </x:right>
      <x:top style="thin">
        <x:color rgb="FF1C2430"/>
      </x:top>
      <x:bottom style="thin">
        <x:color rgb="FF1C2430"/>
      </x:bottom>
    </x:border>
    <x:border>
      <x:left style="thin">
        <x:color rgb="FFD7DBE0"/>
      </x:left>
    </x:border>
    <x:border>
      <x:right style="thin">
        <x:color rgb="FFD7DBE0"/>
      </x:right>
    </x:border>
    <x:border>
      <x:left style="thin">
        <x:color rgb="FFB5883A"/>
      </x:left>
      <x:top style="thin">
        <x:color rgb="FFB5883A"/>
      </x:top>
    </x:border>
    <x:border>
      <x:top style="thin">
        <x:color rgb="FFB5883A"/>
      </x:top>
    </x:border>
    <x:border>
      <x:right style="thin">
        <x:color rgb="FFB5883A"/>
      </x:right>
      <x:top style="thin">
        <x:color rgb="FFB5883A"/>
      </x:top>
    </x:border>
    <x:border>
      <x:left style="thin">
        <x:color rgb="FFB5883A"/>
      </x:left>
      <x:bottom style="thin">
        <x:color rgb="FFB5883A"/>
      </x:bottom>
    </x:border>
    <x:border>
      <x:right style="thin">
        <x:color rgb="FFB5883A"/>
      </x:right>
      <x:bottom style="thin">
        <x:color rgb="FFB5883A"/>
      </x:bottom>
    </x:border>
    <x:border>
      <x:left style="thin">
        <x:color rgb="FFD7DBE0"/>
      </x:left>
      <x:top style="thin">
        <x:color rgb="FFD7DBE0"/>
      </x:top>
      <x:bottom style="thin">
        <x:color rgb="FFD7DBE0"/>
      </x:bottom>
    </x:border>
    <x:border>
      <x:right style="thin">
        <x:color rgb="FFD7DBE0"/>
      </x:right>
      <x:top style="thin">
        <x:color rgb="FFD7DBE0"/>
      </x:top>
      <x:bottom style="thin">
        <x:color rgb="FFD7DBE0"/>
      </x:bottom>
    </x:border>
    <x:border>
      <x:top style="thin">
        <x:color rgb="FFD7DBE0"/>
      </x:top>
      <x:bottom style="thin">
        <x:color rgb="FFD7DBE0"/>
      </x:bottom>
    </x:border>
  </x:borders>
  <x:cellStyleXfs count="1">
    <x:xf numFmtId="0" fontId="0" fillId="0" borderId="0"/>
  </x:cellStyleXfs>
  <x:cellXfs count="2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horizontal="left" vertical="center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/>
    </x:xf>
    <x:xf numFmtId="0" fontId="3" fillId="5" borderId="3" xfId="0" applyNumberFormat="1" applyFont="1" applyFill="1" applyBorder="1" applyAlignment="1">
      <x:alignment vertical="center"/>
    </x:xf>
    <x:xf numFmtId="0" fontId="3" fillId="5" borderId="4" xfId="0" applyNumberFormat="1" applyFont="1" applyFill="1" applyBorder="1" applyAlignment="1">
      <x:alignment vertical="center"/>
    </x:xf>
    <x:xf numFmtId="0" fontId="3" fillId="5" borderId="5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0" fontId="3" fillId="5" borderId="3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 wrapText="1"/>
    </x:xf>
    <x:xf numFmtId="0" fontId="3" fillId="5" borderId="5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vertical="center"/>
    </x:xf>
    <x:xf numFmtId="0" fontId="2" fillId="6" borderId="7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4" fillId="8" borderId="8" xfId="0" applyNumberFormat="1" applyFont="1" applyFill="1" applyBorder="1" applyAlignment="1">
      <x:alignment vertical="center"/>
    </x:xf>
    <x:xf numFmtId="200" fontId="4" fillId="8" borderId="8" xfId="0" applyNumberFormat="1" applyFont="1" applyFill="1" applyBorder="1" applyAlignment="1">
      <x:alignment vertical="center"/>
    </x:xf>
    <x:xf numFmtId="200" fontId="4" fillId="8" borderId="8" xfId="0" applyNumberFormat="1" applyFont="1" applyFill="1" applyBorder="1" applyAlignment="1">
      <x:alignment horizontal="right"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/>
    </x:xf>
    <x:xf numFmtId="0" fontId="5" fillId="8" borderId="5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 wrapText="1"/>
    </x:xf>
    <x:xf numFmtId="0" fontId="5" fillId="8" borderId="5" xfId="0" applyNumberFormat="1" applyFont="1" applyFill="1" applyBorder="1" applyAlignment="1">
      <x:alignment vertical="center" wrapText="1"/>
    </x:xf>
    <x:xf numFmtId="200" fontId="4" fillId="8" borderId="9" xfId="0" applyNumberFormat="1" applyFont="1" applyFill="1" applyBorder="1" applyAlignment="1">
      <x:alignment horizontal="right" vertical="center"/>
    </x:xf>
    <x:xf numFmtId="201" fontId="4" fillId="8" borderId="8" xfId="0" applyNumberFormat="1" applyFont="1" applyFill="1" applyBorder="1" applyAlignment="1">
      <x:alignment vertical="center"/>
    </x:xf>
    <x:xf numFmtId="201" fontId="4" fillId="8" borderId="8" xfId="0" applyNumberFormat="1" applyFont="1" applyFill="1" applyBorder="1" applyAlignment="1">
      <x:alignment horizontal="right" vertical="center"/>
    </x:xf>
    <x:xf numFmtId="201" fontId="4" fillId="8" borderId="9" xfId="0" applyNumberFormat="1" applyFont="1" applyFill="1" applyBorder="1" applyAlignment="1">
      <x:alignment horizontal="right" vertical="center"/>
    </x:xf>
    <x:xf numFmtId="202" fontId="4" fillId="8" borderId="8" xfId="0" applyNumberFormat="1" applyFont="1" applyFill="1" applyBorder="1" applyAlignment="1">
      <x:alignment vertical="center"/>
    </x:xf>
    <x:xf numFmtId="202" fontId="4" fillId="8" borderId="8" xfId="0" applyNumberFormat="1" applyFont="1" applyFill="1" applyBorder="1" applyAlignment="1">
      <x:alignment horizontal="right" vertical="center"/>
    </x:xf>
    <x:xf numFmtId="202" fontId="4" fillId="8" borderId="9" xfId="0" applyNumberFormat="1" applyFont="1" applyFill="1" applyBorder="1" applyAlignment="1">
      <x:alignment horizontal="right" vertical="center"/>
    </x:xf>
    <x:xf numFmtId="0" fontId="1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/>
    </x:xf>
    <x:xf numFmtId="0" fontId="6" fillId="9" borderId="10" xfId="0" applyNumberFormat="1" applyFont="1" applyFill="1" applyBorder="1" applyAlignment="1">
      <x:alignment vertical="center"/>
    </x:xf>
    <x:xf numFmtId="0" fontId="6" fillId="9" borderId="11" xfId="0" applyNumberFormat="1" applyFont="1" applyFill="1" applyBorder="1" applyAlignment="1">
      <x:alignment vertical="center"/>
    </x:xf>
    <x:xf numFmtId="0" fontId="6" fillId="9" borderId="12" xfId="0" applyNumberFormat="1" applyFont="1" applyFill="1" applyBorder="1" applyAlignment="1">
      <x:alignment vertical="center"/>
    </x:xf>
    <x:xf numFmtId="0" fontId="6" fillId="9" borderId="13" xfId="0" applyNumberFormat="1" applyFont="1" applyFill="1" applyBorder="1" applyAlignment="1">
      <x:alignment vertical="center"/>
    </x:xf>
    <x:xf numFmtId="0" fontId="6" fillId="9" borderId="14" xfId="0" applyNumberFormat="1" applyFont="1" applyFill="1" applyBorder="1" applyAlignment="1">
      <x:alignment vertical="center"/>
    </x:xf>
    <x:xf numFmtId="0" fontId="6" fillId="9" borderId="15" xfId="0" applyNumberFormat="1" applyFont="1" applyFill="1" applyBorder="1" applyAlignment="1">
      <x:alignment vertical="center"/>
    </x:xf>
    <x:xf numFmtId="0" fontId="6" fillId="9" borderId="10" xfId="0" applyNumberFormat="1" applyFont="1" applyFill="1" applyBorder="1" applyAlignment="1">
      <x:alignment vertical="center" wrapText="1"/>
    </x:xf>
    <x:xf numFmtId="0" fontId="6" fillId="9" borderId="11" xfId="0" applyNumberFormat="1" applyFont="1" applyFill="1" applyBorder="1" applyAlignment="1">
      <x:alignment vertical="center" wrapText="1"/>
    </x:xf>
    <x:xf numFmtId="0" fontId="6" fillId="9" borderId="12" xfId="0" applyNumberFormat="1" applyFont="1" applyFill="1" applyBorder="1" applyAlignment="1">
      <x:alignment vertical="center" wrapText="1"/>
    </x:xf>
    <x:xf numFmtId="0" fontId="6" fillId="9" borderId="13" xfId="0" applyNumberFormat="1" applyFont="1" applyFill="1" applyBorder="1" applyAlignment="1">
      <x:alignment vertical="center" wrapText="1"/>
    </x:xf>
    <x:xf numFmtId="0" fontId="6" fillId="9" borderId="14" xfId="0" applyNumberFormat="1" applyFont="1" applyFill="1" applyBorder="1" applyAlignment="1">
      <x:alignment vertical="center" wrapText="1"/>
    </x:xf>
    <x:xf numFmtId="0" fontId="6" fillId="9" borderId="15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6" borderId="7" xfId="0" applyNumberFormat="1" applyFont="1" applyFill="1" applyBorder="1" applyAlignment="1">
      <x:alignment horizontal="left" vertical="center"/>
    </x:xf>
    <x:xf numFmtId="0" fontId="2" fillId="6" borderId="16" xfId="0" applyNumberFormat="1" applyFont="1" applyFill="1" applyBorder="1" applyAlignment="1">
      <x:alignment horizontal="left" vertical="center"/>
    </x:xf>
    <x:xf numFmtId="0" fontId="3" fillId="7" borderId="4" xfId="0" applyNumberFormat="1" applyFont="1" applyFill="1" applyBorder="1" applyAlignment="1">
      <x:alignment vertical="center"/>
    </x:xf>
    <x:xf numFmtId="0" fontId="3" fillId="7" borderId="5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201" fontId="7" fillId="8" borderId="0" xfId="0" applyNumberFormat="1" applyFont="1" applyFill="1" applyBorder="1" applyAlignment="1">
      <x:alignment vertical="center"/>
    </x:xf>
    <x:xf numFmtId="201" fontId="7" fillId="8" borderId="0" xfId="0" applyNumberFormat="1" applyFont="1" applyFill="1" applyBorder="1" applyAlignment="1">
      <x:alignment horizontal="right" vertical="center"/>
    </x:xf>
    <x:xf numFmtId="0" fontId="8" fillId="5" borderId="0" xfId="0" applyNumberFormat="1" applyFont="1" applyFill="1" applyBorder="1" applyAlignment="1">
      <x:alignment vertical="center"/>
    </x:xf>
    <x:xf numFmtId="201" fontId="8" fillId="5" borderId="0" xfId="0" applyNumberFormat="1" applyFont="1" applyFill="1" applyBorder="1" applyAlignment="1">
      <x:alignment vertical="center"/>
    </x:xf>
    <x:xf numFmtId="201" fontId="8" fillId="5" borderId="0" xfId="0" applyNumberFormat="1" applyFont="1" applyFill="1" applyBorder="1" applyAlignment="1">
      <x:alignment horizontal="right"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9" fillId="8" borderId="0" xfId="0" applyNumberFormat="1" applyFont="1" applyFill="1" applyBorder="1" applyAlignment="1">
      <x:alignment vertical="center"/>
    </x:xf>
    <x:xf numFmtId="202" fontId="9" fillId="8" borderId="0" xfId="0" applyNumberFormat="1" applyFont="1" applyFill="1" applyBorder="1" applyAlignment="1">
      <x:alignment vertical="center"/>
    </x:xf>
    <x:xf numFmtId="202" fontId="9" fillId="8" borderId="0" xfId="0" applyNumberFormat="1" applyFont="1" applyFill="1" applyBorder="1" applyAlignment="1">
      <x:alignment horizontal="right" vertical="center"/>
    </x:xf>
    <x:xf numFmtId="200" fontId="7" fillId="8" borderId="0" xfId="0" applyNumberFormat="1" applyFont="1" applyFill="1" applyBorder="1" applyAlignment="1">
      <x:alignment vertical="center"/>
    </x:xf>
    <x:xf numFmtId="200" fontId="7" fillId="8" borderId="0" xfId="0" applyNumberFormat="1" applyFont="1" applyFill="1" applyBorder="1" applyAlignment="1">
      <x:alignment horizontal="right" vertical="center"/>
    </x:xf>
    <x:xf numFmtId="201" fontId="9" fillId="8" borderId="0" xfId="0" applyNumberFormat="1" applyFont="1" applyFill="1" applyBorder="1" applyAlignment="1">
      <x:alignment vertical="center"/>
    </x:xf>
    <x:xf numFmtId="201" fontId="9" fillId="8" borderId="0" xfId="0" applyNumberFormat="1" applyFont="1" applyFill="1" applyBorder="1" applyAlignment="1">
      <x:alignment horizontal="right" vertical="center"/>
    </x:xf>
    <x:xf numFmtId="201" fontId="3" fillId="5" borderId="0" xfId="0" applyNumberFormat="1" applyFont="1" applyFill="1" applyBorder="1" applyAlignment="1">
      <x:alignment vertical="center"/>
    </x:xf>
    <x:xf numFmtId="201" fontId="3" fillId="5" borderId="0" xfId="0" applyNumberFormat="1" applyFont="1" applyFill="1" applyBorder="1" applyAlignment="1">
      <x:alignment horizontal="right" vertical="center"/>
    </x:xf>
    <x:xf numFmtId="202" fontId="7" fillId="8" borderId="0" xfId="0" applyNumberFormat="1" applyFont="1" applyFill="1" applyBorder="1" applyAlignment="1">
      <x:alignment vertical="center"/>
    </x:xf>
    <x:xf numFmtId="202" fontId="7" fillId="8" borderId="0" xfId="0" applyNumberFormat="1" applyFont="1" applyFill="1" applyBorder="1" applyAlignment="1">
      <x:alignment horizontal="right" vertical="center"/>
    </x:xf>
    <x:xf numFmtId="0" fontId="3" fillId="6" borderId="0" xfId="0" applyNumberFormat="1" applyFont="1" applyFill="1" applyBorder="1" applyAlignment="1">
      <x:alignment vertical="center"/>
    </x:xf>
    <x:xf numFmtId="0" fontId="3" fillId="6" borderId="4" xfId="0" applyNumberFormat="1" applyFont="1" applyFill="1" applyBorder="1" applyAlignment="1">
      <x:alignment vertical="center"/>
    </x:xf>
    <x:xf numFmtId="0" fontId="3" fillId="6" borderId="5" xfId="0" applyNumberFormat="1" applyFont="1" applyFill="1" applyBorder="1" applyAlignment="1">
      <x:alignment vertical="center"/>
    </x:xf>
    <x:xf numFmtId="0" fontId="2" fillId="6" borderId="4" xfId="0" applyNumberFormat="1" applyFont="1" applyFill="1" applyBorder="1" applyAlignment="1">
      <x:alignment vertical="center"/>
    </x:xf>
    <x:xf numFmtId="0" fontId="2" fillId="6" borderId="5" xfId="0" applyNumberFormat="1" applyFont="1" applyFill="1" applyBorder="1" applyAlignment="1">
      <x:alignment vertical="center"/>
    </x:xf>
    <x:xf numFmtId="0" fontId="2" fillId="6" borderId="16" xfId="0" applyNumberFormat="1" applyFont="1" applyFill="1" applyBorder="1" applyAlignment="1">
      <x:alignment vertical="center"/>
    </x:xf>
    <x:xf numFmtId="0" fontId="2" fillId="6" borderId="17" xfId="0" applyNumberFormat="1" applyFont="1" applyFill="1" applyBorder="1" applyAlignment="1">
      <x:alignment vertical="center"/>
    </x:xf>
    <x:xf numFmtId="0" fontId="2" fillId="3" borderId="18" xfId="0" applyNumberFormat="1" applyFont="1" applyFill="1" applyBorder="1" applyAlignment="1">
      <x:alignment vertical="center"/>
    </x:xf>
    <x:xf numFmtId="0" fontId="2" fillId="3" borderId="19" xfId="0" applyNumberFormat="1" applyFont="1" applyFill="1" applyBorder="1" applyAlignment="1">
      <x:alignment vertical="center"/>
    </x:xf>
    <x:xf numFmtId="0" fontId="2" fillId="3" borderId="18" xfId="0" applyNumberFormat="1" applyFont="1" applyFill="1" applyBorder="1" applyAlignment="1">
      <x:alignment horizontal="center" vertical="center"/>
    </x:xf>
    <x:xf numFmtId="0" fontId="2" fillId="3" borderId="19" xfId="0" applyNumberFormat="1" applyFont="1" applyFill="1" applyBorder="1" applyAlignment="1">
      <x:alignment horizontal="center" vertical="center"/>
    </x:xf>
    <x:xf numFmtId="0" fontId="10" fillId="8" borderId="0" xfId="0" applyNumberFormat="1" applyFont="1" applyFill="1" applyBorder="1" applyAlignment="1">
      <x:alignment vertical="center"/>
    </x:xf>
    <x:xf numFmtId="0" fontId="10" fillId="8" borderId="1" xfId="0" applyNumberFormat="1" applyFont="1" applyFill="1" applyBorder="1" applyAlignment="1">
      <x:alignment vertical="center"/>
    </x:xf>
    <x:xf numFmtId="0" fontId="10" fillId="8" borderId="3" xfId="0" applyNumberFormat="1" applyFont="1" applyFill="1" applyBorder="1" applyAlignment="1">
      <x:alignment vertical="center"/>
    </x:xf>
    <x:xf numFmtId="0" fontId="10" fillId="8" borderId="20" xfId="0" applyNumberFormat="1" applyFont="1" applyFill="1" applyBorder="1" applyAlignment="1">
      <x:alignment vertical="center"/>
    </x:xf>
    <x:xf numFmtId="0" fontId="10" fillId="8" borderId="21" xfId="0" applyNumberFormat="1" applyFont="1" applyFill="1" applyBorder="1" applyAlignment="1">
      <x:alignment vertical="center"/>
    </x:xf>
    <x:xf numFmtId="0" fontId="10" fillId="8" borderId="4" xfId="0" applyNumberFormat="1" applyFont="1" applyFill="1" applyBorder="1" applyAlignment="1">
      <x:alignment vertical="center"/>
    </x:xf>
    <x:xf numFmtId="0" fontId="10" fillId="8" borderId="6" xfId="0" applyNumberFormat="1" applyFont="1" applyFill="1" applyBorder="1" applyAlignment="1">
      <x:alignment vertical="center"/>
    </x:xf>
    <x:xf numFmtId="201" fontId="10" fillId="8" borderId="1" xfId="0" applyNumberFormat="1" applyFont="1" applyFill="1" applyBorder="1" applyAlignment="1">
      <x:alignment vertical="center"/>
    </x:xf>
    <x:xf numFmtId="201" fontId="10" fillId="8" borderId="3" xfId="0" applyNumberFormat="1" applyFont="1" applyFill="1" applyBorder="1" applyAlignment="1">
      <x:alignment vertical="center"/>
    </x:xf>
    <x:xf numFmtId="201" fontId="10" fillId="8" borderId="20" xfId="0" applyNumberFormat="1" applyFont="1" applyFill="1" applyBorder="1" applyAlignment="1">
      <x:alignment vertical="center"/>
    </x:xf>
    <x:xf numFmtId="201" fontId="10" fillId="8" borderId="21" xfId="0" applyNumberFormat="1" applyFont="1" applyFill="1" applyBorder="1" applyAlignment="1">
      <x:alignment vertical="center"/>
    </x:xf>
    <x:xf numFmtId="201" fontId="10" fillId="8" borderId="4" xfId="0" applyNumberFormat="1" applyFont="1" applyFill="1" applyBorder="1" applyAlignment="1">
      <x:alignment vertical="center"/>
    </x:xf>
    <x:xf numFmtId="201" fontId="10" fillId="8" borderId="6" xfId="0" applyNumberFormat="1" applyFont="1" applyFill="1" applyBorder="1" applyAlignment="1">
      <x:alignment vertical="center"/>
    </x:xf>
    <x:xf numFmtId="201" fontId="10" fillId="8" borderId="1" xfId="0" applyNumberFormat="1" applyFont="1" applyFill="1" applyBorder="1" applyAlignment="1">
      <x:alignment horizontal="center" vertical="center"/>
    </x:xf>
    <x:xf numFmtId="201" fontId="10" fillId="8" borderId="3" xfId="0" applyNumberFormat="1" applyFont="1" applyFill="1" applyBorder="1" applyAlignment="1">
      <x:alignment horizontal="center" vertical="center"/>
    </x:xf>
    <x:xf numFmtId="201" fontId="10" fillId="8" borderId="20" xfId="0" applyNumberFormat="1" applyFont="1" applyFill="1" applyBorder="1" applyAlignment="1">
      <x:alignment horizontal="center" vertical="center"/>
    </x:xf>
    <x:xf numFmtId="201" fontId="10" fillId="8" borderId="21" xfId="0" applyNumberFormat="1" applyFont="1" applyFill="1" applyBorder="1" applyAlignment="1">
      <x:alignment horizontal="center" vertical="center"/>
    </x:xf>
    <x:xf numFmtId="201" fontId="10" fillId="8" borderId="4" xfId="0" applyNumberFormat="1" applyFont="1" applyFill="1" applyBorder="1" applyAlignment="1">
      <x:alignment horizontal="center" vertical="center"/>
    </x:xf>
    <x:xf numFmtId="201" fontId="10" fillId="8" borderId="6" xfId="0" applyNumberFormat="1" applyFont="1" applyFill="1" applyBorder="1" applyAlignment="1">
      <x:alignment horizontal="center" vertical="center"/>
    </x:xf>
    <x:xf numFmtId="202" fontId="10" fillId="8" borderId="1" xfId="0" applyNumberFormat="1" applyFont="1" applyFill="1" applyBorder="1" applyAlignment="1">
      <x:alignment vertical="center"/>
    </x:xf>
    <x:xf numFmtId="202" fontId="10" fillId="8" borderId="3" xfId="0" applyNumberFormat="1" applyFont="1" applyFill="1" applyBorder="1" applyAlignment="1">
      <x:alignment vertical="center"/>
    </x:xf>
    <x:xf numFmtId="202" fontId="10" fillId="8" borderId="20" xfId="0" applyNumberFormat="1" applyFont="1" applyFill="1" applyBorder="1" applyAlignment="1">
      <x:alignment vertical="center"/>
    </x:xf>
    <x:xf numFmtId="202" fontId="10" fillId="8" borderId="21" xfId="0" applyNumberFormat="1" applyFont="1" applyFill="1" applyBorder="1" applyAlignment="1">
      <x:alignment vertical="center"/>
    </x:xf>
    <x:xf numFmtId="202" fontId="10" fillId="8" borderId="4" xfId="0" applyNumberFormat="1" applyFont="1" applyFill="1" applyBorder="1" applyAlignment="1">
      <x:alignment vertical="center"/>
    </x:xf>
    <x:xf numFmtId="202" fontId="10" fillId="8" borderId="6" xfId="0" applyNumberFormat="1" applyFont="1" applyFill="1" applyBorder="1" applyAlignment="1">
      <x:alignment vertical="center"/>
    </x:xf>
    <x:xf numFmtId="202" fontId="10" fillId="8" borderId="1" xfId="0" applyNumberFormat="1" applyFont="1" applyFill="1" applyBorder="1" applyAlignment="1">
      <x:alignment horizontal="center" vertical="center"/>
    </x:xf>
    <x:xf numFmtId="202" fontId="10" fillId="8" borderId="3" xfId="0" applyNumberFormat="1" applyFont="1" applyFill="1" applyBorder="1" applyAlignment="1">
      <x:alignment horizontal="center" vertical="center"/>
    </x:xf>
    <x:xf numFmtId="202" fontId="10" fillId="8" borderId="20" xfId="0" applyNumberFormat="1" applyFont="1" applyFill="1" applyBorder="1" applyAlignment="1">
      <x:alignment horizontal="center" vertical="center"/>
    </x:xf>
    <x:xf numFmtId="202" fontId="10" fillId="8" borderId="21" xfId="0" applyNumberFormat="1" applyFont="1" applyFill="1" applyBorder="1" applyAlignment="1">
      <x:alignment horizontal="center" vertical="center"/>
    </x:xf>
    <x:xf numFmtId="202" fontId="10" fillId="8" borderId="4" xfId="0" applyNumberFormat="1" applyFont="1" applyFill="1" applyBorder="1" applyAlignment="1">
      <x:alignment horizontal="center" vertical="center"/>
    </x:xf>
    <x:xf numFmtId="202" fontId="10" fillId="8" borderId="6" xfId="0" applyNumberFormat="1" applyFont="1" applyFill="1" applyBorder="1" applyAlignment="1">
      <x:alignment horizontal="center" vertical="center"/>
    </x:xf>
    <x:xf numFmtId="0" fontId="2" fillId="6" borderId="16" xfId="0" applyNumberFormat="1" applyFont="1" applyFill="1" applyBorder="1" applyAlignment="1">
      <x:alignment horizontal="right" vertical="center"/>
    </x:xf>
    <x:xf numFmtId="200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horizontal="right" vertical="center"/>
    </x:xf>
    <x:xf numFmtId="201" fontId="1" fillId="8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horizontal="right" vertical="center"/>
    </x:xf>
    <x:xf numFmtId="202" fontId="1" fillId="8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horizontal="right"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1" fontId="1" fillId="5" borderId="0" xfId="0" applyNumberFormat="1" applyFont="1" applyFill="1" applyBorder="1" applyAlignment="1">
      <x:alignment horizontal="right" vertical="center"/>
    </x:xf>
    <x:xf numFmtId="202" fontId="1" fillId="5" borderId="0" xfId="0" applyNumberFormat="1" applyFont="1" applyFill="1" applyBorder="1" applyAlignment="1">
      <x:alignment horizontal="right" vertical="center"/>
    </x:xf>
    <x:xf numFmtId="200" fontId="3" fillId="5" borderId="0" xfId="0" applyNumberFormat="1" applyFont="1" applyFill="1" applyBorder="1" applyAlignment="1">
      <x:alignment horizontal="right" vertical="center"/>
    </x:xf>
    <x:xf numFmtId="202" fontId="3" fillId="5" borderId="0" xfId="0" applyNumberFormat="1" applyFont="1" applyFill="1" applyBorder="1" applyAlignment="1">
      <x:alignment horizontal="right" vertical="center"/>
    </x:xf>
    <x:xf numFmtId="0" fontId="10" fillId="5" borderId="0" xfId="0" applyNumberFormat="1" applyFont="1" applyFill="1" applyBorder="1" applyAlignment="1">
      <x:alignment vertical="center"/>
    </x:xf>
    <x:xf numFmtId="0" fontId="10" fillId="5" borderId="22" xfId="0" applyNumberFormat="1" applyFont="1" applyFill="1" applyBorder="1" applyAlignment="1">
      <x:alignment vertical="center"/>
    </x:xf>
    <x:xf numFmtId="0" fontId="10" fillId="5" borderId="23" xfId="0" applyNumberFormat="1" applyFont="1" applyFill="1" applyBorder="1" applyAlignment="1">
      <x:alignment vertical="center"/>
    </x:xf>
    <x:xf numFmtId="0" fontId="10" fillId="5" borderId="24" xfId="0" applyNumberFormat="1" applyFont="1" applyFill="1" applyBorder="1" applyAlignment="1">
      <x:alignment vertical="center"/>
    </x:xf>
    <x:xf numFmtId="0" fontId="10" fillId="5" borderId="25" xfId="0" applyNumberFormat="1" applyFont="1" applyFill="1" applyBorder="1" applyAlignment="1">
      <x:alignment vertical="center"/>
    </x:xf>
    <x:xf numFmtId="0" fontId="10" fillId="5" borderId="16" xfId="0" applyNumberFormat="1" applyFont="1" applyFill="1" applyBorder="1" applyAlignment="1">
      <x:alignment vertical="center"/>
    </x:xf>
    <x:xf numFmtId="0" fontId="10" fillId="5" borderId="26" xfId="0" applyNumberFormat="1" applyFont="1" applyFill="1" applyBorder="1" applyAlignment="1">
      <x:alignment vertical="center"/>
    </x:xf>
    <x:xf numFmtId="0" fontId="10" fillId="5" borderId="22" xfId="0" applyNumberFormat="1" applyFont="1" applyFill="1" applyBorder="1" applyAlignment="1">
      <x:alignment vertical="center" wrapText="1"/>
    </x:xf>
    <x:xf numFmtId="0" fontId="10" fillId="5" borderId="23" xfId="0" applyNumberFormat="1" applyFont="1" applyFill="1" applyBorder="1" applyAlignment="1">
      <x:alignment vertical="center" wrapText="1"/>
    </x:xf>
    <x:xf numFmtId="0" fontId="10" fillId="5" borderId="24" xfId="0" applyNumberFormat="1" applyFont="1" applyFill="1" applyBorder="1" applyAlignment="1">
      <x:alignment vertical="center" wrapText="1"/>
    </x:xf>
    <x:xf numFmtId="0" fontId="10" fillId="5" borderId="25" xfId="0" applyNumberFormat="1" applyFont="1" applyFill="1" applyBorder="1" applyAlignment="1">
      <x:alignment vertical="center" wrapText="1"/>
    </x:xf>
    <x:xf numFmtId="0" fontId="10" fillId="5" borderId="16" xfId="0" applyNumberFormat="1" applyFont="1" applyFill="1" applyBorder="1" applyAlignment="1">
      <x:alignment vertical="center" wrapText="1"/>
    </x:xf>
    <x:xf numFmtId="0" fontId="10" fillId="5" borderId="26" xfId="0" applyNumberFormat="1" applyFont="1" applyFill="1" applyBorder="1" applyAlignment="1">
      <x:alignment vertical="center" wrapText="1"/>
    </x:xf>
    <x:xf numFmtId="0" fontId="10" fillId="5" borderId="22" xfId="0" applyNumberFormat="1" applyFont="1" applyFill="1" applyBorder="1" applyAlignment="1">
      <x:alignment horizontal="center" vertical="center" wrapText="1"/>
    </x:xf>
    <x:xf numFmtId="0" fontId="10" fillId="5" borderId="23" xfId="0" applyNumberFormat="1" applyFont="1" applyFill="1" applyBorder="1" applyAlignment="1">
      <x:alignment horizontal="center" vertical="center" wrapText="1"/>
    </x:xf>
    <x:xf numFmtId="0" fontId="10" fillId="5" borderId="24" xfId="0" applyNumberFormat="1" applyFont="1" applyFill="1" applyBorder="1" applyAlignment="1">
      <x:alignment horizontal="center" vertical="center" wrapText="1"/>
    </x:xf>
    <x:xf numFmtId="0" fontId="10" fillId="5" borderId="25" xfId="0" applyNumberFormat="1" applyFont="1" applyFill="1" applyBorder="1" applyAlignment="1">
      <x:alignment horizontal="center" vertical="center" wrapText="1"/>
    </x:xf>
    <x:xf numFmtId="0" fontId="10" fillId="5" borderId="16" xfId="0" applyNumberFormat="1" applyFont="1" applyFill="1" applyBorder="1" applyAlignment="1">
      <x:alignment horizontal="center" vertical="center" wrapText="1"/>
    </x:xf>
    <x:xf numFmtId="0" fontId="10" fillId="5" borderId="26" xfId="0" applyNumberFormat="1" applyFont="1" applyFill="1" applyBorder="1" applyAlignment="1">
      <x:alignment horizontal="center" vertical="center" wrapText="1"/>
    </x:xf>
    <x:xf numFmtId="0" fontId="11" fillId="7" borderId="0" xfId="0" applyNumberFormat="1" applyFont="1" applyFill="1" applyBorder="1" applyAlignment="1">
      <x:alignment vertical="center"/>
    </x:xf>
    <x:xf numFmtId="0" fontId="11" fillId="7" borderId="0" xfId="0" applyNumberFormat="1" applyFont="1" applyFill="1" applyBorder="1" applyAlignment="1">
      <x:alignment horizontal="center" vertical="center"/>
    </x:xf>
    <x:xf numFmtId="0" fontId="12" fillId="8" borderId="0" xfId="0" applyNumberFormat="1" applyFont="1" applyFill="1" applyBorder="1" applyAlignment="1">
      <x:alignment vertical="center"/>
    </x:xf>
    <x:xf numFmtId="0" fontId="12" fillId="8" borderId="27" xfId="0" applyNumberFormat="1" applyFont="1" applyFill="1" applyBorder="1" applyAlignment="1">
      <x:alignment vertical="center"/>
    </x:xf>
    <x:xf numFmtId="0" fontId="12" fillId="8" borderId="28" xfId="0" applyNumberFormat="1" applyFont="1" applyFill="1" applyBorder="1" applyAlignment="1">
      <x:alignment vertical="center"/>
    </x:xf>
    <x:xf numFmtId="0" fontId="12" fillId="8" borderId="27" xfId="0" applyNumberFormat="1" applyFont="1" applyFill="1" applyBorder="1" applyAlignment="1">
      <x:alignment horizontal="center" vertical="center"/>
    </x:xf>
    <x:xf numFmtId="0" fontId="12" fillId="8" borderId="28" xfId="0" applyNumberFormat="1" applyFont="1" applyFill="1" applyBorder="1" applyAlignment="1">
      <x:alignment horizontal="center" vertical="center"/>
    </x:xf>
    <x:xf numFmtId="0" fontId="13" fillId="9" borderId="0" xfId="0" applyNumberFormat="1" applyFont="1" applyFill="1" applyBorder="1" applyAlignment="1">
      <x:alignment vertical="center"/>
    </x:xf>
    <x:xf numFmtId="0" fontId="13" fillId="9" borderId="27" xfId="0" applyNumberFormat="1" applyFont="1" applyFill="1" applyBorder="1" applyAlignment="1">
      <x:alignment vertical="center"/>
    </x:xf>
    <x:xf numFmtId="0" fontId="13" fillId="9" borderId="28" xfId="0" applyNumberFormat="1" applyFont="1" applyFill="1" applyBorder="1" applyAlignment="1">
      <x:alignment vertical="center"/>
    </x:xf>
    <x:xf numFmtId="0" fontId="13" fillId="9" borderId="27" xfId="0" applyNumberFormat="1" applyFont="1" applyFill="1" applyBorder="1" applyAlignment="1">
      <x:alignment vertical="center" wrapText="1"/>
    </x:xf>
    <x:xf numFmtId="0" fontId="13" fillId="9" borderId="28" xfId="0" applyNumberFormat="1" applyFont="1" applyFill="1" applyBorder="1" applyAlignment="1">
      <x:alignment vertical="center" wrapText="1"/>
    </x:xf>
    <x:xf numFmtId="0" fontId="13" fillId="9" borderId="27" xfId="0" applyNumberFormat="1" applyFont="1" applyFill="1" applyBorder="1" applyAlignment="1">
      <x:alignment horizontal="center" vertical="center" wrapText="1"/>
    </x:xf>
    <x:xf numFmtId="0" fontId="13" fillId="9" borderId="28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vertical="center"/>
    </x:xf>
    <x:xf numFmtId="0" fontId="3" fillId="8" borderId="2" xfId="0" applyNumberFormat="1" applyFont="1" applyFill="1" applyBorder="1" applyAlignment="1">
      <x:alignment vertical="center"/>
    </x:xf>
    <x:xf numFmtId="0" fontId="3" fillId="8" borderId="3" xfId="0" applyNumberFormat="1" applyFont="1" applyFill="1" applyBorder="1" applyAlignment="1">
      <x:alignment vertical="center"/>
    </x:xf>
    <x:xf numFmtId="0" fontId="3" fillId="8" borderId="4" xfId="0" applyNumberFormat="1" applyFont="1" applyFill="1" applyBorder="1" applyAlignment="1">
      <x:alignment vertical="center"/>
    </x:xf>
    <x:xf numFmtId="0" fontId="3" fillId="8" borderId="5" xfId="0" applyNumberFormat="1" applyFont="1" applyFill="1" applyBorder="1" applyAlignment="1">
      <x:alignment vertical="center"/>
    </x:xf>
    <x:xf numFmtId="0" fontId="3" fillId="8" borderId="6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vertical="center" wrapText="1"/>
    </x:xf>
    <x:xf numFmtId="0" fontId="3" fillId="8" borderId="2" xfId="0" applyNumberFormat="1" applyFont="1" applyFill="1" applyBorder="1" applyAlignment="1">
      <x:alignment vertical="center" wrapText="1"/>
    </x:xf>
    <x:xf numFmtId="0" fontId="3" fillId="8" borderId="3" xfId="0" applyNumberFormat="1" applyFont="1" applyFill="1" applyBorder="1" applyAlignment="1">
      <x:alignment vertical="center" wrapText="1"/>
    </x:xf>
    <x:xf numFmtId="0" fontId="3" fillId="8" borderId="4" xfId="0" applyNumberFormat="1" applyFont="1" applyFill="1" applyBorder="1" applyAlignment="1">
      <x:alignment vertical="center" wrapText="1"/>
    </x:xf>
    <x:xf numFmtId="0" fontId="3" fillId="8" borderId="5" xfId="0" applyNumberFormat="1" applyFont="1" applyFill="1" applyBorder="1" applyAlignment="1">
      <x:alignment vertical="center" wrapText="1"/>
    </x:xf>
    <x:xf numFmtId="0" fontId="3" fillId="8" borderId="6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/>
    </x:xf>
    <x:xf numFmtId="0" fontId="1" fillId="8" borderId="2" xfId="0" applyNumberFormat="1" applyFont="1" applyFill="1" applyBorder="1" applyAlignment="1">
      <x:alignment vertical="center"/>
    </x:xf>
    <x:xf numFmtId="0" fontId="1" fillId="8" borderId="3" xfId="0" applyNumberFormat="1" applyFont="1" applyFill="1" applyBorder="1" applyAlignment="1">
      <x:alignment vertical="center"/>
    </x:xf>
    <x:xf numFmtId="0" fontId="1" fillId="8" borderId="20" xfId="0" applyNumberFormat="1" applyFont="1" applyFill="1" applyBorder="1" applyAlignment="1">
      <x:alignment vertical="center"/>
    </x:xf>
    <x:xf numFmtId="0" fontId="1" fillId="8" borderId="21" xfId="0" applyNumberFormat="1" applyFont="1" applyFill="1" applyBorder="1" applyAlignment="1">
      <x:alignment vertical="center"/>
    </x:xf>
    <x:xf numFmtId="0" fontId="1" fillId="8" borderId="4" xfId="0" applyNumberFormat="1" applyFont="1" applyFill="1" applyBorder="1" applyAlignment="1">
      <x:alignment vertical="center"/>
    </x:xf>
    <x:xf numFmtId="0" fontId="1" fillId="8" borderId="5" xfId="0" applyNumberFormat="1" applyFont="1" applyFill="1" applyBorder="1" applyAlignment="1">
      <x:alignment vertical="center"/>
    </x:xf>
    <x:xf numFmtId="0" fontId="1" fillId="8" borderId="6" xfId="0" applyNumberFormat="1" applyFont="1" applyFill="1" applyBorder="1" applyAlignment="1">
      <x:alignment vertical="center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2" xfId="0" applyNumberFormat="1" applyFont="1" applyFill="1" applyBorder="1" applyAlignment="1">
      <x:alignment vertical="center" wrapText="1"/>
    </x:xf>
    <x:xf numFmtId="0" fontId="1" fillId="8" borderId="3" xfId="0" applyNumberFormat="1" applyFont="1" applyFill="1" applyBorder="1" applyAlignment="1">
      <x:alignment vertical="center" wrapText="1"/>
    </x:xf>
    <x:xf numFmtId="0" fontId="1" fillId="8" borderId="2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21" xfId="0" applyNumberFormat="1" applyFont="1" applyFill="1" applyBorder="1" applyAlignment="1">
      <x:alignment vertical="center" wrapText="1"/>
    </x:xf>
    <x:xf numFmtId="0" fontId="1" fillId="8" borderId="4" xfId="0" applyNumberFormat="1" applyFont="1" applyFill="1" applyBorder="1" applyAlignment="1">
      <x:alignment vertical="center" wrapText="1"/>
    </x:xf>
    <x:xf numFmtId="0" fontId="1" fillId="8" borderId="5" xfId="0" applyNumberFormat="1" applyFont="1" applyFill="1" applyBorder="1" applyAlignment="1">
      <x:alignment vertical="center" wrapText="1"/>
    </x:xf>
    <x:xf numFmtId="0" fontId="1" fillId="8" borderId="6" xfId="0" applyNumberFormat="1" applyFont="1" applyFill="1" applyBorder="1" applyAlignment="1">
      <x:alignment vertical="center" wrapText="1"/>
    </x:xf>
    <x:xf numFmtId="0" fontId="3" fillId="5" borderId="27" xfId="0" applyNumberFormat="1" applyFont="1" applyFill="1" applyBorder="1" applyAlignment="1">
      <x:alignment vertical="center"/>
    </x:xf>
    <x:xf numFmtId="0" fontId="3" fillId="5" borderId="29" xfId="0" applyNumberFormat="1" applyFont="1" applyFill="1" applyBorder="1" applyAlignment="1">
      <x:alignment vertical="center"/>
    </x:xf>
    <x:xf numFmtId="0" fontId="3" fillId="5" borderId="28" xfId="0" applyNumberFormat="1" applyFont="1" applyFill="1" applyBorder="1" applyAlignment="1">
      <x:alignment vertical="center"/>
    </x:xf>
    <x:xf numFmtId="0" fontId="3" fillId="5" borderId="27" xfId="0" applyNumberFormat="1" applyFont="1" applyFill="1" applyBorder="1" applyAlignment="1">
      <x:alignment horizontal="center" vertical="center"/>
    </x:xf>
    <x:xf numFmtId="0" fontId="3" fillId="5" borderId="29" xfId="0" applyNumberFormat="1" applyFont="1" applyFill="1" applyBorder="1" applyAlignment="1">
      <x:alignment horizontal="center" vertical="center"/>
    </x:xf>
    <x:xf numFmtId="0" fontId="3" fillId="5" borderId="28" xfId="0" applyNumberFormat="1" applyFont="1" applyFill="1" applyBorder="1" applyAlignment="1">
      <x:alignment horizontal="center" vertical="center"/>
    </x:xf>
    <x:xf numFmtId="0" fontId="14" fillId="2" borderId="0" xfId="0" applyNumberFormat="1" applyFont="1" applyFill="1" applyBorder="1" applyAlignment="1">
      <x:alignment vertical="center"/>
    </x:xf>
    <x:xf numFmtId="0" fontId="12" fillId="8" borderId="29" xfId="0" applyNumberFormat="1" applyFont="1" applyFill="1" applyBorder="1" applyAlignment="1">
      <x:alignment vertical="center"/>
    </x:xf>
    <x:xf numFmtId="0" fontId="12" fillId="8" borderId="29" xfId="0" applyNumberFormat="1" applyFont="1" applyFill="1" applyBorder="1" applyAlignment="1">
      <x:alignment horizontal="center" vertical="center"/>
    </x:xf>
    <x:xf numFmtId="200" fontId="1" fillId="2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vertical="center" wrapText="1"/>
    </x:xf>
    <x:xf numFmtId="0" fontId="6" fillId="9" borderId="27" xfId="0" applyNumberFormat="1" applyFont="1" applyFill="1" applyBorder="1" applyAlignment="1">
      <x:alignment vertical="center"/>
    </x:xf>
    <x:xf numFmtId="0" fontId="6" fillId="9" borderId="29" xfId="0" applyNumberFormat="1" applyFont="1" applyFill="1" applyBorder="1" applyAlignment="1">
      <x:alignment vertical="center"/>
    </x:xf>
    <x:xf numFmtId="0" fontId="6" fillId="9" borderId="28" xfId="0" applyNumberFormat="1" applyFont="1" applyFill="1" applyBorder="1" applyAlignment="1">
      <x:alignment vertical="center"/>
    </x:xf>
    <x:xf numFmtId="0" fontId="6" fillId="9" borderId="27" xfId="0" applyNumberFormat="1" applyFont="1" applyFill="1" applyBorder="1" applyAlignment="1">
      <x:alignment horizontal="center" vertical="center"/>
    </x:xf>
    <x:xf numFmtId="0" fontId="6" fillId="9" borderId="29" xfId="0" applyNumberFormat="1" applyFont="1" applyFill="1" applyBorder="1" applyAlignment="1">
      <x:alignment horizontal="center" vertical="center"/>
    </x:xf>
    <x:xf numFmtId="0" fontId="6" fillId="9" borderId="28" xfId="0" applyNumberFormat="1" applyFont="1" applyFill="1" applyBorder="1" applyAlignment="1">
      <x:alignment horizontal="center" vertical="center"/>
    </x:xf>
    <x:xf numFmtId="0" fontId="3" fillId="5" borderId="20" xfId="0" applyNumberFormat="1" applyFont="1" applyFill="1" applyBorder="1" applyAlignment="1">
      <x:alignment vertical="center"/>
    </x:xf>
    <x:xf numFmtId="0" fontId="3" fillId="5" borderId="21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horizontal="left" vertical="center"/>
    </x:xf>
    <x:xf numFmtId="0" fontId="3" fillId="5" borderId="2" xfId="0" applyNumberFormat="1" applyFont="1" applyFill="1" applyBorder="1" applyAlignment="1">
      <x:alignment horizontal="left" vertical="center"/>
    </x:xf>
    <x:xf numFmtId="0" fontId="3" fillId="5" borderId="3" xfId="0" applyNumberFormat="1" applyFont="1" applyFill="1" applyBorder="1" applyAlignment="1">
      <x:alignment horizontal="left" vertical="center"/>
    </x:xf>
    <x:xf numFmtId="0" fontId="3" fillId="5" borderId="20" xfId="0" applyNumberFormat="1" applyFont="1" applyFill="1" applyBorder="1" applyAlignment="1">
      <x:alignment horizontal="left" vertical="center"/>
    </x:xf>
    <x:xf numFmtId="0" fontId="3" fillId="5" borderId="0" xfId="0" applyNumberFormat="1" applyFont="1" applyFill="1" applyBorder="1" applyAlignment="1">
      <x:alignment horizontal="left" vertical="center"/>
    </x:xf>
    <x:xf numFmtId="0" fontId="3" fillId="5" borderId="21" xfId="0" applyNumberFormat="1" applyFont="1" applyFill="1" applyBorder="1" applyAlignment="1">
      <x:alignment horizontal="left" vertical="center"/>
    </x:xf>
    <x:xf numFmtId="0" fontId="3" fillId="5" borderId="4" xfId="0" applyNumberFormat="1" applyFont="1" applyFill="1" applyBorder="1" applyAlignment="1">
      <x:alignment horizontal="left" vertical="center"/>
    </x:xf>
    <x:xf numFmtId="0" fontId="3" fillId="5" borderId="5" xfId="0" applyNumberFormat="1" applyFont="1" applyFill="1" applyBorder="1" applyAlignment="1">
      <x:alignment horizontal="left" vertical="center"/>
    </x:xf>
    <x:xf numFmtId="0" fontId="3" fillId="5" borderId="6" xfId="0" applyNumberFormat="1" applyFont="1" applyFill="1" applyBorder="1" applyAlignment="1">
      <x:alignment horizontal="left" vertical="center"/>
    </x:xf>
    <x:xf numFmtId="0" fontId="12" fillId="8" borderId="1" xfId="0" applyNumberFormat="1" applyFont="1" applyFill="1" applyBorder="1" applyAlignment="1">
      <x:alignment vertical="center"/>
    </x:xf>
    <x:xf numFmtId="0" fontId="12" fillId="8" borderId="3" xfId="0" applyNumberFormat="1" applyFont="1" applyFill="1" applyBorder="1" applyAlignment="1">
      <x:alignment vertical="center"/>
    </x:xf>
    <x:xf numFmtId="0" fontId="12" fillId="8" borderId="4" xfId="0" applyNumberFormat="1" applyFont="1" applyFill="1" applyBorder="1" applyAlignment="1">
      <x:alignment vertical="center"/>
    </x:xf>
    <x:xf numFmtId="0" fontId="12" fillId="8" borderId="6" xfId="0" applyNumberFormat="1" applyFont="1" applyFill="1" applyBorder="1" applyAlignment="1">
      <x:alignment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8" borderId="3" xfId="0" applyNumberFormat="1" applyFont="1" applyFill="1" applyBorder="1" applyAlignment="1">
      <x:alignment horizontal="center" vertical="center"/>
    </x:xf>
    <x:xf numFmtId="0" fontId="12" fillId="8" borderId="4" xfId="0" applyNumberFormat="1" applyFont="1" applyFill="1" applyBorder="1" applyAlignment="1">
      <x:alignment horizontal="center" vertical="center"/>
    </x:xf>
    <x:xf numFmtId="0" fontId="12" fillId="8" borderId="6" xfId="0" applyNumberFormat="1" applyFont="1" applyFill="1" applyBorder="1" applyAlignment="1">
      <x:alignment horizontal="center" vertical="center"/>
    </x:xf>
    <x:xf numFmtId="0" fontId="10" fillId="5" borderId="27" xfId="0" applyNumberFormat="1" applyFont="1" applyFill="1" applyBorder="1" applyAlignment="1">
      <x:alignment vertical="center"/>
    </x:xf>
    <x:xf numFmtId="0" fontId="10" fillId="5" borderId="28" xfId="0" applyNumberFormat="1" applyFont="1" applyFill="1" applyBorder="1" applyAlignment="1">
      <x:alignment vertical="center"/>
    </x:xf>
    <x:xf numFmtId="0" fontId="10" fillId="5" borderId="27" xfId="0" applyNumberFormat="1" applyFont="1" applyFill="1" applyBorder="1" applyAlignment="1">
      <x:alignment horizontal="center" vertical="center"/>
    </x:xf>
    <x:xf numFmtId="0" fontId="10" fillId="5" borderId="28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0" fontId="1" fillId="8" borderId="4" xfId="0" applyNumberFormat="1" applyFont="1" applyFill="1" applyBorder="1" applyAlignment="1">
      <x:alignment horizontal="center" vertical="center" wrapText="1"/>
    </x:xf>
    <x:xf numFmtId="0" fontId="1" fillId="8" borderId="6" xfId="0" applyNumberFormat="1" applyFont="1" applyFill="1" applyBorder="1" applyAlignment="1">
      <x:alignment horizontal="center" vertical="center" wrapText="1"/>
    </x:xf>
    <x:xf numFmtId="0" fontId="6" fillId="9" borderId="1" xfId="0" applyNumberFormat="1" applyFont="1" applyFill="1" applyBorder="1" applyAlignment="1">
      <x:alignment vertical="center"/>
    </x:xf>
    <x:xf numFmtId="0" fontId="6" fillId="9" borderId="2" xfId="0" applyNumberFormat="1" applyFont="1" applyFill="1" applyBorder="1" applyAlignment="1">
      <x:alignment vertical="center"/>
    </x:xf>
    <x:xf numFmtId="0" fontId="6" fillId="9" borderId="3" xfId="0" applyNumberFormat="1" applyFont="1" applyFill="1" applyBorder="1" applyAlignment="1">
      <x:alignment vertical="center"/>
    </x:xf>
    <x:xf numFmtId="0" fontId="6" fillId="9" borderId="4" xfId="0" applyNumberFormat="1" applyFont="1" applyFill="1" applyBorder="1" applyAlignment="1">
      <x:alignment vertical="center"/>
    </x:xf>
    <x:xf numFmtId="0" fontId="6" fillId="9" borderId="5" xfId="0" applyNumberFormat="1" applyFont="1" applyFill="1" applyBorder="1" applyAlignment="1">
      <x:alignment vertical="center"/>
    </x:xf>
    <x:xf numFmtId="0" fontId="6" fillId="9" borderId="6" xfId="0" applyNumberFormat="1" applyFont="1" applyFill="1" applyBorder="1" applyAlignment="1">
      <x:alignment vertical="center"/>
    </x:xf>
    <x:xf numFmtId="0" fontId="6" fillId="9" borderId="1" xfId="0" applyNumberFormat="1" applyFont="1" applyFill="1" applyBorder="1" applyAlignment="1">
      <x:alignment vertical="center" wrapText="1"/>
    </x:xf>
    <x:xf numFmtId="0" fontId="6" fillId="9" borderId="2" xfId="0" applyNumberFormat="1" applyFont="1" applyFill="1" applyBorder="1" applyAlignment="1">
      <x:alignment vertical="center" wrapText="1"/>
    </x:xf>
    <x:xf numFmtId="0" fontId="6" fillId="9" borderId="3" xfId="0" applyNumberFormat="1" applyFont="1" applyFill="1" applyBorder="1" applyAlignment="1">
      <x:alignment vertical="center" wrapText="1"/>
    </x:xf>
    <x:xf numFmtId="0" fontId="6" fillId="9" borderId="4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0" fontId="6" fillId="9" borderId="6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vertical="center"/>
    </x:xf>
    <x:xf numFmtId="0" fontId="11" fillId="8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6"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d61465b2fa4697" /><Relationship Type="http://schemas.openxmlformats.org/officeDocument/2006/relationships/theme" Target="/xl/theme/theme1.xml" Id="Re8d11c9304b64a33" /><Relationship Type="http://schemas.openxmlformats.org/officeDocument/2006/relationships/sharedStrings" Target="/xl/sharedStrings.xml" Id="R28b9aece7f4943ef" /><Relationship Type="http://schemas.openxmlformats.org/officeDocument/2006/relationships/worksheet" Target="/xl/worksheets/sheet1.xml" Id="R3671d5a44cc445d5" /><Relationship Type="http://schemas.openxmlformats.org/officeDocument/2006/relationships/worksheet" Target="/xl/worksheets/sheet2.xml" Id="R6c75c3a633014f12" /><Relationship Type="http://schemas.openxmlformats.org/officeDocument/2006/relationships/worksheet" Target="/xl/worksheets/sheet3.xml" Id="R881ce3ccbbbb4c9a" /><Relationship Type="http://schemas.openxmlformats.org/officeDocument/2006/relationships/worksheet" Target="/xl/worksheets/sheet4.xml" Id="R63618d907ccc40b0" /><Relationship Type="http://schemas.openxmlformats.org/officeDocument/2006/relationships/worksheet" Target="/xl/worksheets/sheet5.xml" Id="R1ed2c2d848e442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6" t="str">
        <x:v>TDAT FINANCIAL MODEL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TDAT-FM-COM-001 · One current vs proposed case · v1.4.0 · Five visible tabs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231" t="str">
        <x:v>Pricing &amp; Margin Waterfall</x:v>
      </x:c>
      <x:c r="B5" s="232"/>
      <x:c r="C5" s="232"/>
      <x:c r="D5" s="232"/>
      <x:c r="E5" s="232"/>
      <x:c r="F5" s="233"/>
      <x:c r="G5" s="60" t="str">
        <x:v>MODEL STATUS</x:v>
      </x:c>
      <x:c r="H5" s="60"/>
    </x:row>
    <x:row r="6" ht="20" customHeight="1">
      <x:c r="A6" s="234"/>
      <x:c r="B6" s="235"/>
      <x:c r="C6" s="235"/>
      <x:c r="D6" s="235"/>
      <x:c r="E6" s="235"/>
      <x:c r="F6" s="236"/>
      <x:c r="G6" s="244" t="str">
        <x:f>'Checks'!B4</x:f>
        <x:v>PASS</x:v>
      </x:c>
      <x:c r="H6" s="245"/>
    </x:row>
    <x:row r="7" ht="20" customHeight="1">
      <x:c r="A7" s="237"/>
      <x:c r="B7" s="238"/>
      <x:c r="C7" s="238"/>
      <x:c r="D7" s="238"/>
      <x:c r="E7" s="238"/>
      <x:c r="F7" s="239"/>
      <x:c r="G7" s="246"/>
      <x:c r="H7" s="247"/>
    </x:row>
    <x:row r="8" ht="20" customHeight="1">
      <x:c r="A8" s="3"/>
      <x:c r="B8" s="3"/>
      <x:c r="C8" s="3"/>
      <x:c r="D8" s="3"/>
      <x:c r="E8" s="3"/>
      <x:c r="F8" s="3"/>
      <x:c r="G8" s="3"/>
      <x:c r="H8" s="3"/>
    </x:row>
    <x:row r="9" ht="20" customHeight="1">
      <x:c r="A9" s="61" t="str">
        <x:v>WHAT THIS MODEL IS FOR</x:v>
      </x:c>
      <x:c r="B9" s="61"/>
      <x:c r="C9" s="61"/>
      <x:c r="D9" s="61"/>
      <x:c r="E9" s="61"/>
      <x:c r="F9" s="61"/>
      <x:c r="G9" s="61"/>
      <x:c r="H9" s="61"/>
    </x:row>
    <x:row r="10" ht="20" customHeight="1">
      <x:c r="A10" s="181" t="str">
        <x:v>Will one price change improve contribution after volume and cost effects?</x:v>
      </x:c>
      <x:c r="B10" s="182"/>
      <x:c r="C10" s="182"/>
      <x:c r="D10" s="182"/>
      <x:c r="E10" s="182"/>
      <x:c r="F10" s="182"/>
      <x:c r="G10" s="182"/>
      <x:c r="H10" s="183"/>
    </x:row>
    <x:row r="11" ht="20" customHeight="1">
      <x:c r="A11" s="184"/>
      <x:c r="B11" s="185"/>
      <x:c r="C11" s="185"/>
      <x:c r="D11" s="185"/>
      <x:c r="E11" s="185"/>
      <x:c r="F11" s="185"/>
      <x:c r="G11" s="185"/>
      <x:c r="H11" s="186"/>
    </x:row>
    <x:row r="12" ht="20" customHeight="1">
      <x:c r="A12" s="3"/>
      <x:c r="B12" s="3"/>
      <x:c r="C12" s="3"/>
      <x:c r="D12" s="3"/>
      <x:c r="E12" s="3"/>
      <x:c r="F12" s="3"/>
      <x:c r="G12" s="3"/>
      <x:c r="H12" s="3"/>
    </x:row>
    <x:row r="13" ht="20" customHeight="1">
      <x:c r="A13" s="61" t="str">
        <x:v>USE IT IN FOUR STEPS</x:v>
      </x:c>
      <x:c r="B13" s="61"/>
      <x:c r="C13" s="61"/>
      <x:c r="D13" s="61"/>
      <x:c r="E13" s="61"/>
      <x:c r="F13" s="61"/>
      <x:c r="G13" s="61"/>
      <x:c r="H13" s="61"/>
    </x:row>
    <x:row r="14" ht="20" customHeight="1">
      <x:c r="A14" s="250" t="str">
        <x:v>1 · INPUTS</x:v>
      </x:c>
      <x:c r="B14" s="251"/>
      <x:c r="C14" s="250" t="str">
        <x:v>2 · MODEL</x:v>
      </x:c>
      <x:c r="D14" s="251"/>
      <x:c r="E14" s="250" t="str">
        <x:v>3 · RESULTS</x:v>
      </x:c>
      <x:c r="F14" s="251"/>
      <x:c r="G14" s="250" t="str">
        <x:v>4 · CHECKS</x:v>
      </x:c>
      <x:c r="H14" s="251"/>
    </x:row>
    <x:row r="15" ht="20" customHeight="1">
      <x:c r="A15" s="252" t="str">
        <x:v>Edit only blue cells</x:v>
      </x:c>
      <x:c r="B15" s="253"/>
      <x:c r="C15" s="252" t="str">
        <x:v>Trace schedules and formulas</x:v>
      </x:c>
      <x:c r="D15" s="253"/>
      <x:c r="E15" s="252" t="str">
        <x:v>Read the linked decision view</x:v>
      </x:c>
      <x:c r="F15" s="253"/>
      <x:c r="G15" s="252" t="str">
        <x:v>Resolve every FAIL</x:v>
      </x:c>
      <x:c r="H15" s="253"/>
    </x:row>
    <x:row r="16" ht="20" customHeight="1">
      <x:c r="A16" s="254"/>
      <x:c r="B16" s="255"/>
      <x:c r="C16" s="254"/>
      <x:c r="D16" s="255"/>
      <x:c r="E16" s="254"/>
      <x:c r="F16" s="255"/>
      <x:c r="G16" s="254"/>
      <x:c r="H16" s="255"/>
    </x:row>
    <x:row r="17" ht="20" customHeight="1">
      <x:c r="A17" s="3"/>
      <x:c r="B17" s="3"/>
      <x:c r="C17" s="3"/>
      <x:c r="D17" s="3"/>
      <x:c r="E17" s="3"/>
      <x:c r="F17" s="3"/>
      <x:c r="G17" s="3"/>
      <x:c r="H17" s="3"/>
    </x:row>
    <x:row r="18" ht="20" customHeight="1">
      <x:c r="A18" s="61" t="str">
        <x:v>DEPTH WITHOUT EXTRA TABS</x:v>
      </x:c>
      <x:c r="B18" s="61"/>
      <x:c r="C18" s="61"/>
      <x:c r="D18" s="61"/>
      <x:c r="E18" s="61"/>
      <x:c r="F18" s="61"/>
      <x:c r="G18" s="61"/>
      <x:c r="H18" s="61"/>
    </x:row>
    <x:row r="19" ht="20" customHeight="1">
      <x:c r="A19" s="160" t="str">
        <x:v>Forecast</x:v>
      </x:c>
      <x:c r="B19" s="160"/>
      <x:c r="C19" s="174" t="str">
        <x:v>One current vs proposed case</x:v>
      </x:c>
      <x:c r="D19" s="174"/>
      <x:c r="E19" s="174"/>
      <x:c r="F19" s="174"/>
      <x:c r="G19" s="174"/>
      <x:c r="H19" s="174"/>
    </x:row>
    <x:row r="20" ht="20" customHeight="1">
      <x:c r="A20" s="160" t="str">
        <x:v>Editable inputs</x:v>
      </x:c>
      <x:c r="B20" s="160"/>
      <x:c r="C20" s="174" t="str">
        <x:v>8</x:v>
      </x:c>
      <x:c r="D20" s="174"/>
      <x:c r="E20" s="174"/>
      <x:c r="F20" s="174"/>
      <x:c r="G20" s="174"/>
      <x:c r="H20" s="174"/>
    </x:row>
    <x:row r="21" ht="20" customHeight="1">
      <x:c r="A21" s="160" t="str">
        <x:v>Visible sheets</x:v>
      </x:c>
      <x:c r="B21" s="160"/>
      <x:c r="C21" s="174" t="str">
        <x:v>5</x:v>
      </x:c>
      <x:c r="D21" s="174"/>
      <x:c r="E21" s="174"/>
      <x:c r="F21" s="174"/>
      <x:c r="G21" s="174"/>
      <x:c r="H21" s="174"/>
    </x:row>
    <x:row r="22" ht="20" customHeight="1">
      <x:c r="A22" s="160" t="str">
        <x:v>Setup</x:v>
      </x:c>
      <x:c r="B22" s="160"/>
      <x:c r="C22" s="174" t="str">
        <x:v>10–15 minutes</x:v>
      </x:c>
      <x:c r="D22" s="174"/>
      <x:c r="E22" s="174"/>
      <x:c r="F22" s="174"/>
      <x:c r="G22" s="174"/>
      <x:c r="H22" s="174"/>
    </x:row>
    <x:row r="23" ht="20" customHeight="1">
      <x:c r="A23" s="3"/>
      <x:c r="B23" s="3"/>
      <x:c r="C23" s="3"/>
      <x:c r="D23" s="3"/>
      <x:c r="E23" s="3"/>
      <x:c r="F23" s="3"/>
      <x:c r="G23" s="3"/>
      <x:c r="H23" s="3"/>
    </x:row>
    <x:row r="24" ht="20" customHeight="1">
      <x:c r="A24" s="61" t="str">
        <x:v>FIT &amp; SCOPE</x:v>
      </x:c>
      <x:c r="B24" s="61"/>
      <x:c r="C24" s="61"/>
      <x:c r="D24" s="61"/>
      <x:c r="E24" s="61"/>
      <x:c r="F24" s="61"/>
      <x:c r="G24" s="61"/>
      <x:c r="H24" s="61"/>
    </x:row>
    <x:row r="25" ht="20" customHeight="1">
      <x:c r="A25" s="195" t="str">
        <x:v>Included: One current offer and one proposed offer · Direct volume response and unit-cost change · Contribution uplift, break-even volume, and a visible driver waterfall</x:v>
      </x:c>
      <x:c r="B25" s="196"/>
      <x:c r="C25" s="196"/>
      <x:c r="D25" s="196"/>
      <x:c r="E25" s="196"/>
      <x:c r="F25" s="196"/>
      <x:c r="G25" s="196"/>
      <x:c r="H25" s="197"/>
    </x:row>
    <x:row r="26" ht="20" customHeight="1">
      <x:c r="A26" s="201"/>
      <x:c r="B26" s="202"/>
      <x:c r="C26" s="202"/>
      <x:c r="D26" s="202"/>
      <x:c r="E26" s="202"/>
      <x:c r="F26" s="202"/>
      <x:c r="G26" s="202"/>
      <x:c r="H26" s="203"/>
    </x:row>
    <x:row r="27" ht="20" customHeight="1">
      <x:c r="A27" s="262" t="str">
        <x:v>Scope boundary: Multiple products, elasticity estimation, freight layers, tax, transfer pricing, and competitor response.</x:v>
      </x:c>
      <x:c r="B27" s="263"/>
      <x:c r="C27" s="263"/>
      <x:c r="D27" s="263"/>
      <x:c r="E27" s="263"/>
      <x:c r="F27" s="263"/>
      <x:c r="G27" s="263"/>
      <x:c r="H27" s="264"/>
    </x:row>
    <x:row r="28" ht="20" customHeight="1">
      <x:c r="A28" s="265"/>
      <x:c r="B28" s="266"/>
      <x:c r="C28" s="266"/>
      <x:c r="D28" s="266"/>
      <x:c r="E28" s="266"/>
      <x:c r="F28" s="266"/>
      <x:c r="G28" s="266"/>
      <x:c r="H28" s="267"/>
    </x:row>
    <x:row r="29" ht="20" customHeight="1">
      <x:c r="A29" s="269" t="str">
        <x:v>Synthetic demonstration only · Tested 2026-08-17 · Excel 365 · Macro-free · No external links</x:v>
      </x:c>
      <x:c r="B29" s="269"/>
      <x:c r="C29" s="269"/>
      <x:c r="D29" s="269"/>
      <x:c r="E29" s="269"/>
      <x:c r="F29" s="269"/>
      <x:c r="G29" s="269"/>
      <x:c r="H29" s="269"/>
    </x:row>
    <x:row r="30" ht="20" customHeight="1">
      <x:c r="A30" s="3"/>
      <x:c r="B30" s="3"/>
      <x:c r="C30" s="3"/>
      <x:c r="D30" s="3"/>
      <x:c r="E30" s="3"/>
      <x:c r="F30" s="3"/>
      <x:c r="G30" s="3"/>
      <x:c r="H30" s="3"/>
    </x:row>
    <x:row r="31" ht="20" customHeight="1">
      <x:c r="A31" s="60" t="str">
        <x:v>Pricing &amp; Margin Waterfall · Start → Inputs → Model → Results → Checks</x:v>
      </x:c>
      <x:c r="B31" s="60"/>
      <x:c r="C31" s="60"/>
      <x:c r="D31" s="60"/>
      <x:c r="E31" s="60"/>
      <x:c r="F31" s="60"/>
      <x:c r="G31" s="60"/>
      <x:c r="H31" s="60"/>
    </x:row>
  </x:sheetData>
  <x:mergeCells>
    <x:mergeCell ref="A1:H2"/>
    <x:mergeCell ref="A3:H3"/>
    <x:mergeCell ref="A5:F7"/>
    <x:mergeCell ref="G5:H5"/>
    <x:mergeCell ref="G6:H7"/>
    <x:mergeCell ref="A9:H9"/>
    <x:mergeCell ref="A10:H11"/>
    <x:mergeCell ref="A13:H13"/>
    <x:mergeCell ref="A14:B14"/>
    <x:mergeCell ref="A15:B16"/>
    <x:mergeCell ref="C14:D14"/>
    <x:mergeCell ref="C15:D16"/>
    <x:mergeCell ref="E14:F14"/>
    <x:mergeCell ref="E15:F16"/>
    <x:mergeCell ref="G14:H14"/>
    <x:mergeCell ref="G15:H16"/>
    <x:mergeCell ref="A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4:H24"/>
    <x:mergeCell ref="A25:H26"/>
    <x:mergeCell ref="A27:H28"/>
    <x:mergeCell ref="A29:H29"/>
    <x:mergeCell ref="A31:H31"/>
  </x:mergeCells>
  <x:conditionalFormatting sqref="G6:H7">
    <x:cfRule type="containsText" dxfId="24" priority="1" operator="containsText" text="FAIL"/>
    <x:cfRule type="containsText" dxfId="25" priority="2" operator="containsText" text="PASS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7" customHeight="1">
      <x:c r="A1" s="6" t="str">
        <x:v>INPUTS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Pricing &amp; Margin Waterfall · Only blue cells are editable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18" t="str">
        <x:v>Change the blue assumptions below. The Model sheet expands them into visible formulas, schedules, and roll-forwards.</x:v>
      </x:c>
      <x:c r="B5" s="19"/>
      <x:c r="C5" s="19"/>
      <x:c r="D5" s="19"/>
      <x:c r="E5" s="19"/>
      <x:c r="F5" s="19"/>
      <x:c r="G5" s="19"/>
      <x:c r="H5" s="20"/>
    </x:row>
    <x:row r="6" ht="20" customHeight="1">
      <x:c r="A6" s="21"/>
      <x:c r="B6" s="22"/>
      <x:c r="C6" s="22"/>
      <x:c r="D6" s="22"/>
      <x:c r="E6" s="22"/>
      <x:c r="F6" s="22"/>
      <x:c r="G6" s="22"/>
      <x:c r="H6" s="23"/>
    </x:row>
    <x:row r="7" ht="20" customHeight="1">
      <x:c r="A7" s="3"/>
      <x:c r="B7" s="3"/>
      <x:c r="C7" s="3"/>
      <x:c r="D7" s="3"/>
      <x:c r="E7" s="3"/>
      <x:c r="F7" s="3"/>
      <x:c r="G7" s="3"/>
      <x:c r="H7" s="3"/>
    </x:row>
    <x:row r="8" ht="20" customHeight="1">
      <x:c r="A8" s="26" t="str">
        <x:v>CORE ASSUMPTIONS</x:v>
      </x:c>
      <x:c r="B8" s="26"/>
      <x:c r="C8" s="26"/>
      <x:c r="D8" s="26"/>
      <x:c r="E8" s="26"/>
      <x:c r="F8" s="26"/>
      <x:c r="G8" s="26"/>
      <x:c r="H8" s="26"/>
    </x:row>
    <x:row r="9" ht="20" customHeight="1">
      <x:c r="A9" s="28" t="str">
        <x:v>Input</x:v>
      </x:c>
      <x:c r="B9" s="28" t="str">
        <x:v>Value</x:v>
      </x:c>
      <x:c r="C9" s="28" t="str">
        <x:v>Unit</x:v>
      </x:c>
      <x:c r="D9" s="28" t="str">
        <x:v>Purpose</x:v>
      </x:c>
      <x:c r="E9" s="28"/>
      <x:c r="F9" s="28"/>
      <x:c r="G9" s="28"/>
      <x:c r="H9" s="28"/>
    </x:row>
    <x:row r="10" ht="20" customHeight="1">
      <x:c r="A10" s="3" t="str">
        <x:v>Current units</x:v>
      </x:c>
      <x:c r="B10" s="39" t="n">
        <x:v>1000</x:v>
      </x:c>
      <x:c r="C10" s="3" t="str">
        <x:v>units</x:v>
      </x:c>
      <x:c r="D10" s="37" t="str">
        <x:v>Current sales volume</x:v>
      </x:c>
      <x:c r="E10" s="38"/>
      <x:c r="F10" s="38"/>
      <x:c r="G10" s="38"/>
      <x:c r="H10" s="38"/>
    </x:row>
    <x:row r="11" ht="20" customHeight="1">
      <x:c r="A11" s="3" t="str">
        <x:v>Current list price</x:v>
      </x:c>
      <x:c r="B11" s="42" t="n">
        <x:v>100</x:v>
      </x:c>
      <x:c r="C11" s="3" t="str">
        <x:v>LCY / unit</x:v>
      </x:c>
      <x:c r="D11" s="37" t="str">
        <x:v>Price before discounts</x:v>
      </x:c>
      <x:c r="E11" s="38"/>
      <x:c r="F11" s="38"/>
      <x:c r="G11" s="38"/>
      <x:c r="H11" s="38"/>
    </x:row>
    <x:row r="12" ht="20" customHeight="1">
      <x:c r="A12" s="3" t="str">
        <x:v>Current discount + rebate</x:v>
      </x:c>
      <x:c r="B12" s="45" t="n">
        <x:v>0.1</x:v>
      </x:c>
      <x:c r="C12" s="3" t="str">
        <x:v>%</x:v>
      </x:c>
      <x:c r="D12" s="37" t="str">
        <x:v>Total price leakage</x:v>
      </x:c>
      <x:c r="E12" s="38"/>
      <x:c r="F12" s="38"/>
      <x:c r="G12" s="38"/>
      <x:c r="H12" s="38"/>
    </x:row>
    <x:row r="13" ht="20" customHeight="1">
      <x:c r="A13" s="3" t="str">
        <x:v>Current variable cost</x:v>
      </x:c>
      <x:c r="B13" s="42" t="n">
        <x:v>65</x:v>
      </x:c>
      <x:c r="C13" s="3" t="str">
        <x:v>LCY / unit</x:v>
      </x:c>
      <x:c r="D13" s="37" t="str">
        <x:v>All variable cost per unit</x:v>
      </x:c>
      <x:c r="E13" s="38"/>
      <x:c r="F13" s="38"/>
      <x:c r="G13" s="38"/>
      <x:c r="H13" s="38"/>
    </x:row>
    <x:row r="14" ht="20" customHeight="1">
      <x:c r="A14" s="3" t="str">
        <x:v>Proposed price change</x:v>
      </x:c>
      <x:c r="B14" s="45" t="n">
        <x:v>0.05</x:v>
      </x:c>
      <x:c r="C14" s="3" t="str">
        <x:v>%</x:v>
      </x:c>
      <x:c r="D14" s="37" t="str">
        <x:v>Change from current list price</x:v>
      </x:c>
      <x:c r="E14" s="38"/>
      <x:c r="F14" s="38"/>
      <x:c r="G14" s="38"/>
      <x:c r="H14" s="38"/>
    </x:row>
    <x:row r="15" ht="20" customHeight="1">
      <x:c r="A15" s="3" t="str">
        <x:v>Expected volume change</x:v>
      </x:c>
      <x:c r="B15" s="45" t="n">
        <x:v>-0.04</x:v>
      </x:c>
      <x:c r="C15" s="3" t="str">
        <x:v>%</x:v>
      </x:c>
      <x:c r="D15" s="37" t="str">
        <x:v>Direct expected response</x:v>
      </x:c>
      <x:c r="E15" s="38"/>
      <x:c r="F15" s="38"/>
      <x:c r="G15" s="38"/>
      <x:c r="H15" s="38"/>
    </x:row>
    <x:row r="16" ht="20" customHeight="1">
      <x:c r="A16" s="3" t="str">
        <x:v>Proposed discount + rebate</x:v>
      </x:c>
      <x:c r="B16" s="45" t="n">
        <x:v>0.09</x:v>
      </x:c>
      <x:c r="C16" s="3" t="str">
        <x:v>%</x:v>
      </x:c>
      <x:c r="D16" s="37" t="str">
        <x:v>Expected leakage after the action</x:v>
      </x:c>
      <x:c r="E16" s="38"/>
      <x:c r="F16" s="38"/>
      <x:c r="G16" s="38"/>
      <x:c r="H16" s="38"/>
    </x:row>
    <x:row r="17" ht="20" customHeight="1">
      <x:c r="A17" s="3" t="str">
        <x:v>Expected unit-cost change</x:v>
      </x:c>
      <x:c r="B17" s="45" t="n">
        <x:v>0.02</x:v>
      </x:c>
      <x:c r="C17" s="3" t="str">
        <x:v>%</x:v>
      </x:c>
      <x:c r="D17" s="37" t="str">
        <x:v>Change from current variable cost</x:v>
      </x:c>
      <x:c r="E17" s="38"/>
      <x:c r="F17" s="38"/>
      <x:c r="G17" s="38"/>
      <x:c r="H17" s="38"/>
    </x:row>
    <x:row r="18" ht="20" customHeight="1">
      <x:c r="A18" s="3"/>
      <x:c r="B18" s="3"/>
      <x:c r="C18" s="3"/>
      <x:c r="D18" s="3"/>
      <x:c r="E18" s="3"/>
      <x:c r="F18" s="3"/>
      <x:c r="G18" s="3"/>
      <x:c r="H18" s="3"/>
    </x:row>
    <x:row r="19" ht="20" customHeight="1">
      <x:c r="A19" s="54" t="str">
        <x:v>Synthetic example. Replace only the blue values, trace the calculation on Model, then review Results and Checks.</x:v>
      </x:c>
      <x:c r="B19" s="55"/>
      <x:c r="C19" s="55"/>
      <x:c r="D19" s="55"/>
      <x:c r="E19" s="55"/>
      <x:c r="F19" s="55"/>
      <x:c r="G19" s="55"/>
      <x:c r="H19" s="56"/>
    </x:row>
    <x:row r="20" ht="20" customHeight="1">
      <x:c r="A20" s="57"/>
      <x:c r="B20" s="58"/>
      <x:c r="C20" s="58"/>
      <x:c r="D20" s="58"/>
      <x:c r="E20" s="58"/>
      <x:c r="F20" s="58"/>
      <x:c r="G20" s="58"/>
      <x:c r="H20" s="59"/>
    </x:row>
    <x:row r="21" ht="20" customHeight="1">
      <x:c r="A21" s="3"/>
      <x:c r="B21" s="3"/>
      <x:c r="C21" s="3"/>
      <x:c r="D21" s="3"/>
      <x:c r="E21" s="3"/>
      <x:c r="F21" s="3"/>
      <x:c r="G21" s="3"/>
      <x:c r="H21" s="3"/>
    </x:row>
    <x:row r="22" ht="20" customHeight="1">
      <x:c r="A22" s="3"/>
      <x:c r="B22" s="3"/>
      <x:c r="C22" s="3"/>
      <x:c r="D22" s="3"/>
      <x:c r="E22" s="3"/>
      <x:c r="F22" s="3"/>
      <x:c r="G22" s="3"/>
      <x:c r="H22" s="3"/>
    </x:row>
    <x:row r="23" ht="20" customHeight="1">
      <x:c r="A23" s="3"/>
      <x:c r="B23" s="3"/>
      <x:c r="C23" s="3"/>
      <x:c r="D23" s="3"/>
      <x:c r="E23" s="3"/>
      <x:c r="F23" s="3"/>
      <x:c r="G23" s="3"/>
      <x:c r="H23" s="3"/>
    </x:row>
    <x:row r="24" ht="20" customHeight="1">
      <x:c r="A24" s="60" t="str">
        <x:v>Pricing &amp; Margin Waterfall · 8 editable assumptions · v1.4.0</x:v>
      </x:c>
      <x:c r="B24" s="60"/>
      <x:c r="C24" s="60"/>
      <x:c r="D24" s="60"/>
      <x:c r="E24" s="60"/>
      <x:c r="F24" s="60"/>
      <x:c r="G24" s="60"/>
      <x:c r="H24" s="60"/>
    </x:row>
  </x:sheetData>
  <x:mergeCells>
    <x:mergeCell ref="A1:H2"/>
    <x:mergeCell ref="A3:H3"/>
    <x:mergeCell ref="A5:H6"/>
    <x:mergeCell ref="A8:H8"/>
    <x:mergeCell ref="D9:H9"/>
    <x:mergeCell ref="D10:H10"/>
    <x:mergeCell ref="D11:H11"/>
    <x:mergeCell ref="D12:H12"/>
    <x:mergeCell ref="D13:H13"/>
    <x:mergeCell ref="D14:H14"/>
    <x:mergeCell ref="D15:H15"/>
    <x:mergeCell ref="D16:H16"/>
    <x:mergeCell ref="D17:H17"/>
    <x:mergeCell ref="A19:H20"/>
    <x:mergeCell ref="A24:H2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7" customHeight="1">
      <x:c r="A1" s="6" t="str">
        <x:v>MODEL DETAIL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Pricing &amp; Margin Waterfall · Price, volume, and cost contribution bridge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96" t="str">
        <x:v>CURRENT CONTRIBUTION</x:v>
      </x:c>
      <x:c r="B5" s="97"/>
      <x:c r="C5" s="96" t="str">
        <x:v>PROPOSED CONTRIBUTION</x:v>
      </x:c>
      <x:c r="D5" s="97"/>
      <x:c r="E5" s="96" t="str">
        <x:v>UPLIFT</x:v>
      </x:c>
      <x:c r="F5" s="97"/>
      <x:c r="G5" s="96" t="str">
        <x:v>PROPOSED MARGIN</x:v>
      </x:c>
      <x:c r="H5" s="97"/>
    </x:row>
    <x:row r="6" ht="20" customHeight="1">
      <x:c r="A6" s="111" t="n">
        <x:f>B14</x:f>
        <x:v>25000</x:v>
      </x:c>
      <x:c r="B6" s="112"/>
      <x:c r="C6" s="111" t="n">
        <x:f>B20</x:f>
        <x:v>28080</x:v>
      </x:c>
      <x:c r="D6" s="112"/>
      <x:c r="E6" s="111" t="n">
        <x:f>B22</x:f>
        <x:v>3080</x:v>
      </x:c>
      <x:c r="F6" s="112"/>
      <x:c r="G6" s="123" t="n">
        <x:f>B21</x:f>
        <x:v>0.30612244897959184</x:v>
      </x:c>
      <x:c r="H6" s="124"/>
    </x:row>
    <x:row r="7" ht="20" customHeight="1">
      <x:c r="A7" s="113"/>
      <x:c r="B7" s="114"/>
      <x:c r="C7" s="113"/>
      <x:c r="D7" s="114"/>
      <x:c r="E7" s="113"/>
      <x:c r="F7" s="114"/>
      <x:c r="G7" s="125"/>
      <x:c r="H7" s="126"/>
    </x:row>
    <x:row r="8" ht="20" customHeight="1">
      <x:c r="A8" s="115"/>
      <x:c r="B8" s="116"/>
      <x:c r="C8" s="115"/>
      <x:c r="D8" s="116"/>
      <x:c r="E8" s="115"/>
      <x:c r="F8" s="116"/>
      <x:c r="G8" s="127"/>
      <x:c r="H8" s="128"/>
    </x:row>
    <x:row r="9" ht="20" customHeight="1">
      <x:c r="A9" s="3"/>
      <x:c r="B9" s="3"/>
      <x:c r="C9" s="3"/>
      <x:c r="D9" s="3"/>
      <x:c r="E9" s="3"/>
      <x:c r="F9" s="3"/>
      <x:c r="G9" s="3"/>
      <x:c r="H9" s="3"/>
    </x:row>
    <x:row r="10" ht="20" customHeight="1">
      <x:c r="A10" s="62" t="str">
        <x:v>CURRENT VS PROPOSED</x:v>
      </x:c>
      <x:c r="B10" s="62"/>
      <x:c r="C10" s="62"/>
      <x:c r="D10" s="62"/>
      <x:c r="E10" s="62"/>
      <x:c r="F10" s="62"/>
      <x:c r="G10" s="62"/>
      <x:c r="H10" s="62"/>
    </x:row>
    <x:row r="11" ht="20" customHeight="1">
      <x:c r="A11" s="92" t="str">
        <x:v>Metric</x:v>
      </x:c>
      <x:c r="B11" s="92" t="str">
        <x:v>Value</x:v>
      </x:c>
      <x:c r="C11" s="92" t="str">
        <x:v>Unit</x:v>
      </x:c>
      <x:c r="D11" s="93" t="str">
        <x:v>Notes</x:v>
      </x:c>
      <x:c r="E11" s="92"/>
      <x:c r="F11" s="92"/>
      <x:c r="G11" s="92"/>
      <x:c r="H11" s="92"/>
    </x:row>
    <x:row r="12" ht="20" customHeight="1">
      <x:c r="A12" s="29" t="str">
        <x:v>Current net price</x:v>
      </x:c>
      <x:c r="B12" s="67" t="n">
        <x:f>'Inputs'!$B$11*(1-'Inputs'!$B$12)</x:f>
        <x:v>90</x:v>
      </x:c>
      <x:c r="C12" s="29" t="str">
        <x:v>LCY / unit</x:v>
      </x:c>
      <x:c r="D12" s="37" t="str">
        <x:v>List price after leakage</x:v>
      </x:c>
      <x:c r="E12" s="38"/>
      <x:c r="F12" s="38"/>
      <x:c r="G12" s="38"/>
      <x:c r="H12" s="38"/>
    </x:row>
    <x:row r="13" ht="20" customHeight="1">
      <x:c r="A13" s="29" t="str">
        <x:v>Current net revenue</x:v>
      </x:c>
      <x:c r="B13" s="67" t="n">
        <x:f>'Inputs'!$B$10*B12</x:f>
        <x:v>90000</x:v>
      </x:c>
      <x:c r="C13" s="29" t="str">
        <x:v>LCY</x:v>
      </x:c>
      <x:c r="D13" s="37" t="str">
        <x:v>Current units × net price</x:v>
      </x:c>
      <x:c r="E13" s="38"/>
      <x:c r="F13" s="38"/>
      <x:c r="G13" s="38"/>
      <x:c r="H13" s="38"/>
    </x:row>
    <x:row r="14" ht="20" customHeight="1">
      <x:c r="A14" s="11" t="str">
        <x:v>Current contribution</x:v>
      </x:c>
      <x:c r="B14" s="70" t="n">
        <x:f>'Inputs'!$B$10*(B12-'Inputs'!$B$13)</x:f>
        <x:v>25000</x:v>
      </x:c>
      <x:c r="C14" s="11" t="str">
        <x:v>LCY</x:v>
      </x:c>
      <x:c r="D14" s="74" t="str">
        <x:v>Revenue less variable cost</x:v>
      </x:c>
      <x:c r="E14" s="75"/>
      <x:c r="F14" s="75"/>
      <x:c r="G14" s="75"/>
      <x:c r="H14" s="75"/>
    </x:row>
    <x:row r="15" ht="20" customHeight="1">
      <x:c r="A15" s="29" t="str">
        <x:v>Current margin</x:v>
      </x:c>
      <x:c r="B15" s="78" t="n">
        <x:f>IF(B13=0,0,B14/B13)</x:f>
        <x:v>0.2777777777777778</x:v>
      </x:c>
      <x:c r="C15" s="29" t="str">
        <x:v>%</x:v>
      </x:c>
      <x:c r="D15" s="37" t="str">
        <x:v>Contribution / revenue</x:v>
      </x:c>
      <x:c r="E15" s="38"/>
      <x:c r="F15" s="38"/>
      <x:c r="G15" s="38"/>
      <x:c r="H15" s="38"/>
    </x:row>
    <x:row r="16" ht="20" customHeight="1">
      <x:c r="A16" s="29" t="str">
        <x:v>Proposed units</x:v>
      </x:c>
      <x:c r="B16" s="80" t="n">
        <x:f>MAX(0,'Inputs'!$B$10*(1+'Inputs'!$B$15))</x:f>
        <x:v>960</x:v>
      </x:c>
      <x:c r="C16" s="29" t="str">
        <x:v>units</x:v>
      </x:c>
      <x:c r="D16" s="37" t="str">
        <x:v>Current units after expected response</x:v>
      </x:c>
      <x:c r="E16" s="38"/>
      <x:c r="F16" s="38"/>
      <x:c r="G16" s="38"/>
      <x:c r="H16" s="38"/>
    </x:row>
    <x:row r="17" ht="20" customHeight="1">
      <x:c r="A17" s="29" t="str">
        <x:v>Proposed net price</x:v>
      </x:c>
      <x:c r="B17" s="67" t="n">
        <x:f>'Inputs'!$B$11*(1+'Inputs'!$B$14)*(1-'Inputs'!$B$16)</x:f>
        <x:v>95.55</x:v>
      </x:c>
      <x:c r="C17" s="29" t="str">
        <x:v>LCY / unit</x:v>
      </x:c>
      <x:c r="D17" s="37" t="str">
        <x:v>Proposed list price after leakage</x:v>
      </x:c>
      <x:c r="E17" s="38"/>
      <x:c r="F17" s="38"/>
      <x:c r="G17" s="38"/>
      <x:c r="H17" s="38"/>
    </x:row>
    <x:row r="18" ht="20" customHeight="1">
      <x:c r="A18" s="29" t="str">
        <x:v>Proposed variable cost</x:v>
      </x:c>
      <x:c r="B18" s="67" t="n">
        <x:f>'Inputs'!$B$13*(1+'Inputs'!$B$17)</x:f>
        <x:v>66.3</x:v>
      </x:c>
      <x:c r="C18" s="29" t="str">
        <x:v>LCY / unit</x:v>
      </x:c>
      <x:c r="D18" s="37" t="str">
        <x:v>Current cost after the expected change</x:v>
      </x:c>
      <x:c r="E18" s="38"/>
      <x:c r="F18" s="38"/>
      <x:c r="G18" s="38"/>
      <x:c r="H18" s="38"/>
    </x:row>
    <x:row r="19" ht="20" customHeight="1">
      <x:c r="A19" s="29" t="str">
        <x:v>Proposed net revenue</x:v>
      </x:c>
      <x:c r="B19" s="82" t="n">
        <x:f>B16*B17</x:f>
        <x:v>91728</x:v>
      </x:c>
      <x:c r="C19" s="29" t="str">
        <x:v>LCY</x:v>
      </x:c>
      <x:c r="D19" s="37" t="str">
        <x:v>Proposed units × proposed net price</x:v>
      </x:c>
      <x:c r="E19" s="38"/>
      <x:c r="F19" s="38"/>
      <x:c r="G19" s="38"/>
      <x:c r="H19" s="38"/>
    </x:row>
    <x:row r="20" ht="20" customHeight="1">
      <x:c r="A20" s="11" t="str">
        <x:v>Proposed contribution</x:v>
      </x:c>
      <x:c r="B20" s="84" t="n">
        <x:f>B16*(B17-B18)</x:f>
        <x:v>28080</x:v>
      </x:c>
      <x:c r="C20" s="11" t="str">
        <x:v>LCY</x:v>
      </x:c>
      <x:c r="D20" s="74" t="str">
        <x:v>Revenue less proposed variable cost</x:v>
      </x:c>
      <x:c r="E20" s="75"/>
      <x:c r="F20" s="75"/>
      <x:c r="G20" s="75"/>
      <x:c r="H20" s="75"/>
    </x:row>
    <x:row r="21" ht="20" customHeight="1">
      <x:c r="A21" s="29" t="str">
        <x:v>Proposed margin</x:v>
      </x:c>
      <x:c r="B21" s="78" t="n">
        <x:f>IF(B19=0,0,B20/B19)</x:f>
        <x:v>0.30612244897959184</x:v>
      </x:c>
      <x:c r="C21" s="29" t="str">
        <x:v>%</x:v>
      </x:c>
      <x:c r="D21" s="37" t="str">
        <x:v>Proposed contribution / revenue</x:v>
      </x:c>
      <x:c r="E21" s="38"/>
      <x:c r="F21" s="38"/>
      <x:c r="G21" s="38"/>
      <x:c r="H21" s="38"/>
    </x:row>
    <x:row r="22" ht="20" customHeight="1">
      <x:c r="A22" s="11" t="str">
        <x:v>Contribution uplift</x:v>
      </x:c>
      <x:c r="B22" s="84" t="n">
        <x:f>B20-B14</x:f>
        <x:v>3080</x:v>
      </x:c>
      <x:c r="C22" s="11" t="str">
        <x:v>LCY</x:v>
      </x:c>
      <x:c r="D22" s="74" t="str">
        <x:v>Proposed less current contribution</x:v>
      </x:c>
      <x:c r="E22" s="75"/>
      <x:c r="F22" s="75"/>
      <x:c r="G22" s="75"/>
      <x:c r="H22" s="75"/>
    </x:row>
    <x:row r="23" ht="20" customHeight="1">
      <x:c r="A23" s="29" t="str">
        <x:v>Break-even volume change</x:v>
      </x:c>
      <x:c r="B23" s="86" t="n">
        <x:f>IF(OR('Inputs'!$B$10&lt;=0,B17-B18&lt;=0),"",B14/((B17-B18)*'Inputs'!$B$10)-1)</x:f>
        <x:v>-0.14529914529914534</x:v>
      </x:c>
      <x:c r="C23" s="29" t="str">
        <x:v>%</x:v>
      </x:c>
      <x:c r="D23" s="37" t="str">
        <x:v>Blank when the current volume or proposed unit contribution is not positive</x:v>
      </x:c>
      <x:c r="E23" s="38"/>
      <x:c r="F23" s="38"/>
      <x:c r="G23" s="38"/>
      <x:c r="H23" s="38"/>
    </x:row>
    <x:row r="24" ht="20" customHeight="1">
      <x:c r="A24" s="3"/>
      <x:c r="B24" s="3"/>
      <x:c r="C24" s="3"/>
      <x:c r="D24" s="3"/>
      <x:c r="E24" s="3"/>
      <x:c r="F24" s="3"/>
      <x:c r="G24" s="3"/>
      <x:c r="H24" s="3"/>
    </x:row>
    <x:row r="25" ht="20" customHeight="1">
      <x:c r="A25" s="62" t="str">
        <x:v>CONTRIBUTION DRIVER WATERFALL</x:v>
      </x:c>
      <x:c r="B25" s="62"/>
      <x:c r="C25" s="62"/>
      <x:c r="D25" s="62"/>
      <x:c r="E25" s="62"/>
      <x:c r="F25" s="62"/>
      <x:c r="G25" s="62"/>
      <x:c r="H25" s="62"/>
    </x:row>
    <x:row r="26" ht="20" customHeight="1">
      <x:c r="A26" s="62" t="str">
        <x:v>Step</x:v>
      </x:c>
      <x:c r="B26" s="129" t="str">
        <x:v>Units</x:v>
      </x:c>
      <x:c r="C26" s="129" t="str">
        <x:v>Net price</x:v>
      </x:c>
      <x:c r="D26" s="129" t="str">
        <x:v>Unit cost</x:v>
      </x:c>
      <x:c r="E26" s="129" t="str">
        <x:v>Driver impact</x:v>
      </x:c>
      <x:c r="F26" s="129" t="str">
        <x:v>Cumulative</x:v>
      </x:c>
      <x:c r="G26" s="129" t="str">
        <x:v>Share of uplift</x:v>
      </x:c>
      <x:c r="H26" s="129" t="str">
        <x:v>Trace</x:v>
      </x:c>
    </x:row>
    <x:row r="27" ht="20" customHeight="1">
      <x:c r="A27" s="11" t="str">
        <x:v>Current contribution</x:v>
      </x:c>
      <x:c r="B27" s="139" t="n">
        <x:f>'Inputs'!$B$10</x:f>
        <x:v>1000</x:v>
      </x:c>
      <x:c r="C27" s="84" t="n">
        <x:f>B12</x:f>
        <x:v>90</x:v>
      </x:c>
      <x:c r="D27" s="84" t="n">
        <x:f>'Inputs'!$B$13</x:f>
        <x:v>65</x:v>
      </x:c>
      <x:c r="E27" s="84" t="n">
        <x:f>0</x:f>
        <x:v>0</x:v>
      </x:c>
      <x:c r="F27" s="84" t="n">
        <x:f>B14</x:f>
        <x:v>25000</x:v>
      </x:c>
      <x:c r="G27" s="140" t="n">
        <x:f>0</x:f>
        <x:v>0</x:v>
      </x:c>
      <x:c r="H27" s="11" t="str">
        <x:v>BASE</x:v>
      </x:c>
    </x:row>
    <x:row r="28" ht="20" customHeight="1">
      <x:c r="A28" s="29" t="str">
        <x:v>Volume effect</x:v>
      </x:c>
      <x:c r="B28" s="131" t="n">
        <x:f>B16</x:f>
        <x:v>960</x:v>
      </x:c>
      <x:c r="C28" s="133" t="n">
        <x:f>B12</x:f>
        <x:v>90</x:v>
      </x:c>
      <x:c r="D28" s="133" t="n">
        <x:f>'Inputs'!$B$13</x:f>
        <x:v>65</x:v>
      </x:c>
      <x:c r="E28" s="133" t="n">
        <x:f>(B16-'Inputs'!$B$10)*(B12-'Inputs'!$B$13)</x:f>
        <x:v>-1000</x:v>
      </x:c>
      <x:c r="F28" s="133" t="n">
        <x:f>F27+E28</x:f>
        <x:v>24000</x:v>
      </x:c>
      <x:c r="G28" s="135" t="n">
        <x:f>IF(B22=0,0,E28/B22)</x:f>
        <x:v>-0.3246753246753247</x:v>
      </x:c>
      <x:c r="H28" s="29" t="str">
        <x:v>UNIT VOLUME</x:v>
      </x:c>
    </x:row>
    <x:row r="29" ht="20" customHeight="1">
      <x:c r="A29" s="29" t="str">
        <x:v>Net-price effect</x:v>
      </x:c>
      <x:c r="B29" s="131" t="n">
        <x:f>B16</x:f>
        <x:v>960</x:v>
      </x:c>
      <x:c r="C29" s="133" t="n">
        <x:f>B17</x:f>
        <x:v>95.55</x:v>
      </x:c>
      <x:c r="D29" s="133" t="n">
        <x:f>'Inputs'!$B$13</x:f>
        <x:v>65</x:v>
      </x:c>
      <x:c r="E29" s="133" t="n">
        <x:f>B16*(B17-B12)</x:f>
        <x:v>5327.999999999997</x:v>
      </x:c>
      <x:c r="F29" s="133" t="n">
        <x:f>F28+E29</x:f>
        <x:v>29327.999999999996</x:v>
      </x:c>
      <x:c r="G29" s="135" t="n">
        <x:f>IF(B22=0,0,E29/B22)</x:f>
        <x:v>1.729870129870129</x:v>
      </x:c>
      <x:c r="H29" s="29" t="str">
        <x:v>PRICE + LEAKAGE</x:v>
      </x:c>
    </x:row>
    <x:row r="30" ht="20" customHeight="1">
      <x:c r="A30" s="29" t="str">
        <x:v>Unit-cost effect</x:v>
      </x:c>
      <x:c r="B30" s="131" t="n">
        <x:f>B16</x:f>
        <x:v>960</x:v>
      </x:c>
      <x:c r="C30" s="133" t="n">
        <x:f>B17</x:f>
        <x:v>95.55</x:v>
      </x:c>
      <x:c r="D30" s="133" t="n">
        <x:f>B18</x:f>
        <x:v>66.3</x:v>
      </x:c>
      <x:c r="E30" s="133" t="n">
        <x:f>-B16*(B18-'Inputs'!$B$13)</x:f>
        <x:v>-1247.9999999999973</x:v>
      </x:c>
      <x:c r="F30" s="133" t="n">
        <x:f>F29+E30</x:f>
        <x:v>28080</x:v>
      </x:c>
      <x:c r="G30" s="135" t="n">
        <x:f>IF(B22=0,0,E30/B22)</x:f>
        <x:v>-0.40519480519480433</x:v>
      </x:c>
      <x:c r="H30" s="29" t="str">
        <x:v>VARIABLE COST</x:v>
      </x:c>
    </x:row>
    <x:row r="31" ht="20" customHeight="1">
      <x:c r="A31" s="11" t="str">
        <x:v>Proposed contribution</x:v>
      </x:c>
      <x:c r="B31" s="139" t="n">
        <x:f>B16</x:f>
        <x:v>960</x:v>
      </x:c>
      <x:c r="C31" s="84" t="n">
        <x:f>B17</x:f>
        <x:v>95.55</x:v>
      </x:c>
      <x:c r="D31" s="84" t="n">
        <x:f>B18</x:f>
        <x:v>66.3</x:v>
      </x:c>
      <x:c r="E31" s="84" t="n">
        <x:f>SUM(E28:E30)</x:f>
        <x:v>3080</x:v>
      </x:c>
      <x:c r="F31" s="84" t="n">
        <x:f>F30</x:f>
        <x:v>28080</x:v>
      </x:c>
      <x:c r="G31" s="140" t="n">
        <x:f>IF(B22=0,0,E31/B22)</x:f>
        <x:v>1</x:v>
      </x:c>
      <x:c r="H31" s="11" t="str">
        <x:v>FINAL</x:v>
      </x:c>
    </x:row>
    <x:row r="32" ht="20" customHeight="1">
      <x:c r="A32" s="3"/>
      <x:c r="B32" s="3"/>
      <x:c r="C32" s="3"/>
      <x:c r="D32" s="3"/>
      <x:c r="E32" s="3"/>
      <x:c r="F32" s="3"/>
      <x:c r="G32" s="3"/>
      <x:c r="H32" s="3"/>
    </x:row>
    <x:row r="33" ht="20" customHeight="1">
      <x:c r="A33" s="3"/>
      <x:c r="B33" s="3"/>
      <x:c r="C33" s="3"/>
      <x:c r="D33" s="3"/>
      <x:c r="E33" s="3"/>
      <x:c r="F33" s="3"/>
      <x:c r="G33" s="3"/>
      <x:c r="H33" s="3"/>
    </x:row>
    <x:row r="34" ht="20" customHeight="1">
      <x:c r="A34" s="154" t="str">
        <x:f>IF(B17-B18&lt;=0,"NO POSITIVE UNIT CONTRIBUTION",IF(B22&gt;0,"CONTRIBUTION IMPROVES","CONTRIBUTION DECLINES"))</x:f>
        <x:v>CONTRIBUTION IMPROVES</x:v>
      </x:c>
      <x:c r="B34" s="155"/>
      <x:c r="C34" s="155"/>
      <x:c r="D34" s="155"/>
      <x:c r="E34" s="155"/>
      <x:c r="F34" s="155"/>
      <x:c r="G34" s="155"/>
      <x:c r="H34" s="156"/>
    </x:row>
    <x:row r="35" ht="20" customHeight="1">
      <x:c r="A35" s="157"/>
      <x:c r="B35" s="158"/>
      <x:c r="C35" s="158"/>
      <x:c r="D35" s="158"/>
      <x:c r="E35" s="158"/>
      <x:c r="F35" s="158"/>
      <x:c r="G35" s="158"/>
      <x:c r="H35" s="159"/>
    </x:row>
    <x:row r="36" ht="20" customHeight="1">
      <x:c r="A36" s="3"/>
      <x:c r="B36" s="3"/>
      <x:c r="C36" s="3"/>
      <x:c r="D36" s="3"/>
      <x:c r="E36" s="3"/>
      <x:c r="F36" s="3"/>
      <x:c r="G36" s="3"/>
      <x:c r="H36" s="3"/>
    </x:row>
    <x:row r="37" ht="20" customHeight="1">
      <x:c r="A37" s="3"/>
      <x:c r="B37" s="3"/>
      <x:c r="C37" s="3"/>
      <x:c r="D37" s="3"/>
      <x:c r="E37" s="3"/>
      <x:c r="F37" s="3"/>
      <x:c r="G37" s="3"/>
      <x:c r="H37" s="3"/>
    </x:row>
    <x:row r="38" ht="20" customHeight="1">
      <x:c r="A38" s="3"/>
      <x:c r="B38" s="3"/>
      <x:c r="C38" s="3"/>
      <x:c r="D38" s="3"/>
      <x:c r="E38" s="3"/>
      <x:c r="F38" s="3"/>
      <x:c r="G38" s="3"/>
      <x:c r="H38" s="3"/>
    </x:row>
    <x:row r="39" ht="20" customHeight="1">
      <x:c r="A39" s="3"/>
      <x:c r="B39" s="3"/>
      <x:c r="C39" s="3"/>
      <x:c r="D39" s="3"/>
      <x:c r="E39" s="3"/>
      <x:c r="F39" s="3"/>
      <x:c r="G39" s="3"/>
      <x:c r="H39" s="3"/>
    </x:row>
    <x:row r="40" ht="20" customHeight="1">
      <x:c r="A40" s="60" t="str">
        <x:v>Pricing &amp; Margin Waterfall · Current-to-proposed contribution bridge · One price action</x:v>
      </x:c>
      <x:c r="B40" s="60"/>
      <x:c r="C40" s="60"/>
      <x:c r="D40" s="60"/>
      <x:c r="E40" s="60"/>
      <x:c r="F40" s="60"/>
      <x:c r="G40" s="60"/>
      <x:c r="H40" s="60"/>
    </x:row>
  </x:sheetData>
  <x:mergeCells>
    <x:mergeCell ref="A1:H2"/>
    <x:mergeCell ref="A3:H3"/>
    <x:mergeCell ref="A10:H10"/>
    <x:mergeCell ref="D11:H11"/>
    <x:mergeCell ref="D12:H12"/>
    <x:mergeCell ref="D13:H13"/>
    <x:mergeCell ref="D14:H14"/>
    <x:mergeCell ref="D15:H15"/>
    <x:mergeCell ref="D16:H16"/>
    <x:mergeCell ref="D17:H17"/>
    <x:mergeCell ref="D18:H18"/>
    <x:mergeCell ref="D19:H19"/>
    <x:mergeCell ref="D20:H20"/>
    <x:mergeCell ref="D21:H21"/>
    <x:mergeCell ref="D22:H22"/>
    <x:mergeCell ref="D23:H23"/>
    <x:mergeCell ref="A5:B5"/>
    <x:mergeCell ref="A6:B8"/>
    <x:mergeCell ref="C5:D5"/>
    <x:mergeCell ref="C6:D8"/>
    <x:mergeCell ref="E5:F5"/>
    <x:mergeCell ref="E6:F8"/>
    <x:mergeCell ref="G5:H5"/>
    <x:mergeCell ref="G6:H8"/>
    <x:mergeCell ref="A25:H25"/>
    <x:mergeCell ref="A34:H35"/>
    <x:mergeCell ref="A40:H4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6" t="str">
        <x:v>RESULTS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Pricing &amp; Margin Waterfall · Decision view linked to the detailed Model sheet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96" t="str">
        <x:v>CURRENT CONTRIBUTION</x:v>
      </x:c>
      <x:c r="B5" s="97"/>
      <x:c r="C5" s="96" t="str">
        <x:v>PROPOSED CONTRIBUTION</x:v>
      </x:c>
      <x:c r="D5" s="97"/>
      <x:c r="E5" s="96" t="str">
        <x:v>UPLIFT</x:v>
      </x:c>
      <x:c r="F5" s="97"/>
      <x:c r="G5" s="96" t="str">
        <x:v>PROPOSED MARGIN</x:v>
      </x:c>
      <x:c r="H5" s="97"/>
    </x:row>
    <x:row r="6" ht="20" customHeight="1">
      <x:c r="A6" s="111" t="n">
        <x:f>'Model'!A6</x:f>
        <x:v>25000</x:v>
      </x:c>
      <x:c r="B6" s="112"/>
      <x:c r="C6" s="111" t="n">
        <x:f>'Model'!C6</x:f>
        <x:v>28080</x:v>
      </x:c>
      <x:c r="D6" s="112"/>
      <x:c r="E6" s="111" t="n">
        <x:f>'Model'!E6</x:f>
        <x:v>3080</x:v>
      </x:c>
      <x:c r="F6" s="112"/>
      <x:c r="G6" s="123" t="n">
        <x:f>'Model'!G6</x:f>
        <x:v>0.30612244897959184</x:v>
      </x:c>
      <x:c r="H6" s="124"/>
    </x:row>
    <x:row r="7" ht="20" customHeight="1">
      <x:c r="A7" s="113"/>
      <x:c r="B7" s="114"/>
      <x:c r="C7" s="113"/>
      <x:c r="D7" s="114"/>
      <x:c r="E7" s="113"/>
      <x:c r="F7" s="114"/>
      <x:c r="G7" s="125"/>
      <x:c r="H7" s="126"/>
    </x:row>
    <x:row r="8" ht="20" customHeight="1">
      <x:c r="A8" s="115"/>
      <x:c r="B8" s="116"/>
      <x:c r="C8" s="115"/>
      <x:c r="D8" s="116"/>
      <x:c r="E8" s="115"/>
      <x:c r="F8" s="116"/>
      <x:c r="G8" s="127"/>
      <x:c r="H8" s="128"/>
    </x:row>
    <x:row r="9" ht="20" customHeight="1">
      <x:c r="A9" s="3"/>
      <x:c r="B9" s="3"/>
      <x:c r="C9" s="3"/>
      <x:c r="D9" s="3"/>
      <x:c r="E9" s="3"/>
      <x:c r="F9" s="3"/>
      <x:c r="G9" s="3"/>
      <x:c r="H9" s="3"/>
    </x:row>
    <x:row r="10" ht="20" customHeight="1">
      <x:c r="A10" s="61" t="str">
        <x:v>DECISION VIEW</x:v>
      </x:c>
      <x:c r="B10" s="61"/>
      <x:c r="C10" s="61"/>
      <x:c r="D10" s="61"/>
      <x:c r="E10" s="61"/>
      <x:c r="F10" s="61"/>
      <x:c r="G10" s="61"/>
      <x:c r="H10" s="61"/>
    </x:row>
    <x:row r="11" ht="34" customHeight="1">
      <x:c r="A11" s="161" t="str">
        <x:v>CALCULATION STATUS</x:v>
      </x:c>
      <x:c r="B11" s="161"/>
      <x:c r="C11" s="165" t="str">
        <x:f>'Checks'!B4</x:f>
        <x:v>PASS</x:v>
      </x:c>
      <x:c r="D11" s="166"/>
      <x:c r="E11" s="161" t="str">
        <x:v>PRICING OUTCOME</x:v>
      </x:c>
      <x:c r="F11" s="161"/>
      <x:c r="G11" s="172" t="str">
        <x:f>'Model'!A34</x:f>
        <x:v>CONTRIBUTION IMPROVES</x:v>
      </x:c>
      <x:c r="H11" s="173"/>
    </x:row>
    <x:row r="12" ht="20" customHeight="1">
      <x:c r="A12" s="3"/>
      <x:c r="B12" s="3"/>
      <x:c r="C12" s="3"/>
      <x:c r="D12" s="3"/>
      <x:c r="E12" s="3"/>
      <x:c r="F12" s="3"/>
      <x:c r="G12" s="3"/>
      <x:c r="H12" s="3"/>
    </x:row>
    <x:row r="13" ht="20" customHeight="1">
      <x:c r="A13" s="61" t="str">
        <x:v>WHAT IT ANSWERS</x:v>
      </x:c>
      <x:c r="B13" s="61"/>
      <x:c r="C13" s="61"/>
      <x:c r="D13" s="61"/>
      <x:c r="E13" s="61"/>
      <x:c r="F13" s="61"/>
      <x:c r="G13" s="61"/>
      <x:c r="H13" s="61"/>
    </x:row>
    <x:row r="14" ht="20" customHeight="1">
      <x:c r="A14" s="181" t="str">
        <x:v>Will one price change improve contribution after volume and cost effects?</x:v>
      </x:c>
      <x:c r="B14" s="182"/>
      <x:c r="C14" s="182"/>
      <x:c r="D14" s="182"/>
      <x:c r="E14" s="182"/>
      <x:c r="F14" s="182"/>
      <x:c r="G14" s="182"/>
      <x:c r="H14" s="183"/>
    </x:row>
    <x:row r="15" ht="20" customHeight="1">
      <x:c r="A15" s="184"/>
      <x:c r="B15" s="185"/>
      <x:c r="C15" s="185"/>
      <x:c r="D15" s="185"/>
      <x:c r="E15" s="185"/>
      <x:c r="F15" s="185"/>
      <x:c r="G15" s="185"/>
      <x:c r="H15" s="186"/>
    </x:row>
    <x:row r="16" ht="20" customHeight="1">
      <x:c r="A16" s="3"/>
      <x:c r="B16" s="3"/>
      <x:c r="C16" s="3"/>
      <x:c r="D16" s="3"/>
      <x:c r="E16" s="3"/>
      <x:c r="F16" s="3"/>
      <x:c r="G16" s="3"/>
      <x:c r="H16" s="3"/>
    </x:row>
    <x:row r="17" ht="20" customHeight="1">
      <x:c r="A17" s="61" t="str">
        <x:v>MODEL DEPTH</x:v>
      </x:c>
      <x:c r="B17" s="61"/>
      <x:c r="C17" s="61"/>
      <x:c r="D17" s="61"/>
      <x:c r="E17" s="61"/>
      <x:c r="F17" s="61"/>
      <x:c r="G17" s="61"/>
      <x:c r="H17" s="61"/>
    </x:row>
    <x:row r="18" ht="20" customHeight="1">
      <x:c r="A18" s="160" t="str">
        <x:v>Forecast</x:v>
      </x:c>
      <x:c r="B18" s="160"/>
      <x:c r="C18" s="174" t="str">
        <x:v>One current vs proposed case</x:v>
      </x:c>
      <x:c r="D18" s="174"/>
      <x:c r="E18" s="174"/>
      <x:c r="F18" s="174"/>
      <x:c r="G18" s="174"/>
      <x:c r="H18" s="174"/>
    </x:row>
    <x:row r="19" ht="20" customHeight="1">
      <x:c r="A19" s="160" t="str">
        <x:v>Editable inputs</x:v>
      </x:c>
      <x:c r="B19" s="160"/>
      <x:c r="C19" s="174" t="str">
        <x:v>8</x:v>
      </x:c>
      <x:c r="D19" s="174"/>
      <x:c r="E19" s="174"/>
      <x:c r="F19" s="174"/>
      <x:c r="G19" s="174"/>
      <x:c r="H19" s="174"/>
    </x:row>
    <x:row r="20" ht="20" customHeight="1">
      <x:c r="A20" s="160" t="str">
        <x:v>Calculation detail</x:v>
      </x:c>
      <x:c r="B20" s="160"/>
      <x:c r="C20" s="174" t="str">
        <x:v>Visible formulas, schedules, roll-forwards, and bridges</x:v>
      </x:c>
      <x:c r="D20" s="174"/>
      <x:c r="E20" s="174"/>
      <x:c r="F20" s="174"/>
      <x:c r="G20" s="174"/>
      <x:c r="H20" s="174"/>
    </x:row>
    <x:row r="21" ht="20" customHeight="1">
      <x:c r="A21" s="160" t="str">
        <x:v>Workbook flow</x:v>
      </x:c>
      <x:c r="B21" s="160"/>
      <x:c r="C21" s="174" t="str">
        <x:v>Start → Inputs → Model → Results → Checks</x:v>
      </x:c>
      <x:c r="D21" s="174"/>
      <x:c r="E21" s="174"/>
      <x:c r="F21" s="174"/>
      <x:c r="G21" s="174"/>
      <x:c r="H21" s="174"/>
    </x:row>
    <x:row r="22" ht="20" customHeight="1">
      <x:c r="A22" s="3"/>
      <x:c r="B22" s="3"/>
      <x:c r="C22" s="3"/>
      <x:c r="D22" s="3"/>
      <x:c r="E22" s="3"/>
      <x:c r="F22" s="3"/>
      <x:c r="G22" s="3"/>
      <x:c r="H22" s="3"/>
    </x:row>
    <x:row r="23" ht="20" customHeight="1">
      <x:c r="A23" s="61" t="str">
        <x:v>SCOPE</x:v>
      </x:c>
      <x:c r="B23" s="61"/>
      <x:c r="C23" s="61"/>
      <x:c r="D23" s="61"/>
      <x:c r="E23" s="61"/>
      <x:c r="F23" s="61"/>
      <x:c r="G23" s="61"/>
      <x:c r="H23" s="61"/>
    </x:row>
    <x:row r="24" ht="20" customHeight="1">
      <x:c r="A24" s="195" t="str">
        <x:v>Included: One current offer and one proposed offer · Direct volume response and unit-cost change · Contribution uplift, break-even volume, and a visible driver waterfall</x:v>
      </x:c>
      <x:c r="B24" s="196"/>
      <x:c r="C24" s="196"/>
      <x:c r="D24" s="196"/>
      <x:c r="E24" s="196"/>
      <x:c r="F24" s="196"/>
      <x:c r="G24" s="196"/>
      <x:c r="H24" s="197"/>
    </x:row>
    <x:row r="25" ht="20" customHeight="1">
      <x:c r="A25" s="198"/>
      <x:c r="B25" s="199"/>
      <x:c r="C25" s="199"/>
      <x:c r="D25" s="199"/>
      <x:c r="E25" s="199"/>
      <x:c r="F25" s="199"/>
      <x:c r="G25" s="199"/>
      <x:c r="H25" s="200"/>
    </x:row>
    <x:row r="26" ht="20" customHeight="1">
      <x:c r="A26" s="201"/>
      <x:c r="B26" s="202"/>
      <x:c r="C26" s="202"/>
      <x:c r="D26" s="202"/>
      <x:c r="E26" s="202"/>
      <x:c r="F26" s="202"/>
      <x:c r="G26" s="202"/>
      <x:c r="H26" s="203"/>
    </x:row>
    <x:row r="27" ht="20" customHeight="1">
      <x:c r="A27" s="54" t="str">
        <x:v>Outside this model: Multiple products, elasticity estimation, freight layers, tax, transfer pricing, and competitor response.</x:v>
      </x:c>
      <x:c r="B27" s="55"/>
      <x:c r="C27" s="55"/>
      <x:c r="D27" s="55"/>
      <x:c r="E27" s="55"/>
      <x:c r="F27" s="55"/>
      <x:c r="G27" s="55"/>
      <x:c r="H27" s="56"/>
    </x:row>
    <x:row r="28" ht="20" customHeight="1">
      <x:c r="A28" s="57"/>
      <x:c r="B28" s="58"/>
      <x:c r="C28" s="58"/>
      <x:c r="D28" s="58"/>
      <x:c r="E28" s="58"/>
      <x:c r="F28" s="58"/>
      <x:c r="G28" s="58"/>
      <x:c r="H28" s="59"/>
    </x:row>
    <x:row r="29" ht="20" customHeight="1">
      <x:c r="A29" s="207" t="str">
        <x:v>Five visible tabs · No hidden calculations · Calculation status and business outcome are reported separately.</x:v>
      </x:c>
      <x:c r="B29" s="208"/>
      <x:c r="C29" s="208"/>
      <x:c r="D29" s="208"/>
      <x:c r="E29" s="208"/>
      <x:c r="F29" s="208"/>
      <x:c r="G29" s="208"/>
      <x:c r="H29" s="209"/>
    </x:row>
    <x:row r="30" ht="20" customHeight="1">
      <x:c r="A30" s="3"/>
      <x:c r="B30" s="3"/>
      <x:c r="C30" s="3"/>
      <x:c r="D30" s="3"/>
      <x:c r="E30" s="3"/>
      <x:c r="F30" s="3"/>
      <x:c r="G30" s="3"/>
      <x:c r="H30" s="3"/>
    </x:row>
    <x:row r="31" ht="20" customHeight="1">
      <x:c r="A31" s="60" t="str">
        <x:v>Pricing &amp; Margin Waterfall · v1.4.0 · Linked summary only · Trace all formulas on Model</x:v>
      </x:c>
      <x:c r="B31" s="60"/>
      <x:c r="C31" s="60"/>
      <x:c r="D31" s="60"/>
      <x:c r="E31" s="60"/>
      <x:c r="F31" s="60"/>
      <x:c r="G31" s="60"/>
      <x:c r="H31" s="60"/>
    </x:row>
  </x:sheetData>
  <x:mergeCells>
    <x:mergeCell ref="A1:H2"/>
    <x:mergeCell ref="A3:H3"/>
    <x:mergeCell ref="A5:B5"/>
    <x:mergeCell ref="A6:B8"/>
    <x:mergeCell ref="C5:D5"/>
    <x:mergeCell ref="C6:D8"/>
    <x:mergeCell ref="E5:F5"/>
    <x:mergeCell ref="E6:F8"/>
    <x:mergeCell ref="G5:H5"/>
    <x:mergeCell ref="G6:H8"/>
    <x:mergeCell ref="A10:H10"/>
    <x:mergeCell ref="A11:B11"/>
    <x:mergeCell ref="C11:D11"/>
    <x:mergeCell ref="E11:F11"/>
    <x:mergeCell ref="G11:H11"/>
    <x:mergeCell ref="A13:H13"/>
    <x:mergeCell ref="A14:H15"/>
    <x:mergeCell ref="A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3:H23"/>
    <x:mergeCell ref="A24:H26"/>
    <x:mergeCell ref="A27:H28"/>
    <x:mergeCell ref="A29:H29"/>
    <x:mergeCell ref="A31:H31"/>
  </x:mergeCells>
  <x:conditionalFormatting sqref="C11:D11">
    <x:cfRule type="containsText" dxfId="0" priority="1" operator="containsText" text="FAIL"/>
    <x:cfRule type="containsText" dxfId="1" priority="2" operator="containsText" text="PASS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23" hidden="0" customWidth="1"/>
    <x:col min="8" max="8" width="16" hidden="0" customWidth="1"/>
  </x:cols>
  <x:sheetData>
    <x:row r="1" ht="27" customHeight="1">
      <x:c r="A1" s="6" t="str">
        <x:v>CHECKS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Pricing &amp; Margin Waterfall · Calculation controls only; business outcomes are shown separately</x:v>
      </x:c>
      <x:c r="B3" s="9"/>
      <x:c r="C3" s="9"/>
      <x:c r="D3" s="9"/>
      <x:c r="E3" s="9"/>
      <x:c r="F3" s="9"/>
      <x:c r="G3" s="9"/>
      <x:c r="H3" s="9"/>
    </x:row>
    <x:row r="4" ht="12" customHeight="1">
      <x:c r="A4" s="3"/>
      <x:c r="B4" s="210" t="str">
        <x:f>IF(COUNTIF(F9:F18,"PASS")=10,"PASS","FAIL")</x:f>
        <x:v>PASS</x:v>
      </x:c>
      <x:c r="C4" s="210"/>
      <x:c r="D4" s="210"/>
      <x:c r="E4" s="210"/>
      <x:c r="F4" s="210"/>
      <x:c r="G4" s="210"/>
      <x:c r="H4" s="210"/>
    </x:row>
    <x:row r="5" ht="20" customHeight="1">
      <x:c r="A5" s="60" t="str">
        <x:v>MODEL STATUS</x:v>
      </x:c>
      <x:c r="B5" s="60"/>
      <x:c r="C5" s="165" t="str">
        <x:f>B4</x:f>
        <x:v>PASS</x:v>
      </x:c>
      <x:c r="D5" s="212"/>
      <x:c r="E5" s="212"/>
      <x:c r="F5" s="212"/>
      <x:c r="G5" s="212"/>
      <x:c r="H5" s="166"/>
    </x:row>
    <x:row r="6" ht="20" customHeight="1">
      <x:c r="A6" s="3"/>
      <x:c r="B6" s="3"/>
      <x:c r="C6" s="3"/>
      <x:c r="D6" s="3"/>
      <x:c r="E6" s="3"/>
      <x:c r="F6" s="3"/>
      <x:c r="G6" s="3"/>
      <x:c r="H6" s="3"/>
    </x:row>
    <x:row r="7" ht="20" customHeight="1">
      <x:c r="A7" s="61" t="str">
        <x:v>10 CALCULATION CONTROLS</x:v>
      </x:c>
      <x:c r="B7" s="61"/>
      <x:c r="C7" s="61"/>
      <x:c r="D7" s="61"/>
      <x:c r="E7" s="61"/>
      <x:c r="F7" s="61"/>
      <x:c r="G7" s="61"/>
      <x:c r="H7" s="61"/>
    </x:row>
    <x:row r="8" ht="20" customHeight="1">
      <x:c r="A8" s="28" t="str">
        <x:v>Control</x:v>
      </x:c>
      <x:c r="B8" s="28" t="str">
        <x:v>Actual</x:v>
      </x:c>
      <x:c r="C8" s="28" t="str">
        <x:v>Expected</x:v>
      </x:c>
      <x:c r="D8" s="28" t="str">
        <x:v>Difference</x:v>
      </x:c>
      <x:c r="E8" s="28" t="str">
        <x:v>Tolerance</x:v>
      </x:c>
      <x:c r="F8" s="28" t="str">
        <x:v>Status</x:v>
      </x:c>
      <x:c r="G8" s="28" t="str">
        <x:v>Where to fix</x:v>
      </x:c>
      <x:c r="H8" s="28"/>
    </x:row>
    <x:row r="9" ht="26" customHeight="1">
      <x:c r="A9" s="199" t="str">
        <x:v>All editable inputs are numeric</x:v>
      </x:c>
      <x:c r="B9" s="214" t="n">
        <x:f>ROUND(COUNT('Inputs'!B10,'Inputs'!B11,'Inputs'!B12,'Inputs'!B13,'Inputs'!B14,'Inputs'!B15,'Inputs'!B16,'Inputs'!B17),6)</x:f>
        <x:v>8</x:v>
      </x:c>
      <x:c r="C9" s="214" t="n">
        <x:f>8</x:f>
        <x:v>8</x:v>
      </x:c>
      <x:c r="D9" s="214" t="n">
        <x:f>ROUND(B9-C9,6)</x:f>
        <x:v>0</x:v>
      </x:c>
      <x:c r="E9" s="214" t="n">
        <x:f>0</x:f>
        <x:v>0</x:v>
      </x:c>
      <x:c r="F9" s="215" t="str">
        <x:f>IF(ABS(ROUND(D9,6))&lt;=E9,"PASS","FAIL")</x:f>
        <x:v>PASS</x:v>
      </x:c>
      <x:c r="G9" s="199" t="str">
        <x:v>Complete the blue cells on Inputs</x:v>
      </x:c>
      <x:c r="H9" s="199"/>
    </x:row>
    <x:row r="10" ht="26" customHeight="1">
      <x:c r="A10" s="199" t="str">
        <x:v>Results headline KPIs reconcile to Model</x:v>
      </x:c>
      <x:c r="B10" s="218" t="n">
        <x:f>ROUND(IFERROR(SUM(ABS('Results'!A6-'Model'!A6),ABS('Results'!C6-'Model'!C6),ABS('Results'!E6-'Model'!E6),ABS('Results'!G6-'Model'!G6)),1E+99),6)</x:f>
        <x:v>0</x:v>
      </x:c>
      <x:c r="C10" s="218" t="n">
        <x:f>0</x:f>
        <x:v>0</x:v>
      </x:c>
      <x:c r="D10" s="218" t="n">
        <x:f>ROUND(B10-C10,6)</x:f>
        <x:v>0</x:v>
      </x:c>
      <x:c r="E10" s="218" t="n">
        <x:f>0.0001</x:f>
        <x:v>0.0001</x:v>
      </x:c>
      <x:c r="F10" s="215" t="str">
        <x:f>IF(ABS(ROUND(D10,6))&lt;=E10,"PASS","FAIL")</x:f>
        <x:v>PASS</x:v>
      </x:c>
      <x:c r="G10" s="199" t="str">
        <x:v>Review Results-to-Model links</x:v>
      </x:c>
      <x:c r="H10" s="199"/>
    </x:row>
    <x:row r="11" ht="26" customHeight="1">
      <x:c r="A11" s="199" t="str">
        <x:v>Pricing inputs are valid</x:v>
      </x:c>
      <x:c r="B11" s="218" t="n">
        <x:f>ROUND(IF(AND('Inputs'!$B$10&gt;=0,'Inputs'!$B$11&gt;=0,'Inputs'!$B$13&gt;=0,'Inputs'!$B$12&gt;=0,'Inputs'!$B$12&lt;=1,'Inputs'!$B$16&gt;=0,'Inputs'!$B$16&lt;=1,'Inputs'!$B$14&gt;-1,'Inputs'!$B$15&gt;-1,'Inputs'!$B$17&gt;-1),1,0),6)</x:f>
        <x:v>1</x:v>
      </x:c>
      <x:c r="C11" s="218" t="n">
        <x:f>1</x:f>
        <x:v>1</x:v>
      </x:c>
      <x:c r="D11" s="218" t="n">
        <x:f>ROUND(B11-C11,6)</x:f>
        <x:v>0</x:v>
      </x:c>
      <x:c r="E11" s="218" t="n">
        <x:f>0.0001</x:f>
        <x:v>0.0001</x:v>
      </x:c>
      <x:c r="F11" s="215" t="str">
        <x:f>IF(ABS(ROUND(D11,6))&lt;=E11,"PASS","FAIL")</x:f>
        <x:v>PASS</x:v>
      </x:c>
      <x:c r="G11" s="199" t="str">
        <x:v>Inputs: price, volume, and cost</x:v>
      </x:c>
      <x:c r="H11" s="199"/>
    </x:row>
    <x:row r="12" ht="26" customHeight="1">
      <x:c r="A12" s="199" t="str">
        <x:v>Current and proposed waterfalls tie</x:v>
      </x:c>
      <x:c r="B12" s="220" t="n">
        <x:f>ROUND(ABS('Model'!B14-('Model'!B13-'Inputs'!$B$10*'Inputs'!$B$13))+ABS('Model'!B20-('Model'!B19-'Model'!B16*'Model'!B18)),6)</x:f>
        <x:v>0</x:v>
      </x:c>
      <x:c r="C12" s="220" t="n">
        <x:f>0</x:f>
        <x:v>0</x:v>
      </x:c>
      <x:c r="D12" s="220" t="n">
        <x:f>ROUND(B12-C12,6)</x:f>
        <x:v>0</x:v>
      </x:c>
      <x:c r="E12" s="220" t="n">
        <x:f>0.0001</x:f>
        <x:v>0.0001</x:v>
      </x:c>
      <x:c r="F12" s="215" t="str">
        <x:f>IF(ABS(ROUND(D12,6))&lt;=E12,"PASS","FAIL")</x:f>
        <x:v>PASS</x:v>
      </x:c>
      <x:c r="G12" s="199" t="str">
        <x:v>Model: contribution bridge</x:v>
      </x:c>
      <x:c r="H12" s="199"/>
    </x:row>
    <x:row r="13" ht="26" customHeight="1">
      <x:c r="A13" s="199" t="str">
        <x:v>Contribution driver waterfall ties</x:v>
      </x:c>
      <x:c r="B13" s="220" t="n">
        <x:f>ROUND(ABS('Model'!B22-SUM('Model'!E28:E30))+ABS('Model'!B20-'Model'!F31),6)</x:f>
        <x:v>0</x:v>
      </x:c>
      <x:c r="C13" s="220" t="n">
        <x:f>0</x:f>
        <x:v>0</x:v>
      </x:c>
      <x:c r="D13" s="220" t="n">
        <x:f>ROUND(B13-C13,6)</x:f>
        <x:v>0</x:v>
      </x:c>
      <x:c r="E13" s="220" t="n">
        <x:f>0.0001</x:f>
        <x:v>0.0001</x:v>
      </x:c>
      <x:c r="F13" s="215" t="str">
        <x:f>IF(ABS(ROUND(D13,6))&lt;=E13,"PASS","FAIL")</x:f>
        <x:v>PASS</x:v>
      </x:c>
      <x:c r="G13" s="199" t="str">
        <x:v>Model: volume, net-price, and unit-cost bridge</x:v>
      </x:c>
      <x:c r="H13" s="199"/>
    </x:row>
    <x:row r="14" ht="26" customHeight="1">
      <x:c r="A14" s="199" t="str">
        <x:v>Current net price and revenue trace</x:v>
      </x:c>
      <x:c r="B14" s="220" t="n">
        <x:f>ROUND(SUM(ABS('Model'!B12-'Inputs'!$B$11*(1-'Inputs'!$B$12)),ABS('Model'!B13-'Inputs'!$B$10*'Model'!B12)),6)</x:f>
        <x:v>0</x:v>
      </x:c>
      <x:c r="C14" s="220" t="n">
        <x:f>0</x:f>
        <x:v>0</x:v>
      </x:c>
      <x:c r="D14" s="220" t="n">
        <x:f>ROUND(B14-C14,6)</x:f>
        <x:v>0</x:v>
      </x:c>
      <x:c r="E14" s="220" t="n">
        <x:f>0.0001</x:f>
        <x:v>0.0001</x:v>
      </x:c>
      <x:c r="F14" s="215" t="str">
        <x:f>IF(ABS(ROUND(D14,6))&lt;=E14,"PASS","FAIL")</x:f>
        <x:v>PASS</x:v>
      </x:c>
      <x:c r="G14" s="199" t="str">
        <x:v>Model: current price and revenue</x:v>
      </x:c>
      <x:c r="H14" s="199"/>
    </x:row>
    <x:row r="15" ht="26" customHeight="1">
      <x:c r="A15" s="199" t="str">
        <x:v>Proposed volume, price, and cost trace</x:v>
      </x:c>
      <x:c r="B15" s="220" t="n">
        <x:f>ROUND(SUM(ABS('Model'!B16-MAX(0,'Inputs'!$B$10*(1+'Inputs'!$B$15))),ABS('Model'!B17-'Inputs'!$B$11*(1+'Inputs'!$B$14)*(1-'Inputs'!$B$16)),ABS('Model'!B18-'Inputs'!$B$13*(1+'Inputs'!$B$17))),6)</x:f>
        <x:v>0</x:v>
      </x:c>
      <x:c r="C15" s="220" t="n">
        <x:f>0</x:f>
        <x:v>0</x:v>
      </x:c>
      <x:c r="D15" s="220" t="n">
        <x:f>ROUND(B15-C15,6)</x:f>
        <x:v>0</x:v>
      </x:c>
      <x:c r="E15" s="220" t="n">
        <x:f>0.0001</x:f>
        <x:v>0.0001</x:v>
      </x:c>
      <x:c r="F15" s="215" t="str">
        <x:f>IF(ABS(ROUND(D15,6))&lt;=E15,"PASS","FAIL")</x:f>
        <x:v>PASS</x:v>
      </x:c>
      <x:c r="G15" s="199" t="str">
        <x:v>Model: proposed drivers</x:v>
      </x:c>
      <x:c r="H15" s="199"/>
    </x:row>
    <x:row r="16" ht="26" customHeight="1">
      <x:c r="A16" s="199" t="str">
        <x:v>Current and proposed margin ratios tie</x:v>
      </x:c>
      <x:c r="B16" s="222" t="n">
        <x:f>ROUND(SUM(ABS('Model'!B15-IF('Model'!B13=0,0,'Model'!B14/'Model'!B13)),ABS('Model'!B21-IF('Model'!B19=0,0,'Model'!B20/'Model'!B19))),6)</x:f>
        <x:v>0</x:v>
      </x:c>
      <x:c r="C16" s="222" t="n">
        <x:f>0</x:f>
        <x:v>0</x:v>
      </x:c>
      <x:c r="D16" s="222" t="n">
        <x:f>ROUND(B16-C16,6)</x:f>
        <x:v>0</x:v>
      </x:c>
      <x:c r="E16" s="222" t="n">
        <x:f>0.0001</x:f>
        <x:v>0.0001</x:v>
      </x:c>
      <x:c r="F16" s="215" t="str">
        <x:f>IF(ABS(ROUND(D16,6))&lt;=E16,"PASS","FAIL")</x:f>
        <x:v>PASS</x:v>
      </x:c>
      <x:c r="G16" s="199" t="str">
        <x:v>Model: contribution margins</x:v>
      </x:c>
      <x:c r="H16" s="199"/>
    </x:row>
    <x:row r="17" ht="26" customHeight="1">
      <x:c r="A17" s="199" t="str">
        <x:v>Break-even volume formula traces</x:v>
      </x:c>
      <x:c r="B17" s="222" t="n">
        <x:f>ROUND(IF(OR('Inputs'!$B$10&lt;=0,'Model'!B17-'Model'!B18&lt;=0),IF('Model'!B23="",0,1),ABS('Model'!B23-('Model'!B14/(('Model'!B17-'Model'!B18)*'Inputs'!$B$10)-1))),6)</x:f>
        <x:v>0</x:v>
      </x:c>
      <x:c r="C17" s="222" t="n">
        <x:f>0</x:f>
        <x:v>0</x:v>
      </x:c>
      <x:c r="D17" s="222" t="n">
        <x:f>ROUND(B17-C17,6)</x:f>
        <x:v>0</x:v>
      </x:c>
      <x:c r="E17" s="222" t="n">
        <x:f>0.0001</x:f>
        <x:v>0.0001</x:v>
      </x:c>
      <x:c r="F17" s="215" t="str">
        <x:f>IF(ABS(ROUND(D17,6))&lt;=E17,"PASS","FAIL")</x:f>
        <x:v>PASS</x:v>
      </x:c>
      <x:c r="G17" s="199" t="str">
        <x:v>Model: break-even volume</x:v>
      </x:c>
      <x:c r="H17" s="199"/>
    </x:row>
    <x:row r="18" ht="26" customHeight="1">
      <x:c r="A18" s="199" t="str">
        <x:v>Waterfall cumulative contribution chain ties</x:v>
      </x:c>
      <x:c r="B18" s="220" t="n">
        <x:f>ROUND(SUM(ABS('Model'!F28-'Model'!F27-'Model'!E28),ABS('Model'!F29-'Model'!F28-'Model'!E29),ABS('Model'!F30-'Model'!F29-'Model'!E30),ABS('Model'!F31-'Model'!F30)),6)</x:f>
        <x:v>0</x:v>
      </x:c>
      <x:c r="C18" s="220" t="n">
        <x:f>0</x:f>
        <x:v>0</x:v>
      </x:c>
      <x:c r="D18" s="220" t="n">
        <x:f>ROUND(B18-C18,6)</x:f>
        <x:v>0</x:v>
      </x:c>
      <x:c r="E18" s="220" t="n">
        <x:f>0.0001</x:f>
        <x:v>0.0001</x:v>
      </x:c>
      <x:c r="F18" s="215" t="str">
        <x:f>IF(ABS(ROUND(D18,6))&lt;=E18,"PASS","FAIL")</x:f>
        <x:v>PASS</x:v>
      </x:c>
      <x:c r="G18" s="199" t="str">
        <x:v>Model: cumulative contribution waterfall</x:v>
      </x:c>
      <x:c r="H18" s="199"/>
    </x:row>
    <x:row r="19" ht="20" customHeight="1">
      <x:c r="A19" s="226" t="str">
        <x:v>A warning business outcome can still pass these controls; review Model and Results before making a decision.</x:v>
      </x:c>
      <x:c r="B19" s="227"/>
      <x:c r="C19" s="227"/>
      <x:c r="D19" s="227"/>
      <x:c r="E19" s="227"/>
      <x:c r="F19" s="227"/>
      <x:c r="G19" s="227"/>
      <x:c r="H19" s="228"/>
    </x:row>
    <x:row r="20" ht="20" customHeight="1">
      <x:c r="A20" s="60" t="str">
        <x:v>Pricing &amp; Margin Waterfall · 10 / 10 controls should show PASS · v1.4.0</x:v>
      </x:c>
      <x:c r="B20" s="60"/>
      <x:c r="C20" s="60"/>
      <x:c r="D20" s="60"/>
      <x:c r="E20" s="60"/>
      <x:c r="F20" s="60"/>
      <x:c r="G20" s="60"/>
      <x:c r="H20" s="60"/>
    </x:row>
  </x:sheetData>
  <x:mergeCells>
    <x:mergeCell ref="A1:H2"/>
    <x:mergeCell ref="A3:H3"/>
    <x:mergeCell ref="B4:H4"/>
    <x:mergeCell ref="A5:B5"/>
    <x:mergeCell ref="C5:H5"/>
    <x:mergeCell ref="A7:H7"/>
    <x:mergeCell ref="G8:H8"/>
    <x:mergeCell ref="G9:H9"/>
    <x:mergeCell ref="G10:H10"/>
    <x:mergeCell ref="G11:H11"/>
    <x:mergeCell ref="G12:H12"/>
    <x:mergeCell ref="G13:H13"/>
    <x:mergeCell ref="G14:H14"/>
    <x:mergeCell ref="G15:H15"/>
    <x:mergeCell ref="G16:H16"/>
    <x:mergeCell ref="G17:H17"/>
    <x:mergeCell ref="G18:H18"/>
    <x:mergeCell ref="A19:H19"/>
    <x:mergeCell ref="A20:H20"/>
  </x:mergeCells>
  <x:conditionalFormatting sqref="C5:H5">
    <x:cfRule type="containsText" dxfId="2" priority="1" operator="containsText" text="FAIL"/>
    <x:cfRule type="containsText" dxfId="3" priority="2" operator="containsText" text="PASS"/>
  </x:conditionalFormatting>
  <x:conditionalFormatting sqref="F9:F9">
    <x:cfRule type="containsText" dxfId="4" priority="3" operator="containsText" text="FAIL"/>
    <x:cfRule type="containsText" dxfId="5" priority="4" operator="containsText" text="PASS"/>
  </x:conditionalFormatting>
  <x:conditionalFormatting sqref="F10:F10">
    <x:cfRule type="containsText" dxfId="6" priority="5" operator="containsText" text="FAIL"/>
    <x:cfRule type="containsText" dxfId="7" priority="6" operator="containsText" text="PASS"/>
  </x:conditionalFormatting>
  <x:conditionalFormatting sqref="F11:F11">
    <x:cfRule type="containsText" dxfId="8" priority="7" operator="containsText" text="FAIL"/>
    <x:cfRule type="containsText" dxfId="9" priority="8" operator="containsText" text="PASS"/>
  </x:conditionalFormatting>
  <x:conditionalFormatting sqref="F12:F12">
    <x:cfRule type="containsText" dxfId="10" priority="9" operator="containsText" text="FAIL"/>
    <x:cfRule type="containsText" dxfId="11" priority="10" operator="containsText" text="PASS"/>
  </x:conditionalFormatting>
  <x:conditionalFormatting sqref="F13:F13">
    <x:cfRule type="containsText" dxfId="12" priority="11" operator="containsText" text="FAIL"/>
    <x:cfRule type="containsText" dxfId="13" priority="12" operator="containsText" text="PASS"/>
  </x:conditionalFormatting>
  <x:conditionalFormatting sqref="F14:F14">
    <x:cfRule type="containsText" dxfId="14" priority="13" operator="containsText" text="FAIL"/>
    <x:cfRule type="containsText" dxfId="15" priority="14" operator="containsText" text="PASS"/>
  </x:conditionalFormatting>
  <x:conditionalFormatting sqref="F15:F15">
    <x:cfRule type="containsText" dxfId="16" priority="15" operator="containsText" text="FAIL"/>
    <x:cfRule type="containsText" dxfId="17" priority="16" operator="containsText" text="PASS"/>
  </x:conditionalFormatting>
  <x:conditionalFormatting sqref="F16:F16">
    <x:cfRule type="containsText" dxfId="18" priority="17" operator="containsText" text="FAIL"/>
    <x:cfRule type="containsText" dxfId="19" priority="18" operator="containsText" text="PASS"/>
  </x:conditionalFormatting>
  <x:conditionalFormatting sqref="F17:F17">
    <x:cfRule type="containsText" dxfId="20" priority="19" operator="containsText" text="FAIL"/>
    <x:cfRule type="containsText" dxfId="21" priority="20" operator="containsText" text="PASS"/>
  </x:conditionalFormatting>
  <x:conditionalFormatting sqref="F18:F18">
    <x:cfRule type="containsText" dxfId="22" priority="21" operator="containsText" text="FAIL"/>
    <x:cfRule type="containsText" dxfId="23" priority="22" operator="containsText" text="PASS"/>
  </x:conditionalFormatting>
  <x:pageMargins left="0.7" right="0.7" top="0.75" bottom="0.75" header="0.3" footer="0.3"/>
</x:worksheet>
</file>