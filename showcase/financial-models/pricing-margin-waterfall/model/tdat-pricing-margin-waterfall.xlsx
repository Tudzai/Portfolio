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8adb042ca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9b5783514b24f5d"/>
    <x:sheet xmlns:r="http://schemas.openxmlformats.org/officeDocument/2006/relationships" name="Guide" sheetId="2" r:id="Re981e2d9114f48b4"/>
    <x:sheet xmlns:r="http://schemas.openxmlformats.org/officeDocument/2006/relationships" name="Assumptions" sheetId="3" r:id="R95d4eabed0b64f63"/>
    <x:sheet xmlns:r="http://schemas.openxmlformats.org/officeDocument/2006/relationships" name="Product Customer" sheetId="4" r:id="R07da6c04386440be"/>
    <x:sheet xmlns:r="http://schemas.openxmlformats.org/officeDocument/2006/relationships" name="Margin Waterfall" sheetId="5" r:id="R9baa1649e87f44b7"/>
    <x:sheet xmlns:r="http://schemas.openxmlformats.org/officeDocument/2006/relationships" name="Sensitivity" sheetId="6" r:id="Rf912e6aacf6b4dad"/>
    <x:sheet xmlns:r="http://schemas.openxmlformats.org/officeDocument/2006/relationships" name="Summary" sheetId="7" r:id="R2f1a86f628fc4c83"/>
    <x:sheet xmlns:r="http://schemas.openxmlformats.org/officeDocument/2006/relationships" name="Checks" sheetId="8" r:id="Rdac32bfcc9524ece"/>
    <x:sheet xmlns:r="http://schemas.openxmlformats.org/officeDocument/2006/relationships" name="Sources &amp; Version" sheetId="9" r:id="R928d69034a6e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-"/>
    <x:numFmt numFmtId="201" formatCode="0.00;(0.00);-"/>
    <x:numFmt numFmtId="202" formatCode="#,##0;(#,##0);-"/>
    <x:numFmt numFmtId="203" formatCode="#,##0.0;(#,##0.0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5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</x:borders>
  <x:cellStyleXfs count="1">
    <x:xf numFmtId="0" fontId="0" fillId="0" borderId="0"/>
  </x:cellStyleXfs>
  <x:cellXfs count="2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0" fontId="12" fillId="5" borderId="19" xfId="0" applyNumberFormat="1" applyFont="1" applyFill="1" applyBorder="1" applyAlignment="1">
      <x:alignment horizontal="right"/>
    </x:xf>
    <x:xf numFmtId="200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/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/>
    <x:xf numFmtId="201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2" fontId="12" fillId="5" borderId="22" xfId="0" applyNumberFormat="1" applyFont="1" applyFill="1" applyBorder="1" applyAlignment="1">
      <x:alignment horizontal="right"/>
    </x:xf>
    <x:xf numFmtId="200" fontId="12" fillId="5" borderId="22" xfId="0" applyNumberFormat="1" applyFont="1" applyFill="1" applyBorder="1" applyAlignment="1">
      <x:alignment horizontal="right"/>
    </x:xf>
    <x:xf numFmtId="201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1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3" fontId="16" fillId="0" borderId="0" xfId="0" applyNumberFormat="1" applyFont="1" applyFill="1" applyBorder="1"/>
    <x:xf numFmtId="203" fontId="16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203" fontId="13" fillId="0" borderId="0" xfId="0" applyNumberFormat="1" applyFont="1" applyFill="1" applyBorder="1"/>
    <x:xf numFmtId="203" fontId="13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3" fontId="13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3" fontId="13" fillId="6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3" fontId="13" fillId="8" borderId="24" xfId="0" applyNumberFormat="1" applyFont="1" applyFill="1" applyBorder="1" applyAlignment="1">
      <x:alignment horizontal="right"/>
    </x:xf>
    <x:xf numFmtId="201" fontId="16" fillId="0" borderId="0" xfId="0" applyNumberFormat="1" applyFont="1" applyFill="1" applyBorder="1"/>
    <x:xf numFmtId="201" fontId="16" fillId="0" borderId="0" xfId="0" applyNumberFormat="1" applyFont="1" applyFill="1" applyBorder="1" applyAlignment="1">
      <x:alignment horizontal="right"/>
    </x:xf>
    <x:xf numFmtId="202" fontId="16" fillId="0" borderId="0" xfId="0" applyNumberFormat="1" applyFont="1" applyFill="1" applyBorder="1"/>
    <x:xf numFmtId="202" fontId="16" fillId="0" borderId="0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 applyAlignment="1">
      <x:alignment wrapText="1"/>
    </x:xf>
    <x:xf numFmtId="203" fontId="16" fillId="0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3" fontId="16" fillId="0" borderId="22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3" fontId="13" fillId="6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3" fontId="13" fillId="8" borderId="22" xfId="0" applyNumberFormat="1" applyFont="1" applyFill="1" applyBorder="1" applyAlignment="1">
      <x:alignment horizontal="right"/>
    </x:xf>
    <x:xf numFmtId="200" fontId="13" fillId="0" borderId="22" xfId="0" applyNumberFormat="1" applyFont="1" applyFill="1" applyBorder="1" applyAlignment="1">
      <x:alignment horizontal="right"/>
    </x:xf>
    <x:xf numFmtId="201" fontId="16" fillId="0" borderId="22" xfId="0" applyNumberFormat="1" applyFont="1" applyFill="1" applyBorder="1" applyAlignment="1">
      <x:alignment horizontal="right"/>
    </x:xf>
    <x:xf numFmtId="202" fontId="16" fillId="0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3" fontId="13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3" fontId="16" fillId="6" borderId="0" xfId="0" applyNumberFormat="1" applyFont="1" applyFill="1" applyBorder="1" applyAlignment="1">
      <x:alignment horizontal="right"/>
    </x:xf>
    <x:xf numFmtId="203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3" fontId="16" fillId="5" borderId="0" xfId="0" applyNumberFormat="1" applyFont="1" applyFill="1" applyBorder="1" applyAlignment="1">
      <x:alignment horizontal="right"/>
    </x:xf>
    <x:xf numFmtId="203" fontId="18" fillId="5" borderId="0" xfId="0" applyNumberFormat="1" applyFont="1" applyFill="1" applyBorder="1" applyAlignment="1">
      <x:alignment horizontal="right"/>
    </x:xf>
    <x:xf numFmtId="203" fontId="18" fillId="5" borderId="0" xfId="0" applyNumberFormat="1" applyFont="1" applyFill="1" applyBorder="1" applyAlignment="1">
      <x:alignment horizontal="center"/>
    </x:xf>
    <x:xf numFmtId="203" fontId="18" fillId="5" borderId="0" xfId="0" applyNumberFormat="1" applyFont="1" applyFill="1" applyBorder="1" applyAlignment="1">
      <x:alignment horizontal="center" vertical="center"/>
    </x:xf>
    <x:xf numFmtId="203" fontId="16" fillId="8" borderId="0" xfId="0" applyNumberFormat="1" applyFont="1" applyFill="1" applyBorder="1" applyAlignment="1">
      <x:alignment horizontal="right"/>
    </x:xf>
    <x:xf numFmtId="203" fontId="19" fillId="8" borderId="0" xfId="0" applyNumberFormat="1" applyFont="1" applyFill="1" applyBorder="1" applyAlignment="1">
      <x:alignment horizontal="right"/>
    </x:xf>
    <x:xf numFmtId="203" fontId="19" fillId="8" borderId="0" xfId="0" applyNumberFormat="1" applyFont="1" applyFill="1" applyBorder="1" applyAlignment="1">
      <x:alignment horizontal="center"/>
    </x:xf>
    <x:xf numFmtId="203" fontId="19" fillId="8" borderId="0" xfId="0" applyNumberFormat="1" applyFont="1" applyFill="1" applyBorder="1" applyAlignment="1">
      <x:alignment horizontal="center" vertical="center"/>
    </x:xf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3" fillId="0" borderId="0" xfId="0" applyNumberFormat="1" applyFont="1" applyFill="1" applyBorder="1"/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0" fillId="0" borderId="21" xfId="0" applyNumberFormat="1" applyFont="1" applyFill="1" applyBorder="1"/>
    <x:xf numFmtId="203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0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2" fontId="23" fillId="0" borderId="22" xfId="0" applyNumberFormat="1" applyFont="1" applyFill="1" applyBorder="1"/>
    <x:xf numFmtId="203" fontId="23" fillId="0" borderId="22" xfId="0" applyNumberFormat="1" applyFont="1" applyFill="1" applyBorder="1"/>
    <x:xf numFmtId="0" fontId="0" fillId="0" borderId="23" xfId="0" applyNumberFormat="1" applyFont="1" applyFill="1" applyBorder="1"/>
    <x:xf numFmtId="202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3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75a5907e647d6" /><Relationship Type="http://schemas.openxmlformats.org/officeDocument/2006/relationships/theme" Target="/xl/theme/theme1.xml" Id="R96de8de72ea049d4" /><Relationship Type="http://schemas.openxmlformats.org/officeDocument/2006/relationships/sharedStrings" Target="/xl/sharedStrings.xml" Id="R3320c80d1fe14c6b" /><Relationship Type="http://schemas.openxmlformats.org/officeDocument/2006/relationships/worksheet" Target="/xl/worksheets/sheet1.xml" Id="Rb9b5783514b24f5d" /><Relationship Type="http://schemas.openxmlformats.org/officeDocument/2006/relationships/worksheet" Target="/xl/worksheets/sheet2.xml" Id="Re981e2d9114f48b4" /><Relationship Type="http://schemas.openxmlformats.org/officeDocument/2006/relationships/worksheet" Target="/xl/worksheets/sheet3.xml" Id="R95d4eabed0b64f63" /><Relationship Type="http://schemas.openxmlformats.org/officeDocument/2006/relationships/worksheet" Target="/xl/worksheets/sheet4.xml" Id="R07da6c04386440be" /><Relationship Type="http://schemas.openxmlformats.org/officeDocument/2006/relationships/worksheet" Target="/xl/worksheets/sheet5.xml" Id="R9baa1649e87f44b7" /><Relationship Type="http://schemas.openxmlformats.org/officeDocument/2006/relationships/worksheet" Target="/xl/worksheets/sheet6.xml" Id="Rf912e6aacf6b4dad" /><Relationship Type="http://schemas.openxmlformats.org/officeDocument/2006/relationships/worksheet" Target="/xl/worksheets/sheet7.xml" Id="R2f1a86f628fc4c83" /><Relationship Type="http://schemas.openxmlformats.org/officeDocument/2006/relationships/worksheet" Target="/xl/worksheets/sheet8.xml" Id="Rdac32bfcc9524ece" /><Relationship Type="http://schemas.openxmlformats.org/officeDocument/2006/relationships/worksheet" Target="/xl/worksheets/sheet9.xml" Id="R928d69034a6e4c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cc6700578749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proposed contribution by product/customer</a:t>
            </a:r>
          </a:p>
        </c:rich>
      </c:tx>
    </c:title>
    <c:plotArea>
      <c:lineChart>
        <c:grouping val="standard"/>
        <c:ser>
          <c:idx val="0"/>
          <c:order val="0"/>
          <c:tx>
            <c:v>Contribution margin</c:v>
          </c:tx>
          <c:marker>
            <c:symbol val="none"/>
          </c:marker>
          <c:cat>
            <c:strRef>
              <c:f>'Summary'!$A$16:$A$21</c:f>
              <c:strCache>
                <c:ptCount val="0"/>
              </c:strCache>
            </c:strRef>
          </c:cat>
          <c:val>
            <c:numRef>
              <c:f>'Summary'!$B$16:$B$21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Proposed contribution</c:v>
          </c:tx>
          <c:marker>
            <c:symbol val="none"/>
          </c:marker>
          <c:cat>
            <c:strRef>
              <c:f>'Summary'!$A$16:$A$21</c:f>
              <c:strCache>
                <c:ptCount val="0"/>
              </c:strCache>
            </c:strRef>
          </c:cat>
          <c:val>
            <c:numRef>
              <c:f>'Summary'!$C$16:$C$21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cc6700578749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790879ada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TDAT-FM-COM-001  |  Built to flex. Built to tie. Built to trust.</x:v>
      </x:c>
      <x:c r="B2" s="6" t="str">
        <x:v>TDAT-FM-COM-001  |  Built to flex. Built to tie. Built to trust.</x:v>
      </x:c>
      <x:c r="C2" s="6" t="str">
        <x:v>TDAT-FM-COM-001  |  Built to flex. Built to tie. Built to trust.</x:v>
      </x:c>
      <x:c r="D2" s="6" t="str">
        <x:v>TDAT-FM-COM-001  |  Built to flex. Built to tie. Built to trust.</x:v>
      </x:c>
      <x:c r="E2" s="6" t="str">
        <x:v>TDAT-FM-COM-001  |  Built to flex. Built to tie. Built to trust.</x:v>
      </x:c>
      <x:c r="F2" s="6" t="str">
        <x:v>TDAT-FM-COM-001  |  Built to flex. Built to tie. Built to trust.</x:v>
      </x:c>
      <x:c r="G2" s="6" t="str">
        <x:v>TDAT-FM-COM-001  |  Built to flex. Built to tie. Built to trust.</x:v>
      </x:c>
      <x:c r="H2" s="6" t="str">
        <x:v>TDAT-FM-COM-001  |  Built to flex. Built to tie. Built to trust.</x:v>
      </x:c>
      <x:c r="I2" s="6" t="str">
        <x:v>TDAT-FM-COM-001  |  Built to flex. Built to tie. Built to trust.</x:v>
      </x:c>
      <x:c r="J2" s="6" t="str">
        <x:v>TDAT-FM-COM-001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21" t="str">
        <x:v>Pricing &amp; Margin Waterfall</x:v>
      </x:c>
      <x:c r="B5" s="221" t="str">
        <x:v>Pricing &amp; Margin Waterfall</x:v>
      </x:c>
      <x:c r="C5" s="221" t="str">
        <x:v>Pricing &amp; Margin Waterfall</x:v>
      </x:c>
      <x:c r="D5" s="221" t="str">
        <x:v>Pricing &amp; Margin Waterfall</x:v>
      </x:c>
      <x:c r="E5" s="221" t="str">
        <x:v>Pricing &amp; Margin Waterfall</x:v>
      </x:c>
      <x:c r="F5" s="221" t="str">
        <x:v>Pricing &amp; Margin Waterfall</x:v>
      </x:c>
      <x:c r="G5" s="134" t="str">
        <x:v>CALCULATION INTEGRITY</x:v>
      </x:c>
      <x:c r="H5" s="134" t="str">
        <x:v>CALCULATION INTEGRITY</x:v>
      </x:c>
      <x:c r="I5" s="134" t="str">
        <x:v>CALCULATION INTEGRITY</x:v>
      </x:c>
      <x:c r="J5" s="134" t="str">
        <x:v>CALCULATION INTEGRITY</x:v>
      </x:c>
    </x:row>
    <x:row r="6">
      <x:c r="A6" s="221" t="str">
        <x:v>Pricing &amp; Margin Waterfall</x:v>
      </x:c>
      <x:c r="B6" s="221" t="str">
        <x:v>Pricing &amp; Margin Waterfall</x:v>
      </x:c>
      <x:c r="C6" s="221" t="str">
        <x:v>Pricing &amp; Margin Waterfall</x:v>
      </x:c>
      <x:c r="D6" s="221" t="str">
        <x:v>Pricing &amp; Margin Waterfall</x:v>
      </x:c>
      <x:c r="E6" s="221" t="str">
        <x:v>Pricing &amp; Margin Waterfall</x:v>
      </x:c>
      <x:c r="F6" s="221" t="str">
        <x:v>Pricing &amp; Margin Waterfall</x:v>
      </x:c>
      <x:c r="G6" s="224" t="str">
        <x:f>'Checks'!$B$5</x:f>
        <x:v>PASS</x:v>
      </x:c>
      <x:c r="H6" s="224"/>
      <x:c r="I6" s="224"/>
      <x:c r="J6" s="224"/>
    </x:row>
    <x:row r="7">
      <x:c r="A7" s="221" t="str">
        <x:v>Pricing &amp; Margin Waterfall</x:v>
      </x:c>
      <x:c r="B7" s="221" t="str">
        <x:v>Pricing &amp; Margin Waterfall</x:v>
      </x:c>
      <x:c r="C7" s="221" t="str">
        <x:v>Pricing &amp; Margin Waterfall</x:v>
      </x:c>
      <x:c r="D7" s="221" t="str">
        <x:v>Pricing &amp; Margin Waterfall</x:v>
      </x:c>
      <x:c r="E7" s="221" t="str">
        <x:v>Pricing &amp; Margin Waterfall</x:v>
      </x:c>
      <x:c r="F7" s="221" t="str">
        <x:v>Pricing &amp; Margin Waterfall</x:v>
      </x:c>
      <x:c r="G7" s="224"/>
      <x:c r="H7" s="224"/>
      <x:c r="I7" s="224"/>
      <x:c r="J7" s="224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28" t="str">
        <x:v>Which customer, product, price, discount, mix, and cost actions protect contribution margin?</x:v>
      </x:c>
      <x:c r="B10" s="228" t="str">
        <x:v>Which customer, product, price, discount, mix, and cost actions protect contribution margin?</x:v>
      </x:c>
      <x:c r="C10" s="228" t="str">
        <x:v>Which customer, product, price, discount, mix, and cost actions protect contribution margin?</x:v>
      </x:c>
      <x:c r="D10" s="228" t="str">
        <x:v>Which customer, product, price, discount, mix, and cost actions protect contribution margin?</x:v>
      </x:c>
      <x:c r="E10" s="228" t="str">
        <x:v>Which customer, product, price, discount, mix, and cost actions protect contribution margin?</x:v>
      </x:c>
      <x:c r="F10" s="228" t="str">
        <x:v>Which customer, product, price, discount, mix, and cost actions protect contribution margin?</x:v>
      </x:c>
      <x:c r="G10" s="228" t="str">
        <x:v>Which customer, product, price, discount, mix, and cost actions protect contribution margin?</x:v>
      </x:c>
      <x:c r="H10" s="228" t="str">
        <x:v>Which customer, product, price, discount, mix, and cost actions protect contribution margin?</x:v>
      </x:c>
      <x:c r="I10" s="228" t="str">
        <x:v>Which customer, product, price, discount, mix, and cost actions protect contribution margin?</x:v>
      </x:c>
      <x:c r="J10" s="228" t="str">
        <x:v>Which customer, product, price, discount, mix, and cost actions protect contribution margin?</x:v>
      </x:c>
    </x:row>
    <x:row r="11">
      <x:c r="A11" s="228" t="str">
        <x:v>Which customer, product, price, discount, mix, and cost actions protect contribution margin?</x:v>
      </x:c>
      <x:c r="B11" s="228" t="str">
        <x:v>Which customer, product, price, discount, mix, and cost actions protect contribution margin?</x:v>
      </x:c>
      <x:c r="C11" s="228" t="str">
        <x:v>Which customer, product, price, discount, mix, and cost actions protect contribution margin?</x:v>
      </x:c>
      <x:c r="D11" s="228" t="str">
        <x:v>Which customer, product, price, discount, mix, and cost actions protect contribution margin?</x:v>
      </x:c>
      <x:c r="E11" s="228" t="str">
        <x:v>Which customer, product, price, discount, mix, and cost actions protect contribution margin?</x:v>
      </x:c>
      <x:c r="F11" s="228" t="str">
        <x:v>Which customer, product, price, discount, mix, and cost actions protect contribution margin?</x:v>
      </x:c>
      <x:c r="G11" s="228" t="str">
        <x:v>Which customer, product, price, discount, mix, and cost actions protect contribution margin?</x:v>
      </x:c>
      <x:c r="H11" s="228" t="str">
        <x:v>Which customer, product, price, discount, mix, and cost actions protect contribution margin?</x:v>
      </x:c>
      <x:c r="I11" s="228" t="str">
        <x:v>Which customer, product, price, discount, mix, and cost actions protect contribution margin?</x:v>
      </x:c>
      <x:c r="J11" s="228" t="str">
        <x:v>Which customer, product, price, discount, mix, and cost actions protect contribution margin?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29" t="str">
        <x:v>Calculation integrity</x:v>
      </x:c>
      <x:c r="B14" s="230" t="str">
        <x:v>Decision readiness</x:v>
      </x:c>
      <x:c r="C14" s="235" t="str">
        <x:f>'Checks'!$B$5</x:f>
        <x:v>PASS</x:v>
      </x:c>
      <x:c r="D14" s="235"/>
      <x:c r="E14" s="235"/>
      <x:c r="F14" s="250" t="str">
        <x:v>TEMPLATE — VALIDATE INPUTS</x:v>
      </x:c>
      <x:c r="G14" s="250" t="str">
        <x:v>TEMPLATE — VALIDATE INPUTS</x:v>
      </x:c>
      <x:c r="H14" s="250" t="str">
        <x:v>TEMPLATE — VALIDATE INPUTS</x:v>
      </x:c>
      <x:c r="I14" s="250" t="str">
        <x:v>TEMPLATE — VALIDATE INPUTS</x:v>
      </x:c>
      <x:c r="J14" s="251" t="str">
        <x:v>TEMPLATE — VALIDATE INPUTS</x:v>
      </x:c>
    </x:row>
    <x:row r="15">
      <x:c r="A15" s="231" t="str">
        <x:v>Published checks</x:v>
      </x:c>
      <x:c r="B15" s="232" t="str">
        <x:v>Template posture</x:v>
      </x:c>
      <x:c r="C15" s="236" t="str">
        <x:f>"9 / 9 PASS"</x:f>
        <x:v>9 / 9 PASS</x:v>
      </x:c>
      <x:c r="D15" s="236"/>
      <x:c r="E15" s="236"/>
      <x:c r="F15" s="252" t="str">
        <x:v>Illustrative, screen-grade worked example</x:v>
      </x:c>
      <x:c r="G15" s="252" t="str">
        <x:v>Illustrative, screen-grade worked example</x:v>
      </x:c>
      <x:c r="H15" s="252" t="str">
        <x:v>Illustrative, screen-grade worked example</x:v>
      </x:c>
      <x:c r="I15" s="252" t="str">
        <x:v>Illustrative, screen-grade worked example</x:v>
      </x:c>
      <x:c r="J15" s="253" t="str">
        <x:v>Illustrative, screen-grade worked example</x:v>
      </x:c>
    </x:row>
    <x:row r="16">
      <x:c r="A16" s="231" t="str">
        <x:v>Scenario</x:v>
      </x:c>
      <x:c r="B16" s="232" t="str">
        <x:v>Evidence</x:v>
      </x:c>
      <x:c r="C16" s="236" t="str">
        <x:f>'Assumptions'!$B$3</x:f>
        <x:v>Base</x:v>
      </x:c>
      <x:c r="D16" s="236"/>
      <x:c r="E16" s="236"/>
      <x:c r="F16" s="252" t="str">
        <x:v>Synthetic / illustrative</x:v>
      </x:c>
      <x:c r="G16" s="252" t="str">
        <x:v>Synthetic / illustrative</x:v>
      </x:c>
      <x:c r="H16" s="252" t="str">
        <x:v>Synthetic / illustrative</x:v>
      </x:c>
      <x:c r="I16" s="252" t="str">
        <x:v>Synthetic / illustrative</x:v>
      </x:c>
      <x:c r="J16" s="253" t="str">
        <x:v>Synthetic / illustrative</x:v>
      </x:c>
    </x:row>
    <x:row r="17">
      <x:c r="A17" s="233" t="str">
        <x:v>Owner</x:v>
      </x:c>
      <x:c r="B17" s="234" t="str">
        <x:v>Use</x:v>
      </x:c>
      <x:c r="C17" s="237" t="str">
        <x:f>'Sources &amp; Version'!$B$12</x:f>
        <x:v>Truong Dinh Anh Tu</x:v>
      </x:c>
      <x:c r="D17" s="237"/>
      <x:c r="E17" s="237"/>
      <x:c r="F17" s="254" t="str">
        <x:v>Commercial Finance · FP&amp;A · Pricing Finance · Sales Finance</x:v>
      </x:c>
      <x:c r="G17" s="254" t="str">
        <x:v>Commercial Finance · FP&amp;A · Pricing Finance · Sales Finance</x:v>
      </x:c>
      <x:c r="H17" s="254" t="str">
        <x:v>Commercial Finance · FP&amp;A · Pricing Finance · Sales Finance</x:v>
      </x:c>
      <x:c r="I17" s="254" t="str">
        <x:v>Commercial Finance · FP&amp;A · Pricing Finance · Sales Finance</x:v>
      </x:c>
      <x:c r="J17" s="255" t="str">
        <x:v>Commercial Finance · FP&amp;A · Pricing Finance · Sales Finance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210" t="str">
        <x:v>Model ID</x:v>
      </x:c>
      <x:c r="B20" s="147" t="str">
        <x:v>TDAT-FM-COM-001</x:v>
      </x:c>
      <x:c r="C20" s="212" t="str">
        <x:v>Version</x:v>
      </x:c>
      <x:c r="D20" s="147" t="str">
        <x:v>1.0.0</x:v>
      </x:c>
      <x:c r="E20" s="212" t="str">
        <x:v>Last QA</x:v>
      </x:c>
      <x:c r="F20" s="148" t="str">
        <x:v>2026-07-13</x:v>
      </x:c>
      <x:c r="G20" s="259" t="str">
        <x:v>Current contribution</x:v>
      </x:c>
      <x:c r="H20" s="259" t="str">
        <x:v>Current contribution</x:v>
      </x:c>
      <x:c r="I20" s="260" t="n">
        <x:f>SUM('Margin Waterfall'!B13:G13)</x:f>
        <x:v>161840</x:v>
      </x:c>
      <x:c r="J20" s="260"/>
    </x:row>
    <x:row r="21">
      <x:c r="A21" s="257" t="str">
        <x:v>Domain</x:v>
      </x:c>
      <x:c r="B21" s="150" t="str">
        <x:v>Planning &amp; Performance</x:v>
      </x:c>
      <x:c r="C21" s="258" t="str">
        <x:v>Compatibility</x:v>
      </x:c>
      <x:c r="D21" s="150" t="str">
        <x:v>Excel 365</x:v>
      </x:c>
      <x:c r="E21" s="258" t="str">
        <x:v>Macros</x:v>
      </x:c>
      <x:c r="F21" s="151" t="str">
        <x:v>None</x:v>
      </x:c>
      <x:c r="G21" s="259" t="str">
        <x:v>Proposed contribution</x:v>
      </x:c>
      <x:c r="H21" s="259" t="str">
        <x:v>Proposed contribution</x:v>
      </x:c>
      <x:c r="I21" s="260" t="n">
        <x:f>SUM('Margin Waterfall'!B19:G19)</x:f>
        <x:v>182254.29589999997</x:v>
      </x:c>
      <x:c r="J21" s="260"/>
    </x:row>
    <x:row r="22">
      <x:c r="A22" s="257" t="str">
        <x:v>Horizon</x:v>
      </x:c>
      <x:c r="B22" s="150" t="str">
        <x:v>Monthly / annual</x:v>
      </x:c>
      <x:c r="C22" s="258" t="str">
        <x:v>Frequency</x:v>
      </x:c>
      <x:c r="D22" s="150" t="str">
        <x:v>Monthly / annual</x:v>
      </x:c>
      <x:c r="E22" s="258" t="str">
        <x:v>External links</x:v>
      </x:c>
      <x:c r="F22" s="151" t="str">
        <x:v>None</x:v>
      </x:c>
      <x:c r="G22" s="259" t="str">
        <x:v>Contribution uplift</x:v>
      </x:c>
      <x:c r="H22" s="259" t="str">
        <x:v>Contribution uplift</x:v>
      </x:c>
      <x:c r="I22" s="260" t="n">
        <x:f>SUM('Margin Waterfall'!B20:G20)</x:f>
        <x:v>20414.295899999976</x:v>
      </x:c>
      <x:c r="J22" s="260"/>
    </x:row>
    <x:row r="23">
      <x:c r="A23" s="257" t="str">
        <x:v>Currency</x:v>
      </x:c>
      <x:c r="B23" s="150" t="str">
        <x:v>LCY</x:v>
      </x:c>
      <x:c r="C23" s="258" t="str">
        <x:v>Units</x:v>
      </x:c>
      <x:c r="D23" s="150" t="str">
        <x:v>LCY thousands / units</x:v>
      </x:c>
      <x:c r="E23" s="258" t="str">
        <x:v>Scenario</x:v>
      </x:c>
      <x:c r="F23" s="151" t="str">
        <x:v>Base / Upside / Downside</x:v>
      </x:c>
      <x:c r="G23" s="259" t="str">
        <x:v>Current net revenue</x:v>
      </x:c>
      <x:c r="H23" s="259" t="str">
        <x:v>Current net revenue</x:v>
      </x:c>
      <x:c r="I23" s="260" t="n">
        <x:f>SUM('Margin Waterfall'!B9:G9)</x:f>
        <x:v>605090</x:v>
      </x:c>
      <x:c r="J23" s="260"/>
    </x:row>
    <x:row r="24">
      <x:c r="A24" s="211" t="str">
        <x:v>Owner</x:v>
      </x:c>
      <x:c r="B24" s="153" t="str">
        <x:v>Truong Dinh Anh Tu</x:v>
      </x:c>
      <x:c r="C24" s="213" t="str">
        <x:v>Standard</x:v>
      </x:c>
      <x:c r="D24" s="153" t="str">
        <x:v>TDAT Model Standard 1.0</x:v>
      </x:c>
      <x:c r="E24" s="213" t="str">
        <x:v>Evidence</x:v>
      </x:c>
      <x:c r="F24" s="154" t="str">
        <x:v>Synthetic worked template</x:v>
      </x:c>
      <x:c r="G24" s="259" t="str">
        <x:v>Proposed net revenue</x:v>
      </x:c>
      <x:c r="H24" s="259" t="str">
        <x:v>Proposed net revenue</x:v>
      </x:c>
      <x:c r="I24" s="260" t="n">
        <x:f>SUM('Margin Waterfall'!B17:G17)</x:f>
        <x:v>607920.9759</x:v>
      </x:c>
      <x:c r="J24" s="260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80" t="str">
        <x:v>Blue font</x:v>
      </x:c>
      <x:c r="B27" s="272" t="str">
        <x:v>Editable hardcode</x:v>
      </x:c>
      <x:c r="C27" s="281" t="str">
        <x:v>Black font</x:v>
      </x:c>
      <x:c r="D27" s="272" t="str">
        <x:v>In-sheet formula</x:v>
      </x:c>
      <x:c r="E27" s="282" t="str">
        <x:v>Green font</x:v>
      </x:c>
      <x:c r="F27" s="272" t="str">
        <x:v>Cross-sheet formula</x:v>
      </x:c>
      <x:c r="G27" s="283" t="str">
        <x:v>Pale amber</x:v>
      </x:c>
      <x:c r="H27" s="283" t="str">
        <x:v>Scenario / review cue</x:v>
      </x:c>
      <x:c r="I27" s="284" t="str">
        <x:v>Teal</x:v>
      </x:c>
      <x:c r="J27" s="285" t="str">
        <x:v>PASS / trusted output</x:v>
      </x:c>
    </x:row>
    <x:row r="28">
      <x:c r="A28" s="274" t="str">
        <x:v>Actual</x:v>
      </x:c>
      <x:c r="B28" s="275" t="str">
        <x:v>Neutral period band</x:v>
      </x:c>
      <x:c r="C28" s="275" t="str">
        <x:v>Forecast</x:v>
      </x:c>
      <x:c r="D28" s="275" t="str">
        <x:v>Pale-blue period band</x:v>
      </x:c>
      <x:c r="E28" s="275" t="str">
        <x:v>Zero</x:v>
      </x:c>
      <x:c r="F28" s="275" t="str">
        <x:v>Displayed as an en dash</x:v>
      </x:c>
      <x:c r="G28" s="275" t="str">
        <x:v>Rule</x:v>
      </x:c>
      <x:c r="H28" s="275" t="str">
        <x:v>Keep formulas copy-across</x:v>
      </x:c>
      <x:c r="I28" s="275" t="str">
        <x:v>Rule</x:v>
      </x:c>
      <x:c r="J28" s="276" t="str">
        <x:v>Recheck after every change</x:v>
      </x:c>
    </x:row>
    <x:row r="29">
      <x:c r="A29" s="277" t="str">
        <x:v>Status</x:v>
      </x:c>
      <x:c r="B29" s="278" t="str">
        <x:v>PASS means controls tie</x:v>
      </x:c>
      <x:c r="C29" s="278" t="str">
        <x:v>Readiness</x:v>
      </x:c>
      <x:c r="D29" s="278" t="str">
        <x:v>Inputs still require review</x:v>
      </x:c>
      <x:c r="E29" s="278" t="str">
        <x:v>Privacy</x:v>
      </x:c>
      <x:c r="F29" s="278" t="str">
        <x:v>Public-safe example</x:v>
      </x:c>
      <x:c r="G29" s="278" t="str">
        <x:v>Use</x:v>
      </x:c>
      <x:c r="H29" s="278" t="str">
        <x:v>Adapt and validate</x:v>
      </x:c>
      <x:c r="I29" s="278" t="str">
        <x:v>Support</x:v>
      </x:c>
      <x:c r="J29" s="279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9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Pricing &amp; Margin Waterfall  |  Scope, setup, flexibility, and limitations</x:v>
      </x:c>
      <x:c r="B2" s="6" t="str">
        <x:v>Pricing &amp; Margin Waterfall  |  Scope, setup, flexibility, and limitations</x:v>
      </x:c>
      <x:c r="C2" s="6" t="str">
        <x:v>Pricing &amp; Margin Waterfall  |  Scope, setup, flexibility, and limitations</x:v>
      </x:c>
      <x:c r="D2" s="6" t="str">
        <x:v>Pricing &amp; Margin Waterfall  |  Scope, setup, flexibility, and limitations</x:v>
      </x:c>
      <x:c r="E2" s="6" t="str">
        <x:v>Pricing &amp; Margin Waterfall  |  Scope, setup, flexibility, and limitations</x:v>
      </x:c>
      <x:c r="F2" s="6" t="str">
        <x:v>Pricing &amp; Margin Waterfall  |  Scope, setup, flexibility, and limitations</x:v>
      </x:c>
      <x:c r="G2" s="6" t="str">
        <x:v>Pricing &amp; Margin Waterfall  |  Scope, setup, flexibility, and limitations</x:v>
      </x:c>
      <x:c r="H2" s="6" t="str">
        <x:v>Pricing &amp; Margin Waterfall  |  Scope, setup, flexibility, and limitations</x:v>
      </x:c>
      <x:c r="I2" s="6" t="str">
        <x:v>Pricing &amp; Margin Waterfall  |  Scope, setup, flexibility, and limitations</x:v>
      </x:c>
      <x:c r="J2" s="6" t="str">
        <x:v>Pricing &amp; Margin Waterfall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B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C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D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E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F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G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H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I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J6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</x:row>
    <x:row r="7">
      <x:c r="A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B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C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D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E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F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G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H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I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J7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</x:row>
    <x:row r="8">
      <x:c r="A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B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C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D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E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F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G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H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I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  <x:c r="J8" s="12" t="str">
        <x:v>List-to-net pricing, rebates, price-volume-mix, unit economics, customer profitability, and action list.
Primary users: Commercial Finance, FP&amp;A, Pricing Finance, Sales Finance. Typical use: Pricing, Margin, Customer profitability.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Which customer, product, price, discount, mix, and cost actions protect contribution margin?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Product Customer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Margin Waterfall;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Product Customer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Margin Waterfall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Price change × Volume response recalculation of Contribution uplift.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Product Customer,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Margin Waterfall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No. It is an educational analytical template; obtain appropriate finance, accounting, tax, legal, regulatory, credit, actuarial, or investment review for real decisions.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B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C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D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E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F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G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H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I37" s="43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J37" s="44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</x:row>
    <x:row r="38">
      <x:c r="A38" s="45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B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C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D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E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F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G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H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I38" s="46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J38" s="47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</x:row>
    <x:row r="39">
      <x:c r="A39" s="48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B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C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D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E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F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G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H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I39" s="49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  <x:c r="J39" s="50" t="str">
        <x:v>Deliberately excluded in version 1.0.0: contract legality; tax and transfer pricing; advanced elasticity estimation; competitor response; customer-level confidential data.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Pricing &amp; Margin Waterfall  |  One controlled selector and visible driver cases</x:v>
      </x:c>
      <x:c r="B2" s="6" t="str">
        <x:v>Pricing &amp; Margin Waterfall  |  One controlled selector and visible driver cases</x:v>
      </x:c>
      <x:c r="C2" s="6" t="str">
        <x:v>Pricing &amp; Margin Waterfall  |  One controlled selector and visible driver cases</x:v>
      </x:c>
      <x:c r="D2" s="6" t="str">
        <x:v>Pricing &amp; Margin Waterfall  |  One controlled selector and visible driver cases</x:v>
      </x:c>
      <x:c r="E2" s="6" t="str">
        <x:v>Pricing &amp; Margin Waterfall  |  One controlled selector and visible driver cases</x:v>
      </x:c>
      <x:c r="F2" s="6" t="str">
        <x:v>Pricing &amp; Margin Waterfall  |  One controlled selector and visible driver cases</x:v>
      </x:c>
      <x:c r="G2" s="6" t="str">
        <x:v>Pricing &amp; Margin Waterfall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76" t="str">
        <x:v>Proposed price change</x:v>
      </x:c>
      <x:c r="B6" s="77" t="str">
        <x:v>%</x:v>
      </x:c>
      <x:c r="C6" s="78" t="n">
        <x:v>0.05</x:v>
      </x:c>
      <x:c r="D6" s="78" t="n">
        <x:v>0.08</x:v>
      </x:c>
      <x:c r="E6" s="78" t="n">
        <x:v>0.02</x:v>
      </x:c>
      <x:c r="F6" s="79" t="n">
        <x:f>IF($B$3="Base",C6,IF($B$3="Upside",D6,E6))</x:f>
        <x:v>0.05</x:v>
      </x:c>
      <x:c r="G6" s="80" t="str">
        <x:v>Replace with an approved, sourced assumption.</x:v>
      </x:c>
    </x:row>
    <x:row r="7">
      <x:c r="A7" s="81" t="str">
        <x:v>Unit-cost shock</x:v>
      </x:c>
      <x:c r="B7" s="82" t="str">
        <x:v>%</x:v>
      </x:c>
      <x:c r="C7" s="83" t="n">
        <x:v>0.02</x:v>
      </x:c>
      <x:c r="D7" s="83" t="n">
        <x:v>0</x:v>
      </x:c>
      <x:c r="E7" s="83" t="n">
        <x:v>0.06</x:v>
      </x:c>
      <x:c r="F7" s="84" t="n">
        <x:f>IF($B$3="Base",C7,IF($B$3="Upside",D7,E7))</x:f>
        <x:v>0.02</x:v>
      </x:c>
      <x:c r="G7" s="85" t="str">
        <x:v>Replace with an approved, sourced assumption.</x:v>
      </x:c>
    </x:row>
    <x:row r="8">
      <x:c r="A8" s="86" t="str">
        <x:v>Discount leakage reduction</x:v>
      </x:c>
      <x:c r="B8" s="87" t="str">
        <x:v>%</x:v>
      </x:c>
      <x:c r="C8" s="88" t="n">
        <x:v>0.01</x:v>
      </x:c>
      <x:c r="D8" s="88" t="n">
        <x:v>0.02</x:v>
      </x:c>
      <x:c r="E8" s="88" t="n">
        <x:v>0</x:v>
      </x:c>
      <x:c r="F8" s="89" t="n">
        <x:f>IF($B$3="Base",C8,IF($B$3="Upside",D8,E8))</x:f>
        <x:v>0.01</x:v>
      </x:c>
      <x:c r="G8" s="90" t="str">
        <x:v>Replace with an approved, sourced assumption.</x:v>
      </x:c>
    </x:row>
    <x:row r="10">
      <x:c r="A10" s="42" t="str">
        <x:v>Scenario discipline: change a small number of decision-relevant drivers, preserve the core formula architecture, and document what changed, why, who owns it, and what action follows.</x:v>
      </x:c>
      <x:c r="B10" s="43" t="str">
        <x:v>Scenario discipline: change a small number of decision-relevant drivers, preserve the core formula architecture, and document what changed, why, who owns it, and what action follows.</x:v>
      </x:c>
      <x:c r="C10" s="43" t="str">
        <x:v>Scenario discipline: change a small number of decision-relevant drivers, preserve the core formula architecture, and document what changed, why, who owns it, and what action follows.</x:v>
      </x:c>
      <x:c r="D10" s="43" t="str">
        <x:v>Scenario discipline: change a small number of decision-relevant drivers, preserve the core formula architecture, and document what changed, why, who owns it, and what action follows.</x:v>
      </x:c>
      <x:c r="E10" s="43" t="str">
        <x:v>Scenario discipline: change a small number of decision-relevant drivers, preserve the core formula architecture, and document what changed, why, who owns it, and what action follows.</x:v>
      </x:c>
      <x:c r="F10" s="43" t="str">
        <x:v>Scenario discipline: change a small number of decision-relevant drivers, preserve the core formula architecture, and document what changed, why, who owns it, and what action follows.</x:v>
      </x:c>
      <x:c r="G10" s="44" t="str">
        <x:v>Scenario discipline: change a small number of decision-relevant drivers, preserve the core formula architecture, and document what changed, why, who owns it, and what action follows.</x:v>
      </x:c>
    </x:row>
    <x:row r="11">
      <x:c r="A11" s="45" t="str">
        <x:v>Scenario discipline: change a small number of decision-relevant drivers, preserve the core formula architecture, and document what changed, why, who owns it, and what action follows.</x:v>
      </x:c>
      <x:c r="B11" s="46" t="str">
        <x:v>Scenario discipline: change a small number of decision-relevant drivers, preserve the core formula architecture, and document what changed, why, who owns it, and what action follows.</x:v>
      </x:c>
      <x:c r="C11" s="46" t="str">
        <x:v>Scenario discipline: change a small number of decision-relevant drivers, preserve the core formula architecture, and document what changed, why, who owns it, and what action follows.</x:v>
      </x:c>
      <x:c r="D11" s="46" t="str">
        <x:v>Scenario discipline: change a small number of decision-relevant drivers, preserve the core formula architecture, and document what changed, why, who owns it, and what action follows.</x:v>
      </x:c>
      <x:c r="E11" s="46" t="str">
        <x:v>Scenario discipline: change a small number of decision-relevant drivers, preserve the core formula architecture, and document what changed, why, who owns it, and what action follows.</x:v>
      </x:c>
      <x:c r="F11" s="46" t="str">
        <x:v>Scenario discipline: change a small number of decision-relevant drivers, preserve the core formula architecture, and document what changed, why, who owns it, and what action follows.</x:v>
      </x:c>
      <x:c r="G11" s="47" t="str">
        <x:v>Scenario discipline: change a small number of decision-relevant drivers, preserve the core formula architecture, and document what changed, why, who owns it, and what action follows.</x:v>
      </x:c>
    </x:row>
    <x:row r="12">
      <x:c r="A12" s="48" t="str">
        <x:v>Scenario discipline: change a small number of decision-relevant drivers, preserve the core formula architecture, and document what changed, why, who owns it, and what action follows.</x:v>
      </x:c>
      <x:c r="B12" s="49" t="str">
        <x:v>Scenario discipline: change a small number of decision-relevant drivers, preserve the core formula architecture, and document what changed, why, who owns it, and what action follows.</x:v>
      </x:c>
      <x:c r="C12" s="49" t="str">
        <x:v>Scenario discipline: change a small number of decision-relevant drivers, preserve the core formula architecture, and document what changed, why, who owns it, and what action follows.</x:v>
      </x:c>
      <x:c r="D12" s="49" t="str">
        <x:v>Scenario discipline: change a small number of decision-relevant drivers, preserve the core formula architecture, and document what changed, why, who owns it, and what action follows.</x:v>
      </x:c>
      <x:c r="E12" s="49" t="str">
        <x:v>Scenario discipline: change a small number of decision-relevant drivers, preserve the core formula architecture, and document what changed, why, who owns it, and what action follows.</x:v>
      </x:c>
      <x:c r="F12" s="49" t="str">
        <x:v>Scenario discipline: change a small number of decision-relevant drivers, preserve the core formula architecture, and document what changed, why, who owns it, and what action follows.</x:v>
      </x:c>
      <x:c r="G12" s="50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53" t="str">
        <x:v>TDAT Model Library  |  Trust builds the brand. Insight builds the decision.</x:v>
      </x:c>
      <x:c r="B14" s="53" t="str">
        <x:v>TDAT Model Library  |  Trust builds the brand. Insight builds the decision.</x:v>
      </x:c>
      <x:c r="C14" s="53" t="str">
        <x:v>TDAT Model Library  |  Trust builds the brand. Insight builds the decision.</x:v>
      </x:c>
      <x:c r="D14" s="53" t="str">
        <x:v>TDAT Model Library  |  Trust builds the brand. Insight builds the decision.</x:v>
      </x:c>
      <x:c r="E14" s="53" t="str">
        <x:v>TDAT Model Library  |  Trust builds the brand. Insight builds the decision.</x:v>
      </x:c>
      <x:c r="F14" s="53" t="str">
        <x:v>TDAT Model Library  |  Trust builds the brand. Insight builds the decision.</x:v>
      </x:c>
      <x:c r="G14" s="53" t="str">
        <x:v>TDAT Model Library  |  Trust builds the brand. Insight builds the decision.</x:v>
      </x:c>
    </x:row>
  </x:sheetData>
  <x:mergeCells>
    <x:mergeCell ref="A1:G1"/>
    <x:mergeCell ref="A2:G2"/>
    <x:mergeCell ref="A10:G12"/>
    <x:mergeCell ref="A14:G14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4" customHeight="1">
      <x:c r="A1" s="3" t="str">
        <x:v>PRODUCT CUSTOMER</x:v>
      </x:c>
      <x:c r="B1" s="3" t="str">
        <x:v>PRODUCT CUSTOMER</x:v>
      </x:c>
      <x:c r="C1" s="3" t="str">
        <x:v>PRODUCT CUSTOMER</x:v>
      </x:c>
      <x:c r="D1" s="3" t="str">
        <x:v>PRODUCT CUSTOMER</x:v>
      </x:c>
      <x:c r="E1" s="3" t="str">
        <x:v>PRODUCT CUSTOMER</x:v>
      </x:c>
      <x:c r="F1" s="3" t="str">
        <x:v>PRODUCT CUSTOMER</x:v>
      </x:c>
      <x:c r="G1" s="3" t="str">
        <x:v>PRODUCT CUSTOMER</x:v>
      </x:c>
    </x:row>
    <x:row r="2" ht="24" customHeight="1">
      <x:c r="A2" s="6" t="str">
        <x:v>Pricing &amp; Margin Waterfall  |  Synthetic worked inputs — replace blue cells</x:v>
      </x:c>
      <x:c r="B2" s="6" t="str">
        <x:v>Pricing &amp; Margin Waterfall  |  Synthetic worked inputs — replace blue cells</x:v>
      </x:c>
      <x:c r="C2" s="6" t="str">
        <x:v>Pricing &amp; Margin Waterfall  |  Synthetic worked inputs — replace blue cells</x:v>
      </x:c>
      <x:c r="D2" s="6" t="str">
        <x:v>Pricing &amp; Margin Waterfall  |  Synthetic worked inputs — replace blue cells</x:v>
      </x:c>
      <x:c r="E2" s="6" t="str">
        <x:v>Pricing &amp; Margin Waterfall  |  Synthetic worked inputs — replace blue cells</x:v>
      </x:c>
      <x:c r="F2" s="6" t="str">
        <x:v>Pricing &amp; Margin Waterfall  |  Synthetic worked inputs — replace blue cells</x:v>
      </x:c>
      <x:c r="G2" s="6" t="str">
        <x:v>Pricing &amp; Margin Waterfall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</x:row>
    <x:row r="5" ht="24" customHeight="1">
      <x:c r="A5" s="66" t="str">
        <x:v>Input / Period</x:v>
      </x:c>
      <x:c r="B5" s="67" t="str">
        <x:v>Product A</x:v>
      </x:c>
      <x:c r="C5" s="67" t="str">
        <x:v>Product B</x:v>
      </x:c>
      <x:c r="D5" s="67" t="str">
        <x:v>Product C</x:v>
      </x:c>
      <x:c r="E5" s="67" t="str">
        <x:v>Product D</x:v>
      </x:c>
      <x:c r="F5" s="67" t="str">
        <x:v>Key Account</x:v>
      </x:c>
      <x:c r="G5" s="68" t="str">
        <x:v>Online</x:v>
      </x:c>
    </x:row>
    <x:row r="6">
      <x:c r="A6" s="96" t="str">
        <x:v>List price / unit</x:v>
      </x:c>
      <x:c r="B6" s="97" t="n">
        <x:v>120</x:v>
      </x:c>
      <x:c r="C6" s="97" t="n">
        <x:v>95</x:v>
      </x:c>
      <x:c r="D6" s="97" t="n">
        <x:v>150</x:v>
      </x:c>
      <x:c r="E6" s="97" t="n">
        <x:v>80</x:v>
      </x:c>
      <x:c r="F6" s="97" t="n">
        <x:v>110</x:v>
      </x:c>
      <x:c r="G6" s="97" t="n">
        <x:v>70</x:v>
      </x:c>
    </x:row>
    <x:row r="7">
      <x:c r="A7" s="98" t="str">
        <x:v>Units</x:v>
      </x:c>
      <x:c r="B7" s="99" t="n">
        <x:v>900</x:v>
      </x:c>
      <x:c r="C7" s="99" t="n">
        <x:v>1200</x:v>
      </x:c>
      <x:c r="D7" s="99" t="n">
        <x:v>650</x:v>
      </x:c>
      <x:c r="E7" s="99" t="n">
        <x:v>1500</x:v>
      </x:c>
      <x:c r="F7" s="99" t="n">
        <x:v>1100</x:v>
      </x:c>
      <x:c r="G7" s="99" t="n">
        <x:v>1800</x:v>
      </x:c>
    </x:row>
    <x:row r="8">
      <x:c r="A8" s="98" t="str">
        <x:v>Discount %</x:v>
      </x:c>
      <x:c r="B8" s="100" t="n">
        <x:v>0.08</x:v>
      </x:c>
      <x:c r="C8" s="100" t="n">
        <x:v>0.1</x:v>
      </x:c>
      <x:c r="D8" s="100" t="n">
        <x:v>0.06</x:v>
      </x:c>
      <x:c r="E8" s="100" t="n">
        <x:v>0.12</x:v>
      </x:c>
      <x:c r="F8" s="100" t="n">
        <x:v>0.15</x:v>
      </x:c>
      <x:c r="G8" s="100" t="n">
        <x:v>0.05</x:v>
      </x:c>
    </x:row>
    <x:row r="9">
      <x:c r="A9" s="98" t="str">
        <x:v>Rebate %</x:v>
      </x:c>
      <x:c r="B9" s="100" t="n">
        <x:v>0.03</x:v>
      </x:c>
      <x:c r="C9" s="100" t="n">
        <x:v>0.02</x:v>
      </x:c>
      <x:c r="D9" s="100" t="n">
        <x:v>0.04</x:v>
      </x:c>
      <x:c r="E9" s="100" t="n">
        <x:v>0.01</x:v>
      </x:c>
      <x:c r="F9" s="100" t="n">
        <x:v>0.05</x:v>
      </x:c>
      <x:c r="G9" s="100" t="n">
        <x:v>0</x:v>
      </x:c>
    </x:row>
    <x:row r="10">
      <x:c r="A10" s="98" t="str">
        <x:v>Product cost / unit</x:v>
      </x:c>
      <x:c r="B10" s="101" t="n">
        <x:v>68</x:v>
      </x:c>
      <x:c r="C10" s="101" t="n">
        <x:v>55</x:v>
      </x:c>
      <x:c r="D10" s="101" t="n">
        <x:v>88</x:v>
      </x:c>
      <x:c r="E10" s="101" t="n">
        <x:v>44</x:v>
      </x:c>
      <x:c r="F10" s="101" t="n">
        <x:v>63</x:v>
      </x:c>
      <x:c r="G10" s="101" t="n">
        <x:v>39</x:v>
      </x:c>
    </x:row>
    <x:row r="11">
      <x:c r="A11" s="98" t="str">
        <x:v>Freight / unit</x:v>
      </x:c>
      <x:c r="B11" s="101" t="n">
        <x:v>5</x:v>
      </x:c>
      <x:c r="C11" s="101" t="n">
        <x:v>4</x:v>
      </x:c>
      <x:c r="D11" s="101" t="n">
        <x:v>6</x:v>
      </x:c>
      <x:c r="E11" s="101" t="n">
        <x:v>3</x:v>
      </x:c>
      <x:c r="F11" s="101" t="n">
        <x:v>5</x:v>
      </x:c>
      <x:c r="G11" s="101" t="n">
        <x:v>3</x:v>
      </x:c>
    </x:row>
    <x:row r="12">
      <x:c r="A12" s="98" t="str">
        <x:v>Cost-to-serve / unit</x:v>
      </x:c>
      <x:c r="B12" s="101" t="n">
        <x:v>4</x:v>
      </x:c>
      <x:c r="C12" s="101" t="n">
        <x:v>3</x:v>
      </x:c>
      <x:c r="D12" s="101" t="n">
        <x:v>5</x:v>
      </x:c>
      <x:c r="E12" s="101" t="n">
        <x:v>2</x:v>
      </x:c>
      <x:c r="F12" s="101" t="n">
        <x:v>7</x:v>
      </x:c>
      <x:c r="G12" s="101" t="n">
        <x:v>2</x:v>
      </x:c>
    </x:row>
    <x:row r="13">
      <x:c r="A13" s="102" t="str">
        <x:v>Volume elasticity</x:v>
      </x:c>
      <x:c r="B13" s="103" t="n">
        <x:v>-0.8</x:v>
      </x:c>
      <x:c r="C13" s="103" t="n">
        <x:v>-1</x:v>
      </x:c>
      <x:c r="D13" s="103" t="n">
        <x:v>-0.6</x:v>
      </x:c>
      <x:c r="E13" s="103" t="n">
        <x:v>-1.2</x:v>
      </x:c>
      <x:c r="F13" s="103" t="n">
        <x:v>-1.4</x:v>
      </x:c>
      <x:c r="G13" s="103" t="n">
        <x:v>-1.6</x:v>
      </x:c>
    </x:row>
    <x:row r="15">
      <x:c r="A15" s="42" t="str">
        <x:v>Synthetic input pack. Preserve source definitions, units, period basis, and sign convention when replacing values.</x:v>
      </x:c>
      <x:c r="B15" s="43" t="str">
        <x:v>Synthetic input pack. Preserve source definitions, units, period basis, and sign convention when replacing values.</x:v>
      </x:c>
      <x:c r="C15" s="43" t="str">
        <x:v>Synthetic input pack. Preserve source definitions, units, period basis, and sign convention when replacing values.</x:v>
      </x:c>
      <x:c r="D15" s="43" t="str">
        <x:v>Synthetic input pack. Preserve source definitions, units, period basis, and sign convention when replacing values.</x:v>
      </x:c>
      <x:c r="E15" s="43" t="str">
        <x:v>Synthetic input pack. Preserve source definitions, units, period basis, and sign convention when replacing values.</x:v>
      </x:c>
      <x:c r="F15" s="43" t="str">
        <x:v>Synthetic input pack. Preserve source definitions, units, period basis, and sign convention when replacing values.</x:v>
      </x:c>
      <x:c r="G15" s="44" t="str">
        <x:v>Synthetic input pack. Preserve source definitions, units, period basis, and sign convention when replacing values.</x:v>
      </x:c>
    </x:row>
    <x:row r="16">
      <x:c r="A16" s="45" t="str">
        <x:v>Synthetic input pack. Preserve source definitions, units, period basis, and sign convention when replacing values.</x:v>
      </x:c>
      <x:c r="B16" s="46" t="str">
        <x:v>Synthetic input pack. Preserve source definitions, units, period basis, and sign convention when replacing values.</x:v>
      </x:c>
      <x:c r="C16" s="46" t="str">
        <x:v>Synthetic input pack. Preserve source definitions, units, period basis, and sign convention when replacing values.</x:v>
      </x:c>
      <x:c r="D16" s="46" t="str">
        <x:v>Synthetic input pack. Preserve source definitions, units, period basis, and sign convention when replacing values.</x:v>
      </x:c>
      <x:c r="E16" s="46" t="str">
        <x:v>Synthetic input pack. Preserve source definitions, units, period basis, and sign convention when replacing values.</x:v>
      </x:c>
      <x:c r="F16" s="46" t="str">
        <x:v>Synthetic input pack. Preserve source definitions, units, period basis, and sign convention when replacing values.</x:v>
      </x:c>
      <x:c r="G16" s="47" t="str">
        <x:v>Synthetic input pack. Preserve source definitions, units, period basis, and sign convention when replacing values.</x:v>
      </x:c>
    </x:row>
    <x:row r="17">
      <x:c r="A17" s="48" t="str">
        <x:v>Synthetic input pack. Preserve source definitions, units, period basis, and sign convention when replacing values.</x:v>
      </x:c>
      <x:c r="B17" s="49" t="str">
        <x:v>Synthetic input pack. Preserve source definitions, units, period basis, and sign convention when replacing values.</x:v>
      </x:c>
      <x:c r="C17" s="49" t="str">
        <x:v>Synthetic input pack. Preserve source definitions, units, period basis, and sign convention when replacing values.</x:v>
      </x:c>
      <x:c r="D17" s="49" t="str">
        <x:v>Synthetic input pack. Preserve source definitions, units, period basis, and sign convention when replacing values.</x:v>
      </x:c>
      <x:c r="E17" s="49" t="str">
        <x:v>Synthetic input pack. Preserve source definitions, units, period basis, and sign convention when replacing values.</x:v>
      </x:c>
      <x:c r="F17" s="49" t="str">
        <x:v>Synthetic input pack. Preserve source definitions, units, period basis, and sign convention when replacing values.</x:v>
      </x:c>
      <x:c r="G17" s="50" t="str">
        <x:v>Synthetic input pack. Preserve source definitions, units, period basis, and sign convention when replacing values.</x:v>
      </x:c>
    </x:row>
    <x:row r="19">
      <x:c r="A19" s="53" t="str">
        <x:v>TDAT Model Library  |  Trust builds the brand. Insight builds the decision.</x:v>
      </x:c>
      <x:c r="B19" s="53" t="str">
        <x:v>TDAT Model Library  |  Trust builds the brand. Insight builds the decision.</x:v>
      </x:c>
      <x:c r="C19" s="53" t="str">
        <x:v>TDAT Model Library  |  Trust builds the brand. Insight builds the decision.</x:v>
      </x:c>
      <x:c r="D19" s="53" t="str">
        <x:v>TDAT Model Library  |  Trust builds the brand. Insight builds the decision.</x:v>
      </x:c>
      <x:c r="E19" s="53" t="str">
        <x:v>TDAT Model Library  |  Trust builds the brand. Insight builds the decision.</x:v>
      </x:c>
      <x:c r="F19" s="53" t="str">
        <x:v>TDAT Model Library  |  Trust builds the brand. Insight builds the decision.</x:v>
      </x:c>
      <x:c r="G19" s="53" t="str">
        <x:v>TDAT Model Library  |  Trust builds the brand. Insight builds the decision.</x:v>
      </x:c>
    </x:row>
  </x:sheetData>
  <x:mergeCells>
    <x:mergeCell ref="A1:G1"/>
    <x:mergeCell ref="A2:G2"/>
    <x:mergeCell ref="A15:G17"/>
    <x:mergeCell ref="A19:G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4" customHeight="1">
      <x:c r="A1" s="3" t="str">
        <x:v>MARGIN WATERFALL</x:v>
      </x:c>
      <x:c r="B1" s="3" t="str">
        <x:v>MARGIN WATERFALL</x:v>
      </x:c>
      <x:c r="C1" s="3" t="str">
        <x:v>MARGIN WATERFALL</x:v>
      </x:c>
      <x:c r="D1" s="3" t="str">
        <x:v>MARGIN WATERFALL</x:v>
      </x:c>
      <x:c r="E1" s="3" t="str">
        <x:v>MARGIN WATERFALL</x:v>
      </x:c>
      <x:c r="F1" s="3" t="str">
        <x:v>MARGIN WATERFALL</x:v>
      </x:c>
      <x:c r="G1" s="3" t="str">
        <x:v>MARGIN WATERFALL</x:v>
      </x:c>
    </x:row>
    <x:row r="2" ht="24" customHeight="1">
      <x:c r="A2" s="6" t="str">
        <x:v>Pricing &amp; Margin Waterfall  |  Formula-driven core mechanics</x:v>
      </x:c>
      <x:c r="B2" s="6" t="str">
        <x:v>Pricing &amp; Margin Waterfall  |  Formula-driven core mechanics</x:v>
      </x:c>
      <x:c r="C2" s="6" t="str">
        <x:v>Pricing &amp; Margin Waterfall  |  Formula-driven core mechanics</x:v>
      </x:c>
      <x:c r="D2" s="6" t="str">
        <x:v>Pricing &amp; Margin Waterfall  |  Formula-driven core mechanics</x:v>
      </x:c>
      <x:c r="E2" s="6" t="str">
        <x:v>Pricing &amp; Margin Waterfall  |  Formula-driven core mechanics</x:v>
      </x:c>
      <x:c r="F2" s="6" t="str">
        <x:v>Pricing &amp; Margin Waterfall  |  Formula-driven core mechanics</x:v>
      </x:c>
      <x:c r="G2" s="6" t="str">
        <x:v>Pricing &amp; Margin Waterfall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</x:row>
    <x:row r="5" ht="24" customHeight="1">
      <x:c r="A5" s="66" t="str">
        <x:v>Calculation / Period</x:v>
      </x:c>
      <x:c r="B5" s="67" t="str">
        <x:v>Product A</x:v>
      </x:c>
      <x:c r="C5" s="67" t="str">
        <x:v>Product B</x:v>
      </x:c>
      <x:c r="D5" s="67" t="str">
        <x:v>Product C</x:v>
      </x:c>
      <x:c r="E5" s="67" t="str">
        <x:v>Product D</x:v>
      </x:c>
      <x:c r="F5" s="67" t="str">
        <x:v>Key Account</x:v>
      </x:c>
      <x:c r="G5" s="68" t="str">
        <x:v>Online</x:v>
      </x:c>
    </x:row>
    <x:row r="6">
      <x:c r="A6" s="121" t="str">
        <x:v>Gross list sales</x:v>
      </x:c>
      <x:c r="B6" s="122" t="n">
        <x:f>'Product Customer'!B$6*'Product Customer'!B$7</x:f>
        <x:v>108000</x:v>
      </x:c>
      <x:c r="C6" s="122" t="n">
        <x:f>'Product Customer'!C$6*'Product Customer'!C$7</x:f>
        <x:v>114000</x:v>
      </x:c>
      <x:c r="D6" s="122" t="n">
        <x:f>'Product Customer'!D$6*'Product Customer'!D$7</x:f>
        <x:v>97500</x:v>
      </x:c>
      <x:c r="E6" s="122" t="n">
        <x:f>'Product Customer'!E$6*'Product Customer'!E$7</x:f>
        <x:v>120000</x:v>
      </x:c>
      <x:c r="F6" s="122" t="n">
        <x:f>'Product Customer'!F$6*'Product Customer'!F$7</x:f>
        <x:v>121000</x:v>
      </x:c>
      <x:c r="G6" s="122" t="n">
        <x:f>'Product Customer'!G$6*'Product Customer'!G$7</x:f>
        <x:v>126000</x:v>
      </x:c>
    </x:row>
    <x:row r="7">
      <x:c r="A7" s="123" t="str">
        <x:v>Discount</x:v>
      </x:c>
      <x:c r="B7" s="124" t="n">
        <x:f>-'Product Customer'!B$6*'Product Customer'!B$7*'Product Customer'!B$8</x:f>
        <x:v>-8640</x:v>
      </x:c>
      <x:c r="C7" s="124" t="n">
        <x:f>-'Product Customer'!C$6*'Product Customer'!C$7*'Product Customer'!C$8</x:f>
        <x:v>-11400</x:v>
      </x:c>
      <x:c r="D7" s="124" t="n">
        <x:f>-'Product Customer'!D$6*'Product Customer'!D$7*'Product Customer'!D$8</x:f>
        <x:v>-5850</x:v>
      </x:c>
      <x:c r="E7" s="124" t="n">
        <x:f>-'Product Customer'!E$6*'Product Customer'!E$7*'Product Customer'!E$8</x:f>
        <x:v>-14400</x:v>
      </x:c>
      <x:c r="F7" s="124" t="n">
        <x:f>-'Product Customer'!F$6*'Product Customer'!F$7*'Product Customer'!F$8</x:f>
        <x:v>-18150</x:v>
      </x:c>
      <x:c r="G7" s="124" t="n">
        <x:f>-'Product Customer'!G$6*'Product Customer'!G$7*'Product Customer'!G$8</x:f>
        <x:v>-6300</x:v>
      </x:c>
    </x:row>
    <x:row r="8">
      <x:c r="A8" s="123" t="str">
        <x:v>Rebate</x:v>
      </x:c>
      <x:c r="B8" s="124" t="n">
        <x:f>-'Product Customer'!B$6*'Product Customer'!B$7*'Product Customer'!B$9</x:f>
        <x:v>-3240</x:v>
      </x:c>
      <x:c r="C8" s="124" t="n">
        <x:f>-'Product Customer'!C$6*'Product Customer'!C$7*'Product Customer'!C$9</x:f>
        <x:v>-2280</x:v>
      </x:c>
      <x:c r="D8" s="124" t="n">
        <x:f>-'Product Customer'!D$6*'Product Customer'!D$7*'Product Customer'!D$9</x:f>
        <x:v>-3900</x:v>
      </x:c>
      <x:c r="E8" s="124" t="n">
        <x:f>-'Product Customer'!E$6*'Product Customer'!E$7*'Product Customer'!E$9</x:f>
        <x:v>-1200</x:v>
      </x:c>
      <x:c r="F8" s="124" t="n">
        <x:f>-'Product Customer'!F$6*'Product Customer'!F$7*'Product Customer'!F$9</x:f>
        <x:v>-6050</x:v>
      </x:c>
      <x:c r="G8" s="124" t="n">
        <x:f>-'Product Customer'!G$6*'Product Customer'!G$7*'Product Customer'!G$9</x:f>
        <x:v>0</x:v>
      </x:c>
    </x:row>
    <x:row r="9">
      <x:c r="A9" s="125" t="str">
        <x:v>Net revenue</x:v>
      </x:c>
      <x:c r="B9" s="126" t="n">
        <x:f>SUM(B$6:B$8)</x:f>
        <x:v>96120</x:v>
      </x:c>
      <x:c r="C9" s="126" t="n">
        <x:f>SUM(C$6:C$8)</x:f>
        <x:v>100320</x:v>
      </x:c>
      <x:c r="D9" s="126" t="n">
        <x:f>SUM(D$6:D$8)</x:f>
        <x:v>87750</x:v>
      </x:c>
      <x:c r="E9" s="126" t="n">
        <x:f>SUM(E$6:E$8)</x:f>
        <x:v>104400</x:v>
      </x:c>
      <x:c r="F9" s="126" t="n">
        <x:f>SUM(F$6:F$8)</x:f>
        <x:v>96800</x:v>
      </x:c>
      <x:c r="G9" s="126" t="n">
        <x:f>SUM(G$6:G$8)</x:f>
        <x:v>119700</x:v>
      </x:c>
    </x:row>
    <x:row r="10">
      <x:c r="A10" s="123" t="str">
        <x:v>Product cost</x:v>
      </x:c>
      <x:c r="B10" s="124" t="n">
        <x:f>-'Product Customer'!B$10*'Product Customer'!B$7</x:f>
        <x:v>-61200</x:v>
      </x:c>
      <x:c r="C10" s="124" t="n">
        <x:f>-'Product Customer'!C$10*'Product Customer'!C$7</x:f>
        <x:v>-66000</x:v>
      </x:c>
      <x:c r="D10" s="124" t="n">
        <x:f>-'Product Customer'!D$10*'Product Customer'!D$7</x:f>
        <x:v>-57200</x:v>
      </x:c>
      <x:c r="E10" s="124" t="n">
        <x:f>-'Product Customer'!E$10*'Product Customer'!E$7</x:f>
        <x:v>-66000</x:v>
      </x:c>
      <x:c r="F10" s="124" t="n">
        <x:f>-'Product Customer'!F$10*'Product Customer'!F$7</x:f>
        <x:v>-69300</x:v>
      </x:c>
      <x:c r="G10" s="124" t="n">
        <x:f>-'Product Customer'!G$10*'Product Customer'!G$7</x:f>
        <x:v>-70200</x:v>
      </x:c>
    </x:row>
    <x:row r="11">
      <x:c r="A11" s="123" t="str">
        <x:v>Freight</x:v>
      </x:c>
      <x:c r="B11" s="124" t="n">
        <x:f>-'Product Customer'!B$11*'Product Customer'!B$7</x:f>
        <x:v>-4500</x:v>
      </x:c>
      <x:c r="C11" s="124" t="n">
        <x:f>-'Product Customer'!C$11*'Product Customer'!C$7</x:f>
        <x:v>-4800</x:v>
      </x:c>
      <x:c r="D11" s="124" t="n">
        <x:f>-'Product Customer'!D$11*'Product Customer'!D$7</x:f>
        <x:v>-3900</x:v>
      </x:c>
      <x:c r="E11" s="124" t="n">
        <x:f>-'Product Customer'!E$11*'Product Customer'!E$7</x:f>
        <x:v>-4500</x:v>
      </x:c>
      <x:c r="F11" s="124" t="n">
        <x:f>-'Product Customer'!F$11*'Product Customer'!F$7</x:f>
        <x:v>-5500</x:v>
      </x:c>
      <x:c r="G11" s="124" t="n">
        <x:f>-'Product Customer'!G$11*'Product Customer'!G$7</x:f>
        <x:v>-5400</x:v>
      </x:c>
    </x:row>
    <x:row r="12">
      <x:c r="A12" s="123" t="str">
        <x:v>Cost to serve</x:v>
      </x:c>
      <x:c r="B12" s="124" t="n">
        <x:f>-'Product Customer'!B$12*'Product Customer'!B$7</x:f>
        <x:v>-3600</x:v>
      </x:c>
      <x:c r="C12" s="124" t="n">
        <x:f>-'Product Customer'!C$12*'Product Customer'!C$7</x:f>
        <x:v>-3600</x:v>
      </x:c>
      <x:c r="D12" s="124" t="n">
        <x:f>-'Product Customer'!D$12*'Product Customer'!D$7</x:f>
        <x:v>-3250</x:v>
      </x:c>
      <x:c r="E12" s="124" t="n">
        <x:f>-'Product Customer'!E$12*'Product Customer'!E$7</x:f>
        <x:v>-3000</x:v>
      </x:c>
      <x:c r="F12" s="124" t="n">
        <x:f>-'Product Customer'!F$12*'Product Customer'!F$7</x:f>
        <x:v>-7700</x:v>
      </x:c>
      <x:c r="G12" s="124" t="n">
        <x:f>-'Product Customer'!G$12*'Product Customer'!G$7</x:f>
        <x:v>-3600</x:v>
      </x:c>
    </x:row>
    <x:row r="13">
      <x:c r="A13" s="127" t="str">
        <x:v>Contribution margin</x:v>
      </x:c>
      <x:c r="B13" s="128" t="n">
        <x:f>SUM(B$9:B$12)</x:f>
        <x:v>26820</x:v>
      </x:c>
      <x:c r="C13" s="128" t="n">
        <x:f>SUM(C$9:C$12)</x:f>
        <x:v>25920</x:v>
      </x:c>
      <x:c r="D13" s="128" t="n">
        <x:f>SUM(D$9:D$12)</x:f>
        <x:v>23400</x:v>
      </x:c>
      <x:c r="E13" s="128" t="n">
        <x:f>SUM(E$9:E$12)</x:f>
        <x:v>30900</x:v>
      </x:c>
      <x:c r="F13" s="128" t="n">
        <x:f>SUM(F$9:F$12)</x:f>
        <x:v>14300</x:v>
      </x:c>
      <x:c r="G13" s="128" t="n">
        <x:f>SUM(G$9:G$12)</x:f>
        <x:v>40500</x:v>
      </x:c>
    </x:row>
    <x:row r="14">
      <x:c r="A14" s="123" t="str">
        <x:v>Contribution margin %</x:v>
      </x:c>
      <x:c r="B14" s="129" t="n">
        <x:f>IF(B$9=0,0,B$13/B$9)</x:f>
        <x:v>0.27902621722846443</x:v>
      </x:c>
      <x:c r="C14" s="129" t="n">
        <x:f>IF(C$9=0,0,C$13/C$9)</x:f>
        <x:v>0.2583732057416268</x:v>
      </x:c>
      <x:c r="D14" s="129" t="n">
        <x:f>IF(D$9=0,0,D$13/D$9)</x:f>
        <x:v>0.26666666666666666</x:v>
      </x:c>
      <x:c r="E14" s="129" t="n">
        <x:f>IF(E$9=0,0,E$13/E$9)</x:f>
        <x:v>0.2959770114942529</x:v>
      </x:c>
      <x:c r="F14" s="129" t="n">
        <x:f>IF(F$9=0,0,F$13/F$9)</x:f>
        <x:v>0.14772727272727273</x:v>
      </x:c>
      <x:c r="G14" s="129" t="n">
        <x:f>IF(G$9=0,0,G$13/G$9)</x:f>
        <x:v>0.3383458646616541</x:v>
      </x:c>
    </x:row>
    <x:row r="15">
      <x:c r="A15" s="123" t="str">
        <x:v>Proposed list price</x:v>
      </x:c>
      <x:c r="B15" s="130" t="n">
        <x:f>'Product Customer'!B$6*(1+'Assumptions'!$F$6)</x:f>
        <x:v>126</x:v>
      </x:c>
      <x:c r="C15" s="130" t="n">
        <x:f>'Product Customer'!C$6*(1+'Assumptions'!$F$6)</x:f>
        <x:v>99.75</x:v>
      </x:c>
      <x:c r="D15" s="130" t="n">
        <x:f>'Product Customer'!D$6*(1+'Assumptions'!$F$6)</x:f>
        <x:v>157.5</x:v>
      </x:c>
      <x:c r="E15" s="130" t="n">
        <x:f>'Product Customer'!E$6*(1+'Assumptions'!$F$6)</x:f>
        <x:v>84</x:v>
      </x:c>
      <x:c r="F15" s="130" t="n">
        <x:f>'Product Customer'!F$6*(1+'Assumptions'!$F$6)</x:f>
        <x:v>115.5</x:v>
      </x:c>
      <x:c r="G15" s="130" t="n">
        <x:f>'Product Customer'!G$6*(1+'Assumptions'!$F$6)</x:f>
        <x:v>73.5</x:v>
      </x:c>
    </x:row>
    <x:row r="16">
      <x:c r="A16" s="123" t="str">
        <x:v>Modeled units after elasticity</x:v>
      </x:c>
      <x:c r="B16" s="131" t="n">
        <x:f>MAX(0,'Product Customer'!B$7*(1+'Product Customer'!B$13*'Assumptions'!$F$6))</x:f>
        <x:v>864</x:v>
      </x:c>
      <x:c r="C16" s="131" t="n">
        <x:f>MAX(0,'Product Customer'!C$7*(1+'Product Customer'!C$13*'Assumptions'!$F$6))</x:f>
        <x:v>1140</x:v>
      </x:c>
      <x:c r="D16" s="131" t="n">
        <x:f>MAX(0,'Product Customer'!D$7*(1+'Product Customer'!D$13*'Assumptions'!$F$6))</x:f>
        <x:v>630.5</x:v>
      </x:c>
      <x:c r="E16" s="131" t="n">
        <x:f>MAX(0,'Product Customer'!E$7*(1+'Product Customer'!E$13*'Assumptions'!$F$6))</x:f>
        <x:v>1410</x:v>
      </x:c>
      <x:c r="F16" s="131" t="n">
        <x:f>MAX(0,'Product Customer'!F$7*(1+'Product Customer'!F$13*'Assumptions'!$F$6))</x:f>
        <x:v>1023</x:v>
      </x:c>
      <x:c r="G16" s="131" t="n">
        <x:f>MAX(0,'Product Customer'!G$7*(1+'Product Customer'!G$13*'Assumptions'!$F$6))</x:f>
        <x:v>1655.9999999999998</x:v>
      </x:c>
    </x:row>
    <x:row r="17">
      <x:c r="A17" s="123" t="str">
        <x:v>Proposed net revenue</x:v>
      </x:c>
      <x:c r="B17" s="124" t="n">
        <x:f>B$15*B$16*(1-MAX(0,'Product Customer'!B$8-'Assumptions'!$F$8))*(1-'Product Customer'!B$9)</x:f>
        <x:v>98206.21439999998</x:v>
      </x:c>
      <x:c r="C17" s="124" t="n">
        <x:f>C$15*C$16*(1-MAX(0,'Product Customer'!C$8-'Assumptions'!$F$8))*(1-'Product Customer'!C$9)</x:f>
        <x:v>101411.03700000001</x:v>
      </x:c>
      <x:c r="D17" s="124" t="n">
        <x:f>D$15*D$16*(1-MAX(0,'Product Customer'!D$8-'Assumptions'!$F$8))*(1-'Product Customer'!D$9)</x:f>
        <x:v>90565.01999999999</x:v>
      </x:c>
      <x:c r="E17" s="124" t="n">
        <x:f>E$15*E$16*(1-MAX(0,'Product Customer'!E$8-'Assumptions'!$F$8))*(1-'Product Customer'!E$9)</x:f>
        <x:v>104357.48400000001</x:v>
      </x:c>
      <x:c r="F17" s="124" t="n">
        <x:f>F$15*F$16*(1-MAX(0,'Product Customer'!F$8-'Assumptions'!$F$8))*(1-'Product Customer'!F$9)</x:f>
        <x:v>96533.8605</x:v>
      </x:c>
      <x:c r="G17" s="124" t="n">
        <x:f>G$15*G$16*(1-MAX(0,'Product Customer'!G$8-'Assumptions'!$F$8))*(1-'Product Customer'!G$9)</x:f>
        <x:v>116847.35999999999</x:v>
      </x:c>
    </x:row>
    <x:row r="18">
      <x:c r="A18" s="123" t="str">
        <x:v>Proposed variable cost</x:v>
      </x:c>
      <x:c r="B18" s="124" t="n">
        <x:f>-('Product Customer'!B$10*(1+'Assumptions'!$F$7)+'Product Customer'!B$11+'Product Customer'!B$12)*B$16</x:f>
        <x:v>-67703.04</x:v>
      </x:c>
      <x:c r="C18" s="124" t="n">
        <x:f>-('Product Customer'!C$10*(1+'Assumptions'!$F$7)+'Product Customer'!C$11+'Product Customer'!C$12)*C$16</x:f>
        <x:v>-71934</x:v>
      </x:c>
      <x:c r="D18" s="124" t="n">
        <x:f>-('Product Customer'!D$10*(1+'Assumptions'!$F$7)+'Product Customer'!D$11+'Product Customer'!D$12)*D$16</x:f>
        <x:v>-63529.18</x:v>
      </x:c>
      <x:c r="E18" s="124" t="n">
        <x:f>-('Product Customer'!E$10*(1+'Assumptions'!$F$7)+'Product Customer'!E$11+'Product Customer'!E$12)*E$16</x:f>
        <x:v>-70330.8</x:v>
      </x:c>
      <x:c r="F18" s="124" t="n">
        <x:f>-('Product Customer'!F$10*(1+'Assumptions'!$F$7)+'Product Customer'!F$11+'Product Customer'!F$12)*F$16</x:f>
        <x:v>-78013.98000000001</x:v>
      </x:c>
      <x:c r="G18" s="124" t="n">
        <x:f>-('Product Customer'!G$10*(1+'Assumptions'!$F$7)+'Product Customer'!G$11+'Product Customer'!G$12)*G$16</x:f>
        <x:v>-74155.68</x:v>
      </x:c>
    </x:row>
    <x:row r="19">
      <x:c r="A19" s="125" t="str">
        <x:v>Proposed contribution</x:v>
      </x:c>
      <x:c r="B19" s="126" t="n">
        <x:f>B$17+B$18</x:f>
        <x:v>30503.17439999999</x:v>
      </x:c>
      <x:c r="C19" s="126" t="n">
        <x:f>C$17+C$18</x:f>
        <x:v>29477.03700000001</x:v>
      </x:c>
      <x:c r="D19" s="126" t="n">
        <x:f>D$17+D$18</x:f>
        <x:v>27035.83999999999</x:v>
      </x:c>
      <x:c r="E19" s="126" t="n">
        <x:f>E$17+E$18</x:f>
        <x:v>34026.68400000001</x:v>
      </x:c>
      <x:c r="F19" s="126" t="n">
        <x:f>F$17+F$18</x:f>
        <x:v>18519.880499999985</x:v>
      </x:c>
      <x:c r="G19" s="126" t="n">
        <x:f>G$17+G$18</x:f>
        <x:v>42691.67999999999</x:v>
      </x:c>
    </x:row>
    <x:row r="20">
      <x:c r="A20" s="127" t="str">
        <x:v>Contribution uplift</x:v>
      </x:c>
      <x:c r="B20" s="128" t="n">
        <x:f>B$19-B$13</x:f>
        <x:v>3683.174399999989</x:v>
      </x:c>
      <x:c r="C20" s="128" t="n">
        <x:f>C$19-C$13</x:f>
        <x:v>3557.037000000011</x:v>
      </x:c>
      <x:c r="D20" s="128" t="n">
        <x:f>D$19-D$13</x:f>
        <x:v>3635.8399999999892</x:v>
      </x:c>
      <x:c r="E20" s="128" t="n">
        <x:f>E$19-E$13</x:f>
        <x:v>3126.6840000000084</x:v>
      </x:c>
      <x:c r="F20" s="128" t="n">
        <x:f>F$19-F$13</x:f>
        <x:v>4219.880499999985</x:v>
      </x:c>
      <x:c r="G20" s="128" t="n">
        <x:f>G$19-G$13</x:f>
        <x:v>2191.679999999993</x:v>
      </x:c>
    </x:row>
    <x:row r="21">
      <x:c r="A21" s="132" t="str">
        <x:v>Gross-to-net check</x:v>
      </x:c>
      <x:c r="B21" s="133" t="n">
        <x:f>B$9-B$6-B$7-B$8</x:f>
        <x:v>0</x:v>
      </x:c>
      <x:c r="C21" s="133" t="n">
        <x:f>C$9-C$6-C$7-C$8</x:f>
        <x:v>0</x:v>
      </x:c>
      <x:c r="D21" s="133" t="n">
        <x:f>D$9-D$6-D$7-D$8</x:f>
        <x:v>0</x:v>
      </x:c>
      <x:c r="E21" s="133" t="n">
        <x:f>E$9-E$6-E$7-E$8</x:f>
        <x:v>0</x:v>
      </x:c>
      <x:c r="F21" s="133" t="n">
        <x:f>F$9-F$6-F$7-F$8</x:f>
        <x:v>0</x:v>
      </x:c>
      <x:c r="G21" s="133" t="n">
        <x:f>G$9-G$6-G$7-G$8</x:f>
        <x:v>0</x:v>
      </x:c>
    </x:row>
    <x:row r="23">
      <x:c r="A23" s="42" t="str">
        <x:v>Review row definitions, sign convention, period basis, scenario mechanics, and every breakpoint before relying on the output.</x:v>
      </x:c>
      <x:c r="B23" s="43" t="str">
        <x:v>Review row definitions, sign convention, period basis, scenario mechanics, and every breakpoint before relying on the output.</x:v>
      </x:c>
      <x:c r="C23" s="43" t="str">
        <x:v>Review row definitions, sign convention, period basis, scenario mechanics, and every breakpoint before relying on the output.</x:v>
      </x:c>
      <x:c r="D23" s="43" t="str">
        <x:v>Review row definitions, sign convention, period basis, scenario mechanics, and every breakpoint before relying on the output.</x:v>
      </x:c>
      <x:c r="E23" s="43" t="str">
        <x:v>Review row definitions, sign convention, period basis, scenario mechanics, and every breakpoint before relying on the output.</x:v>
      </x:c>
      <x:c r="F23" s="43" t="str">
        <x:v>Review row definitions, sign convention, period basis, scenario mechanics, and every breakpoint before relying on the output.</x:v>
      </x:c>
      <x:c r="G23" s="44" t="str">
        <x:v>Review row definitions, sign convention, period basis, scenario mechanics, and every breakpoint before relying on the output.</x:v>
      </x:c>
    </x:row>
    <x:row r="24">
      <x:c r="A24" s="45" t="str">
        <x:v>Review row definitions, sign convention, period basis, scenario mechanics, and every breakpoint before relying on the output.</x:v>
      </x:c>
      <x:c r="B24" s="46" t="str">
        <x:v>Review row definitions, sign convention, period basis, scenario mechanics, and every breakpoint before relying on the output.</x:v>
      </x:c>
      <x:c r="C24" s="46" t="str">
        <x:v>Review row definitions, sign convention, period basis, scenario mechanics, and every breakpoint before relying on the output.</x:v>
      </x:c>
      <x:c r="D24" s="46" t="str">
        <x:v>Review row definitions, sign convention, period basis, scenario mechanics, and every breakpoint before relying on the output.</x:v>
      </x:c>
      <x:c r="E24" s="46" t="str">
        <x:v>Review row definitions, sign convention, period basis, scenario mechanics, and every breakpoint before relying on the output.</x:v>
      </x:c>
      <x:c r="F24" s="46" t="str">
        <x:v>Review row definitions, sign convention, period basis, scenario mechanics, and every breakpoint before relying on the output.</x:v>
      </x:c>
      <x:c r="G24" s="47" t="str">
        <x:v>Review row definitions, sign convention, period basis, scenario mechanics, and every breakpoint before relying on the output.</x:v>
      </x:c>
    </x:row>
    <x:row r="25">
      <x:c r="A25" s="48" t="str">
        <x:v>Review row definitions, sign convention, period basis, scenario mechanics, and every breakpoint before relying on the output.</x:v>
      </x:c>
      <x:c r="B25" s="49" t="str">
        <x:v>Review row definitions, sign convention, period basis, scenario mechanics, and every breakpoint before relying on the output.</x:v>
      </x:c>
      <x:c r="C25" s="49" t="str">
        <x:v>Review row definitions, sign convention, period basis, scenario mechanics, and every breakpoint before relying on the output.</x:v>
      </x:c>
      <x:c r="D25" s="49" t="str">
        <x:v>Review row definitions, sign convention, period basis, scenario mechanics, and every breakpoint before relying on the output.</x:v>
      </x:c>
      <x:c r="E25" s="49" t="str">
        <x:v>Review row definitions, sign convention, period basis, scenario mechanics, and every breakpoint before relying on the output.</x:v>
      </x:c>
      <x:c r="F25" s="49" t="str">
        <x:v>Review row definitions, sign convention, period basis, scenario mechanics, and every breakpoint before relying on the output.</x:v>
      </x:c>
      <x:c r="G25" s="50" t="str">
        <x:v>Review row definitions, sign convention, period basis, scenario mechanics, and every breakpoint before relying on the output.</x:v>
      </x:c>
    </x:row>
    <x:row r="27">
      <x:c r="A27" s="53" t="str">
        <x:v>TDAT Model Library  |  Trust builds the brand. Insight builds the decision.</x:v>
      </x:c>
      <x:c r="B27" s="53" t="str">
        <x:v>TDAT Model Library  |  Trust builds the brand. Insight builds the decision.</x:v>
      </x:c>
      <x:c r="C27" s="53" t="str">
        <x:v>TDAT Model Library  |  Trust builds the brand. Insight builds the decision.</x:v>
      </x:c>
      <x:c r="D27" s="53" t="str">
        <x:v>TDAT Model Library  |  Trust builds the brand. Insight builds the decision.</x:v>
      </x:c>
      <x:c r="E27" s="53" t="str">
        <x:v>TDAT Model Library  |  Trust builds the brand. Insight builds the decision.</x:v>
      </x:c>
      <x:c r="F27" s="53" t="str">
        <x:v>TDAT Model Library  |  Trust builds the brand. Insight builds the decision.</x:v>
      </x:c>
      <x:c r="G27" s="53" t="str">
        <x:v>TDAT Model Library  |  Trust builds the brand. Insight builds the decision.</x:v>
      </x:c>
    </x:row>
  </x:sheetData>
  <x:mergeCells>
    <x:mergeCell ref="A1:G1"/>
    <x:mergeCell ref="A2:G2"/>
    <x:mergeCell ref="A23:G25"/>
    <x:mergeCell ref="A27:G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Pricing &amp; Margin Waterfall  |  Formula-backed decision range</x:v>
      </x:c>
      <x:c r="B2" s="6" t="str">
        <x:v>Pricing &amp; Margin Waterfall  |  Formula-backed decision range</x:v>
      </x:c>
      <x:c r="C2" s="6" t="str">
        <x:v>Pricing &amp; Margin Waterfall  |  Formula-backed decision range</x:v>
      </x:c>
      <x:c r="D2" s="6" t="str">
        <x:v>Pricing &amp; Margin Waterfall  |  Formula-backed decision range</x:v>
      </x:c>
      <x:c r="E2" s="6" t="str">
        <x:v>Pricing &amp; Margin Waterfall  |  Formula-backed decision range</x:v>
      </x:c>
      <x:c r="F2" s="6" t="str">
        <x:v>Pricing &amp; Margin Waterfall  |  Formula-backed decision range</x:v>
      </x:c>
      <x:c r="G2" s="6" t="str">
        <x:v>Pricing &amp; Margin Waterfall  |  Formula-backed decision range</x:v>
      </x:c>
      <x:c r="H2" s="6" t="str">
        <x:v>Pricing &amp; Margin Waterfall  |  Formula-backed decision range</x:v>
      </x:c>
      <x:c r="I2" s="6" t="str">
        <x:v>Pricing &amp; Margin Waterfall  |  Formula-backed decision range</x:v>
      </x:c>
      <x:c r="J2" s="6" t="str">
        <x:v>Pricing &amp; Margin Waterfall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34" t="str">
        <x:v>Contribution uplift — Price change by Volume response</x:v>
      </x:c>
      <x:c r="B5" s="134" t="str">
        <x:v>Contribution uplift — Price change by Volume response</x:v>
      </x:c>
      <x:c r="C5" s="134" t="str">
        <x:v>Contribution uplift — Price change by Volume response</x:v>
      </x:c>
      <x:c r="D5" s="134" t="str">
        <x:v>Contribution uplift — Price change by Volume response</x:v>
      </x:c>
      <x:c r="E5" s="134" t="str">
        <x:v>Contribution uplift — Price change by Volume response</x:v>
      </x:c>
      <x:c r="F5" s="134" t="str">
        <x:v>Contribution uplift — Price change by Volume response</x:v>
      </x:c>
      <x:c r="G5" s="134" t="str">
        <x:v>Contribution uplift — Price change by Volume response</x:v>
      </x:c>
      <x:c r="H5" s="134" t="str">
        <x:v>Contribution uplift — Price change by Volume response</x:v>
      </x:c>
      <x:c r="I5" s="134" t="str">
        <x:v>Contribution uplift — Price change by Volume response</x:v>
      </x:c>
      <x:c r="J5" s="134" t="str">
        <x:v>Contribution uplift — Price change by Volume response</x:v>
      </x:c>
    </x:row>
    <x:row r="6">
      <x:c r="A6" t="str">
        <x:v>Price change</x:v>
      </x:c>
      <x:c r="B6" t="str">
        <x:v>Volume response</x:v>
      </x:c>
    </x:row>
    <x:row r="7">
      <x:c r="B7" s="71" t="n">
        <x:v>-0.2</x:v>
      </x:c>
      <x:c r="C7" s="71" t="n">
        <x:v>-0.1</x:v>
      </x:c>
      <x:c r="D7" s="71" t="n">
        <x:v>0</x:v>
      </x:c>
      <x:c r="E7" s="71" t="n">
        <x:v>0.1</x:v>
      </x:c>
      <x:c r="F7" s="71" t="n">
        <x:v>0.2</x:v>
      </x:c>
    </x:row>
    <x:row r="8">
      <x:c r="A8" s="71" t="n">
        <x:v>-0.05</x:v>
      </x:c>
      <x:c r="B8" s="136" t="n">
        <x:f>SUM('Margin Waterfall'!B13:G13)*(1+$A8)*(1+B$7)-SUM('Margin Waterfall'!B13:G13)</x:f>
        <x:v>-38841.59999999999</x:v>
      </x:c>
      <x:c r="C8" s="136" t="n">
        <x:f>SUM('Margin Waterfall'!B13:G13)*(1+$A8)*(1+C$7)-SUM('Margin Waterfall'!B13:G13)</x:f>
        <x:v>-23466.79999999999</x:v>
      </x:c>
      <x:c r="D8" s="136" t="n">
        <x:f>SUM('Margin Waterfall'!B13:G13)*(1+$A8)*(1+D$7)-SUM('Margin Waterfall'!B13:G13)</x:f>
        <x:v>-8092</x:v>
      </x:c>
      <x:c r="E8" s="136" t="n">
        <x:f>SUM('Margin Waterfall'!B13:G13)*(1+$A8)*(1+E$7)-SUM('Margin Waterfall'!B13:G13)</x:f>
        <x:v>7282.8000000000175</x:v>
      </x:c>
      <x:c r="F8" s="136" t="n">
        <x:f>SUM('Margin Waterfall'!B13:G13)*(1+$A8)*(1+F$7)-SUM('Margin Waterfall'!B13:G13)</x:f>
        <x:v>22657.600000000006</x:v>
      </x:c>
    </x:row>
    <x:row r="9">
      <x:c r="A9" s="71" t="n">
        <x:v>0</x:v>
      </x:c>
      <x:c r="B9" s="136" t="n">
        <x:f>SUM('Margin Waterfall'!B13:G13)*(1+$A9)*(1+B$7)-SUM('Margin Waterfall'!B13:G13)</x:f>
        <x:v>-32368</x:v>
      </x:c>
      <x:c r="C9" s="136" t="n">
        <x:f>SUM('Margin Waterfall'!B13:G13)*(1+$A9)*(1+C$7)-SUM('Margin Waterfall'!B13:G13)</x:f>
        <x:v>-16184</x:v>
      </x:c>
      <x:c r="D9" s="136" t="n">
        <x:f>SUM('Margin Waterfall'!B13:G13)*(1+$A9)*(1+D$7)-SUM('Margin Waterfall'!B13:G13)</x:f>
        <x:v>0</x:v>
      </x:c>
      <x:c r="E9" s="136" t="n">
        <x:f>SUM('Margin Waterfall'!B13:G13)*(1+$A9)*(1+E$7)-SUM('Margin Waterfall'!B13:G13)</x:f>
        <x:v>16184</x:v>
      </x:c>
      <x:c r="F9" s="136" t="n">
        <x:f>SUM('Margin Waterfall'!B13:G13)*(1+$A9)*(1+F$7)-SUM('Margin Waterfall'!B13:G13)</x:f>
        <x:v>32368</x:v>
      </x:c>
    </x:row>
    <x:row r="10">
      <x:c r="A10" s="71" t="n">
        <x:v>0.05</x:v>
      </x:c>
      <x:c r="B10" s="136" t="n">
        <x:f>SUM('Margin Waterfall'!B13:G13)*(1+$A10)*(1+B$7)-SUM('Margin Waterfall'!B13:G13)</x:f>
        <x:v>-25894.399999999994</x:v>
      </x:c>
      <x:c r="C10" s="136" t="n">
        <x:f>SUM('Margin Waterfall'!B13:G13)*(1+$A10)*(1+C$7)-SUM('Margin Waterfall'!B13:G13)</x:f>
        <x:v>-8901.199999999983</x:v>
      </x:c>
      <x:c r="D10" s="136" t="n">
        <x:f>SUM('Margin Waterfall'!B13:G13)*(1+$A10)*(1+D$7)-SUM('Margin Waterfall'!B13:G13)</x:f>
        <x:v>8092</x:v>
      </x:c>
      <x:c r="E10" s="136" t="n">
        <x:f>SUM('Margin Waterfall'!B13:G13)*(1+$A10)*(1+E$7)-SUM('Margin Waterfall'!B13:G13)</x:f>
        <x:v>25085.20000000001</x:v>
      </x:c>
      <x:c r="F10" s="136" t="n">
        <x:f>SUM('Margin Waterfall'!B13:G13)*(1+$A10)*(1+F$7)-SUM('Margin Waterfall'!B13:G13)</x:f>
        <x:v>42078.399999999994</x:v>
      </x:c>
    </x:row>
    <x:row r="11">
      <x:c r="A11" s="71" t="n">
        <x:v>0.1</x:v>
      </x:c>
      <x:c r="B11" s="136" t="n">
        <x:f>SUM('Margin Waterfall'!B13:G13)*(1+$A11)*(1+B$7)-SUM('Margin Waterfall'!B13:G13)</x:f>
        <x:v>-19420.79999999999</x:v>
      </x:c>
      <x:c r="C11" s="136" t="n">
        <x:f>SUM('Margin Waterfall'!B13:G13)*(1+$A11)*(1+C$7)-SUM('Margin Waterfall'!B13:G13)</x:f>
        <x:v>-1618.3999999999942</x:v>
      </x:c>
      <x:c r="D11" s="136" t="n">
        <x:f>SUM('Margin Waterfall'!B13:G13)*(1+$A11)*(1+D$7)-SUM('Margin Waterfall'!B13:G13)</x:f>
        <x:v>16184</x:v>
      </x:c>
      <x:c r="E11" s="136" t="n">
        <x:f>SUM('Margin Waterfall'!B13:G13)*(1+$A11)*(1+E$7)-SUM('Margin Waterfall'!B13:G13)</x:f>
        <x:v>33986.40000000002</x:v>
      </x:c>
      <x:c r="F11" s="136" t="n">
        <x:f>SUM('Margin Waterfall'!B13:G13)*(1+$A11)*(1+F$7)-SUM('Margin Waterfall'!B13:G13)</x:f>
        <x:v>51788.79999999999</x:v>
      </x:c>
    </x:row>
    <x:row r="12">
      <x:c r="A12" s="71" t="n">
        <x:v>0.15</x:v>
      </x:c>
      <x:c r="B12" s="136" t="n">
        <x:f>SUM('Margin Waterfall'!B13:G13)*(1+$A12)*(1+B$7)-SUM('Margin Waterfall'!B13:G13)</x:f>
        <x:v>-12947.199999999983</x:v>
      </x:c>
      <x:c r="C12" s="136" t="n">
        <x:f>SUM('Margin Waterfall'!B13:G13)*(1+$A12)*(1+C$7)-SUM('Margin Waterfall'!B13:G13)</x:f>
        <x:v>5664.399999999994</x:v>
      </x:c>
      <x:c r="D12" s="136" t="n">
        <x:f>SUM('Margin Waterfall'!B13:G13)*(1+$A12)*(1+D$7)-SUM('Margin Waterfall'!B13:G13)</x:f>
        <x:v>24276</x:v>
      </x:c>
      <x:c r="E12" s="136" t="n">
        <x:f>SUM('Margin Waterfall'!B13:G13)*(1+$A12)*(1+E$7)-SUM('Margin Waterfall'!B13:G13)</x:f>
        <x:v>42887.600000000006</x:v>
      </x:c>
      <x:c r="F12" s="136" t="n">
        <x:f>SUM('Margin Waterfall'!B13:G13)*(1+$A12)*(1+F$7)-SUM('Margin Waterfall'!B13:G13)</x:f>
        <x:v>61499.19999999998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46" t="str">
        <x:v>Base</x:v>
      </x:c>
      <x:c r="B18" s="147" t="str">
        <x:v>Most likely operating and finance assumptions.</x:v>
      </x:c>
      <x:c r="C18" s="147" t="str">
        <x:v>Base</x:v>
      </x:c>
      <x:c r="D18" s="148" t="str">
        <x:v>What must be true for the base case to hold?</x:v>
      </x:c>
    </x:row>
    <x:row r="19">
      <x:c r="A19" s="149" t="str">
        <x:v>Upside</x:v>
      </x:c>
      <x:c r="B19" s="150" t="str">
        <x:v>Stronger performance, faster conversion, or lower risk/cost.</x:v>
      </x:c>
      <x:c r="C19" s="150" t="str">
        <x:v>Upside</x:v>
      </x:c>
      <x:c r="D19" s="151" t="str">
        <x:v>Which actions unlock the upside?</x:v>
      </x:c>
    </x:row>
    <x:row r="20">
      <x:c r="A20" s="152" t="str">
        <x:v>Downside</x:v>
      </x:c>
      <x:c r="B20" s="153" t="str">
        <x:v>Slower activity, weaker conversion, or higher risk/cost.</x:v>
      </x:c>
      <x:c r="C20" s="153" t="str">
        <x:v>Downside</x:v>
      </x:c>
      <x:c r="D20" s="154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Pricing &amp; Margin Waterfall  |  Decision outputs, trend, breakpoints, and action prompts</x:v>
      </x:c>
      <x:c r="B2" s="6" t="str">
        <x:v>Pricing &amp; Margin Waterfall  |  Decision outputs, trend, breakpoints, and action prompts</x:v>
      </x:c>
      <x:c r="C2" s="6" t="str">
        <x:v>Pricing &amp; Margin Waterfall  |  Decision outputs, trend, breakpoints, and action prompts</x:v>
      </x:c>
      <x:c r="D2" s="6" t="str">
        <x:v>Pricing &amp; Margin Waterfall  |  Decision outputs, trend, breakpoints, and action prompts</x:v>
      </x:c>
      <x:c r="E2" s="6" t="str">
        <x:v>Pricing &amp; Margin Waterfall  |  Decision outputs, trend, breakpoints, and action prompts</x:v>
      </x:c>
      <x:c r="F2" s="6" t="str">
        <x:v>Pricing &amp; Margin Waterfall  |  Decision outputs, trend, breakpoints, and action prompts</x:v>
      </x:c>
      <x:c r="G2" s="6" t="str">
        <x:v>Pricing &amp; Margin Waterfall  |  Decision outputs, trend, breakpoints, and action prompts</x:v>
      </x:c>
      <x:c r="H2" s="6" t="str">
        <x:v>Pricing &amp; Margin Waterfall  |  Decision outputs, trend, breakpoints, and action prompts</x:v>
      </x:c>
      <x:c r="I2" s="6" t="str">
        <x:v>Pricing &amp; Margin Waterfall  |  Decision outputs, trend, breakpoints, and action prompts</x:v>
      </x:c>
      <x:c r="J2" s="6" t="str">
        <x:v>Pricing &amp; Margin Waterfall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56" t="str">
        <x:v>CURRENT CONTRIBUTION</x:v>
      </x:c>
      <x:c r="B5" s="156" t="str">
        <x:v>CURRENT CONTRIBUTION</x:v>
      </x:c>
      <x:c r="C5" s="156" t="str">
        <x:v>CURRENT CONTRIBUTION</x:v>
      </x:c>
      <x:c r="D5" s="156" t="str">
        <x:v>PROPOSED CONTRIBUTION</x:v>
      </x:c>
      <x:c r="E5" s="156" t="str">
        <x:v>PROPOSED CONTRIBUTION</x:v>
      </x:c>
      <x:c r="F5" s="156" t="str">
        <x:v>PROPOSED CONTRIBUTION</x:v>
      </x:c>
      <x:c r="G5" s="156" t="str">
        <x:v>CONTRIBUTION UPLIFT</x:v>
      </x:c>
      <x:c r="H5" s="156" t="str">
        <x:v>CONTRIBUTION UPLIFT</x:v>
      </x:c>
      <x:c r="I5" s="156" t="str">
        <x:v>CONTRIBUTION UPLIFT</x:v>
      </x:c>
      <x:c r="J5" s="172" t="str">
        <x:v>MODEL STATUS</x:v>
      </x:c>
    </x:row>
    <x:row r="6">
      <x:c r="A6" s="160" t="n">
        <x:f>SUM('Margin Waterfall'!B13:G13)</x:f>
        <x:v>161840</x:v>
      </x:c>
      <x:c r="B6" s="160"/>
      <x:c r="C6" s="160"/>
      <x:c r="D6" s="164" t="n">
        <x:f>SUM('Margin Waterfall'!B19:G19)</x:f>
        <x:v>182254.29589999997</x:v>
      </x:c>
      <x:c r="E6" s="164"/>
      <x:c r="F6" s="164"/>
      <x:c r="G6" s="160" t="n">
        <x:f>SUM('Margin Waterfall'!B20:G20)</x:f>
        <x:v>20414.295899999976</x:v>
      </x:c>
      <x:c r="H6" s="160"/>
      <x:c r="I6" s="160"/>
      <x:c r="J6" s="176" t="str">
        <x:f>'Checks'!$B$5</x:f>
        <x:v>PASS</x:v>
      </x:c>
    </x:row>
    <x:row r="7">
      <x:c r="A7" s="160"/>
      <x:c r="B7" s="160"/>
      <x:c r="C7" s="160"/>
      <x:c r="D7" s="164"/>
      <x:c r="E7" s="164"/>
      <x:c r="F7" s="164"/>
      <x:c r="G7" s="160"/>
      <x:c r="H7" s="160"/>
      <x:c r="I7" s="160"/>
      <x:c r="J7" s="176"/>
    </x:row>
    <x:row r="9">
      <x:c r="A9" s="156" t="str">
        <x:v>CURRENT NET REVENUE</x:v>
      </x:c>
      <x:c r="B9" s="156" t="str">
        <x:v>CURRENT NET REVENUE</x:v>
      </x:c>
      <x:c r="C9" s="156" t="str">
        <x:v>CURRENT NET REVENUE</x:v>
      </x:c>
      <x:c r="D9" s="156" t="str">
        <x:v>PROPOSED NET REVENUE</x:v>
      </x:c>
      <x:c r="E9" s="156" t="str">
        <x:v>PROPOSED NET REVENUE</x:v>
      </x:c>
      <x:c r="F9" s="156" t="str">
        <x:v>PROPOSED NET REVENUE</x:v>
      </x:c>
      <x:c r="G9" s="156" t="str">
        <x:v>PRICE ACTION</x:v>
      </x:c>
      <x:c r="H9" s="156" t="str">
        <x:v>PRICE ACTION</x:v>
      </x:c>
      <x:c r="I9" s="156" t="str">
        <x:v>PRICE ACTION</x:v>
      </x:c>
      <x:c r="J9" s="172" t="str">
        <x:v>SCENARIO</x:v>
      </x:c>
    </x:row>
    <x:row r="10">
      <x:c r="A10" s="160" t="n">
        <x:f>SUM('Margin Waterfall'!B9:G9)</x:f>
        <x:v>605090</x:v>
      </x:c>
      <x:c r="B10" s="160"/>
      <x:c r="C10" s="160"/>
      <x:c r="D10" s="160" t="n">
        <x:f>SUM('Margin Waterfall'!B17:G17)</x:f>
        <x:v>607920.9759</x:v>
      </x:c>
      <x:c r="E10" s="160"/>
      <x:c r="F10" s="160"/>
      <x:c r="G10" s="170" t="n">
        <x:f>'Assumptions'!$F$6</x:f>
        <x:v>0.05</x:v>
      </x:c>
      <x:c r="H10" s="170"/>
      <x:c r="I10" s="170"/>
      <x:c r="J10" s="179" t="str">
        <x:f>'Assumptions'!$B$3</x:f>
        <x:v>Base</x:v>
      </x:c>
    </x:row>
    <x:row r="11">
      <x:c r="A11" s="160"/>
      <x:c r="B11" s="160"/>
      <x:c r="C11" s="160"/>
      <x:c r="D11" s="160"/>
      <x:c r="E11" s="160"/>
      <x:c r="F11" s="160"/>
      <x:c r="G11" s="170"/>
      <x:c r="H11" s="170"/>
      <x:c r="I11" s="170"/>
      <x:c r="J11" s="179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Contribution margin</x:v>
      </x:c>
      <x:c r="C15" s="68" t="str">
        <x:v>Proposed contribution</x:v>
      </x:c>
    </x:row>
    <x:row r="16">
      <x:c r="A16" t="str">
        <x:v>Product A</x:v>
      </x:c>
      <x:c r="B16" s="181" t="n">
        <x:f>'Margin Waterfall'!B$13</x:f>
        <x:v>26820</x:v>
      </x:c>
      <x:c r="C16" s="181" t="n">
        <x:f>'Margin Waterfall'!B$19</x:f>
        <x:v>30503.17439999999</x:v>
      </x:c>
    </x:row>
    <x:row r="17">
      <x:c r="A17" t="str">
        <x:v>Product B</x:v>
      </x:c>
      <x:c r="B17" s="181" t="n">
        <x:f>'Margin Waterfall'!C$13</x:f>
        <x:v>25920</x:v>
      </x:c>
      <x:c r="C17" s="181" t="n">
        <x:f>'Margin Waterfall'!C$19</x:f>
        <x:v>29477.03700000001</x:v>
      </x:c>
    </x:row>
    <x:row r="18">
      <x:c r="A18" t="str">
        <x:v>Product C</x:v>
      </x:c>
      <x:c r="B18" s="181" t="n">
        <x:f>'Margin Waterfall'!D$13</x:f>
        <x:v>23400</x:v>
      </x:c>
      <x:c r="C18" s="181" t="n">
        <x:f>'Margin Waterfall'!D$19</x:f>
        <x:v>27035.83999999999</x:v>
      </x:c>
    </x:row>
    <x:row r="19">
      <x:c r="A19" t="str">
        <x:v>Product D</x:v>
      </x:c>
      <x:c r="B19" s="181" t="n">
        <x:f>'Margin Waterfall'!E$13</x:f>
        <x:v>30900</x:v>
      </x:c>
      <x:c r="C19" s="181" t="n">
        <x:f>'Margin Waterfall'!E$19</x:f>
        <x:v>34026.68400000001</x:v>
      </x:c>
    </x:row>
    <x:row r="20">
      <x:c r="A20" t="str">
        <x:v>Key Account</x:v>
      </x:c>
      <x:c r="B20" s="181" t="n">
        <x:f>'Margin Waterfall'!F$13</x:f>
        <x:v>14300</x:v>
      </x:c>
      <x:c r="C20" s="181" t="n">
        <x:f>'Margin Waterfall'!F$19</x:f>
        <x:v>18519.880499999985</x:v>
      </x:c>
    </x:row>
    <x:row r="21">
      <x:c r="A21" t="str">
        <x:v>Online</x:v>
      </x:c>
      <x:c r="B21" s="181" t="n">
        <x:f>'Margin Waterfall'!G$13</x:f>
        <x:v>40500</x:v>
      </x:c>
      <x:c r="C21" s="181" t="n">
        <x:f>'Margin Waterfall'!G$19</x:f>
        <x:v>42691.67999999999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Which customer, product, price, discount, mix, and cost actions protect contribution margin?</x:v>
      </x:c>
      <x:c r="C32" s="17" t="str"/>
      <x:c r="D32" s="17" t="str"/>
      <x:c r="E32" s="17" t="str"/>
      <x:c r="F32" s="17" t="str"/>
      <x:c r="G32" s="17" t="str"/>
      <x:c r="H32" s="183" t="str">
        <x:v>Decision owner</x:v>
      </x:c>
      <x:c r="I32" s="183" t="str"/>
      <x:c r="J32" s="183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83" t="str">
        <x:v>Finance / business owner</x:v>
      </x:c>
      <x:c r="I33" s="183" t="str"/>
      <x:c r="J33" s="183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83" t="str">
        <x:v>Finance leader</x:v>
      </x:c>
      <x:c r="I34" s="183" t="str"/>
      <x:c r="J34" s="183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83" t="str">
        <x:v>Model owner</x:v>
      </x:c>
      <x:c r="I35" s="183" t="str"/>
      <x:c r="J35" s="183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83" t="str">
        <x:v>Reviewer</x:v>
      </x:c>
      <x:c r="I36" s="183" t="str"/>
      <x:c r="J36" s="183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83" t="str">
        <x:v>Action owner</x:v>
      </x:c>
      <x:c r="I37" s="183" t="str"/>
      <x:c r="J37" s="183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d04790879ada41c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Pricing &amp; Margin Waterfall  |  One assertion per row — investigate every FAIL</x:v>
      </x:c>
      <x:c r="B2" s="6" t="str">
        <x:v>Pricing &amp; Margin Waterfall  |  One assertion per row — investigate every FAIL</x:v>
      </x:c>
      <x:c r="C2" s="6" t="str">
        <x:v>Pricing &amp; Margin Waterfall  |  One assertion per row — investigate every FAIL</x:v>
      </x:c>
      <x:c r="D2" s="6" t="str">
        <x:v>Pricing &amp; Margin Waterfall  |  One assertion per row — investigate every FAIL</x:v>
      </x:c>
      <x:c r="E2" s="6" t="str">
        <x:v>Pricing &amp; Margin Waterfall  |  One assertion per row — investigate every FAIL</x:v>
      </x:c>
      <x:c r="F2" s="6" t="str">
        <x:v>Pricing &amp; Margin Waterfall  |  One assertion per row — investigate every FAIL</x:v>
      </x:c>
      <x:c r="G2" s="6" t="str">
        <x:v>Pricing &amp; Margin Waterfall  |  One assertion per row — investigate every FAIL</x:v>
      </x:c>
      <x:c r="H2" s="6" t="str">
        <x:v>Pricing &amp; Margin Waterfall  |  One assertion per row — investigate every FAIL</x:v>
      </x:c>
      <x:c r="I2" s="6" t="str">
        <x:v>Pricing &amp; Margin Waterfall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85" t="str">
        <x:f>IF(COUNTIF(G8:G16,"FAIL")=0,"PASS","FAIL")</x:f>
        <x:v>PASS</x:v>
      </x:c>
      <x:c r="C5" s="185"/>
      <x:c r="D5" s="187" t="str">
        <x:v>Published controls: 9. PASS means the listed calculations tie within tolerance; source and decision readiness remain separate.</x:v>
      </x:c>
      <x:c r="E5" s="187" t="str">
        <x:v>Published controls: 9. PASS means the listed calculations tie within tolerance; source and decision readiness remain separate.</x:v>
      </x:c>
      <x:c r="F5" s="187" t="str">
        <x:v>Published controls: 9. PASS means the listed calculations tie within tolerance; source and decision readiness remain separate.</x:v>
      </x:c>
      <x:c r="G5" s="187" t="str">
        <x:v>Published controls: 9. PASS means the listed calculations tie within tolerance; source and decision readiness remain separate.</x:v>
      </x:c>
      <x:c r="H5" s="187" t="str">
        <x:v>Published controls: 9. PASS means the listed calculations tie within tolerance; source and decision readiness remain separate.</x:v>
      </x:c>
      <x:c r="I5" s="187" t="str">
        <x:v>Published controls: 9.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196" t="str">
        <x:v>Gross-to-net waterfall ties</x:v>
      </x:c>
      <x:c r="B8" s="196" t="str">
        <x:v>Model</x:v>
      </x:c>
      <x:c r="C8" s="197" t="n">
        <x:f>SUM('Margin Waterfall'!B21:G21)</x:f>
        <x:v>0</x:v>
      </x:c>
      <x:c r="D8" s="197" t="n">
        <x:v>0</x:v>
      </x:c>
      <x:c r="E8" s="197" t="n">
        <x:f>C8-D8</x:f>
        <x:v>0</x:v>
      </x:c>
      <x:c r="F8" s="197" t="n">
        <x:v>0.01</x:v>
      </x:c>
      <x:c r="G8" s="198" t="str">
        <x:f>IF(ABS(E8)&lt;=F8,"PASS","FAIL")</x:f>
        <x:v>PASS</x:v>
      </x:c>
      <x:c r="H8" s="199" t="str">
        <x:v>Margin Waterfall — net revenue</x:v>
      </x:c>
      <x:c r="I8" s="199" t="str">
        <x:v>Gross sales less discount and rebate equals net revenue.</x:v>
      </x:c>
    </x:row>
    <x:row r="9">
      <x:c r="A9" s="200" t="str">
        <x:v>Discount plus rebate stays below 100%</x:v>
      </x:c>
      <x:c r="B9" s="200" t="str">
        <x:v>Model</x:v>
      </x:c>
      <x:c r="C9" s="201" t="n">
        <x:f>MAX(0,MAX('Product Customer'!B$8+'Product Customer'!B$9,'Product Customer'!C$8+'Product Customer'!C$9,'Product Customer'!D$8+'Product Customer'!D$9,'Product Customer'!E$8+'Product Customer'!E$9,'Product Customer'!F$8+'Product Customer'!F$9,'Product Customer'!G$8+'Product Customer'!G$9)-1)</x:f>
        <x:v>0</x:v>
      </x:c>
      <x:c r="D9" s="201" t="n">
        <x:v>0</x:v>
      </x:c>
      <x:c r="E9" s="201" t="n">
        <x:f>C9-D9</x:f>
        <x:v>0</x:v>
      </x:c>
      <x:c r="F9" s="201" t="n">
        <x:v>0.0001</x:v>
      </x:c>
      <x:c r="G9" s="202" t="str">
        <x:f>IF(ABS(E9)&lt;=F9,"PASS","FAIL")</x:f>
        <x:v>PASS</x:v>
      </x:c>
      <x:c r="H9" s="203" t="str">
        <x:v>Product Customer — discounts</x:v>
      </x:c>
      <x:c r="I9" s="203" t="str">
        <x:v>Total price leakage must stay below list price.</x:v>
      </x:c>
    </x:row>
    <x:row r="10">
      <x:c r="A10" s="200" t="str">
        <x:v>Modeled units are non-negative</x:v>
      </x:c>
      <x:c r="B10" s="200" t="str">
        <x:v>Model</x:v>
      </x:c>
      <x:c r="C10" s="204" t="n">
        <x:f>MAX(0,-MIN('Margin Waterfall'!B16:G16))</x:f>
        <x:v>0</x:v>
      </x:c>
      <x:c r="D10" s="204" t="n">
        <x:v>0</x:v>
      </x:c>
      <x:c r="E10" s="204" t="n">
        <x:f>C10-D10</x:f>
        <x:v>0</x:v>
      </x:c>
      <x:c r="F10" s="204" t="n">
        <x:v>0.01</x:v>
      </x:c>
      <x:c r="G10" s="202" t="str">
        <x:f>IF(ABS(E10)&lt;=F10,"PASS","FAIL")</x:f>
        <x:v>PASS</x:v>
      </x:c>
      <x:c r="H10" s="203" t="str">
        <x:v>Margin Waterfall — elasticity</x:v>
      </x:c>
      <x:c r="I10" s="203" t="str">
        <x:v>Elasticity cannot create negative units.</x:v>
      </x:c>
    </x:row>
    <x:row r="11">
      <x:c r="A11" s="200" t="str">
        <x:v>Contribution uplift ties proposed less current</x:v>
      </x:c>
      <x:c r="B11" s="200" t="str">
        <x:v>Model</x:v>
      </x:c>
      <x:c r="C11" s="205" t="n">
        <x:f>SUM('Margin Waterfall'!B20:G20)-(SUM('Margin Waterfall'!B19:G19)-SUM('Margin Waterfall'!B13:G13))</x:f>
        <x:v>7.275957614183426e-12</x:v>
      </x:c>
      <x:c r="D11" s="205" t="n">
        <x:v>0</x:v>
      </x:c>
      <x:c r="E11" s="205" t="n">
        <x:f>C11-D11</x:f>
        <x:v>7.275957614183426e-12</x:v>
      </x:c>
      <x:c r="F11" s="205" t="n">
        <x:v>0.01</x:v>
      </x:c>
      <x:c r="G11" s="202" t="str">
        <x:f>IF(ABS(E11)&lt;=F11,"PASS","FAIL")</x:f>
        <x:v>PASS</x:v>
      </x:c>
      <x:c r="H11" s="203" t="str">
        <x:v>Margin Waterfall — uplift</x:v>
      </x:c>
      <x:c r="I11" s="203" t="str">
        <x:v>Proposed less current contribution equals uplift.</x:v>
      </x:c>
    </x:row>
    <x:row r="12">
      <x:c r="A12" s="200" t="str">
        <x:v>Scenario selector is valid</x:v>
      </x:c>
      <x:c r="B12" s="200" t="str">
        <x:v>Current</x:v>
      </x:c>
      <x:c r="C12" s="204" t="n">
        <x:f>COUNTIF('Assumptions'!$C$5:$E$5,'Assumptions'!$B$3)</x:f>
        <x:v>1</x:v>
      </x:c>
      <x:c r="D12" s="204" t="n">
        <x:v>1</x:v>
      </x:c>
      <x:c r="E12" s="204" t="n">
        <x:f>C12-D12</x:f>
        <x:v>0</x:v>
      </x:c>
      <x:c r="F12" s="204" t="n">
        <x:v>0</x:v>
      </x:c>
      <x:c r="G12" s="202" t="str">
        <x:f>IF(ABS(E12)&lt;=F12,"PASS","FAIL")</x:f>
        <x:v>PASS</x:v>
      </x:c>
      <x:c r="H12" s="203" t="str">
        <x:v>Assumptions B3</x:v>
      </x:c>
      <x:c r="I12" s="203" t="str">
        <x:v>Base, Upside, or Downside only.</x:v>
      </x:c>
    </x:row>
    <x:row r="13">
      <x:c r="A13" s="200" t="str">
        <x:v>Period headers are complete</x:v>
      </x:c>
      <x:c r="B13" s="200" t="str">
        <x:v>All periods</x:v>
      </x:c>
      <x:c r="C13" s="204" t="n">
        <x:f>COUNTA('Product Customer'!B5:G5)</x:f>
        <x:v>6</x:v>
      </x:c>
      <x:c r="D13" s="204" t="n">
        <x:v>6</x:v>
      </x:c>
      <x:c r="E13" s="204" t="n">
        <x:f>C13-D13</x:f>
        <x:v>0</x:v>
      </x:c>
      <x:c r="F13" s="204" t="n">
        <x:v>0</x:v>
      </x:c>
      <x:c r="G13" s="202" t="str">
        <x:f>IF(ABS(E13)&lt;=F13,"PASS","FAIL")</x:f>
        <x:v>PASS</x:v>
      </x:c>
      <x:c r="H13" s="203" t="str">
        <x:v>Product Customer row 5</x:v>
      </x:c>
      <x:c r="I13" s="203" t="str">
        <x:v>All modeled periods must have a visible header.</x:v>
      </x:c>
    </x:row>
    <x:row r="14">
      <x:c r="A14" s="200" t="str">
        <x:v>Source input grid is complete</x:v>
      </x:c>
      <x:c r="B14" s="200" t="str">
        <x:v>All periods</x:v>
      </x:c>
      <x:c r="C14" s="204" t="n">
        <x:f>COUNTA('Product Customer'!B6:G13)</x:f>
        <x:v>48</x:v>
      </x:c>
      <x:c r="D14" s="204" t="n">
        <x:v>48</x:v>
      </x:c>
      <x:c r="E14" s="204" t="n">
        <x:f>C14-D14</x:f>
        <x:v>0</x:v>
      </x:c>
      <x:c r="F14" s="204" t="n">
        <x:v>0</x:v>
      </x:c>
      <x:c r="G14" s="202" t="str">
        <x:f>IF(ABS(E14)&lt;=F14,"PASS","FAIL")</x:f>
        <x:v>PASS</x:v>
      </x:c>
      <x:c r="H14" s="203" t="str">
        <x:v>Product Customer</x:v>
      </x:c>
      <x:c r="I14" s="203" t="str">
        <x:v>Replace blanks with an approved value or an explicitly documented zero.</x:v>
      </x:c>
    </x:row>
    <x:row r="15">
      <x:c r="A15" s="200" t="str">
        <x:v>Selected assumptions are complete</x:v>
      </x:c>
      <x:c r="B15" s="200" t="str">
        <x:v>Current</x:v>
      </x:c>
      <x:c r="C15" s="204" t="n">
        <x:f>COUNT('Assumptions'!F6:F8)</x:f>
        <x:v>3</x:v>
      </x:c>
      <x:c r="D15" s="204" t="n">
        <x:v>3</x:v>
      </x:c>
      <x:c r="E15" s="204" t="n">
        <x:f>C15-D15</x:f>
        <x:v>0</x:v>
      </x:c>
      <x:c r="F15" s="204" t="n">
        <x:v>0</x:v>
      </x:c>
      <x:c r="G15" s="202" t="str">
        <x:f>IF(ABS(E15)&lt;=F15,"PASS","FAIL")</x:f>
        <x:v>PASS</x:v>
      </x:c>
      <x:c r="H15" s="203" t="str">
        <x:v>Assumptions column F</x:v>
      </x:c>
      <x:c r="I15" s="203" t="str">
        <x:v>Every scenario driver must resolve to a numeric selected value.</x:v>
      </x:c>
    </x:row>
    <x:row r="16">
      <x:c r="A16" s="206" t="str">
        <x:v>Core model cells calculate to numbers</x:v>
      </x:c>
      <x:c r="B16" s="206" t="str">
        <x:v>All periods</x:v>
      </x:c>
      <x:c r="C16" s="207" t="n">
        <x:f>COUNT('Margin Waterfall'!B6:G21)</x:f>
        <x:v>96</x:v>
      </x:c>
      <x:c r="D16" s="207" t="n">
        <x:v>96</x:v>
      </x:c>
      <x:c r="E16" s="207" t="n">
        <x:f>C16-D16</x:f>
        <x:v>0</x:v>
      </x:c>
      <x:c r="F16" s="207" t="n">
        <x:v>0</x:v>
      </x:c>
      <x:c r="G16" s="208" t="str">
        <x:f>IF(ABS(E16)&lt;=F16,"PASS","FAIL")</x:f>
        <x:v>PASS</x:v>
      </x:c>
      <x:c r="H16" s="209" t="str">
        <x:v>Margin Waterfall</x:v>
      </x:c>
      <x:c r="I16" s="209" t="str">
        <x:v>No blank or text output is permitted inside the calculation block.</x:v>
      </x:c>
    </x:row>
    <x:row r="18">
      <x:c r="A18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8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8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19">
      <x:c r="A19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19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19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0">
      <x:c r="A20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2">
      <x:c r="A22" s="53" t="str">
        <x:v>TDAT Model Library  |  Trust builds the brand. Insight builds the decision.</x:v>
      </x:c>
      <x:c r="B22" s="53" t="str">
        <x:v>TDAT Model Library  |  Trust builds the brand. Insight builds the decision.</x:v>
      </x:c>
      <x:c r="C22" s="53" t="str">
        <x:v>TDAT Model Library  |  Trust builds the brand. Insight builds the decision.</x:v>
      </x:c>
      <x:c r="D22" s="53" t="str">
        <x:v>TDAT Model Library  |  Trust builds the brand. Insight builds the decision.</x:v>
      </x:c>
      <x:c r="E22" s="53" t="str">
        <x:v>TDAT Model Library  |  Trust builds the brand. Insight builds the decision.</x:v>
      </x:c>
      <x:c r="F22" s="53" t="str">
        <x:v>TDAT Model Library  |  Trust builds the brand. Insight builds the decision.</x:v>
      </x:c>
      <x:c r="G22" s="53" t="str">
        <x:v>TDAT Model Library  |  Trust builds the brand. Insight builds the decision.</x:v>
      </x:c>
      <x:c r="H22" s="53" t="str">
        <x:v>TDAT Model Library  |  Trust builds the brand. Insight builds the decision.</x:v>
      </x:c>
      <x:c r="I22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18:I20"/>
    <x:mergeCell ref="A22:I22"/>
  </x:mergeCells>
  <x:conditionalFormatting sqref="G8:G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Pricing &amp; Margin Waterfall  |  Assumption register, release facts, and distribution controls</x:v>
      </x:c>
      <x:c r="B2" s="6" t="str">
        <x:v>Pricing &amp; Margin Waterfall  |  Assumption register, release facts, and distribution controls</x:v>
      </x:c>
      <x:c r="C2" s="6" t="str">
        <x:v>Pricing &amp; Margin Waterfall  |  Assumption register, release facts, and distribution controls</x:v>
      </x:c>
      <x:c r="D2" s="6" t="str">
        <x:v>Pricing &amp; Margin Waterfall  |  Assumption register, release facts, and distribution controls</x:v>
      </x:c>
      <x:c r="E2" s="6" t="str">
        <x:v>Pricing &amp; Margin Waterfall  |  Assumption register, release facts, and distribution controls</x:v>
      </x:c>
      <x:c r="F2" s="6" t="str">
        <x:v>Pricing &amp; Margin Waterfall  |  Assumption register, release facts, and distribution controls</x:v>
      </x:c>
      <x:c r="G2" s="6" t="str">
        <x:v>Pricing &amp; Margin Waterfall  |  Assumption register, release facts, and distribution controls</x:v>
      </x:c>
      <x:c r="H2" s="6" t="str">
        <x:v>Pricing &amp; Margin Waterfall  |  Assumption register, release facts, and distribution controls</x:v>
      </x:c>
      <x:c r="I2" s="6" t="str">
        <x:v>Pricing &amp; Margin Waterfall  |  Assumption register, release facts, and distribution controls</x:v>
      </x:c>
      <x:c r="J2" s="6" t="str">
        <x:v>Pricing &amp; Margin Waterfall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46" t="str">
        <x:v>Worked example</x:v>
      </x:c>
      <x:c r="B7" s="147" t="str">
        <x:v>Synthetic case values</x:v>
      </x:c>
      <x:c r="C7" s="147" t="str">
        <x:v>LCY thousands / units</x:v>
      </x:c>
      <x:c r="D7" s="147" t="str">
        <x:v>2026-07-13</x:v>
      </x:c>
      <x:c r="E7" s="147" t="str">
        <x:v>Illustrative</x:v>
      </x:c>
      <x:c r="F7" s="147" t="str">
        <x:v>TDAT model build</x:v>
      </x:c>
      <x:c r="G7" s="147" t="str">
        <x:v>SYN-001</x:v>
      </x:c>
      <x:c r="H7" s="147" t="str">
        <x:v>Illustrative</x:v>
      </x:c>
      <x:c r="I7" s="148" t="str">
        <x:v>Replace before use.</x:v>
      </x:c>
    </x:row>
    <x:row r="8">
      <x:c r="A8" s="149" t="str">
        <x:v>Scenario drivers</x:v>
      </x:c>
      <x:c r="B8" s="150" t="str">
        <x:v>Base / Upside / Downside</x:v>
      </x:c>
      <x:c r="C8" s="150" t="str">
        <x:v>Mixed</x:v>
      </x:c>
      <x:c r="D8" s="150" t="str">
        <x:v>Model horizon</x:v>
      </x:c>
      <x:c r="E8" s="150" t="str">
        <x:v>Assumption</x:v>
      </x:c>
      <x:c r="F8" s="150" t="str">
        <x:v>User / finance owner</x:v>
      </x:c>
      <x:c r="G8" s="150" t="str">
        <x:v>ASM-001</x:v>
      </x:c>
      <x:c r="H8" s="150" t="str">
        <x:v>Open</x:v>
      </x:c>
      <x:c r="I8" s="151" t="str">
        <x:v>Confirm rationale and owner.</x:v>
      </x:c>
    </x:row>
    <x:row r="9">
      <x:c r="A9" s="152" t="str">
        <x:v>Method</x:v>
      </x:c>
      <x:c r="B9" s="153" t="str">
        <x:v>Margin Waterfall</x:v>
      </x:c>
      <x:c r="C9" s="153" t="str">
        <x:v>Method</x:v>
      </x:c>
      <x:c r="D9" s="153" t="str">
        <x:v>Version 1.0.0</x:v>
      </x:c>
      <x:c r="E9" s="153" t="str">
        <x:v>Model method</x:v>
      </x:c>
      <x:c r="F9" s="153" t="str">
        <x:v>Model Guide</x:v>
      </x:c>
      <x:c r="G9" s="153" t="str">
        <x:v>MTH-001</x:v>
      </x:c>
      <x:c r="H9" s="153" t="str">
        <x:v>Template</x:v>
      </x:c>
      <x:c r="I9" s="154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210" t="str">
        <x:v>Owner</x:v>
      </x:c>
      <x:c r="B12" s="147" t="str">
        <x:v>Truong Dinh Anh Tu</x:v>
      </x:c>
      <x:c r="C12" s="212" t="str">
        <x:v>Version</x:v>
      </x:c>
      <x:c r="D12" s="147" t="str">
        <x:v>1.0.0</x:v>
      </x:c>
      <x:c r="E12" s="212" t="str">
        <x:v>Standard</x:v>
      </x:c>
      <x:c r="F12" s="147" t="str">
        <x:v>TDAT Model Standard 1.0</x:v>
      </x:c>
      <x:c r="G12" s="212" t="str">
        <x:v>Last QA</x:v>
      </x:c>
      <x:c r="H12" s="147" t="str">
        <x:v>2026-07-13</x:v>
      </x:c>
      <x:c r="I12" s="212" t="str">
        <x:v>Status</x:v>
      </x:c>
      <x:c r="J12" s="148" t="str">
        <x:v>Available after release gates</x:v>
      </x:c>
    </x:row>
    <x:row r="13">
      <x:c r="A13" s="211" t="str">
        <x:v>Compatibility</x:v>
      </x:c>
      <x:c r="B13" s="153" t="str">
        <x:v>Excel 365</x:v>
      </x:c>
      <x:c r="C13" s="213" t="str">
        <x:v>Macros</x:v>
      </x:c>
      <x:c r="D13" s="153" t="str">
        <x:v>None</x:v>
      </x:c>
      <x:c r="E13" s="213" t="str">
        <x:v>External links</x:v>
      </x:c>
      <x:c r="F13" s="153" t="str">
        <x:v>None</x:v>
      </x:c>
      <x:c r="G13" s="213" t="str">
        <x:v>Circularity</x:v>
      </x:c>
      <x:c r="H13" s="153" t="str">
        <x:v>None</x:v>
      </x:c>
      <x:c r="I13" s="213" t="str">
        <x:v>Evidence</x:v>
      </x:c>
      <x:c r="J13" s="154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17" t="str">
        <x:v>1.0.0</x:v>
      </x:c>
      <x:c r="B17" s="218" t="str">
        <x:v>2026-07-13</x:v>
      </x:c>
      <x:c r="C17" s="218" t="str">
        <x:v>All</x:v>
      </x:c>
      <x:c r="D17" s="218" t="str">
        <x:v>Initial public reusable template</x:v>
      </x:c>
      <x:c r="E17" s="218" t="str">
        <x:v>New model release</x:v>
      </x:c>
      <x:c r="F17" s="218" t="str">
        <x:v>None</x:v>
      </x:c>
      <x:c r="G17" s="218" t="str">
        <x:v>Truong Dinh Anh Tu</x:v>
      </x:c>
      <x:c r="H17" s="218" t="str">
        <x:v>TDAT QA review</x:v>
      </x:c>
      <x:c r="I17" s="219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Validate sources, assumptions, formulas, methods, policies, and suitability before real-world use. Provided without warranty.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