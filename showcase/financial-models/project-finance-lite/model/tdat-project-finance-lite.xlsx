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958fc7910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1cc5e786da94ca0"/>
    <x:sheet xmlns:r="http://schemas.openxmlformats.org/officeDocument/2006/relationships" name="Inputs" sheetId="2" r:id="R4b10dfd64624411b"/>
    <x:sheet xmlns:r="http://schemas.openxmlformats.org/officeDocument/2006/relationships" name="Model" sheetId="3" r:id="Rc5ad694d147847ad"/>
    <x:sheet xmlns:r="http://schemas.openxmlformats.org/officeDocument/2006/relationships" name="Results" sheetId="4" r:id="R6f7dc4da63a64a1e"/>
    <x:sheet xmlns:r="http://schemas.openxmlformats.org/officeDocument/2006/relationships" name="Checks" sheetId="5" r:id="R10def984e312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#,##0;[Red](#,##0);-"/>
    <x:numFmt numFmtId="203" formatCode="0.0x;[Red](0.0x);-"/>
    <x:numFmt numFmtId="204" formatCode="0.00;[Red](0.00);-"/>
  </x:numFmts>
  <x:fonts count="13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203" fontId="4" fillId="8" borderId="8" xfId="0" applyNumberFormat="1" applyFont="1" applyFill="1" applyBorder="1" applyAlignment="1">
      <x:alignment vertical="center"/>
    </x:xf>
    <x:xf numFmtId="203" fontId="4" fillId="8" borderId="8" xfId="0" applyNumberFormat="1" applyFont="1" applyFill="1" applyBorder="1" applyAlignment="1">
      <x:alignment horizontal="right" vertical="center"/>
    </x:xf>
    <x:xf numFmtId="203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0" fontId="3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5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vertical="center"/>
    </x:xf>
    <x:xf numFmtId="203" fontId="9" fillId="8" borderId="3" xfId="0" applyNumberFormat="1" applyFont="1" applyFill="1" applyBorder="1" applyAlignment="1">
      <x:alignment vertical="center"/>
    </x:xf>
    <x:xf numFmtId="203" fontId="9" fillId="8" borderId="18" xfId="0" applyNumberFormat="1" applyFont="1" applyFill="1" applyBorder="1" applyAlignment="1">
      <x:alignment vertical="center"/>
    </x:xf>
    <x:xf numFmtId="203" fontId="9" fillId="8" borderId="19" xfId="0" applyNumberFormat="1" applyFont="1" applyFill="1" applyBorder="1" applyAlignment="1">
      <x:alignment vertical="center"/>
    </x:xf>
    <x:xf numFmtId="203" fontId="9" fillId="8" borderId="4" xfId="0" applyNumberFormat="1" applyFont="1" applyFill="1" applyBorder="1" applyAlignment="1">
      <x:alignment vertical="center"/>
    </x:xf>
    <x:xf numFmtId="203" fontId="9" fillId="8" borderId="6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horizontal="center" vertical="center"/>
    </x:xf>
    <x:xf numFmtId="203" fontId="9" fillId="8" borderId="3" xfId="0" applyNumberFormat="1" applyFont="1" applyFill="1" applyBorder="1" applyAlignment="1">
      <x:alignment horizontal="center" vertical="center"/>
    </x:xf>
    <x:xf numFmtId="203" fontId="9" fillId="8" borderId="18" xfId="0" applyNumberFormat="1" applyFont="1" applyFill="1" applyBorder="1" applyAlignment="1">
      <x:alignment horizontal="center" vertical="center"/>
    </x:xf>
    <x:xf numFmtId="203" fontId="9" fillId="8" borderId="19" xfId="0" applyNumberFormat="1" applyFont="1" applyFill="1" applyBorder="1" applyAlignment="1">
      <x:alignment horizontal="center" vertical="center"/>
    </x:xf>
    <x:xf numFmtId="203" fontId="9" fillId="8" borderId="4" xfId="0" applyNumberFormat="1" applyFont="1" applyFill="1" applyBorder="1" applyAlignment="1">
      <x:alignment horizontal="center" vertical="center"/>
    </x:xf>
    <x:xf numFmtId="203" fontId="9" fillId="8" borderId="6" xfId="0" applyNumberFormat="1" applyFont="1" applyFill="1" applyBorder="1" applyAlignment="1">
      <x:alignment horizontal="center"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8" borderId="18" xfId="0" applyNumberFormat="1" applyFont="1" applyFill="1" applyBorder="1" applyAlignment="1">
      <x:alignment vertical="center"/>
    </x:xf>
    <x:xf numFmtId="201" fontId="9" fillId="8" borderId="19" xfId="0" applyNumberFormat="1" applyFont="1" applyFill="1" applyBorder="1" applyAlignment="1">
      <x:alignment vertical="center"/>
    </x:xf>
    <x:xf numFmtId="201" fontId="9" fillId="8" borderId="4" xfId="0" applyNumberFormat="1" applyFont="1" applyFill="1" applyBorder="1" applyAlignment="1">
      <x:alignment vertical="center"/>
    </x:xf>
    <x:xf numFmtId="201" fontId="9" fillId="8" borderId="6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18" xfId="0" applyNumberFormat="1" applyFont="1" applyFill="1" applyBorder="1" applyAlignment="1">
      <x:alignment horizontal="center" vertical="center"/>
    </x:xf>
    <x:xf numFmtId="201" fontId="9" fillId="8" borderId="19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201" fontId="9" fillId="8" borderId="6" xfId="0" applyNumberFormat="1" applyFont="1" applyFill="1" applyBorder="1" applyAlignment="1">
      <x:alignment horizontal="center"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18" xfId="0" applyNumberFormat="1" applyFont="1" applyFill="1" applyBorder="1" applyAlignment="1">
      <x:alignment vertical="center"/>
    </x:xf>
    <x:xf numFmtId="200" fontId="9" fillId="8" borderId="19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18" xfId="0" applyNumberFormat="1" applyFont="1" applyFill="1" applyBorder="1" applyAlignment="1">
      <x:alignment horizontal="center" vertical="center"/>
    </x:xf>
    <x:xf numFmtId="200" fontId="9" fillId="8" borderId="19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/>
    </x:xf>
    <x:xf numFmtId="0" fontId="9" fillId="5" borderId="21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10" fillId="8" borderId="29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/>
    </x:xf>
    <x:xf numFmtId="0" fontId="11" fillId="9" borderId="29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9" xfId="0" applyNumberFormat="1" applyFont="1" applyFill="1" applyBorder="1" applyAlignment="1">
      <x:alignment vertical="center" wrapText="1"/>
    </x:xf>
    <x:xf numFmtId="0" fontId="11" fillId="9" borderId="28" xfId="0" applyNumberFormat="1" applyFont="1" applyFill="1" applyBorder="1" applyAlignment="1">
      <x:alignment horizontal="center" vertical="center" wrapText="1"/>
    </x:xf>
    <x:xf numFmtId="0" fontId="11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9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9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6d888fcc142fc" /><Relationship Type="http://schemas.openxmlformats.org/officeDocument/2006/relationships/theme" Target="/xl/theme/theme1.xml" Id="R70ddf1d534694d2e" /><Relationship Type="http://schemas.openxmlformats.org/officeDocument/2006/relationships/sharedStrings" Target="/xl/sharedStrings.xml" Id="R6de4ea2cd0b744be" /><Relationship Type="http://schemas.openxmlformats.org/officeDocument/2006/relationships/worksheet" Target="/xl/worksheets/sheet1.xml" Id="R91cc5e786da94ca0" /><Relationship Type="http://schemas.openxmlformats.org/officeDocument/2006/relationships/worksheet" Target="/xl/worksheets/sheet2.xml" Id="R4b10dfd64624411b" /><Relationship Type="http://schemas.openxmlformats.org/officeDocument/2006/relationships/worksheet" Target="/xl/worksheets/sheet3.xml" Id="Rc5ad694d147847ad" /><Relationship Type="http://schemas.openxmlformats.org/officeDocument/2006/relationships/worksheet" Target="/xl/worksheets/sheet4.xml" Id="R6f7dc4da63a64a1e" /><Relationship Type="http://schemas.openxmlformats.org/officeDocument/2006/relationships/worksheet" Target="/xl/worksheets/sheet5.xml" Id="R10def984e312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TDAT-FM-PF-001 · Funding at Year 0 plus five operating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47" t="str">
        <x:v>Project Finance Lite</x:v>
      </x:c>
      <x:c r="B5" s="248"/>
      <x:c r="C5" s="248"/>
      <x:c r="D5" s="248"/>
      <x:c r="E5" s="248"/>
      <x:c r="F5" s="249"/>
      <x:c r="G5" s="63" t="str">
        <x:v>MODEL STATUS</x:v>
      </x:c>
      <x:c r="H5" s="63"/>
    </x:row>
    <x:row r="6" ht="20" customHeight="1">
      <x:c r="A6" s="250"/>
      <x:c r="B6" s="251"/>
      <x:c r="C6" s="251"/>
      <x:c r="D6" s="251"/>
      <x:c r="E6" s="251"/>
      <x:c r="F6" s="252"/>
      <x:c r="G6" s="260" t="str">
        <x:f>'Checks'!B4</x:f>
        <x:v>PASS</x:v>
      </x:c>
      <x:c r="H6" s="261"/>
    </x:row>
    <x:row r="7" ht="20" customHeight="1">
      <x:c r="A7" s="253"/>
      <x:c r="B7" s="254"/>
      <x:c r="C7" s="254"/>
      <x:c r="D7" s="254"/>
      <x:c r="E7" s="254"/>
      <x:c r="F7" s="255"/>
      <x:c r="G7" s="262"/>
      <x:c r="H7" s="263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4" t="str">
        <x:v>WHAT THIS MODEL IS FOR</x:v>
      </x:c>
      <x:c r="B9" s="64"/>
      <x:c r="C9" s="64"/>
      <x:c r="D9" s="64"/>
      <x:c r="E9" s="64"/>
      <x:c r="F9" s="64"/>
      <x:c r="G9" s="64"/>
      <x:c r="H9" s="64"/>
    </x:row>
    <x:row r="10" ht="20" customHeight="1">
      <x:c r="A10" s="197" t="str">
        <x:v>Can the project fund construction, service debt, and deliver acceptable project and equity returns?</x:v>
      </x:c>
      <x:c r="B10" s="198"/>
      <x:c r="C10" s="198"/>
      <x:c r="D10" s="198"/>
      <x:c r="E10" s="198"/>
      <x:c r="F10" s="198"/>
      <x:c r="G10" s="198"/>
      <x:c r="H10" s="199"/>
    </x:row>
    <x:row r="11" ht="20" customHeight="1">
      <x:c r="A11" s="200"/>
      <x:c r="B11" s="201"/>
      <x:c r="C11" s="201"/>
      <x:c r="D11" s="201"/>
      <x:c r="E11" s="201"/>
      <x:c r="F11" s="201"/>
      <x:c r="G11" s="201"/>
      <x:c r="H11" s="202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USE IT IN FOUR STEPS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66" t="str">
        <x:v>1 · INPUTS</x:v>
      </x:c>
      <x:c r="B14" s="267"/>
      <x:c r="C14" s="266" t="str">
        <x:v>2 · MODEL</x:v>
      </x:c>
      <x:c r="D14" s="267"/>
      <x:c r="E14" s="266" t="str">
        <x:v>3 · RESULTS</x:v>
      </x:c>
      <x:c r="F14" s="267"/>
      <x:c r="G14" s="266" t="str">
        <x:v>4 · CHECKS</x:v>
      </x:c>
      <x:c r="H14" s="267"/>
    </x:row>
    <x:row r="15" ht="20" customHeight="1">
      <x:c r="A15" s="268" t="str">
        <x:v>Edit only blue cells</x:v>
      </x:c>
      <x:c r="B15" s="269"/>
      <x:c r="C15" s="268" t="str">
        <x:v>Trace schedules and formulas</x:v>
      </x:c>
      <x:c r="D15" s="269"/>
      <x:c r="E15" s="268" t="str">
        <x:v>Read the linked decision view</x:v>
      </x:c>
      <x:c r="F15" s="269"/>
      <x:c r="G15" s="268" t="str">
        <x:v>Resolve every FAIL</x:v>
      </x:c>
      <x:c r="H15" s="269"/>
    </x:row>
    <x:row r="16" ht="20" customHeight="1">
      <x:c r="A16" s="270"/>
      <x:c r="B16" s="271"/>
      <x:c r="C16" s="270"/>
      <x:c r="D16" s="271"/>
      <x:c r="E16" s="270"/>
      <x:c r="F16" s="271"/>
      <x:c r="G16" s="270"/>
      <x:c r="H16" s="271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4" t="str">
        <x:v>DEPTH WITHOUT EXTRA TABS</x:v>
      </x:c>
      <x:c r="B18" s="64"/>
      <x:c r="C18" s="64"/>
      <x:c r="D18" s="64"/>
      <x:c r="E18" s="64"/>
      <x:c r="F18" s="64"/>
      <x:c r="G18" s="64"/>
      <x:c r="H18" s="64"/>
    </x:row>
    <x:row r="19" ht="20" customHeight="1">
      <x:c r="A19" s="177" t="str">
        <x:v>Forecast</x:v>
      </x:c>
      <x:c r="B19" s="177"/>
      <x:c r="C19" s="74" t="str">
        <x:v>Funding at Year 0 plus five operating years</x:v>
      </x:c>
      <x:c r="D19" s="74"/>
      <x:c r="E19" s="74"/>
      <x:c r="F19" s="74"/>
      <x:c r="G19" s="74"/>
      <x:c r="H19" s="74"/>
    </x:row>
    <x:row r="20" ht="20" customHeight="1">
      <x:c r="A20" s="177" t="str">
        <x:v>Editable inputs</x:v>
      </x:c>
      <x:c r="B20" s="177"/>
      <x:c r="C20" s="74" t="str">
        <x:v>11</x:v>
      </x:c>
      <x:c r="D20" s="74"/>
      <x:c r="E20" s="74"/>
      <x:c r="F20" s="74"/>
      <x:c r="G20" s="74"/>
      <x:c r="H20" s="74"/>
    </x:row>
    <x:row r="21" ht="20" customHeight="1">
      <x:c r="A21" s="177" t="str">
        <x:v>Visible sheets</x:v>
      </x:c>
      <x:c r="B21" s="177"/>
      <x:c r="C21" s="74" t="str">
        <x:v>5</x:v>
      </x:c>
      <x:c r="D21" s="74"/>
      <x:c r="E21" s="74"/>
      <x:c r="F21" s="74"/>
      <x:c r="G21" s="74"/>
      <x:c r="H21" s="74"/>
    </x:row>
    <x:row r="22" ht="20" customHeight="1">
      <x:c r="A22" s="177" t="str">
        <x:v>Setup</x:v>
      </x:c>
      <x:c r="B22" s="177"/>
      <x:c r="C22" s="74" t="str">
        <x:v>15–20 minutes</x:v>
      </x:c>
      <x:c r="D22" s="74"/>
      <x:c r="E22" s="74"/>
      <x:c r="F22" s="74"/>
      <x:c r="G22" s="74"/>
      <x:c r="H22" s="74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4" t="str">
        <x:v>FIT &amp; SCOPE</x:v>
      </x:c>
      <x:c r="B24" s="64"/>
      <x:c r="C24" s="64"/>
      <x:c r="D24" s="64"/>
      <x:c r="E24" s="64"/>
      <x:c r="F24" s="64"/>
      <x:c r="G24" s="64"/>
      <x:c r="H24" s="64"/>
    </x:row>
    <x:row r="25" ht="20" customHeight="1">
      <x:c r="A25" s="211" t="str">
        <x:v>Included: Construction funding and debt / equity sources bridge · Five-year operating cash flow and level debt-service schedule · Project IRR, equity IRR, DSCR, and debt paydown</x:v>
      </x:c>
      <x:c r="B25" s="212"/>
      <x:c r="C25" s="212"/>
      <x:c r="D25" s="212"/>
      <x:c r="E25" s="212"/>
      <x:c r="F25" s="212"/>
      <x:c r="G25" s="212"/>
      <x:c r="H25" s="213"/>
    </x:row>
    <x:row r="26" ht="20" customHeight="1">
      <x:c r="A26" s="217"/>
      <x:c r="B26" s="218"/>
      <x:c r="C26" s="218"/>
      <x:c r="D26" s="218"/>
      <x:c r="E26" s="218"/>
      <x:c r="F26" s="218"/>
      <x:c r="G26" s="218"/>
      <x:c r="H26" s="219"/>
    </x:row>
    <x:row r="27" ht="20" customHeight="1">
      <x:c r="A27" s="278" t="str">
        <x:v>Scope boundary: Construction-interest circularity, DSRA, detailed tax losses, contractual waterfalls, lender terms, and a bankability opinion.</x:v>
      </x:c>
      <x:c r="B27" s="279"/>
      <x:c r="C27" s="279"/>
      <x:c r="D27" s="279"/>
      <x:c r="E27" s="279"/>
      <x:c r="F27" s="279"/>
      <x:c r="G27" s="279"/>
      <x:c r="H27" s="280"/>
    </x:row>
    <x:row r="28" ht="20" customHeight="1">
      <x:c r="A28" s="281"/>
      <x:c r="B28" s="282"/>
      <x:c r="C28" s="282"/>
      <x:c r="D28" s="282"/>
      <x:c r="E28" s="282"/>
      <x:c r="F28" s="282"/>
      <x:c r="G28" s="282"/>
      <x:c r="H28" s="283"/>
    </x:row>
    <x:row r="29" ht="20" customHeight="1">
      <x:c r="A29" s="285" t="str">
        <x:v>Synthetic demonstration only · Tested 2026-08-17 · Excel 365 · Macro-free · No external links</x:v>
      </x:c>
      <x:c r="B29" s="285"/>
      <x:c r="C29" s="285"/>
      <x:c r="D29" s="285"/>
      <x:c r="E29" s="285"/>
      <x:c r="F29" s="285"/>
      <x:c r="G29" s="285"/>
      <x:c r="H29" s="28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Project Finance Lite · Start → Inputs → Model → Results → Checks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Project Finance Lite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Initial project capex</x:v>
      </x:c>
      <x:c r="B10" s="39" t="n">
        <x:v>300</x:v>
      </x:c>
      <x:c r="C10" s="3" t="str">
        <x:v>LCY m</x:v>
      </x:c>
      <x:c r="D10" s="37" t="str">
        <x:v>Total Year-0 construction funding need</x:v>
      </x:c>
      <x:c r="E10" s="38"/>
      <x:c r="F10" s="38"/>
      <x:c r="G10" s="38"/>
      <x:c r="H10" s="38"/>
    </x:row>
    <x:row r="11" ht="20" customHeight="1">
      <x:c r="A11" s="3" t="str">
        <x:v>Debt funding share</x:v>
      </x:c>
      <x:c r="B11" s="42" t="n">
        <x:v>0.65</x:v>
      </x:c>
      <x:c r="C11" s="3" t="str">
        <x:v>%</x:v>
      </x:c>
      <x:c r="D11" s="37" t="str">
        <x:v>Debt as a share of initial capex</x:v>
      </x:c>
      <x:c r="E11" s="38"/>
      <x:c r="F11" s="38"/>
      <x:c r="G11" s="38"/>
      <x:c r="H11" s="38"/>
    </x:row>
    <x:row r="12" ht="20" customHeight="1">
      <x:c r="A12" s="3" t="str">
        <x:v>Debt interest rate</x:v>
      </x:c>
      <x:c r="B12" s="42" t="n">
        <x:v>0.075</x:v>
      </x:c>
      <x:c r="C12" s="3" t="str">
        <x:v>%</x:v>
      </x:c>
      <x:c r="D12" s="37" t="str">
        <x:v>Annual cash rate on opening debt</x:v>
      </x:c>
      <x:c r="E12" s="38"/>
      <x:c r="F12" s="38"/>
      <x:c r="G12" s="38"/>
      <x:c r="H12" s="38"/>
    </x:row>
    <x:row r="13" ht="20" customHeight="1">
      <x:c r="A13" s="3" t="str">
        <x:v>Debt tenor</x:v>
      </x:c>
      <x:c r="B13" s="45" t="n">
        <x:v>5</x:v>
      </x:c>
      <x:c r="C13" s="3" t="str">
        <x:v>years</x:v>
      </x:c>
      <x:c r="D13" s="37" t="str">
        <x:v>Level debt service over one to five years</x:v>
      </x:c>
      <x:c r="E13" s="38"/>
      <x:c r="F13" s="38"/>
      <x:c r="G13" s="38"/>
      <x:c r="H13" s="38"/>
    </x:row>
    <x:row r="14" ht="20" customHeight="1">
      <x:c r="A14" s="3" t="str">
        <x:v>Year-1 revenue</x:v>
      </x:c>
      <x:c r="B14" s="39" t="n">
        <x:v>210</x:v>
      </x:c>
      <x:c r="C14" s="3" t="str">
        <x:v>LCY m</x:v>
      </x:c>
      <x:c r="D14" s="37" t="str">
        <x:v>First full operating-year revenue</x:v>
      </x:c>
      <x:c r="E14" s="38"/>
      <x:c r="F14" s="38"/>
      <x:c r="G14" s="38"/>
      <x:c r="H14" s="38"/>
    </x:row>
    <x:row r="15" ht="20" customHeight="1">
      <x:c r="A15" s="3" t="str">
        <x:v>Annual revenue growth</x:v>
      </x:c>
      <x:c r="B15" s="42" t="n">
        <x:v>0.04</x:v>
      </x:c>
      <x:c r="C15" s="3" t="str">
        <x:v>%</x:v>
      </x:c>
      <x:c r="D15" s="37" t="str">
        <x:v>Applied from Year 2 onward</x:v>
      </x:c>
      <x:c r="E15" s="38"/>
      <x:c r="F15" s="38"/>
      <x:c r="G15" s="38"/>
      <x:c r="H15" s="38"/>
    </x:row>
    <x:row r="16" ht="20" customHeight="1">
      <x:c r="A16" s="3" t="str">
        <x:v>Year-1 operating cost</x:v>
      </x:c>
      <x:c r="B16" s="39" t="n">
        <x:v>70</x:v>
      </x:c>
      <x:c r="C16" s="3" t="str">
        <x:v>LCY m</x:v>
      </x:c>
      <x:c r="D16" s="37" t="str">
        <x:v>Cash operating cost before maintenance capex</x:v>
      </x:c>
      <x:c r="E16" s="38"/>
      <x:c r="F16" s="38"/>
      <x:c r="G16" s="38"/>
      <x:c r="H16" s="38"/>
    </x:row>
    <x:row r="17" ht="20" customHeight="1">
      <x:c r="A17" s="3" t="str">
        <x:v>Annual operating-cost growth</x:v>
      </x:c>
      <x:c r="B17" s="42" t="n">
        <x:v>0.03</x:v>
      </x:c>
      <x:c r="C17" s="3" t="str">
        <x:v>%</x:v>
      </x:c>
      <x:c r="D17" s="37" t="str">
        <x:v>Applied from Year 2 onward</x:v>
      </x:c>
      <x:c r="E17" s="38"/>
      <x:c r="F17" s="38"/>
      <x:c r="G17" s="38"/>
      <x:c r="H17" s="38"/>
    </x:row>
    <x:row r="18" ht="20" customHeight="1">
      <x:c r="A18" s="3" t="str">
        <x:v>Annual maintenance capex</x:v>
      </x:c>
      <x:c r="B18" s="39" t="n">
        <x:v>8</x:v>
      </x:c>
      <x:c r="C18" s="3" t="str">
        <x:v>LCY m</x:v>
      </x:c>
      <x:c r="D18" s="37" t="str">
        <x:v>Recurring sustaining investment</x:v>
      </x:c>
      <x:c r="E18" s="38"/>
      <x:c r="F18" s="38"/>
      <x:c r="G18" s="38"/>
      <x:c r="H18" s="38"/>
    </x:row>
    <x:row r="19" ht="20" customHeight="1">
      <x:c r="A19" s="3" t="str">
        <x:v>Cash tax rate</x:v>
      </x:c>
      <x:c r="B19" s="42" t="n">
        <x:v>0.2</x:v>
      </x:c>
      <x:c r="C19" s="3" t="str">
        <x:v>%</x:v>
      </x:c>
      <x:c r="D19" s="37" t="str">
        <x:v>Simplified tax on positive EBITDA</x:v>
      </x:c>
      <x:c r="E19" s="38"/>
      <x:c r="F19" s="38"/>
      <x:c r="G19" s="38"/>
      <x:c r="H19" s="38"/>
    </x:row>
    <x:row r="20" ht="20" customHeight="1">
      <x:c r="A20" s="3" t="str">
        <x:v>Target minimum DSCR</x:v>
      </x:c>
      <x:c r="B20" s="48" t="n">
        <x:v>1.3</x:v>
      </x:c>
      <x:c r="C20" s="3" t="str">
        <x:v>x</x:v>
      </x:c>
      <x:c r="D20" s="37" t="str">
        <x:v>Reference coverage threshold</x:v>
      </x:c>
      <x:c r="E20" s="38"/>
      <x:c r="F20" s="38"/>
      <x:c r="G20" s="38"/>
      <x:c r="H20" s="38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</x:row>
    <x:row r="22" ht="20" customHeight="1">
      <x:c r="A22" s="57" t="str">
        <x:v>Synthetic example. Replace only the blue values, trace the calculation on Model, then review Results and Checks.</x:v>
      </x:c>
      <x:c r="B22" s="58"/>
      <x:c r="C22" s="58"/>
      <x:c r="D22" s="58"/>
      <x:c r="E22" s="58"/>
      <x:c r="F22" s="58"/>
      <x:c r="G22" s="58"/>
      <x:c r="H22" s="59"/>
    </x:row>
    <x:row r="23" ht="20" customHeight="1">
      <x:c r="A23" s="60"/>
      <x:c r="B23" s="61"/>
      <x:c r="C23" s="61"/>
      <x:c r="D23" s="61"/>
      <x:c r="E23" s="61"/>
      <x:c r="F23" s="61"/>
      <x:c r="G23" s="61"/>
      <x:c r="H23" s="62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63" t="str">
        <x:v>Project Finance Lite · 11 editable assumptions · v1.4.0</x:v>
      </x:c>
      <x:c r="B27" s="63"/>
      <x:c r="C27" s="63"/>
      <x:c r="D27" s="63"/>
      <x:c r="E27" s="63"/>
      <x:c r="F27" s="63"/>
      <x:c r="G27" s="63"/>
      <x:c r="H27" s="63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A22:H23"/>
    <x:mergeCell ref="A27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Project Finance Lite · Funding, debt service, and returns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5" t="str">
        <x:v>MINIMUM DSCR</x:v>
      </x:c>
      <x:c r="B5" s="106"/>
      <x:c r="C5" s="105" t="str">
        <x:v>PROJECT IRR</x:v>
      </x:c>
      <x:c r="D5" s="106"/>
      <x:c r="E5" s="105" t="str">
        <x:v>EQUITY IRR</x:v>
      </x:c>
      <x:c r="F5" s="106"/>
      <x:c r="G5" s="105" t="str">
        <x:v>YEAR-5 DEBT</x:v>
      </x:c>
      <x:c r="H5" s="106"/>
    </x:row>
    <x:row r="6" ht="20" customHeight="1">
      <x:c r="A6" s="120" t="n">
        <x:f>B39</x:f>
        <x:v>2.157805281065841</x:v>
      </x:c>
      <x:c r="B6" s="121"/>
      <x:c r="C6" s="132" t="n">
        <x:f>B40</x:f>
        <x:v>0.2526623560400853</x:v>
      </x:c>
      <x:c r="D6" s="133"/>
      <x:c r="E6" s="132" t="n">
        <x:f>B41</x:f>
        <x:v>0.5188258495156979</x:v>
      </x:c>
      <x:c r="F6" s="133"/>
      <x:c r="G6" s="144" t="n">
        <x:f>B42</x:f>
        <x:v>3.552713678800501e-14</x:v>
      </x:c>
      <x:c r="H6" s="145"/>
    </x:row>
    <x:row r="7" ht="20" customHeight="1">
      <x:c r="A7" s="122"/>
      <x:c r="B7" s="123"/>
      <x:c r="C7" s="134"/>
      <x:c r="D7" s="135"/>
      <x:c r="E7" s="134"/>
      <x:c r="F7" s="135"/>
      <x:c r="G7" s="146"/>
      <x:c r="H7" s="147"/>
    </x:row>
    <x:row r="8" ht="20" customHeight="1">
      <x:c r="A8" s="124"/>
      <x:c r="B8" s="125"/>
      <x:c r="C8" s="136"/>
      <x:c r="D8" s="137"/>
      <x:c r="E8" s="136"/>
      <x:c r="F8" s="137"/>
      <x:c r="G8" s="148"/>
      <x:c r="H8" s="14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PROJECT CASH FLOW &amp; DEBT SCHEDULE</x:v>
      </x:c>
      <x:c r="B10" s="64"/>
      <x:c r="C10" s="64"/>
      <x:c r="D10" s="64"/>
      <x:c r="E10" s="64"/>
      <x:c r="F10" s="64"/>
      <x:c r="G10" s="64"/>
      <x:c r="H10" s="64"/>
    </x:row>
    <x:row r="11" ht="20" customHeight="1">
      <x:c r="A11" s="6" t="str">
        <x:v>Metric</x:v>
      </x:c>
      <x:c r="B11" s="65" t="str">
        <x:v>Y0 / FUNDING</x:v>
      </x:c>
      <x:c r="C11" s="65" t="str">
        <x:v>YEAR 1</x:v>
      </x:c>
      <x:c r="D11" s="65" t="str">
        <x:v>YEAR 2</x:v>
      </x:c>
      <x:c r="E11" s="65" t="str">
        <x:v>YEAR 3</x:v>
      </x:c>
      <x:c r="F11" s="65" t="str">
        <x:v>YEAR 4</x:v>
      </x:c>
      <x:c r="G11" s="65" t="str">
        <x:v>YEAR 5</x:v>
      </x:c>
      <x:c r="H11" s="6" t="str">
        <x:v>How to read it</x:v>
      </x:c>
    </x:row>
    <x:row r="12" ht="90" customHeight="1">
      <x:c r="A12" s="74" t="str">
        <x:v>Revenue</x:v>
      </x:c>
      <x:c r="B12" s="72" t="n">
        <x:f>0</x:f>
        <x:v>0</x:v>
      </x:c>
      <x:c r="C12" s="72" t="n">
        <x:f>'Inputs'!$B$14</x:f>
        <x:v>210</x:v>
      </x:c>
      <x:c r="D12" s="72" t="n">
        <x:f>C12*(1+'Inputs'!$B$15)</x:f>
        <x:v>218.4</x:v>
      </x:c>
      <x:c r="E12" s="72" t="n">
        <x:f>D12*(1+'Inputs'!$B$15)</x:f>
        <x:v>227.13600000000002</x:v>
      </x:c>
      <x:c r="F12" s="72" t="n">
        <x:f>E12*(1+'Inputs'!$B$15)</x:f>
        <x:v>236.22144000000003</x:v>
      </x:c>
      <x:c r="G12" s="72" t="n">
        <x:f>F12*(1+'Inputs'!$B$15)</x:f>
        <x:v>245.67029760000003</x:v>
      </x:c>
      <x:c r="H12" s="75" t="str">
        <x:v>Operations begin in Year 1; revenue then compounds at the selected growth rate.</x:v>
      </x:c>
    </x:row>
    <x:row r="13" ht="72" customHeight="1">
      <x:c r="A13" s="29" t="str">
        <x:v>Cash operating cost</x:v>
      </x:c>
      <x:c r="B13" s="79" t="n">
        <x:f>0</x:f>
        <x:v>0</x:v>
      </x:c>
      <x:c r="C13" s="79" t="n">
        <x:f>'Inputs'!$B$16</x:f>
        <x:v>70</x:v>
      </x:c>
      <x:c r="D13" s="79" t="n">
        <x:f>C13*(1+'Inputs'!$B$17)</x:f>
        <x:v>72.10000000000001</x:v>
      </x:c>
      <x:c r="E13" s="79" t="n">
        <x:f>D13*(1+'Inputs'!$B$17)</x:f>
        <x:v>74.263</x:v>
      </x:c>
      <x:c r="F13" s="79" t="n">
        <x:f>E13*(1+'Inputs'!$B$17)</x:f>
        <x:v>76.49089000000001</x:v>
      </x:c>
      <x:c r="G13" s="79" t="n">
        <x:f>F13*(1+'Inputs'!$B$17)</x:f>
        <x:v>78.7856167</x:v>
      </x:c>
      <x:c r="H13" s="73" t="str">
        <x:v>Positive cash cost; it grows independently from revenue.</x:v>
      </x:c>
    </x:row>
    <x:row r="14" ht="54" customHeight="1">
      <x:c r="A14" s="11" t="str">
        <x:v>Project EBITDA</x:v>
      </x:c>
      <x:c r="B14" s="80" t="n">
        <x:f>B12-B13</x:f>
        <x:v>0</x:v>
      </x:c>
      <x:c r="C14" s="80" t="n">
        <x:f>C12-C13</x:f>
        <x:v>140</x:v>
      </x:c>
      <x:c r="D14" s="80" t="n">
        <x:f>D12-D13</x:f>
        <x:v>146.3</x:v>
      </x:c>
      <x:c r="E14" s="80" t="n">
        <x:f>E12-E13</x:f>
        <x:v>152.87300000000002</x:v>
      </x:c>
      <x:c r="F14" s="80" t="n">
        <x:f>F12-F13</x:f>
        <x:v>159.73055000000002</x:v>
      </x:c>
      <x:c r="G14" s="80" t="n">
        <x:f>G12-G13</x:f>
        <x:v>166.88468090000003</x:v>
      </x:c>
      <x:c r="H14" s="82" t="str">
        <x:v>Revenue less cash operating cost.</x:v>
      </x:c>
    </x:row>
    <x:row r="15" ht="90" customHeight="1">
      <x:c r="A15" s="29" t="str">
        <x:v>Cash tax</x:v>
      </x:c>
      <x:c r="B15" s="79" t="n">
        <x:f>0</x:f>
        <x:v>0</x:v>
      </x:c>
      <x:c r="C15" s="79" t="n">
        <x:f>MAX(0,C14*'Inputs'!$B$19)</x:f>
        <x:v>28</x:v>
      </x:c>
      <x:c r="D15" s="79" t="n">
        <x:f>MAX(0,D14*'Inputs'!$B$19)</x:f>
        <x:v>29.260000000000005</x:v>
      </x:c>
      <x:c r="E15" s="79" t="n">
        <x:f>MAX(0,E14*'Inputs'!$B$19)</x:f>
        <x:v>30.574600000000004</x:v>
      </x:c>
      <x:c r="F15" s="79" t="n">
        <x:f>MAX(0,F14*'Inputs'!$B$19)</x:f>
        <x:v>31.946110000000004</x:v>
      </x:c>
      <x:c r="G15" s="79" t="n">
        <x:f>MAX(0,G14*'Inputs'!$B$19)</x:f>
        <x:v>33.37693618000001</x:v>
      </x:c>
      <x:c r="H15" s="73" t="str">
        <x:v>Simplified cash tax on positive EBITDA; no tax-loss carryforward modeled.</x:v>
      </x:c>
    </x:row>
    <x:row r="16" ht="54" customHeight="1">
      <x:c r="A16" s="29" t="str">
        <x:v>Maintenance capex</x:v>
      </x:c>
      <x:c r="B16" s="79" t="n">
        <x:f>0</x:f>
        <x:v>0</x:v>
      </x:c>
      <x:c r="C16" s="79" t="n">
        <x:f>'Inputs'!$B$18</x:f>
        <x:v>8</x:v>
      </x:c>
      <x:c r="D16" s="79" t="n">
        <x:f>'Inputs'!$B$18</x:f>
        <x:v>8</x:v>
      </x:c>
      <x:c r="E16" s="79" t="n">
        <x:f>'Inputs'!$B$18</x:f>
        <x:v>8</x:v>
      </x:c>
      <x:c r="F16" s="79" t="n">
        <x:f>'Inputs'!$B$18</x:f>
        <x:v>8</x:v>
      </x:c>
      <x:c r="G16" s="79" t="n">
        <x:f>'Inputs'!$B$18</x:f>
        <x:v>8</x:v>
      </x:c>
      <x:c r="H16" s="73" t="str">
        <x:v>Recurring operating-period cash investment.</x:v>
      </x:c>
    </x:row>
    <x:row r="17" ht="72" customHeight="1">
      <x:c r="A17" s="86" t="str">
        <x:v>CFADS</x:v>
      </x:c>
      <x:c r="B17" s="84" t="n">
        <x:f>B14-B15-B16</x:f>
        <x:v>0</x:v>
      </x:c>
      <x:c r="C17" s="84" t="n">
        <x:f>C14-C15-C16</x:f>
        <x:v>104</x:v>
      </x:c>
      <x:c r="D17" s="84" t="n">
        <x:f>D14-D15-D16</x:f>
        <x:v>109.04</x:v>
      </x:c>
      <x:c r="E17" s="84" t="n">
        <x:f>E14-E15-E16</x:f>
        <x:v>114.29840000000002</x:v>
      </x:c>
      <x:c r="F17" s="84" t="n">
        <x:f>F14-F15-F16</x:f>
        <x:v>119.78444000000002</x:v>
      </x:c>
      <x:c r="G17" s="84" t="n">
        <x:f>G14-G15-G16</x:f>
        <x:v>125.50774472000003</x:v>
      </x:c>
      <x:c r="H17" s="87" t="str">
        <x:v>EBITDA less cash tax and maintenance capex, before debt service.</x:v>
      </x:c>
    </x:row>
    <x:row r="18" ht="54" customHeight="1">
      <x:c r="A18" s="29" t="str">
        <x:v>Debt draw</x:v>
      </x:c>
      <x:c r="B18" s="79" t="n">
        <x:f>'Inputs'!$B$10*'Inputs'!$B$11</x:f>
        <x:v>195</x:v>
      </x:c>
      <x:c r="C18" s="79" t="n">
        <x:f>0</x:f>
        <x:v>0</x:v>
      </x:c>
      <x:c r="D18" s="79" t="n">
        <x:f>0</x:f>
        <x:v>0</x:v>
      </x:c>
      <x:c r="E18" s="79" t="n">
        <x:f>0</x:f>
        <x:v>0</x:v>
      </x:c>
      <x:c r="F18" s="79" t="n">
        <x:f>0</x:f>
        <x:v>0</x:v>
      </x:c>
      <x:c r="G18" s="79" t="n">
        <x:f>0</x:f>
        <x:v>0</x:v>
      </x:c>
      <x:c r="H18" s="73" t="str">
        <x:v>Debt is drawn once at construction close.</x:v>
      </x:c>
    </x:row>
    <x:row r="19" ht="54" customHeight="1">
      <x:c r="A19" s="74" t="str">
        <x:v>Sponsor equity funding</x:v>
      </x:c>
      <x:c r="B19" s="72" t="n">
        <x:f>'Inputs'!$B$10-B18</x:f>
        <x:v>105</x:v>
      </x:c>
      <x:c r="C19" s="72" t="n">
        <x:f>0</x:f>
        <x:v>0</x:v>
      </x:c>
      <x:c r="D19" s="72" t="n">
        <x:f>0</x:f>
        <x:v>0</x:v>
      </x:c>
      <x:c r="E19" s="72" t="n">
        <x:f>0</x:f>
        <x:v>0</x:v>
      </x:c>
      <x:c r="F19" s="72" t="n">
        <x:f>0</x:f>
        <x:v>0</x:v>
      </x:c>
      <x:c r="G19" s="72" t="n">
        <x:f>0</x:f>
        <x:v>0</x:v>
      </x:c>
      <x:c r="H19" s="75" t="str">
        <x:v>Residual initial capex funded by the sponsor.</x:v>
      </x:c>
    </x:row>
    <x:row r="20" ht="72" customHeight="1">
      <x:c r="A20" s="29" t="str">
        <x:v>Opening debt</x:v>
      </x:c>
      <x:c r="B20" s="79" t="n">
        <x:f>0</x:f>
        <x:v>0</x:v>
      </x:c>
      <x:c r="C20" s="79" t="n">
        <x:f>B24</x:f>
        <x:v>195</x:v>
      </x:c>
      <x:c r="D20" s="79" t="n">
        <x:f>C24</x:f>
        <x:v>161.42788003158955</x:v>
      </x:c>
      <x:c r="E20" s="79" t="n">
        <x:f>D24</x:f>
        <x:v>125.3378510655483</x:v>
      </x:c>
      <x:c r="F20" s="79" t="n">
        <x:f>E24</x:f>
        <x:v>86.54106992705397</x:v>
      </x:c>
      <x:c r="G20" s="79" t="n">
        <x:f>F24</x:f>
        <x:v>44.834530203172555</x:v>
      </x:c>
      <x:c r="H20" s="73" t="str">
        <x:v>Each operating year opens at the prior closing balance.</x:v>
      </x:c>
    </x:row>
    <x:row r="21" ht="54" customHeight="1">
      <x:c r="A21" s="29" t="str">
        <x:v>Cash interest</x:v>
      </x:c>
      <x:c r="B21" s="79" t="n">
        <x:f>0</x:f>
        <x:v>0</x:v>
      </x:c>
      <x:c r="C21" s="79" t="n">
        <x:f>C20*'Inputs'!$B$12</x:f>
        <x:v>14.625</x:v>
      </x:c>
      <x:c r="D21" s="79" t="n">
        <x:f>D20*'Inputs'!$B$12</x:f>
        <x:v>12.107091002369216</x:v>
      </x:c>
      <x:c r="E21" s="79" t="n">
        <x:f>E20*'Inputs'!$B$12</x:f>
        <x:v>9.400338829916123</x:v>
      </x:c>
      <x:c r="F21" s="79" t="n">
        <x:f>F20*'Inputs'!$B$12</x:f>
        <x:v>6.490580244529047</x:v>
      </x:c>
      <x:c r="G21" s="79" t="n">
        <x:f>G20*'Inputs'!$B$12</x:f>
        <x:v>3.3625897652379417</x:v>
      </x:c>
      <x:c r="H21" s="73" t="str">
        <x:v>Opening debt multiplied by the annual rate.</x:v>
      </x:c>
    </x:row>
    <x:row r="22" ht="90" customHeight="1">
      <x:c r="A22" s="29" t="str">
        <x:v>Scheduled debt service</x:v>
      </x:c>
      <x:c r="B22" s="79" t="n">
        <x:f>0</x:f>
        <x:v>0</x:v>
      </x:c>
      <x:c r="C22" s="79" t="n">
        <x:f>IF(1&gt;MAX(1,MIN(5,ROUND('Inputs'!$B$13,0))),0,MIN(C20+C21,IF('Inputs'!$B$12=0,B18/MAX(1,MIN(5,ROUND('Inputs'!$B$13,0))),-PMT('Inputs'!$B$12,MAX(1,MIN(5,ROUND('Inputs'!$B$13,0))),B18))))</x:f>
        <x:v>48.19711996841046</x:v>
      </x:c>
      <x:c r="D22" s="79" t="n">
        <x:f>IF(2&gt;MAX(1,MIN(5,ROUND('Inputs'!$B$13,0))),0,MIN(D20+D21,IF('Inputs'!$B$12=0,B18/MAX(1,MIN(5,ROUND('Inputs'!$B$13,0))),-PMT('Inputs'!$B$12,MAX(1,MIN(5,ROUND('Inputs'!$B$13,0))),B18))))</x:f>
        <x:v>48.19711996841046</x:v>
      </x:c>
      <x:c r="E22" s="79" t="n">
        <x:f>IF(3&gt;MAX(1,MIN(5,ROUND('Inputs'!$B$13,0))),0,MIN(E20+E21,IF('Inputs'!$B$12=0,B18/MAX(1,MIN(5,ROUND('Inputs'!$B$13,0))),-PMT('Inputs'!$B$12,MAX(1,MIN(5,ROUND('Inputs'!$B$13,0))),B18))))</x:f>
        <x:v>48.19711996841046</x:v>
      </x:c>
      <x:c r="F22" s="79" t="n">
        <x:f>IF(4&gt;MAX(1,MIN(5,ROUND('Inputs'!$B$13,0))),0,MIN(F20+F21,IF('Inputs'!$B$12=0,B18/MAX(1,MIN(5,ROUND('Inputs'!$B$13,0))),-PMT('Inputs'!$B$12,MAX(1,MIN(5,ROUND('Inputs'!$B$13,0))),B18))))</x:f>
        <x:v>48.19711996841046</x:v>
      </x:c>
      <x:c r="G22" s="79" t="n">
        <x:f>IF(5&gt;MAX(1,MIN(5,ROUND('Inputs'!$B$13,0))),0,MIN(G20+G21,IF('Inputs'!$B$12=0,B18/MAX(1,MIN(5,ROUND('Inputs'!$B$13,0))),-PMT('Inputs'!$B$12,MAX(1,MIN(5,ROUND('Inputs'!$B$13,0))),B18))))</x:f>
        <x:v>48.19711996841046</x:v>
      </x:c>
      <x:c r="H22" s="73" t="str">
        <x:v>Level annual payment through the selected tenor, capped at debt plus interest.</x:v>
      </x:c>
    </x:row>
    <x:row r="23" ht="72" customHeight="1">
      <x:c r="A23" s="29" t="str">
        <x:v>Principal paid</x:v>
      </x:c>
      <x:c r="B23" s="79" t="n">
        <x:f>0</x:f>
        <x:v>0</x:v>
      </x:c>
      <x:c r="C23" s="79" t="n">
        <x:f>MIN(C20,MAX(0,C22-C21))</x:f>
        <x:v>33.57211996841046</x:v>
      </x:c>
      <x:c r="D23" s="79" t="n">
        <x:f>MIN(D20,MAX(0,D22-D21))</x:f>
        <x:v>36.090028966041245</x:v>
      </x:c>
      <x:c r="E23" s="79" t="n">
        <x:f>MIN(E20,MAX(0,E22-E21))</x:f>
        <x:v>38.79678113849434</x:v>
      </x:c>
      <x:c r="F23" s="79" t="n">
        <x:f>MIN(F20,MAX(0,F22-F21))</x:f>
        <x:v>41.70653972388141</x:v>
      </x:c>
      <x:c r="G23" s="79" t="n">
        <x:f>MIN(G20,MAX(0,G22-G21))</x:f>
        <x:v>44.83453020317252</x:v>
      </x:c>
      <x:c r="H23" s="73" t="str">
        <x:v>Debt service less interest, capped at opening debt.</x:v>
      </x:c>
    </x:row>
    <x:row r="24" ht="90" customHeight="1">
      <x:c r="A24" s="74" t="str">
        <x:v>Closing debt</x:v>
      </x:c>
      <x:c r="B24" s="72" t="n">
        <x:f>B18</x:f>
        <x:v>195</x:v>
      </x:c>
      <x:c r="C24" s="72" t="n">
        <x:f>MAX(0,C20-C23)</x:f>
        <x:v>161.42788003158955</x:v>
      </x:c>
      <x:c r="D24" s="72" t="n">
        <x:f>MAX(0,D20-D23)</x:f>
        <x:v>125.3378510655483</x:v>
      </x:c>
      <x:c r="E24" s="72" t="n">
        <x:f>MAX(0,E20-E23)</x:f>
        <x:v>86.54106992705397</x:v>
      </x:c>
      <x:c r="F24" s="72" t="n">
        <x:f>MAX(0,F20-F23)</x:f>
        <x:v>44.834530203172555</x:v>
      </x:c>
      <x:c r="G24" s="72" t="n">
        <x:f>MAX(0,G20-G23)</x:f>
        <x:v>3.552713678800501e-14</x:v>
      </x:c>
      <x:c r="H24" s="75" t="str">
        <x:v>Year 0 equals the construction draw; operating years deduct principal.</x:v>
      </x:c>
    </x:row>
    <x:row r="25" ht="90" customHeight="1">
      <x:c r="A25" s="11" t="str">
        <x:v>DSCR</x:v>
      </x:c>
      <x:c r="B25" s="90" t="str">
        <x:f>""</x:f>
      </x:c>
      <x:c r="C25" s="90" t="n">
        <x:f>IF(C22&lt;=0,"",C17/C22)</x:f>
        <x:v>2.157805281065841</x:v>
      </x:c>
      <x:c r="D25" s="90" t="n">
        <x:f>IF(D22&lt;=0,"",D17/D22)</x:f>
        <x:v>2.262375844686724</x:v>
      </x:c>
      <x:c r="E25" s="90" t="n">
        <x:f>IF(E22&lt;=0,"",E17/E22)</x:f>
        <x:v>2.3714777993978458</x:v>
      </x:c>
      <x:c r="F25" s="90" t="n">
        <x:f>IF(F22&lt;=0,"",F17/F22)</x:f>
        <x:v>2.485302857899177</x:v>
      </x:c>
      <x:c r="G25" s="90" t="n">
        <x:f>IF(G22&lt;=0,"",G17/G22)</x:f>
        <x:v>2.6040507151103798</x:v>
      </x:c>
      <x:c r="H25" s="82" t="str">
        <x:v>CFADS divided by scheduled debt service; blank after debt is repaid.</x:v>
      </x:c>
    </x:row>
    <x:row r="26" ht="72" customHeight="1">
      <x:c r="A26" s="74" t="str">
        <x:v>Project cash flow</x:v>
      </x:c>
      <x:c r="B26" s="72" t="n">
        <x:f>-'Inputs'!$B$10</x:f>
        <x:v>-300</x:v>
      </x:c>
      <x:c r="C26" s="72" t="n">
        <x:f>C17</x:f>
        <x:v>104</x:v>
      </x:c>
      <x:c r="D26" s="72" t="n">
        <x:f>D17</x:f>
        <x:v>109.04</x:v>
      </x:c>
      <x:c r="E26" s="72" t="n">
        <x:f>E17</x:f>
        <x:v>114.29840000000002</x:v>
      </x:c>
      <x:c r="F26" s="72" t="n">
        <x:f>F17</x:f>
        <x:v>119.78444000000002</x:v>
      </x:c>
      <x:c r="G26" s="72" t="n">
        <x:f>G17</x:f>
        <x:v>125.50774472000003</x:v>
      </x:c>
      <x:c r="H26" s="75" t="str">
        <x:v>Initial capex outflow followed by unlevered CFADS.</x:v>
      </x:c>
    </x:row>
    <x:row r="27" ht="72" customHeight="1">
      <x:c r="A27" s="74" t="str">
        <x:v>Equity cash flow</x:v>
      </x:c>
      <x:c r="B27" s="72" t="n">
        <x:f>-B19</x:f>
        <x:v>-105</x:v>
      </x:c>
      <x:c r="C27" s="72" t="n">
        <x:f>C17-C22</x:f>
        <x:v>55.80288003158954</x:v>
      </x:c>
      <x:c r="D27" s="72" t="n">
        <x:f>D17-D22</x:f>
        <x:v>60.842880031589544</x:v>
      </x:c>
      <x:c r="E27" s="72" t="n">
        <x:f>E17-E22</x:f>
        <x:v>66.10128003158955</x:v>
      </x:c>
      <x:c r="F27" s="72" t="n">
        <x:f>F17-F22</x:f>
        <x:v>71.58732003158956</x:v>
      </x:c>
      <x:c r="G27" s="72" t="n">
        <x:f>G17-G22</x:f>
        <x:v>77.31062475158957</x:v>
      </x:c>
      <x:c r="H27" s="75" t="str">
        <x:v>Initial sponsor funding followed by CFADS after debt service.</x:v>
      </x:c>
    </x:row>
    <x:row r="28" ht="54" customHeight="1">
      <x:c r="A28" s="29" t="str">
        <x:v>Funding bridge check</x:v>
      </x:c>
      <x:c r="B28" s="79" t="n">
        <x:f>ROUND(B18+B19-'Inputs'!$B$10,6)</x:f>
        <x:v>0</x:v>
      </x:c>
      <x:c r="C28" s="79" t="n">
        <x:f>ROUND(0,6)</x:f>
        <x:v>0</x:v>
      </x:c>
      <x:c r="D28" s="79" t="n">
        <x:f>ROUND(0,6)</x:f>
        <x:v>0</x:v>
      </x:c>
      <x:c r="E28" s="79" t="n">
        <x:f>ROUND(0,6)</x:f>
        <x:v>0</x:v>
      </x:c>
      <x:c r="F28" s="79" t="n">
        <x:f>ROUND(0,6)</x:f>
        <x:v>0</x:v>
      </x:c>
      <x:c r="G28" s="79" t="n">
        <x:f>ROUND(0,6)</x:f>
        <x:v>0</x:v>
      </x:c>
      <x:c r="H28" s="73" t="str">
        <x:v>Debt plus equity must equal initial capex.</x:v>
      </x:c>
    </x:row>
    <x:row r="29" ht="54" customHeight="1">
      <x:c r="A29" s="29" t="str">
        <x:v>EBITDA bridge check</x:v>
      </x:c>
      <x:c r="B29" s="79" t="n">
        <x:f>ROUND(B14-B12+B13,6)</x:f>
        <x:v>0</x:v>
      </x:c>
      <x:c r="C29" s="79" t="n">
        <x:f>ROUND(C14-C12+C13,6)</x:f>
        <x:v>0</x:v>
      </x:c>
      <x:c r="D29" s="79" t="n">
        <x:f>ROUND(D14-D12+D13,6)</x:f>
        <x:v>0</x:v>
      </x:c>
      <x:c r="E29" s="79" t="n">
        <x:f>ROUND(E14-E12+E13,6)</x:f>
        <x:v>0</x:v>
      </x:c>
      <x:c r="F29" s="79" t="n">
        <x:f>ROUND(F14-F12+F13,6)</x:f>
        <x:v>0</x:v>
      </x:c>
      <x:c r="G29" s="79" t="n">
        <x:f>ROUND(G14-G12+G13,6)</x:f>
        <x:v>0</x:v>
      </x:c>
      <x:c r="H29" s="73" t="str">
        <x:v>Must equal zero in each operating year.</x:v>
      </x:c>
    </x:row>
    <x:row r="30" ht="54" customHeight="1">
      <x:c r="A30" s="29" t="str">
        <x:v>CFADS bridge check</x:v>
      </x:c>
      <x:c r="B30" s="79" t="n">
        <x:f>ROUND(B17-B14+B15+B16,6)</x:f>
        <x:v>0</x:v>
      </x:c>
      <x:c r="C30" s="79" t="n">
        <x:f>ROUND(C17-C14+C15+C16,6)</x:f>
        <x:v>0</x:v>
      </x:c>
      <x:c r="D30" s="79" t="n">
        <x:f>ROUND(D17-D14+D15+D16,6)</x:f>
        <x:v>0</x:v>
      </x:c>
      <x:c r="E30" s="79" t="n">
        <x:f>ROUND(E17-E14+E15+E16,6)</x:f>
        <x:v>0</x:v>
      </x:c>
      <x:c r="F30" s="79" t="n">
        <x:f>ROUND(F17-F14+F15+F16,6)</x:f>
        <x:v>0</x:v>
      </x:c>
      <x:c r="G30" s="79" t="n">
        <x:f>ROUND(G17-G14+G15+G16,6)</x:f>
        <x:v>0</x:v>
      </x:c>
      <x:c r="H30" s="73" t="str">
        <x:v>Must equal zero against EBITDA and cash uses.</x:v>
      </x:c>
    </x:row>
    <x:row r="31" ht="54" customHeight="1">
      <x:c r="A31" s="29" t="str">
        <x:v>Debt-service bridge check</x:v>
      </x:c>
      <x:c r="B31" s="79" t="n">
        <x:f>ROUND(B22-B21-B23,6)</x:f>
        <x:v>0</x:v>
      </x:c>
      <x:c r="C31" s="79" t="n">
        <x:f>ROUND(C22-C21-C23,6)</x:f>
        <x:v>0</x:v>
      </x:c>
      <x:c r="D31" s="79" t="n">
        <x:f>ROUND(D22-D21-D23,6)</x:f>
        <x:v>0</x:v>
      </x:c>
      <x:c r="E31" s="79" t="n">
        <x:f>ROUND(E22-E21-E23,6)</x:f>
        <x:v>0</x:v>
      </x:c>
      <x:c r="F31" s="79" t="n">
        <x:f>ROUND(F22-F21-F23,6)</x:f>
        <x:v>0</x:v>
      </x:c>
      <x:c r="G31" s="79" t="n">
        <x:f>ROUND(G22-G21-G23,6)</x:f>
        <x:v>0</x:v>
      </x:c>
      <x:c r="H31" s="73" t="str">
        <x:v>Must equal zero against interest and principal.</x:v>
      </x:c>
    </x:row>
    <x:row r="32" ht="36" customHeight="1">
      <x:c r="A32" s="29" t="str">
        <x:v>Debt roll-forward check</x:v>
      </x:c>
      <x:c r="B32" s="79" t="n">
        <x:f>ROUND(B24-B18,6)</x:f>
        <x:v>0</x:v>
      </x:c>
      <x:c r="C32" s="79" t="n">
        <x:f>ROUND(C24-C20+C23,6)</x:f>
        <x:v>0</x:v>
      </x:c>
      <x:c r="D32" s="79" t="n">
        <x:f>ROUND(D24-D20+D23,6)</x:f>
        <x:v>0</x:v>
      </x:c>
      <x:c r="E32" s="79" t="n">
        <x:f>ROUND(E24-E20+E23,6)</x:f>
        <x:v>0</x:v>
      </x:c>
      <x:c r="F32" s="79" t="n">
        <x:f>ROUND(F24-F20+F23,6)</x:f>
        <x:v>0</x:v>
      </x:c>
      <x:c r="G32" s="79" t="n">
        <x:f>ROUND(G24-G20+G23,6)</x:f>
        <x:v>0</x:v>
      </x:c>
      <x:c r="H32" s="73" t="str">
        <x:v>Must equal zero in every period.</x:v>
      </x:c>
    </x:row>
    <x:row r="33" ht="90" customHeight="1">
      <x:c r="A33" s="29" t="str">
        <x:v>Project / equity cash-flow check</x:v>
      </x:c>
      <x:c r="B33" s="79" t="n">
        <x:f>ROUND(ABS(B26+'Inputs'!$B$10)+ABS(B27+B19),6)</x:f>
        <x:v>0</x:v>
      </x:c>
      <x:c r="C33" s="79" t="n">
        <x:f>ROUND(ABS(C26-C17)+ABS(C27-C17+C22),6)</x:f>
        <x:v>0</x:v>
      </x:c>
      <x:c r="D33" s="79" t="n">
        <x:f>ROUND(ABS(D26-D17)+ABS(D27-D17+D22),6)</x:f>
        <x:v>0</x:v>
      </x:c>
      <x:c r="E33" s="79" t="n">
        <x:f>ROUND(ABS(E26-E17)+ABS(E27-E17+E22),6)</x:f>
        <x:v>0</x:v>
      </x:c>
      <x:c r="F33" s="79" t="n">
        <x:f>ROUND(ABS(F26-F17)+ABS(F27-F17+F22),6)</x:f>
        <x:v>0</x:v>
      </x:c>
      <x:c r="G33" s="79" t="n">
        <x:f>ROUND(ABS(G26-G17)+ABS(G27-G17+G22),6)</x:f>
        <x:v>0</x:v>
      </x:c>
      <x:c r="H33" s="73" t="str">
        <x:v>Combined control over the unlevered and equity cash-flow bridges.</x:v>
      </x:c>
    </x:row>
    <x:row r="34" ht="20" customHeight="1">
      <x:c r="A34" s="3"/>
      <x:c r="B34" s="3"/>
      <x:c r="C34" s="3"/>
      <x:c r="D34" s="3"/>
      <x:c r="E34" s="3"/>
      <x:c r="F34" s="3"/>
      <x:c r="G34" s="3"/>
      <x:c r="H34" s="3"/>
    </x:row>
    <x:row r="35" ht="20" customHeight="1">
      <x:c r="A35" s="64" t="str">
        <x:v>RETURN &amp; COVERAGE SUMMARY</x:v>
      </x:c>
      <x:c r="B35" s="64"/>
      <x:c r="C35" s="64"/>
      <x:c r="D35" s="64"/>
      <x:c r="E35" s="64"/>
      <x:c r="F35" s="64"/>
      <x:c r="G35" s="64"/>
      <x:c r="H35" s="64"/>
    </x:row>
    <x:row r="36" ht="20" customHeight="1">
      <x:c r="A36" s="28" t="str">
        <x:v>Metric</x:v>
      </x:c>
      <x:c r="B36" s="28" t="str">
        <x:v>Value</x:v>
      </x:c>
      <x:c r="C36" s="28" t="str">
        <x:v>Unit</x:v>
      </x:c>
      <x:c r="D36" s="91" t="str">
        <x:v>Notes</x:v>
      </x:c>
      <x:c r="E36" s="92"/>
      <x:c r="F36" s="92"/>
      <x:c r="G36" s="92"/>
      <x:c r="H36" s="92"/>
    </x:row>
    <x:row r="37" ht="20" customHeight="1">
      <x:c r="A37" s="29" t="str">
        <x:v>Initial debt funding</x:v>
      </x:c>
      <x:c r="B37" s="79" t="n">
        <x:f>B18</x:f>
        <x:v>195</x:v>
      </x:c>
      <x:c r="C37" s="29" t="str">
        <x:v>LCY m</x:v>
      </x:c>
      <x:c r="D37" s="37" t="str">
        <x:v>Construction debt drawn at Year 0</x:v>
      </x:c>
      <x:c r="E37" s="38"/>
      <x:c r="F37" s="38"/>
      <x:c r="G37" s="38"/>
      <x:c r="H37" s="38"/>
    </x:row>
    <x:row r="38" ht="20" customHeight="1">
      <x:c r="A38" s="29" t="str">
        <x:v>Initial sponsor equity</x:v>
      </x:c>
      <x:c r="B38" s="79" t="n">
        <x:f>B19</x:f>
        <x:v>105</x:v>
      </x:c>
      <x:c r="C38" s="29" t="str">
        <x:v>LCY m</x:v>
      </x:c>
      <x:c r="D38" s="37" t="str">
        <x:v>Sponsor funding at Year 0</x:v>
      </x:c>
      <x:c r="E38" s="38"/>
      <x:c r="F38" s="38"/>
      <x:c r="G38" s="38"/>
      <x:c r="H38" s="38"/>
    </x:row>
    <x:row r="39" ht="20" customHeight="1">
      <x:c r="A39" s="11" t="str">
        <x:v>Minimum debt-period DSCR</x:v>
      </x:c>
      <x:c r="B39" s="90" t="n">
        <x:f>MIN(C25:G25)</x:f>
        <x:v>2.157805281065841</x:v>
      </x:c>
      <x:c r="C39" s="11" t="str">
        <x:v>x</x:v>
      </x:c>
      <x:c r="D39" s="99" t="str">
        <x:v>Lowest coverage while debt service is scheduled</x:v>
      </x:c>
      <x:c r="E39" s="100"/>
      <x:c r="F39" s="100"/>
      <x:c r="G39" s="100"/>
      <x:c r="H39" s="100"/>
    </x:row>
    <x:row r="40" ht="20" customHeight="1">
      <x:c r="A40" s="11" t="str">
        <x:v>Project IRR</x:v>
      </x:c>
      <x:c r="B40" s="102" t="n">
        <x:f>IF(AND(COUNTIF(B26:G26,"&lt;0")&gt;0,COUNTIF(B26:G26,"&gt;0")&gt;0),IRR(B26:G26),0)</x:f>
        <x:v>0.2526623560400853</x:v>
      </x:c>
      <x:c r="C40" s="11" t="str">
        <x:v>%</x:v>
      </x:c>
      <x:c r="D40" s="99" t="str">
        <x:v>IRR on initial capex and unlevered operating cash flow</x:v>
      </x:c>
      <x:c r="E40" s="100"/>
      <x:c r="F40" s="100"/>
      <x:c r="G40" s="100"/>
      <x:c r="H40" s="100"/>
    </x:row>
    <x:row r="41" ht="20" customHeight="1">
      <x:c r="A41" s="11" t="str">
        <x:v>Equity IRR</x:v>
      </x:c>
      <x:c r="B41" s="102" t="n">
        <x:f>IF(AND(COUNTIF(B27:G27,"&lt;0")&gt;0,COUNTIF(B27:G27,"&gt;0")&gt;0),IRR(B27:G27),0)</x:f>
        <x:v>0.5188258495156979</x:v>
      </x:c>
      <x:c r="C41" s="11" t="str">
        <x:v>%</x:v>
      </x:c>
      <x:c r="D41" s="99" t="str">
        <x:v>IRR on sponsor cash flows after debt service</x:v>
      </x:c>
      <x:c r="E41" s="100"/>
      <x:c r="F41" s="100"/>
      <x:c r="G41" s="100"/>
      <x:c r="H41" s="100"/>
    </x:row>
    <x:row r="42" ht="20" customHeight="1">
      <x:c r="A42" s="29" t="str">
        <x:v>Year-5 closing debt</x:v>
      </x:c>
      <x:c r="B42" s="79" t="n">
        <x:f>G24</x:f>
        <x:v>3.552713678800501e-14</x:v>
      </x:c>
      <x:c r="C42" s="29" t="str">
        <x:v>LCY m</x:v>
      </x:c>
      <x:c r="D42" s="37" t="str">
        <x:v>Should be nil when tenor is no more than five years</x:v>
      </x:c>
      <x:c r="E42" s="38"/>
      <x:c r="F42" s="38"/>
      <x:c r="G42" s="38"/>
      <x:c r="H42" s="38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168" t="str">
        <x:f>IF(AND(B39&gt;='Inputs'!$B$20,ABS(B42)&lt;=0.01),"COVERAGE MEETS TARGET AND DEBT AMORTIZES","REVIEW COVERAGE OR DEBT STRUCTURE")</x:f>
        <x:v>COVERAGE MEETS TARGET AND DEBT AMORTIZES</x:v>
      </x:c>
      <x:c r="B44" s="169"/>
      <x:c r="C44" s="169"/>
      <x:c r="D44" s="169"/>
      <x:c r="E44" s="169"/>
      <x:c r="F44" s="169"/>
      <x:c r="G44" s="169"/>
      <x:c r="H44" s="170"/>
    </x:row>
    <x:row r="45" ht="20" customHeight="1">
      <x:c r="A45" s="171"/>
      <x:c r="B45" s="172"/>
      <x:c r="C45" s="172"/>
      <x:c r="D45" s="172"/>
      <x:c r="E45" s="172"/>
      <x:c r="F45" s="172"/>
      <x:c r="G45" s="172"/>
      <x:c r="H45" s="173"/>
    </x:row>
    <x:row r="46" ht="20" customHeight="1">
      <x:c r="A46" s="174"/>
      <x:c r="B46" s="175"/>
      <x:c r="C46" s="175"/>
      <x:c r="D46" s="175"/>
      <x:c r="E46" s="175"/>
      <x:c r="F46" s="175"/>
      <x:c r="G46" s="175"/>
      <x:c r="H46" s="176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</x:row>
    <x:row r="50" ht="20" customHeight="1">
      <x:c r="A50" s="63" t="str">
        <x:v>Project Finance Lite · Option C standard · Funding + five operating years</x:v>
      </x:c>
      <x:c r="B50" s="63"/>
      <x:c r="C50" s="63"/>
      <x:c r="D50" s="63"/>
      <x:c r="E50" s="63"/>
      <x:c r="F50" s="63"/>
      <x:c r="G50" s="63"/>
      <x:c r="H50" s="63"/>
    </x:row>
  </x:sheetData>
  <x:mergeCells>
    <x:mergeCell ref="A1:H2"/>
    <x:mergeCell ref="A3:H3"/>
    <x:mergeCell ref="A10:H10"/>
    <x:mergeCell ref="A35:H35"/>
    <x:mergeCell ref="D36:H36"/>
    <x:mergeCell ref="D37:H37"/>
    <x:mergeCell ref="D38:H38"/>
    <x:mergeCell ref="D39:H39"/>
    <x:mergeCell ref="D40:H40"/>
    <x:mergeCell ref="D41:H41"/>
    <x:mergeCell ref="D42:H42"/>
    <x:mergeCell ref="A5:B5"/>
    <x:mergeCell ref="A6:B8"/>
    <x:mergeCell ref="C5:D5"/>
    <x:mergeCell ref="C6:D8"/>
    <x:mergeCell ref="E5:F5"/>
    <x:mergeCell ref="E6:F8"/>
    <x:mergeCell ref="G5:H5"/>
    <x:mergeCell ref="G6:H8"/>
    <x:mergeCell ref="A44:H46"/>
    <x:mergeCell ref="A50:H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Project Finance Lite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5" t="str">
        <x:v>MINIMUM DSCR</x:v>
      </x:c>
      <x:c r="B5" s="106"/>
      <x:c r="C5" s="105" t="str">
        <x:v>PROJECT IRR</x:v>
      </x:c>
      <x:c r="D5" s="106"/>
      <x:c r="E5" s="105" t="str">
        <x:v>EQUITY IRR</x:v>
      </x:c>
      <x:c r="F5" s="106"/>
      <x:c r="G5" s="105" t="str">
        <x:v>YEAR-5 DEBT</x:v>
      </x:c>
      <x:c r="H5" s="106"/>
    </x:row>
    <x:row r="6" ht="20" customHeight="1">
      <x:c r="A6" s="120" t="n">
        <x:f>'Model'!A6</x:f>
        <x:v>2.157805281065841</x:v>
      </x:c>
      <x:c r="B6" s="121"/>
      <x:c r="C6" s="132" t="n">
        <x:f>'Model'!C6</x:f>
        <x:v>0.2526623560400853</x:v>
      </x:c>
      <x:c r="D6" s="133"/>
      <x:c r="E6" s="132" t="n">
        <x:f>'Model'!E6</x:f>
        <x:v>0.5188258495156979</x:v>
      </x:c>
      <x:c r="F6" s="133"/>
      <x:c r="G6" s="144" t="n">
        <x:f>'Model'!G6</x:f>
        <x:v>3.552713678800501e-14</x:v>
      </x:c>
      <x:c r="H6" s="145"/>
    </x:row>
    <x:row r="7" ht="20" customHeight="1">
      <x:c r="A7" s="122"/>
      <x:c r="B7" s="123"/>
      <x:c r="C7" s="134"/>
      <x:c r="D7" s="135"/>
      <x:c r="E7" s="134"/>
      <x:c r="F7" s="135"/>
      <x:c r="G7" s="146"/>
      <x:c r="H7" s="147"/>
    </x:row>
    <x:row r="8" ht="20" customHeight="1">
      <x:c r="A8" s="124"/>
      <x:c r="B8" s="125"/>
      <x:c r="C8" s="136"/>
      <x:c r="D8" s="137"/>
      <x:c r="E8" s="136"/>
      <x:c r="F8" s="137"/>
      <x:c r="G8" s="148"/>
      <x:c r="H8" s="14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DECISION VIEW</x:v>
      </x:c>
      <x:c r="B10" s="64"/>
      <x:c r="C10" s="64"/>
      <x:c r="D10" s="64"/>
      <x:c r="E10" s="64"/>
      <x:c r="F10" s="64"/>
      <x:c r="G10" s="64"/>
      <x:c r="H10" s="64"/>
    </x:row>
    <x:row r="11" ht="34" customHeight="1">
      <x:c r="A11" s="178" t="str">
        <x:v>CALCULATION STATUS</x:v>
      </x:c>
      <x:c r="B11" s="178"/>
      <x:c r="C11" s="182" t="str">
        <x:f>'Checks'!B4</x:f>
        <x:v>PASS</x:v>
      </x:c>
      <x:c r="D11" s="183"/>
      <x:c r="E11" s="178" t="str">
        <x:v>PROJECT FINANCE OUTCOME</x:v>
      </x:c>
      <x:c r="F11" s="178"/>
      <x:c r="G11" s="189" t="str">
        <x:f>'Model'!A44</x:f>
        <x:v>COVERAGE MEETS TARGET AND DEBT AMORTIZES</x:v>
      </x:c>
      <x:c r="H11" s="19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WHAT IT ANSWERS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197" t="str">
        <x:v>Can the project fund construction, service debt, and deliver acceptable project and equity returns?</x:v>
      </x:c>
      <x:c r="B14" s="198"/>
      <x:c r="C14" s="198"/>
      <x:c r="D14" s="198"/>
      <x:c r="E14" s="198"/>
      <x:c r="F14" s="198"/>
      <x:c r="G14" s="198"/>
      <x:c r="H14" s="199"/>
    </x:row>
    <x:row r="15" ht="20" customHeight="1">
      <x:c r="A15" s="200"/>
      <x:c r="B15" s="201"/>
      <x:c r="C15" s="201"/>
      <x:c r="D15" s="201"/>
      <x:c r="E15" s="201"/>
      <x:c r="F15" s="201"/>
      <x:c r="G15" s="201"/>
      <x:c r="H15" s="202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4" t="str">
        <x:v>MODEL DEPTH</x:v>
      </x:c>
      <x:c r="B17" s="64"/>
      <x:c r="C17" s="64"/>
      <x:c r="D17" s="64"/>
      <x:c r="E17" s="64"/>
      <x:c r="F17" s="64"/>
      <x:c r="G17" s="64"/>
      <x:c r="H17" s="64"/>
    </x:row>
    <x:row r="18" ht="20" customHeight="1">
      <x:c r="A18" s="177" t="str">
        <x:v>Forecast</x:v>
      </x:c>
      <x:c r="B18" s="177"/>
      <x:c r="C18" s="74" t="str">
        <x:v>Funding at Year 0 plus five operating years</x:v>
      </x:c>
      <x:c r="D18" s="74"/>
      <x:c r="E18" s="74"/>
      <x:c r="F18" s="74"/>
      <x:c r="G18" s="74"/>
      <x:c r="H18" s="74"/>
    </x:row>
    <x:row r="19" ht="20" customHeight="1">
      <x:c r="A19" s="177" t="str">
        <x:v>Editable inputs</x:v>
      </x:c>
      <x:c r="B19" s="177"/>
      <x:c r="C19" s="74" t="str">
        <x:v>11</x:v>
      </x:c>
      <x:c r="D19" s="74"/>
      <x:c r="E19" s="74"/>
      <x:c r="F19" s="74"/>
      <x:c r="G19" s="74"/>
      <x:c r="H19" s="74"/>
    </x:row>
    <x:row r="20" ht="20" customHeight="1">
      <x:c r="A20" s="177" t="str">
        <x:v>Calculation detail</x:v>
      </x:c>
      <x:c r="B20" s="177"/>
      <x:c r="C20" s="74" t="str">
        <x:v>Visible formulas, schedules, roll-forwards, and bridges</x:v>
      </x:c>
      <x:c r="D20" s="74"/>
      <x:c r="E20" s="74"/>
      <x:c r="F20" s="74"/>
      <x:c r="G20" s="74"/>
      <x:c r="H20" s="74"/>
    </x:row>
    <x:row r="21" ht="20" customHeight="1">
      <x:c r="A21" s="177" t="str">
        <x:v>Workbook flow</x:v>
      </x:c>
      <x:c r="B21" s="177"/>
      <x:c r="C21" s="74" t="str">
        <x:v>Start → Inputs → Model → Results → Checks</x:v>
      </x:c>
      <x:c r="D21" s="74"/>
      <x:c r="E21" s="74"/>
      <x:c r="F21" s="74"/>
      <x:c r="G21" s="74"/>
      <x:c r="H21" s="74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4" t="str">
        <x:v>SCOPE</x:v>
      </x:c>
      <x:c r="B23" s="64"/>
      <x:c r="C23" s="64"/>
      <x:c r="D23" s="64"/>
      <x:c r="E23" s="64"/>
      <x:c r="F23" s="64"/>
      <x:c r="G23" s="64"/>
      <x:c r="H23" s="64"/>
    </x:row>
    <x:row r="24" ht="20" customHeight="1">
      <x:c r="A24" s="211" t="str">
        <x:v>Included: Construction funding and debt / equity sources bridge · Five-year operating cash flow and level debt-service schedule · Project IRR, equity IRR, DSCR, and debt paydown</x:v>
      </x:c>
      <x:c r="B24" s="212"/>
      <x:c r="C24" s="212"/>
      <x:c r="D24" s="212"/>
      <x:c r="E24" s="212"/>
      <x:c r="F24" s="212"/>
      <x:c r="G24" s="212"/>
      <x:c r="H24" s="213"/>
    </x:row>
    <x:row r="25" ht="20" customHeight="1">
      <x:c r="A25" s="214"/>
      <x:c r="B25" s="215"/>
      <x:c r="C25" s="215"/>
      <x:c r="D25" s="215"/>
      <x:c r="E25" s="215"/>
      <x:c r="F25" s="215"/>
      <x:c r="G25" s="215"/>
      <x:c r="H25" s="216"/>
    </x:row>
    <x:row r="26" ht="20" customHeight="1">
      <x:c r="A26" s="217"/>
      <x:c r="B26" s="218"/>
      <x:c r="C26" s="218"/>
      <x:c r="D26" s="218"/>
      <x:c r="E26" s="218"/>
      <x:c r="F26" s="218"/>
      <x:c r="G26" s="218"/>
      <x:c r="H26" s="219"/>
    </x:row>
    <x:row r="27" ht="20" customHeight="1">
      <x:c r="A27" s="57" t="str">
        <x:v>Outside this model: Construction-interest circularity, DSRA, detailed tax losses, contractual waterfalls, lender terms, and a bankability opinion.</x:v>
      </x:c>
      <x:c r="B27" s="58"/>
      <x:c r="C27" s="58"/>
      <x:c r="D27" s="58"/>
      <x:c r="E27" s="58"/>
      <x:c r="F27" s="58"/>
      <x:c r="G27" s="58"/>
      <x:c r="H27" s="59"/>
    </x:row>
    <x:row r="28" ht="20" customHeight="1">
      <x:c r="A28" s="60"/>
      <x:c r="B28" s="61"/>
      <x:c r="C28" s="61"/>
      <x:c r="D28" s="61"/>
      <x:c r="E28" s="61"/>
      <x:c r="F28" s="61"/>
      <x:c r="G28" s="61"/>
      <x:c r="H28" s="62"/>
    </x:row>
    <x:row r="29" ht="20" customHeight="1">
      <x:c r="A29" s="223" t="str">
        <x:v>Five visible tabs · No hidden calculations · Calculation status and business outcome are reported separately.</x:v>
      </x:c>
      <x:c r="B29" s="224"/>
      <x:c r="C29" s="224"/>
      <x:c r="D29" s="224"/>
      <x:c r="E29" s="224"/>
      <x:c r="F29" s="224"/>
      <x:c r="G29" s="224"/>
      <x:c r="H29" s="22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Project Finance Lite · v1.4.0 · Linked summary only · Trace all formulas on Model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Project Finance Lite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26" t="str">
        <x:f>IF(COUNTIF(F9:F18,"PASS")=10,"PASS","FAIL")</x:f>
        <x:v>PASS</x:v>
      </x:c>
      <x:c r="C4" s="226"/>
      <x:c r="D4" s="226"/>
      <x:c r="E4" s="226"/>
      <x:c r="F4" s="226"/>
      <x:c r="G4" s="226"/>
      <x:c r="H4" s="226"/>
    </x:row>
    <x:row r="5" ht="20" customHeight="1">
      <x:c r="A5" s="63" t="str">
        <x:v>MODEL STATUS</x:v>
      </x:c>
      <x:c r="B5" s="63"/>
      <x:c r="C5" s="182" t="str">
        <x:f>B4</x:f>
        <x:v>PASS</x:v>
      </x:c>
      <x:c r="D5" s="228"/>
      <x:c r="E5" s="228"/>
      <x:c r="F5" s="228"/>
      <x:c r="G5" s="228"/>
      <x:c r="H5" s="183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4" t="str">
        <x:v>10 CALCULATION CONTROLS</x:v>
      </x:c>
      <x:c r="B7" s="64"/>
      <x:c r="C7" s="64"/>
      <x:c r="D7" s="64"/>
      <x:c r="E7" s="64"/>
      <x:c r="F7" s="64"/>
      <x:c r="G7" s="64"/>
      <x:c r="H7" s="64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15" t="str">
        <x:v>All editable inputs are numeric</x:v>
      </x:c>
      <x:c r="B9" s="231" t="n">
        <x:f>ROUND(COUNT('Inputs'!B10,'Inputs'!B11,'Inputs'!B12,'Inputs'!B13,'Inputs'!B14,'Inputs'!B15,'Inputs'!B16,'Inputs'!B17,'Inputs'!B18,'Inputs'!B19,'Inputs'!B20),6)</x:f>
        <x:v>11</x:v>
      </x:c>
      <x:c r="C9" s="231" t="n">
        <x:f>11</x:f>
        <x:v>11</x:v>
      </x:c>
      <x:c r="D9" s="231" t="n">
        <x:f>ROUND(B9-C9,6)</x:f>
        <x:v>0</x:v>
      </x:c>
      <x:c r="E9" s="231" t="n">
        <x:f>0</x:f>
        <x:v>0</x:v>
      </x:c>
      <x:c r="F9" s="232" t="str">
        <x:f>IF(ABS(ROUND(D9,6))&lt;=E9,"PASS","FAIL")</x:f>
        <x:v>PASS</x:v>
      </x:c>
      <x:c r="G9" s="215" t="str">
        <x:v>Complete the blue cells on Inputs</x:v>
      </x:c>
      <x:c r="H9" s="215"/>
    </x:row>
    <x:row r="10" ht="26" customHeight="1">
      <x:c r="A10" s="215" t="str">
        <x:v>Results headline KPIs reconcile to Model</x:v>
      </x:c>
      <x:c r="B10" s="235" t="n">
        <x:f>ROUND(IFERROR(SUM(ABS('Results'!A6-'Model'!A6),ABS('Results'!C6-'Model'!C6),ABS('Results'!E6-'Model'!E6),ABS('Results'!G6-'Model'!G6)),1E+99),6)</x:f>
        <x:v>0</x:v>
      </x:c>
      <x:c r="C10" s="235" t="n">
        <x:f>0</x:f>
        <x:v>0</x:v>
      </x:c>
      <x:c r="D10" s="235" t="n">
        <x:f>ROUND(B10-C10,6)</x:f>
        <x:v>0</x:v>
      </x:c>
      <x:c r="E10" s="235" t="n">
        <x:f>0.0001</x:f>
        <x:v>0.0001</x:v>
      </x:c>
      <x:c r="F10" s="232" t="str">
        <x:f>IF(ABS(ROUND(D10,6))&lt;=E10,"PASS","FAIL")</x:f>
        <x:v>PASS</x:v>
      </x:c>
      <x:c r="G10" s="215" t="str">
        <x:v>Review Results-to-Model links</x:v>
      </x:c>
      <x:c r="H10" s="215"/>
    </x:row>
    <x:row r="11" ht="26" customHeight="1">
      <x:c r="A11" s="215" t="str">
        <x:v>Funding, operating, and return inputs are valid</x:v>
      </x:c>
      <x:c r="B11" s="235" t="n">
        <x:f>ROUND(IF(AND('Inputs'!$B$10&gt;0,'Inputs'!$B$11&gt;0,'Inputs'!$B$11&lt;=1,'Inputs'!$B$12&gt;=0,'Inputs'!$B$13&gt;=1,'Inputs'!$B$13&lt;=5,'Inputs'!$B$14&gt;0,'Inputs'!$B$15&gt;-1,'Inputs'!$B$16&gt;=0,'Inputs'!$B$17&gt;-1,'Inputs'!$B$18&gt;=0,'Inputs'!$B$19&gt;=0,'Inputs'!$B$19&lt;=1,'Inputs'!$B$20&gt;0),1,0),6)</x:f>
        <x:v>1</x:v>
      </x:c>
      <x:c r="C11" s="235" t="n">
        <x:f>1</x:f>
        <x:v>1</x:v>
      </x:c>
      <x:c r="D11" s="235" t="n">
        <x:f>ROUND(B11-C11,6)</x:f>
        <x:v>0</x:v>
      </x:c>
      <x:c r="E11" s="235" t="n">
        <x:f>0.0001</x:f>
        <x:v>0.0001</x:v>
      </x:c>
      <x:c r="F11" s="232" t="str">
        <x:f>IF(ABS(ROUND(D11,6))&lt;=E11,"PASS","FAIL")</x:f>
        <x:v>PASS</x:v>
      </x:c>
      <x:c r="G11" s="215" t="str">
        <x:v>Inputs: funding, operations, and coverage assumptions</x:v>
      </x:c>
      <x:c r="H11" s="215"/>
    </x:row>
    <x:row r="12" ht="26" customHeight="1">
      <x:c r="A12" s="215" t="str">
        <x:v>Sources and uses bridge ties</x:v>
      </x:c>
      <x:c r="B12" s="238" t="n">
        <x:f>ROUND(ABS('Model'!B28),6)</x:f>
        <x:v>0</x:v>
      </x:c>
      <x:c r="C12" s="238" t="n">
        <x:f>0</x:f>
        <x:v>0</x:v>
      </x:c>
      <x:c r="D12" s="238" t="n">
        <x:f>ROUND(B12-C12,6)</x:f>
        <x:v>0</x:v>
      </x:c>
      <x:c r="E12" s="238" t="n">
        <x:f>0.01</x:f>
        <x:v>0.01</x:v>
      </x:c>
      <x:c r="F12" s="232" t="str">
        <x:f>IF(ABS(ROUND(D12,6))&lt;=E12,"PASS","FAIL")</x:f>
        <x:v>PASS</x:v>
      </x:c>
      <x:c r="G12" s="215" t="str">
        <x:v>Model: Year-0 funding bridge</x:v>
      </x:c>
      <x:c r="H12" s="215"/>
    </x:row>
    <x:row r="13" ht="26" customHeight="1">
      <x:c r="A13" s="215" t="str">
        <x:v>EBITDA bridge ties</x:v>
      </x:c>
      <x:c r="B13" s="238" t="n">
        <x:f>ROUND(MAX(ABS('Model'!C29),ABS('Model'!D29),ABS('Model'!E29),ABS('Model'!F29),ABS('Model'!G29)),6)</x:f>
        <x:v>0</x:v>
      </x:c>
      <x:c r="C13" s="238" t="n">
        <x:f>0</x:f>
        <x:v>0</x:v>
      </x:c>
      <x:c r="D13" s="238" t="n">
        <x:f>ROUND(B13-C13,6)</x:f>
        <x:v>0</x:v>
      </x:c>
      <x:c r="E13" s="238" t="n">
        <x:f>0.01</x:f>
        <x:v>0.01</x:v>
      </x:c>
      <x:c r="F13" s="232" t="str">
        <x:f>IF(ABS(ROUND(D13,6))&lt;=E13,"PASS","FAIL")</x:f>
        <x:v>PASS</x:v>
      </x:c>
      <x:c r="G13" s="215" t="str">
        <x:v>Model: operating schedule</x:v>
      </x:c>
      <x:c r="H13" s="215"/>
    </x:row>
    <x:row r="14" ht="26" customHeight="1">
      <x:c r="A14" s="215" t="str">
        <x:v>CFADS bridge ties</x:v>
      </x:c>
      <x:c r="B14" s="238" t="n">
        <x:f>ROUND(MAX(ABS('Model'!C30),ABS('Model'!D30),ABS('Model'!E30),ABS('Model'!F30),ABS('Model'!G30)),6)</x:f>
        <x:v>0</x:v>
      </x:c>
      <x:c r="C14" s="238" t="n">
        <x:f>0</x:f>
        <x:v>0</x:v>
      </x:c>
      <x:c r="D14" s="238" t="n">
        <x:f>ROUND(B14-C14,6)</x:f>
        <x:v>0</x:v>
      </x:c>
      <x:c r="E14" s="238" t="n">
        <x:f>0.01</x:f>
        <x:v>0.01</x:v>
      </x:c>
      <x:c r="F14" s="232" t="str">
        <x:f>IF(ABS(ROUND(D14,6))&lt;=E14,"PASS","FAIL")</x:f>
        <x:v>PASS</x:v>
      </x:c>
      <x:c r="G14" s="215" t="str">
        <x:v>Model: CFADS schedule</x:v>
      </x:c>
      <x:c r="H14" s="215"/>
    </x:row>
    <x:row r="15" ht="26" customHeight="1">
      <x:c r="A15" s="215" t="str">
        <x:v>Debt-service bridge ties</x:v>
      </x:c>
      <x:c r="B15" s="238" t="n">
        <x:f>ROUND(MAX(ABS('Model'!C31),ABS('Model'!D31),ABS('Model'!E31),ABS('Model'!F31),ABS('Model'!G31)),6)</x:f>
        <x:v>0</x:v>
      </x:c>
      <x:c r="C15" s="238" t="n">
        <x:f>0</x:f>
        <x:v>0</x:v>
      </x:c>
      <x:c r="D15" s="238" t="n">
        <x:f>ROUND(B15-C15,6)</x:f>
        <x:v>0</x:v>
      </x:c>
      <x:c r="E15" s="238" t="n">
        <x:f>0.01</x:f>
        <x:v>0.01</x:v>
      </x:c>
      <x:c r="F15" s="232" t="str">
        <x:f>IF(ABS(ROUND(D15,6))&lt;=E15,"PASS","FAIL")</x:f>
        <x:v>PASS</x:v>
      </x:c>
      <x:c r="G15" s="215" t="str">
        <x:v>Model: debt service</x:v>
      </x:c>
      <x:c r="H15" s="215"/>
    </x:row>
    <x:row r="16" ht="26" customHeight="1">
      <x:c r="A16" s="215" t="str">
        <x:v>Debt roll-forward ties</x:v>
      </x:c>
      <x:c r="B16" s="238" t="n">
        <x:f>ROUND(MAX(ABS('Model'!B32),ABS('Model'!C32),ABS('Model'!D32),ABS('Model'!E32),ABS('Model'!F32),ABS('Model'!G32)),6)</x:f>
        <x:v>0</x:v>
      </x:c>
      <x:c r="C16" s="238" t="n">
        <x:f>0</x:f>
        <x:v>0</x:v>
      </x:c>
      <x:c r="D16" s="238" t="n">
        <x:f>ROUND(B16-C16,6)</x:f>
        <x:v>0</x:v>
      </x:c>
      <x:c r="E16" s="238" t="n">
        <x:f>0.01</x:f>
        <x:v>0.01</x:v>
      </x:c>
      <x:c r="F16" s="232" t="str">
        <x:f>IF(ABS(ROUND(D16,6))&lt;=E16,"PASS","FAIL")</x:f>
        <x:v>PASS</x:v>
      </x:c>
      <x:c r="G16" s="215" t="str">
        <x:v>Model: debt schedule</x:v>
      </x:c>
      <x:c r="H16" s="215"/>
    </x:row>
    <x:row r="17" ht="26" customHeight="1">
      <x:c r="A17" s="215" t="str">
        <x:v>Project and equity cash-flow bridges tie</x:v>
      </x:c>
      <x:c r="B17" s="238" t="n">
        <x:f>ROUND(MAX(ABS('Model'!B33),ABS('Model'!C33),ABS('Model'!D33),ABS('Model'!E33),ABS('Model'!F33),ABS('Model'!G33)),6)</x:f>
        <x:v>0</x:v>
      </x:c>
      <x:c r="C17" s="238" t="n">
        <x:f>0</x:f>
        <x:v>0</x:v>
      </x:c>
      <x:c r="D17" s="238" t="n">
        <x:f>ROUND(B17-C17,6)</x:f>
        <x:v>0</x:v>
      </x:c>
      <x:c r="E17" s="238" t="n">
        <x:f>0.01</x:f>
        <x:v>0.01</x:v>
      </x:c>
      <x:c r="F17" s="232" t="str">
        <x:f>IF(ABS(ROUND(D17,6))&lt;=E17,"PASS","FAIL")</x:f>
        <x:v>PASS</x:v>
      </x:c>
      <x:c r="G17" s="215" t="str">
        <x:v>Model: cash-flow bridges</x:v>
      </x:c>
      <x:c r="H17" s="215"/>
    </x:row>
    <x:row r="18" ht="26" customHeight="1">
      <x:c r="A18" s="215" t="str">
        <x:v>Debt fully amortizes within the selected tenor</x:v>
      </x:c>
      <x:c r="B18" s="238" t="n">
        <x:f>ROUND('Model'!G24,6)</x:f>
        <x:v>0</x:v>
      </x:c>
      <x:c r="C18" s="238" t="n">
        <x:f>0</x:f>
        <x:v>0</x:v>
      </x:c>
      <x:c r="D18" s="238" t="n">
        <x:f>ROUND(B18-C18,6)</x:f>
        <x:v>0</x:v>
      </x:c>
      <x:c r="E18" s="238" t="n">
        <x:f>0.01</x:f>
        <x:v>0.01</x:v>
      </x:c>
      <x:c r="F18" s="232" t="str">
        <x:f>IF(ABS(ROUND(D18,6))&lt;=E18,"PASS","FAIL")</x:f>
        <x:v>PASS</x:v>
      </x:c>
      <x:c r="G18" s="215" t="str">
        <x:v>Inputs: tenor, rate, or funding share</x:v>
      </x:c>
      <x:c r="H18" s="215"/>
    </x:row>
    <x:row r="19" ht="20" customHeight="1">
      <x:c r="A19" s="242" t="str">
        <x:v>A warning business outcome can still pass these controls; review Model and Results before making a decision.</x:v>
      </x:c>
      <x:c r="B19" s="243"/>
      <x:c r="C19" s="243"/>
      <x:c r="D19" s="243"/>
      <x:c r="E19" s="243"/>
      <x:c r="F19" s="243"/>
      <x:c r="G19" s="243"/>
      <x:c r="H19" s="244"/>
    </x:row>
    <x:row r="20" ht="20" customHeight="1">
      <x:c r="A20" s="63" t="str">
        <x:v>Project Finance Lite · 10 / 10 controls should show PASS · v1.4.0</x:v>
      </x:c>
      <x:c r="B20" s="63"/>
      <x:c r="C20" s="63"/>
      <x:c r="D20" s="63"/>
      <x:c r="E20" s="63"/>
      <x:c r="F20" s="63"/>
      <x:c r="G20" s="63"/>
      <x:c r="H20" s="63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