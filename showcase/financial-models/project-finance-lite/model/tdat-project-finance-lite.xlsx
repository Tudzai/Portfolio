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1d5279eedd47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81ddf49bcabb495a"/>
    <x:sheet xmlns:r="http://schemas.openxmlformats.org/officeDocument/2006/relationships" name="Guide" sheetId="2" r:id="R37c9b6c3a56e47ea"/>
    <x:sheet xmlns:r="http://schemas.openxmlformats.org/officeDocument/2006/relationships" name="Assumptions" sheetId="3" r:id="Rac2a346b93ee4f7c"/>
    <x:sheet xmlns:r="http://schemas.openxmlformats.org/officeDocument/2006/relationships" name="Project Inputs" sheetId="4" r:id="R54da0692e4f34d44"/>
    <x:sheet xmlns:r="http://schemas.openxmlformats.org/officeDocument/2006/relationships" name="Project Cash Flow" sheetId="5" r:id="R386098bbb67f42ed"/>
    <x:sheet xmlns:r="http://schemas.openxmlformats.org/officeDocument/2006/relationships" name="Sensitivity" sheetId="6" r:id="R9c655a33368741df"/>
    <x:sheet xmlns:r="http://schemas.openxmlformats.org/officeDocument/2006/relationships" name="Summary" sheetId="7" r:id="R453cd2b5bad44adf"/>
    <x:sheet xmlns:r="http://schemas.openxmlformats.org/officeDocument/2006/relationships" name="Checks" sheetId="8" r:id="R62770eece3a84769"/>
    <x:sheet xmlns:r="http://schemas.openxmlformats.org/officeDocument/2006/relationships" name="Sources &amp; Version" sheetId="9" r:id="R4581e976507e48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;(0.0%);-"/>
    <x:numFmt numFmtId="201" formatCode="0.0x;(0.0x);-"/>
    <x:numFmt numFmtId="202" formatCode="#,##0;(#,##0);-"/>
    <x:numFmt numFmtId="203" formatCode="#,##0.0;(#,##0.0);-"/>
    <x:numFmt numFmtId="204" formatCode="0.00;(0.0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6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  <x:border>
      <x:top style="thin">
        <x:color rgb="FF101827"/>
      </x:top>
      <x:bottom style="thin">
        <x:color rgb="FFDBE4EF"/>
      </x:bottom>
    </x:border>
  </x:borders>
  <x:cellStyleXfs count="1">
    <x:xf numFmtId="0" fontId="0" fillId="0" borderId="0"/>
  </x:cellStyleXfs>
  <x:cellXfs count="30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202" fontId="13" fillId="0" borderId="0" xfId="0" applyNumberFormat="1" applyFont="1" applyFill="1" applyBorder="1"/>
    <x:xf numFmtId="202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201" fontId="12" fillId="5" borderId="16" xfId="0" applyNumberFormat="1" applyFont="1" applyFill="1" applyBorder="1" applyAlignment="1">
      <x:alignment horizontal="right"/>
    </x:xf>
    <x:xf numFmtId="201" fontId="13" fillId="0" borderId="16" xfId="0" applyNumberFormat="1" applyFont="1" applyFill="1" applyBorder="1" applyAlignment="1">
      <x:alignment horizontal="right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2" fontId="12" fillId="5" borderId="19" xfId="0" applyNumberFormat="1" applyFont="1" applyFill="1" applyBorder="1" applyAlignment="1">
      <x:alignment horizontal="right"/>
    </x:xf>
    <x:xf numFmtId="202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203" fontId="12" fillId="5" borderId="0" xfId="0" applyNumberFormat="1" applyFont="1" applyFill="1" applyBorder="1"/>
    <x:xf numFmtId="203" fontId="12" fillId="5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/>
    <x:xf numFmtId="204" fontId="12" fillId="5" borderId="0" xfId="0" applyNumberFormat="1" applyFont="1" applyFill="1" applyBorder="1"/>
    <x:xf numFmtId="204" fontId="12" fillId="5" borderId="0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/>
    <x:xf numFmtId="203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3" fontId="12" fillId="5" borderId="22" xfId="0" applyNumberFormat="1" applyFont="1" applyFill="1" applyBorder="1" applyAlignment="1">
      <x:alignment horizontal="right"/>
    </x:xf>
    <x:xf numFmtId="204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3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3" fontId="16" fillId="0" borderId="0" xfId="0" applyNumberFormat="1" applyFont="1" applyFill="1" applyBorder="1"/>
    <x:xf numFmtId="203" fontId="16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3" fontId="16" fillId="0" borderId="24" xfId="0" applyNumberFormat="1" applyFont="1" applyFill="1" applyBorder="1" applyAlignment="1">
      <x:alignment horizontal="right"/>
    </x:xf>
    <x:xf numFmtId="0" fontId="6" fillId="6" borderId="24" xfId="0" applyNumberFormat="1" applyFont="1" applyFill="1" applyBorder="1" applyAlignment="1">
      <x:alignment wrapText="1"/>
    </x:xf>
    <x:xf numFmtId="203" fontId="16" fillId="6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3" fontId="16" fillId="8" borderId="24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3" fontId="13" fillId="0" borderId="0" xfId="0" applyNumberFormat="1" applyFont="1" applyFill="1" applyBorder="1"/>
    <x:xf numFmtId="203" fontId="13" fillId="0" borderId="0" xfId="0" applyNumberFormat="1" applyFont="1" applyFill="1" applyBorder="1" applyAlignment="1">
      <x:alignment horizontal="right"/>
    </x:xf>
    <x:xf numFmtId="203" fontId="13" fillId="0" borderId="24" xfId="0" applyNumberFormat="1" applyFont="1" applyFill="1" applyBorder="1" applyAlignment="1">
      <x:alignment horizontal="right"/>
    </x:xf>
    <x:xf numFmtId="203" fontId="13" fillId="6" borderId="24" xfId="0" applyNumberFormat="1" applyFont="1" applyFill="1" applyBorder="1" applyAlignment="1">
      <x:alignment horizontal="right"/>
    </x:xf>
    <x:xf numFmtId="201" fontId="13" fillId="0" borderId="24" xfId="0" applyNumberFormat="1" applyFont="1" applyFill="1" applyBorder="1" applyAlignment="1">
      <x:alignment horizontal="right"/>
    </x:xf>
    <x:xf numFmtId="201" fontId="13" fillId="6" borderId="24" xfId="0" applyNumberFormat="1" applyFont="1" applyFill="1" applyBorder="1" applyAlignment="1">
      <x:alignment horizontal="right"/>
    </x:xf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200" fontId="16" fillId="0" borderId="24" xfId="0" applyNumberFormat="1" applyFont="1" applyFill="1" applyBorder="1" applyAlignment="1">
      <x:alignment horizontal="right"/>
    </x:xf>
    <x:xf numFmtId="200" fontId="16" fillId="8" borderId="24" xfId="0" applyNumberFormat="1" applyFont="1" applyFill="1" applyBorder="1" applyAlignment="1">
      <x:alignment horizontal="right"/>
    </x:xf>
    <x:xf numFmtId="0" fontId="6" fillId="6" borderId="25" xfId="0" applyNumberFormat="1" applyFont="1" applyFill="1" applyBorder="1" applyAlignment="1">
      <x:alignment wrapText="1"/>
    </x:xf>
    <x:xf numFmtId="203" fontId="16" fillId="6" borderId="25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3" fontId="16" fillId="8" borderId="22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3" fontId="16" fillId="0" borderId="22" xfId="0" applyNumberFormat="1" applyFont="1" applyFill="1" applyBorder="1" applyAlignment="1">
      <x:alignment horizontal="right"/>
    </x:xf>
    <x:xf numFmtId="203" fontId="13" fillId="0" borderId="22" xfId="0" applyNumberFormat="1" applyFont="1" applyFill="1" applyBorder="1" applyAlignment="1">
      <x:alignment horizontal="right"/>
    </x:xf>
    <x:xf numFmtId="0" fontId="6" fillId="6" borderId="22" xfId="0" applyNumberFormat="1" applyFont="1" applyFill="1" applyBorder="1" applyAlignment="1">
      <x:alignment wrapText="1"/>
    </x:xf>
    <x:xf numFmtId="203" fontId="13" fillId="6" borderId="22" xfId="0" applyNumberFormat="1" applyFont="1" applyFill="1" applyBorder="1" applyAlignment="1">
      <x:alignment horizontal="right"/>
    </x:xf>
    <x:xf numFmtId="201" fontId="13" fillId="6" borderId="22" xfId="0" applyNumberFormat="1" applyFont="1" applyFill="1" applyBorder="1" applyAlignment="1">
      <x:alignment horizontal="right"/>
    </x:xf>
    <x:xf numFmtId="203" fontId="16" fillId="6" borderId="22" xfId="0" applyNumberFormat="1" applyFont="1" applyFill="1" applyBorder="1" applyAlignment="1">
      <x:alignment horizontal="right"/>
    </x:xf>
    <x:xf numFmtId="200" fontId="16" fillId="0" borderId="22" xfId="0" applyNumberFormat="1" applyFont="1" applyFill="1" applyBorder="1" applyAlignment="1">
      <x:alignment horizontal="right"/>
    </x:xf>
    <x:xf numFmtId="200" fontId="16" fillId="8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3" fontId="13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3" fontId="16" fillId="6" borderId="0" xfId="0" applyNumberFormat="1" applyFont="1" applyFill="1" applyBorder="1" applyAlignment="1">
      <x:alignment horizontal="right"/>
    </x:xf>
    <x:xf numFmtId="203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200" fontId="16" fillId="8" borderId="0" xfId="0" applyNumberFormat="1" applyFont="1" applyFill="1" applyBorder="1" applyAlignment="1">
      <x:alignment horizontal="right"/>
    </x:xf>
    <x:xf numFmtId="200" fontId="19" fillId="8" borderId="0" xfId="0" applyNumberFormat="1" applyFont="1" applyFill="1" applyBorder="1" applyAlignment="1">
      <x:alignment horizontal="right"/>
    </x:xf>
    <x:xf numFmtId="200" fontId="19" fillId="8" borderId="0" xfId="0" applyNumberFormat="1" applyFont="1" applyFill="1" applyBorder="1" applyAlignment="1">
      <x:alignment horizontal="center"/>
    </x:xf>
    <x:xf numFmtId="200" fontId="19" fillId="8" borderId="0" xfId="0" applyNumberFormat="1" applyFont="1" applyFill="1" applyBorder="1" applyAlignment="1">
      <x:alignment horizontal="center" vertical="center"/>
    </x:xf>
    <x:xf numFmtId="201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horizontal="right"/>
    </x:xf>
    <x:xf numFmtId="201" fontId="16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center"/>
    </x:xf>
    <x:xf numFmtId="201" fontId="18" fillId="5" borderId="0" xfId="0" applyNumberFormat="1" applyFont="1" applyFill="1" applyBorder="1" applyAlignment="1">
      <x:alignment horizontal="center" vertical="center"/>
    </x:xf>
    <x:xf numFmtId="203" fontId="16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center"/>
    </x:xf>
    <x:xf numFmtId="203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1" fontId="23" fillId="0" borderId="0" xfId="0" applyNumberFormat="1" applyFont="1" applyFill="1" applyBorder="1"/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0" fillId="0" borderId="21" xfId="0" applyNumberFormat="1" applyFont="1" applyFill="1" applyBorder="1"/>
    <x:xf numFmtId="203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3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1" fontId="23" fillId="0" borderId="22" xfId="0" applyNumberFormat="1" applyFont="1" applyFill="1" applyBorder="1"/>
    <x:xf numFmtId="202" fontId="23" fillId="0" borderId="22" xfId="0" applyNumberFormat="1" applyFont="1" applyFill="1" applyBorder="1"/>
    <x:xf numFmtId="0" fontId="0" fillId="0" borderId="23" xfId="0" applyNumberFormat="1" applyFont="1" applyFill="1" applyBorder="1"/>
    <x:xf numFmtId="203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0" fontId="31" fillId="0" borderId="0" xfId="0" applyNumberFormat="1" applyFont="1" applyFill="1" applyBorder="1" applyAlignment="1">
      <x:alignment horizontal="right"/>
    </x:xf>
    <x:xf numFmtId="201" fontId="31" fillId="0" borderId="0" xfId="0" applyNumberFormat="1" applyFont="1" applyFill="1" applyBorder="1" applyAlignment="1">
      <x:alignment horizontal="right"/>
    </x:xf>
    <x:xf numFmtId="203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dafb21aa0f4443" /><Relationship Type="http://schemas.openxmlformats.org/officeDocument/2006/relationships/theme" Target="/xl/theme/theme1.xml" Id="Re2e653e7235c4599" /><Relationship Type="http://schemas.openxmlformats.org/officeDocument/2006/relationships/sharedStrings" Target="/xl/sharedStrings.xml" Id="R62e671eca7c04b12" /><Relationship Type="http://schemas.openxmlformats.org/officeDocument/2006/relationships/worksheet" Target="/xl/worksheets/sheet1.xml" Id="R81ddf49bcabb495a" /><Relationship Type="http://schemas.openxmlformats.org/officeDocument/2006/relationships/worksheet" Target="/xl/worksheets/sheet2.xml" Id="R37c9b6c3a56e47ea" /><Relationship Type="http://schemas.openxmlformats.org/officeDocument/2006/relationships/worksheet" Target="/xl/worksheets/sheet3.xml" Id="Rac2a346b93ee4f7c" /><Relationship Type="http://schemas.openxmlformats.org/officeDocument/2006/relationships/worksheet" Target="/xl/worksheets/sheet4.xml" Id="R54da0692e4f34d44" /><Relationship Type="http://schemas.openxmlformats.org/officeDocument/2006/relationships/worksheet" Target="/xl/worksheets/sheet5.xml" Id="R386098bbb67f42ed" /><Relationship Type="http://schemas.openxmlformats.org/officeDocument/2006/relationships/worksheet" Target="/xl/worksheets/sheet6.xml" Id="R9c655a33368741df" /><Relationship Type="http://schemas.openxmlformats.org/officeDocument/2006/relationships/worksheet" Target="/xl/worksheets/sheet7.xml" Id="R453cd2b5bad44adf" /><Relationship Type="http://schemas.openxmlformats.org/officeDocument/2006/relationships/worksheet" Target="/xl/worksheets/sheet8.xml" Id="R62770eece3a84769" /><Relationship Type="http://schemas.openxmlformats.org/officeDocument/2006/relationships/worksheet" Target="/xl/worksheets/sheet9.xml" Id="R4581e976507e48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d5cf344658448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CFADS and debt service</a:t>
            </a:r>
          </a:p>
        </c:rich>
      </c:tx>
    </c:title>
    <c:plotArea>
      <c:lineChart>
        <c:grouping val="standard"/>
        <c:ser>
          <c:idx val="0"/>
          <c:order val="0"/>
          <c:tx>
            <c:v>Cash flow available for debt service</c:v>
          </c:tx>
          <c:marker>
            <c:symbol val="none"/>
          </c:marker>
          <c:cat>
            <c:strRef>
              <c:f>'Summary'!$A$16:$A$25</c:f>
              <c:strCache>
                <c:ptCount val="0"/>
              </c:strCache>
            </c:strRef>
          </c:cat>
          <c:val>
            <c:numRef>
              <c:f>'Summary'!$B$16:$B$25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Debt service</c:v>
          </c:tx>
          <c:marker>
            <c:symbol val="none"/>
          </c:marker>
          <c:cat>
            <c:strRef>
              <c:f>'Summary'!$A$16:$A$25</c:f>
              <c:strCache>
                <c:ptCount val="0"/>
              </c:strCache>
            </c:strRef>
          </c:cat>
          <c:val>
            <c:numRef>
              <c:f>'Summary'!$C$16:$C$25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d5cf344658448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25b8a7e8c45c45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TDAT-FM-PF-001  |  Built to flex. Built to tie. Built to trust.</x:v>
      </x:c>
      <x:c r="B2" s="6" t="str">
        <x:v>TDAT-FM-PF-001  |  Built to flex. Built to tie. Built to trust.</x:v>
      </x:c>
      <x:c r="C2" s="6" t="str">
        <x:v>TDAT-FM-PF-001  |  Built to flex. Built to tie. Built to trust.</x:v>
      </x:c>
      <x:c r="D2" s="6" t="str">
        <x:v>TDAT-FM-PF-001  |  Built to flex. Built to tie. Built to trust.</x:v>
      </x:c>
      <x:c r="E2" s="6" t="str">
        <x:v>TDAT-FM-PF-001  |  Built to flex. Built to tie. Built to trust.</x:v>
      </x:c>
      <x:c r="F2" s="6" t="str">
        <x:v>TDAT-FM-PF-001  |  Built to flex. Built to tie. Built to trust.</x:v>
      </x:c>
      <x:c r="G2" s="6" t="str">
        <x:v>TDAT-FM-PF-001  |  Built to flex. Built to tie. Built to trust.</x:v>
      </x:c>
      <x:c r="H2" s="6" t="str">
        <x:v>TDAT-FM-PF-001  |  Built to flex. Built to tie. Built to trust.</x:v>
      </x:c>
      <x:c r="I2" s="6" t="str">
        <x:v>TDAT-FM-PF-001  |  Built to flex. Built to tie. Built to trust.</x:v>
      </x:c>
      <x:c r="J2" s="6" t="str">
        <x:v>TDAT-FM-PF-001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40" t="str">
        <x:v>Project Finance Lite</x:v>
      </x:c>
      <x:c r="B5" s="240" t="str">
        <x:v>Project Finance Lite</x:v>
      </x:c>
      <x:c r="C5" s="240" t="str">
        <x:v>Project Finance Lite</x:v>
      </x:c>
      <x:c r="D5" s="240" t="str">
        <x:v>Project Finance Lite</x:v>
      </x:c>
      <x:c r="E5" s="240" t="str">
        <x:v>Project Finance Lite</x:v>
      </x:c>
      <x:c r="F5" s="240" t="str">
        <x:v>Project Finance Lite</x:v>
      </x:c>
      <x:c r="G5" s="149" t="str">
        <x:v>CALCULATION INTEGRITY</x:v>
      </x:c>
      <x:c r="H5" s="149" t="str">
        <x:v>CALCULATION INTEGRITY</x:v>
      </x:c>
      <x:c r="I5" s="149" t="str">
        <x:v>CALCULATION INTEGRITY</x:v>
      </x:c>
      <x:c r="J5" s="149" t="str">
        <x:v>CALCULATION INTEGRITY</x:v>
      </x:c>
    </x:row>
    <x:row r="6">
      <x:c r="A6" s="240" t="str">
        <x:v>Project Finance Lite</x:v>
      </x:c>
      <x:c r="B6" s="240" t="str">
        <x:v>Project Finance Lite</x:v>
      </x:c>
      <x:c r="C6" s="240" t="str">
        <x:v>Project Finance Lite</x:v>
      </x:c>
      <x:c r="D6" s="240" t="str">
        <x:v>Project Finance Lite</x:v>
      </x:c>
      <x:c r="E6" s="240" t="str">
        <x:v>Project Finance Lite</x:v>
      </x:c>
      <x:c r="F6" s="240" t="str">
        <x:v>Project Finance Lite</x:v>
      </x:c>
      <x:c r="G6" s="243" t="str">
        <x:f>'Checks'!$B$5</x:f>
        <x:v>PASS</x:v>
      </x:c>
      <x:c r="H6" s="243"/>
      <x:c r="I6" s="243"/>
      <x:c r="J6" s="243"/>
    </x:row>
    <x:row r="7">
      <x:c r="A7" s="240" t="str">
        <x:v>Project Finance Lite</x:v>
      </x:c>
      <x:c r="B7" s="240" t="str">
        <x:v>Project Finance Lite</x:v>
      </x:c>
      <x:c r="C7" s="240" t="str">
        <x:v>Project Finance Lite</x:v>
      </x:c>
      <x:c r="D7" s="240" t="str">
        <x:v>Project Finance Lite</x:v>
      </x:c>
      <x:c r="E7" s="240" t="str">
        <x:v>Project Finance Lite</x:v>
      </x:c>
      <x:c r="F7" s="240" t="str">
        <x:v>Project Finance Lite</x:v>
      </x:c>
      <x:c r="G7" s="243"/>
      <x:c r="H7" s="243"/>
      <x:c r="I7" s="243"/>
      <x:c r="J7" s="243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47" t="str">
        <x:v>Is the project bankable, and how do funding, construction, and operating assumptions affect returns?</x:v>
      </x:c>
      <x:c r="B10" s="247" t="str">
        <x:v>Is the project bankable, and how do funding, construction, and operating assumptions affect returns?</x:v>
      </x:c>
      <x:c r="C10" s="247" t="str">
        <x:v>Is the project bankable, and how do funding, construction, and operating assumptions affect returns?</x:v>
      </x:c>
      <x:c r="D10" s="247" t="str">
        <x:v>Is the project bankable, and how do funding, construction, and operating assumptions affect returns?</x:v>
      </x:c>
      <x:c r="E10" s="247" t="str">
        <x:v>Is the project bankable, and how do funding, construction, and operating assumptions affect returns?</x:v>
      </x:c>
      <x:c r="F10" s="247" t="str">
        <x:v>Is the project bankable, and how do funding, construction, and operating assumptions affect returns?</x:v>
      </x:c>
      <x:c r="G10" s="247" t="str">
        <x:v>Is the project bankable, and how do funding, construction, and operating assumptions affect returns?</x:v>
      </x:c>
      <x:c r="H10" s="247" t="str">
        <x:v>Is the project bankable, and how do funding, construction, and operating assumptions affect returns?</x:v>
      </x:c>
      <x:c r="I10" s="247" t="str">
        <x:v>Is the project bankable, and how do funding, construction, and operating assumptions affect returns?</x:v>
      </x:c>
      <x:c r="J10" s="247" t="str">
        <x:v>Is the project bankable, and how do funding, construction, and operating assumptions affect returns?</x:v>
      </x:c>
    </x:row>
    <x:row r="11">
      <x:c r="A11" s="247" t="str">
        <x:v>Is the project bankable, and how do funding, construction, and operating assumptions affect returns?</x:v>
      </x:c>
      <x:c r="B11" s="247" t="str">
        <x:v>Is the project bankable, and how do funding, construction, and operating assumptions affect returns?</x:v>
      </x:c>
      <x:c r="C11" s="247" t="str">
        <x:v>Is the project bankable, and how do funding, construction, and operating assumptions affect returns?</x:v>
      </x:c>
      <x:c r="D11" s="247" t="str">
        <x:v>Is the project bankable, and how do funding, construction, and operating assumptions affect returns?</x:v>
      </x:c>
      <x:c r="E11" s="247" t="str">
        <x:v>Is the project bankable, and how do funding, construction, and operating assumptions affect returns?</x:v>
      </x:c>
      <x:c r="F11" s="247" t="str">
        <x:v>Is the project bankable, and how do funding, construction, and operating assumptions affect returns?</x:v>
      </x:c>
      <x:c r="G11" s="247" t="str">
        <x:v>Is the project bankable, and how do funding, construction, and operating assumptions affect returns?</x:v>
      </x:c>
      <x:c r="H11" s="247" t="str">
        <x:v>Is the project bankable, and how do funding, construction, and operating assumptions affect returns?</x:v>
      </x:c>
      <x:c r="I11" s="247" t="str">
        <x:v>Is the project bankable, and how do funding, construction, and operating assumptions affect returns?</x:v>
      </x:c>
      <x:c r="J11" s="247" t="str">
        <x:v>Is the project bankable, and how do funding, construction, and operating assumptions affect returns?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48" t="str">
        <x:v>Calculation integrity</x:v>
      </x:c>
      <x:c r="B14" s="249" t="str">
        <x:v>Decision readiness</x:v>
      </x:c>
      <x:c r="C14" s="254" t="str">
        <x:f>'Checks'!$B$5</x:f>
        <x:v>PASS</x:v>
      </x:c>
      <x:c r="D14" s="254"/>
      <x:c r="E14" s="254"/>
      <x:c r="F14" s="269" t="str">
        <x:v>TEMPLATE — VALIDATE INPUTS</x:v>
      </x:c>
      <x:c r="G14" s="269" t="str">
        <x:v>TEMPLATE — VALIDATE INPUTS</x:v>
      </x:c>
      <x:c r="H14" s="269" t="str">
        <x:v>TEMPLATE — VALIDATE INPUTS</x:v>
      </x:c>
      <x:c r="I14" s="269" t="str">
        <x:v>TEMPLATE — VALIDATE INPUTS</x:v>
      </x:c>
      <x:c r="J14" s="270" t="str">
        <x:v>TEMPLATE — VALIDATE INPUTS</x:v>
      </x:c>
    </x:row>
    <x:row r="15">
      <x:c r="A15" s="250" t="str">
        <x:v>Published checks</x:v>
      </x:c>
      <x:c r="B15" s="251" t="str">
        <x:v>Template posture</x:v>
      </x:c>
      <x:c r="C15" s="255" t="str">
        <x:f>"10 / 10 PASS"</x:f>
        <x:v>10 / 10 PASS</x:v>
      </x:c>
      <x:c r="D15" s="255"/>
      <x:c r="E15" s="255"/>
      <x:c r="F15" s="271" t="str">
        <x:v>Illustrative, screen-grade worked example</x:v>
      </x:c>
      <x:c r="G15" s="271" t="str">
        <x:v>Illustrative, screen-grade worked example</x:v>
      </x:c>
      <x:c r="H15" s="271" t="str">
        <x:v>Illustrative, screen-grade worked example</x:v>
      </x:c>
      <x:c r="I15" s="271" t="str">
        <x:v>Illustrative, screen-grade worked example</x:v>
      </x:c>
      <x:c r="J15" s="272" t="str">
        <x:v>Illustrative, screen-grade worked example</x:v>
      </x:c>
    </x:row>
    <x:row r="16">
      <x:c r="A16" s="250" t="str">
        <x:v>Scenario</x:v>
      </x:c>
      <x:c r="B16" s="251" t="str">
        <x:v>Evidence</x:v>
      </x:c>
      <x:c r="C16" s="255" t="str">
        <x:f>'Assumptions'!$B$3</x:f>
        <x:v>Base</x:v>
      </x:c>
      <x:c r="D16" s="255"/>
      <x:c r="E16" s="255"/>
      <x:c r="F16" s="271" t="str">
        <x:v>Synthetic / illustrative</x:v>
      </x:c>
      <x:c r="G16" s="271" t="str">
        <x:v>Synthetic / illustrative</x:v>
      </x:c>
      <x:c r="H16" s="271" t="str">
        <x:v>Synthetic / illustrative</x:v>
      </x:c>
      <x:c r="I16" s="271" t="str">
        <x:v>Synthetic / illustrative</x:v>
      </x:c>
      <x:c r="J16" s="272" t="str">
        <x:v>Synthetic / illustrative</x:v>
      </x:c>
    </x:row>
    <x:row r="17">
      <x:c r="A17" s="252" t="str">
        <x:v>Owner</x:v>
      </x:c>
      <x:c r="B17" s="253" t="str">
        <x:v>Use</x:v>
      </x:c>
      <x:c r="C17" s="256" t="str">
        <x:f>'Sources &amp; Version'!$B$12</x:f>
        <x:v>Truong Dinh Anh Tu</x:v>
      </x:c>
      <x:c r="D17" s="256"/>
      <x:c r="E17" s="256"/>
      <x:c r="F17" s="273" t="str">
        <x:v>Project Finance · Infrastructure Finance · Lending · Investment Analyst</x:v>
      </x:c>
      <x:c r="G17" s="273" t="str">
        <x:v>Project Finance · Infrastructure Finance · Lending · Investment Analyst</x:v>
      </x:c>
      <x:c r="H17" s="273" t="str">
        <x:v>Project Finance · Infrastructure Finance · Lending · Investment Analyst</x:v>
      </x:c>
      <x:c r="I17" s="273" t="str">
        <x:v>Project Finance · Infrastructure Finance · Lending · Investment Analyst</x:v>
      </x:c>
      <x:c r="J17" s="274" t="str">
        <x:v>Project Finance · Infrastructure Finance · Lending · Investment Analyst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29" t="str">
        <x:v>Model ID</x:v>
      </x:c>
      <x:c r="B20" s="162" t="str">
        <x:v>TDAT-FM-PF-001</x:v>
      </x:c>
      <x:c r="C20" s="231" t="str">
        <x:v>Version</x:v>
      </x:c>
      <x:c r="D20" s="162" t="str">
        <x:v>1.0.0</x:v>
      </x:c>
      <x:c r="E20" s="231" t="str">
        <x:v>Last QA</x:v>
      </x:c>
      <x:c r="F20" s="163" t="str">
        <x:v>2026-07-13</x:v>
      </x:c>
      <x:c r="G20" s="278" t="str">
        <x:v>Equity IRR</x:v>
      </x:c>
      <x:c r="H20" s="278" t="str">
        <x:v>Equity IRR</x:v>
      </x:c>
      <x:c r="I20" s="279" t="n">
        <x:f>'Project Cash Flow'!K$23</x:f>
        <x:v>0.4914446546308637</x:v>
      </x:c>
      <x:c r="J20" s="279"/>
    </x:row>
    <x:row r="21">
      <x:c r="A21" s="276" t="str">
        <x:v>Domain</x:v>
      </x:c>
      <x:c r="B21" s="165" t="str">
        <x:v>Project &amp; Real Assets</x:v>
      </x:c>
      <x:c r="C21" s="277" t="str">
        <x:v>Compatibility</x:v>
      </x:c>
      <x:c r="D21" s="165" t="str">
        <x:v>Excel 365</x:v>
      </x:c>
      <x:c r="E21" s="277" t="str">
        <x:v>Macros</x:v>
      </x:c>
      <x:c r="F21" s="166" t="str">
        <x:v>None</x:v>
      </x:c>
      <x:c r="G21" s="278" t="str">
        <x:v>Project IRR</x:v>
      </x:c>
      <x:c r="H21" s="278" t="str">
        <x:v>Project IRR</x:v>
      </x:c>
      <x:c r="I21" s="279" t="n">
        <x:f>'Project Cash Flow'!K$22</x:f>
        <x:v>0.3519686294642025</x:v>
      </x:c>
      <x:c r="J21" s="279"/>
    </x:row>
    <x:row r="22">
      <x:c r="A22" s="276" t="str">
        <x:v>Horizon</x:v>
      </x:c>
      <x:c r="B22" s="165" t="str">
        <x:v>Construction + 10–25 years</x:v>
      </x:c>
      <x:c r="C22" s="277" t="str">
        <x:v>Frequency</x:v>
      </x:c>
      <x:c r="D22" s="165" t="str">
        <x:v>Annual</x:v>
      </x:c>
      <x:c r="E22" s="277" t="str">
        <x:v>External links</x:v>
      </x:c>
      <x:c r="F22" s="166" t="str">
        <x:v>None</x:v>
      </x:c>
      <x:c r="G22" s="278" t="str">
        <x:v>Minimum operating DSCR</x:v>
      </x:c>
      <x:c r="H22" s="278" t="str">
        <x:v>Minimum operating DSCR</x:v>
      </x:c>
      <x:c r="I22" s="280" t="n">
        <x:f>MIN('Project Cash Flow'!D19:K19)</x:f>
        <x:v>0</x:v>
      </x:c>
      <x:c r="J22" s="280"/>
    </x:row>
    <x:row r="23">
      <x:c r="A23" s="276" t="str">
        <x:v>Currency</x:v>
      </x:c>
      <x:c r="B23" s="165" t="str">
        <x:v>LCY</x:v>
      </x:c>
      <x:c r="C23" s="277" t="str">
        <x:v>Units</x:v>
      </x:c>
      <x:c r="D23" s="165" t="str">
        <x:v>LCY millions</x:v>
      </x:c>
      <x:c r="E23" s="277" t="str">
        <x:v>Scenario</x:v>
      </x:c>
      <x:c r="F23" s="166" t="str">
        <x:v>Base / Upside / Downside</x:v>
      </x:c>
      <x:c r="G23" s="278" t="str">
        <x:v>Peak debt</x:v>
      </x:c>
      <x:c r="H23" s="278" t="str">
        <x:v>Peak debt</x:v>
      </x:c>
      <x:c r="I23" s="281" t="n">
        <x:f>MAX('Project Cash Flow'!B17:K17)</x:f>
        <x:v>195</x:v>
      </x:c>
      <x:c r="J23" s="281"/>
    </x:row>
    <x:row r="24">
      <x:c r="A24" s="230" t="str">
        <x:v>Owner</x:v>
      </x:c>
      <x:c r="B24" s="168" t="str">
        <x:v>Truong Dinh Anh Tu</x:v>
      </x:c>
      <x:c r="C24" s="232" t="str">
        <x:v>Standard</x:v>
      </x:c>
      <x:c r="D24" s="168" t="str">
        <x:v>TDAT Model Standard 1.0</x:v>
      </x:c>
      <x:c r="E24" s="232" t="str">
        <x:v>Evidence</x:v>
      </x:c>
      <x:c r="F24" s="169" t="str">
        <x:v>Synthetic worked template</x:v>
      </x:c>
      <x:c r="G24" s="278" t="str">
        <x:v>Total capex</x:v>
      </x:c>
      <x:c r="H24" s="278" t="str">
        <x:v>Total capex</x:v>
      </x:c>
      <x:c r="I24" s="281" t="n">
        <x:f>SUM('Project Inputs'!B$6:'Project Inputs'!K$6)</x:f>
        <x:v>300</x:v>
      </x:c>
      <x:c r="J24" s="281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301" t="str">
        <x:v>Blue font</x:v>
      </x:c>
      <x:c r="B27" s="293" t="str">
        <x:v>Editable hardcode</x:v>
      </x:c>
      <x:c r="C27" s="302" t="str">
        <x:v>Black font</x:v>
      </x:c>
      <x:c r="D27" s="293" t="str">
        <x:v>In-sheet formula</x:v>
      </x:c>
      <x:c r="E27" s="303" t="str">
        <x:v>Green font</x:v>
      </x:c>
      <x:c r="F27" s="293" t="str">
        <x:v>Cross-sheet formula</x:v>
      </x:c>
      <x:c r="G27" s="304" t="str">
        <x:v>Pale amber</x:v>
      </x:c>
      <x:c r="H27" s="304" t="str">
        <x:v>Scenario / review cue</x:v>
      </x:c>
      <x:c r="I27" s="305" t="str">
        <x:v>Teal</x:v>
      </x:c>
      <x:c r="J27" s="306" t="str">
        <x:v>PASS / trusted output</x:v>
      </x:c>
    </x:row>
    <x:row r="28">
      <x:c r="A28" s="295" t="str">
        <x:v>Actual</x:v>
      </x:c>
      <x:c r="B28" s="296" t="str">
        <x:v>Neutral period band</x:v>
      </x:c>
      <x:c r="C28" s="296" t="str">
        <x:v>Forecast</x:v>
      </x:c>
      <x:c r="D28" s="296" t="str">
        <x:v>Pale-blue period band</x:v>
      </x:c>
      <x:c r="E28" s="296" t="str">
        <x:v>Zero</x:v>
      </x:c>
      <x:c r="F28" s="296" t="str">
        <x:v>Displayed as an en dash</x:v>
      </x:c>
      <x:c r="G28" s="296" t="str">
        <x:v>Rule</x:v>
      </x:c>
      <x:c r="H28" s="296" t="str">
        <x:v>Keep formulas copy-across</x:v>
      </x:c>
      <x:c r="I28" s="296" t="str">
        <x:v>Rule</x:v>
      </x:c>
      <x:c r="J28" s="297" t="str">
        <x:v>Recheck after every change</x:v>
      </x:c>
    </x:row>
    <x:row r="29">
      <x:c r="A29" s="298" t="str">
        <x:v>Status</x:v>
      </x:c>
      <x:c r="B29" s="299" t="str">
        <x:v>PASS means controls tie</x:v>
      </x:c>
      <x:c r="C29" s="299" t="str">
        <x:v>Readiness</x:v>
      </x:c>
      <x:c r="D29" s="299" t="str">
        <x:v>Inputs still require review</x:v>
      </x:c>
      <x:c r="E29" s="299" t="str">
        <x:v>Privacy</x:v>
      </x:c>
      <x:c r="F29" s="299" t="str">
        <x:v>Public-safe example</x:v>
      </x:c>
      <x:c r="G29" s="299" t="str">
        <x:v>Use</x:v>
      </x:c>
      <x:c r="H29" s="299" t="str">
        <x:v>Adapt and validate</x:v>
      </x:c>
      <x:c r="I29" s="299" t="str">
        <x:v>Support</x:v>
      </x:c>
      <x:c r="J29" s="300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Project Finance Lite  |  Scope, setup, flexibility, and limitations</x:v>
      </x:c>
      <x:c r="B2" s="6" t="str">
        <x:v>Project Finance Lite  |  Scope, setup, flexibility, and limitations</x:v>
      </x:c>
      <x:c r="C2" s="6" t="str">
        <x:v>Project Finance Lite  |  Scope, setup, flexibility, and limitations</x:v>
      </x:c>
      <x:c r="D2" s="6" t="str">
        <x:v>Project Finance Lite  |  Scope, setup, flexibility, and limitations</x:v>
      </x:c>
      <x:c r="E2" s="6" t="str">
        <x:v>Project Finance Lite  |  Scope, setup, flexibility, and limitations</x:v>
      </x:c>
      <x:c r="F2" s="6" t="str">
        <x:v>Project Finance Lite  |  Scope, setup, flexibility, and limitations</x:v>
      </x:c>
      <x:c r="G2" s="6" t="str">
        <x:v>Project Finance Lite  |  Scope, setup, flexibility, and limitations</x:v>
      </x:c>
      <x:c r="H2" s="6" t="str">
        <x:v>Project Finance Lite  |  Scope, setup, flexibility, and limitations</x:v>
      </x:c>
      <x:c r="I2" s="6" t="str">
        <x:v>Project Finance Lite  |  Scope, setup, flexibility, and limitations</x:v>
      </x:c>
      <x:c r="J2" s="6" t="str">
        <x:v>Project Finance Lite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B6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C6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D6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E6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F6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G6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H6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I6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J6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</x:row>
    <x:row r="7">
      <x:c r="A7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B7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C7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D7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E7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F7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G7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H7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I7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J7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</x:row>
    <x:row r="8">
      <x:c r="A8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B8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C8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D8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E8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F8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G8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H8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I8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  <x:c r="J8" s="12" t="str">
        <x:v>Construction draw, operating cash flow, debt service, DSCR, project IRR, equity IRR, and funding gap.
Primary users: Project Finance, Infrastructure Finance, Lending, Investment Analyst. Typical use: Bankability, Project returns, Funding.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Is the project bankable, and how do funding, construction, and operating assumptions affect returns?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Project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Project Cash Flow;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Project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Project Cash Flow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Capex overrun × Tariff / volume realization recalculation of Illustrative equity value creation.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Project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Project Cash Flow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Illustrative project-finance template only. Validate construction contracts, funding commitments, tax, debt terms, reserve requirements, coverage definitions, legal waterfall, and bankability with qualified advisors.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B37" s="43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C37" s="43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D37" s="43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E37" s="43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F37" s="43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G37" s="43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H37" s="43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I37" s="43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J37" s="44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</x:row>
    <x:row r="38">
      <x:c r="A38" s="45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B38" s="46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C38" s="46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D38" s="46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E38" s="46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F38" s="46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G38" s="46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H38" s="46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I38" s="46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J38" s="47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</x:row>
    <x:row r="39">
      <x:c r="A39" s="48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B39" s="49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C39" s="49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D39" s="49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E39" s="49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F39" s="49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G39" s="49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H39" s="49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I39" s="49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  <x:c r="J39" s="50" t="str">
        <x:v>Deliberately excluded in version 1.0.0: construction interest circularity; DSRA; detailed tax losses; contractual waterfall; lender term sheet; bankability opinion.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Project Finance Lite  |  One controlled selector and visible driver cases</x:v>
      </x:c>
      <x:c r="B2" s="6" t="str">
        <x:v>Project Finance Lite  |  One controlled selector and visible driver cases</x:v>
      </x:c>
      <x:c r="C2" s="6" t="str">
        <x:v>Project Finance Lite  |  One controlled selector and visible driver cases</x:v>
      </x:c>
      <x:c r="D2" s="6" t="str">
        <x:v>Project Finance Lite  |  One controlled selector and visible driver cases</x:v>
      </x:c>
      <x:c r="E2" s="6" t="str">
        <x:v>Project Finance Lite  |  One controlled selector and visible driver cases</x:v>
      </x:c>
      <x:c r="F2" s="6" t="str">
        <x:v>Project Finance Lite  |  One controlled selector and visible driver cases</x:v>
      </x:c>
      <x:c r="G2" s="6" t="str">
        <x:v>Project Finance Lite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4" t="str">
        <x:v>Debt funding / capex</x:v>
      </x:c>
      <x:c r="B6" s="85" t="str">
        <x:v>%</x:v>
      </x:c>
      <x:c r="C6" s="86" t="n">
        <x:v>0.65</x:v>
      </x:c>
      <x:c r="D6" s="86" t="n">
        <x:v>0.7</x:v>
      </x:c>
      <x:c r="E6" s="86" t="n">
        <x:v>0.55</x:v>
      </x:c>
      <x:c r="F6" s="87" t="n">
        <x:f>IF($B$3="Base",C6,IF($B$3="Upside",D6,E6))</x:f>
        <x:v>0.65</x:v>
      </x:c>
      <x:c r="G6" s="88" t="str">
        <x:v>Replace with an approved, sourced assumption.</x:v>
      </x:c>
    </x:row>
    <x:row r="7">
      <x:c r="A7" s="89" t="str">
        <x:v>Debt interest rate</x:v>
      </x:c>
      <x:c r="B7" s="90" t="str">
        <x:v>%</x:v>
      </x:c>
      <x:c r="C7" s="91" t="n">
        <x:v>0.075</x:v>
      </x:c>
      <x:c r="D7" s="91" t="n">
        <x:v>0.065</x:v>
      </x:c>
      <x:c r="E7" s="91" t="n">
        <x:v>0.095</x:v>
      </x:c>
      <x:c r="F7" s="92" t="n">
        <x:f>IF($B$3="Base",C7,IF($B$3="Upside",D7,E7))</x:f>
        <x:v>0.075</x:v>
      </x:c>
      <x:c r="G7" s="93" t="str">
        <x:v>Replace with an approved, sourced assumption.</x:v>
      </x:c>
    </x:row>
    <x:row r="8">
      <x:c r="A8" s="89" t="str">
        <x:v>Cash tax rate</x:v>
      </x:c>
      <x:c r="B8" s="90" t="str">
        <x:v>%</x:v>
      </x:c>
      <x:c r="C8" s="91" t="n">
        <x:v>0.2</x:v>
      </x:c>
      <x:c r="D8" s="91" t="n">
        <x:v>0.2</x:v>
      </x:c>
      <x:c r="E8" s="91" t="n">
        <x:v>0.22</x:v>
      </x:c>
      <x:c r="F8" s="92" t="n">
        <x:f>IF($B$3="Base",C8,IF($B$3="Upside",D8,E8))</x:f>
        <x:v>0.2</x:v>
      </x:c>
      <x:c r="G8" s="93" t="str">
        <x:v>Replace with an approved, sourced assumption.</x:v>
      </x:c>
    </x:row>
    <x:row r="9">
      <x:c r="A9" s="89" t="str">
        <x:v>Target DSCR</x:v>
      </x:c>
      <x:c r="B9" s="90" t="str">
        <x:v>x</x:v>
      </x:c>
      <x:c r="C9" s="94" t="n">
        <x:v>1.3</x:v>
      </x:c>
      <x:c r="D9" s="94" t="n">
        <x:v>1.25</x:v>
      </x:c>
      <x:c r="E9" s="94" t="n">
        <x:v>1.45</x:v>
      </x:c>
      <x:c r="F9" s="95" t="n">
        <x:f>IF($B$3="Base",C9,IF($B$3="Upside",D9,E9))</x:f>
        <x:v>1.3</x:v>
      </x:c>
      <x:c r="G9" s="93" t="str">
        <x:v>Replace with an approved, sourced assumption.</x:v>
      </x:c>
    </x:row>
    <x:row r="10">
      <x:c r="A10" s="96" t="str">
        <x:v>Depreciable life</x:v>
      </x:c>
      <x:c r="B10" s="97" t="str">
        <x:v>years</x:v>
      </x:c>
      <x:c r="C10" s="98" t="n">
        <x:v>20</x:v>
      </x:c>
      <x:c r="D10" s="98" t="n">
        <x:v>25</x:v>
      </x:c>
      <x:c r="E10" s="98" t="n">
        <x:v>15</x:v>
      </x:c>
      <x:c r="F10" s="99" t="n">
        <x:f>IF($B$3="Base",C10,IF($B$3="Upside",D10,E10))</x:f>
        <x:v>20</x:v>
      </x:c>
      <x:c r="G10" s="100" t="str">
        <x:v>Replace with an approved, sourced assumption.</x:v>
      </x:c>
    </x:row>
    <x:row r="12">
      <x:c r="A12" s="42" t="str">
        <x:v>Scenario discipline: change a small number of decision-relevant drivers, preserve the core formula architecture, and document what changed, why, who owns it, and what action follows.</x:v>
      </x:c>
      <x:c r="B12" s="43" t="str">
        <x:v>Scenario discipline: change a small number of decision-relevant drivers, preserve the core formula architecture, and document what changed, why, who owns it, and what action follows.</x:v>
      </x:c>
      <x:c r="C12" s="43" t="str">
        <x:v>Scenario discipline: change a small number of decision-relevant drivers, preserve the core formula architecture, and document what changed, why, who owns it, and what action follows.</x:v>
      </x:c>
      <x:c r="D12" s="43" t="str">
        <x:v>Scenario discipline: change a small number of decision-relevant drivers, preserve the core formula architecture, and document what changed, why, who owns it, and what action follows.</x:v>
      </x:c>
      <x:c r="E12" s="43" t="str">
        <x:v>Scenario discipline: change a small number of decision-relevant drivers, preserve the core formula architecture, and document what changed, why, who owns it, and what action follows.</x:v>
      </x:c>
      <x:c r="F12" s="43" t="str">
        <x:v>Scenario discipline: change a small number of decision-relevant drivers, preserve the core formula architecture, and document what changed, why, who owns it, and what action follows.</x:v>
      </x:c>
      <x:c r="G12" s="44" t="str">
        <x:v>Scenario discipline: change a small number of decision-relevant drivers, preserve the core formula architecture, and document what changed, why, who owns it, and what action follows.</x:v>
      </x:c>
    </x:row>
    <x:row r="13">
      <x:c r="A13" s="45" t="str">
        <x:v>Scenario discipline: change a small number of decision-relevant drivers, preserve the core formula architecture, and document what changed, why, who owns it, and what action follows.</x:v>
      </x:c>
      <x:c r="B13" s="46" t="str">
        <x:v>Scenario discipline: change a small number of decision-relevant drivers, preserve the core formula architecture, and document what changed, why, who owns it, and what action follows.</x:v>
      </x:c>
      <x:c r="C13" s="46" t="str">
        <x:v>Scenario discipline: change a small number of decision-relevant drivers, preserve the core formula architecture, and document what changed, why, who owns it, and what action follows.</x:v>
      </x:c>
      <x:c r="D13" s="46" t="str">
        <x:v>Scenario discipline: change a small number of decision-relevant drivers, preserve the core formula architecture, and document what changed, why, who owns it, and what action follows.</x:v>
      </x:c>
      <x:c r="E13" s="46" t="str">
        <x:v>Scenario discipline: change a small number of decision-relevant drivers, preserve the core formula architecture, and document what changed, why, who owns it, and what action follows.</x:v>
      </x:c>
      <x:c r="F13" s="46" t="str">
        <x:v>Scenario discipline: change a small number of decision-relevant drivers, preserve the core formula architecture, and document what changed, why, who owns it, and what action follows.</x:v>
      </x:c>
      <x:c r="G13" s="47" t="str">
        <x:v>Scenario discipline: change a small number of decision-relevant drivers, preserve the core formula architecture, and document what changed, why, who owns it, and what action follows.</x:v>
      </x:c>
    </x:row>
    <x:row r="14">
      <x:c r="A14" s="48" t="str">
        <x:v>Scenario discipline: change a small number of decision-relevant drivers, preserve the core formula architecture, and document what changed, why, who owns it, and what action follows.</x:v>
      </x:c>
      <x:c r="B14" s="49" t="str">
        <x:v>Scenario discipline: change a small number of decision-relevant drivers, preserve the core formula architecture, and document what changed, why, who owns it, and what action follows.</x:v>
      </x:c>
      <x:c r="C14" s="49" t="str">
        <x:v>Scenario discipline: change a small number of decision-relevant drivers, preserve the core formula architecture, and document what changed, why, who owns it, and what action follows.</x:v>
      </x:c>
      <x:c r="D14" s="49" t="str">
        <x:v>Scenario discipline: change a small number of decision-relevant drivers, preserve the core formula architecture, and document what changed, why, who owns it, and what action follows.</x:v>
      </x:c>
      <x:c r="E14" s="49" t="str">
        <x:v>Scenario discipline: change a small number of decision-relevant drivers, preserve the core formula architecture, and document what changed, why, who owns it, and what action follows.</x:v>
      </x:c>
      <x:c r="F14" s="49" t="str">
        <x:v>Scenario discipline: change a small number of decision-relevant drivers, preserve the core formula architecture, and document what changed, why, who owns it, and what action follows.</x:v>
      </x:c>
      <x:c r="G14" s="50" t="str">
        <x:v>Scenario discipline: change a small number of decision-relevant drivers, preserve the core formula architecture, and document what changed, why, who owns it, and what action follows.</x:v>
      </x:c>
    </x:row>
    <x:row r="16">
      <x:c r="A16" s="53" t="str">
        <x:v>TDAT Model Library  |  Trust builds the brand. Insight builds the decision.</x:v>
      </x:c>
      <x:c r="B16" s="53" t="str">
        <x:v>TDAT Model Library  |  Trust builds the brand. Insight builds the decision.</x:v>
      </x:c>
      <x:c r="C16" s="53" t="str">
        <x:v>TDAT Model Library  |  Trust builds the brand. Insight builds the decision.</x:v>
      </x:c>
      <x:c r="D16" s="53" t="str">
        <x:v>TDAT Model Library  |  Trust builds the brand. Insight builds the decision.</x:v>
      </x:c>
      <x:c r="E16" s="53" t="str">
        <x:v>TDAT Model Library  |  Trust builds the brand. Insight builds the decision.</x:v>
      </x:c>
      <x:c r="F16" s="53" t="str">
        <x:v>TDAT Model Library  |  Trust builds the brand. Insight builds the decision.</x:v>
      </x:c>
      <x:c r="G16" s="53" t="str">
        <x:v>TDAT Model Library  |  Trust builds the brand. Insight builds the decision.</x:v>
      </x:c>
    </x:row>
  </x:sheetData>
  <x:mergeCells>
    <x:mergeCell ref="A1:G1"/>
    <x:mergeCell ref="A2:G2"/>
    <x:mergeCell ref="A12:G14"/>
    <x:mergeCell ref="A16:G16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1" ht="34" customHeight="1">
      <x:c r="A1" s="3" t="str">
        <x:v>PROJECT INPUTS</x:v>
      </x:c>
      <x:c r="B1" s="3" t="str">
        <x:v>PROJECT INPUTS</x:v>
      </x:c>
      <x:c r="C1" s="3" t="str">
        <x:v>PROJECT INPUTS</x:v>
      </x:c>
      <x:c r="D1" s="3" t="str">
        <x:v>PROJECT INPUTS</x:v>
      </x:c>
      <x:c r="E1" s="3" t="str">
        <x:v>PROJECT INPUTS</x:v>
      </x:c>
      <x:c r="F1" s="3" t="str">
        <x:v>PROJECT INPUTS</x:v>
      </x:c>
      <x:c r="G1" s="3" t="str">
        <x:v>PROJECT INPUTS</x:v>
      </x:c>
      <x:c r="H1" s="3" t="str">
        <x:v>PROJECT INPUTS</x:v>
      </x:c>
      <x:c r="I1" s="3" t="str">
        <x:v>PROJECT INPUTS</x:v>
      </x:c>
      <x:c r="J1" s="3" t="str">
        <x:v>PROJECT INPUTS</x:v>
      </x:c>
      <x:c r="K1" s="3" t="str">
        <x:v>PROJECT INPUTS</x:v>
      </x:c>
    </x:row>
    <x:row r="2" ht="24" customHeight="1">
      <x:c r="A2" s="6" t="str">
        <x:v>Project Finance Lite  |  Synthetic worked inputs — replace blue cells</x:v>
      </x:c>
      <x:c r="B2" s="6" t="str">
        <x:v>Project Finance Lite  |  Synthetic worked inputs — replace blue cells</x:v>
      </x:c>
      <x:c r="C2" s="6" t="str">
        <x:v>Project Finance Lite  |  Synthetic worked inputs — replace blue cells</x:v>
      </x:c>
      <x:c r="D2" s="6" t="str">
        <x:v>Project Finance Lite  |  Synthetic worked inputs — replace blue cells</x:v>
      </x:c>
      <x:c r="E2" s="6" t="str">
        <x:v>Project Finance Lite  |  Synthetic worked inputs — replace blue cells</x:v>
      </x:c>
      <x:c r="F2" s="6" t="str">
        <x:v>Project Finance Lite  |  Synthetic worked inputs — replace blue cells</x:v>
      </x:c>
      <x:c r="G2" s="6" t="str">
        <x:v>Project Finance Lite  |  Synthetic worked inputs — replace blue cells</x:v>
      </x:c>
      <x:c r="H2" s="6" t="str">
        <x:v>Project Finance Lite  |  Synthetic worked inputs — replace blue cells</x:v>
      </x:c>
      <x:c r="I2" s="6" t="str">
        <x:v>Project Finance Lite  |  Synthetic worked inputs — replace blue cells</x:v>
      </x:c>
      <x:c r="J2" s="6" t="str">
        <x:v>Project Finance Lite  |  Synthetic worked inputs — replace blue cells</x:v>
      </x:c>
      <x:c r="K2" s="6" t="str">
        <x:v>Project Finance Lite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</x:row>
    <x:row r="5" ht="24" customHeight="1">
      <x:c r="A5" s="66" t="str">
        <x:v>Input / Period</x:v>
      </x:c>
      <x:c r="B5" s="67" t="str">
        <x:v>Y1</x:v>
      </x:c>
      <x:c r="C5" s="67" t="str">
        <x:v>Y2</x:v>
      </x:c>
      <x:c r="D5" s="67" t="str">
        <x:v>Y3</x:v>
      </x:c>
      <x:c r="E5" s="67" t="str">
        <x:v>Y4</x:v>
      </x:c>
      <x:c r="F5" s="67" t="str">
        <x:v>Y5</x:v>
      </x:c>
      <x:c r="G5" s="67" t="str">
        <x:v>Y6</x:v>
      </x:c>
      <x:c r="H5" s="67" t="str">
        <x:v>Y7</x:v>
      </x:c>
      <x:c r="I5" s="67" t="str">
        <x:v>Y8</x:v>
      </x:c>
      <x:c r="J5" s="67" t="str">
        <x:v>Y9</x:v>
      </x:c>
      <x:c r="K5" s="68" t="str">
        <x:v>Y10</x:v>
      </x:c>
    </x:row>
    <x:row r="6">
      <x:c r="A6" s="106" t="str">
        <x:v>Construction and capex</x:v>
      </x:c>
      <x:c r="B6" s="107" t="n">
        <x:v>180</x:v>
      </x:c>
      <x:c r="C6" s="107" t="n">
        <x:v>120</x:v>
      </x:c>
      <x:c r="D6" s="107" t="n">
        <x:v>0</x:v>
      </x:c>
      <x:c r="E6" s="107" t="n">
        <x:v>0</x:v>
      </x:c>
      <x:c r="F6" s="107" t="n">
        <x:v>0</x:v>
      </x:c>
      <x:c r="G6" s="107" t="n">
        <x:v>0</x:v>
      </x:c>
      <x:c r="H6" s="107" t="n">
        <x:v>0</x:v>
      </x:c>
      <x:c r="I6" s="107" t="n">
        <x:v>0</x:v>
      </x:c>
      <x:c r="J6" s="107" t="n">
        <x:v>0</x:v>
      </x:c>
      <x:c r="K6" s="107" t="n">
        <x:v>0</x:v>
      </x:c>
    </x:row>
    <x:row r="7">
      <x:c r="A7" s="108" t="str">
        <x:v>Operating volume</x:v>
      </x:c>
      <x:c r="B7" s="109" t="n">
        <x:v>0</x:v>
      </x:c>
      <x:c r="C7" s="109" t="n">
        <x:v>0</x:v>
      </x:c>
      <x:c r="D7" s="109" t="n">
        <x:v>70</x:v>
      </x:c>
      <x:c r="E7" s="109" t="n">
        <x:v>80</x:v>
      </x:c>
      <x:c r="F7" s="109" t="n">
        <x:v>90</x:v>
      </x:c>
      <x:c r="G7" s="109" t="n">
        <x:v>95</x:v>
      </x:c>
      <x:c r="H7" s="109" t="n">
        <x:v>100</x:v>
      </x:c>
      <x:c r="I7" s="109" t="n">
        <x:v>103</x:v>
      </x:c>
      <x:c r="J7" s="109" t="n">
        <x:v>106</x:v>
      </x:c>
      <x:c r="K7" s="109" t="n">
        <x:v>108</x:v>
      </x:c>
    </x:row>
    <x:row r="8">
      <x:c r="A8" s="108" t="str">
        <x:v>Tariff / unit</x:v>
      </x:c>
      <x:c r="B8" s="110" t="n">
        <x:v>0</x:v>
      </x:c>
      <x:c r="C8" s="110" t="n">
        <x:v>0</x:v>
      </x:c>
      <x:c r="D8" s="110" t="n">
        <x:v>3</x:v>
      </x:c>
      <x:c r="E8" s="110" t="n">
        <x:v>3.1</x:v>
      </x:c>
      <x:c r="F8" s="110" t="n">
        <x:v>3.2</x:v>
      </x:c>
      <x:c r="G8" s="110" t="n">
        <x:v>3.3</x:v>
      </x:c>
      <x:c r="H8" s="110" t="n">
        <x:v>3.4</x:v>
      </x:c>
      <x:c r="I8" s="110" t="n">
        <x:v>3.5</x:v>
      </x:c>
      <x:c r="J8" s="110" t="n">
        <x:v>3.6</x:v>
      </x:c>
      <x:c r="K8" s="110" t="n">
        <x:v>3.7</x:v>
      </x:c>
    </x:row>
    <x:row r="9">
      <x:c r="A9" s="108" t="str">
        <x:v>Operating expense</x:v>
      </x:c>
      <x:c r="B9" s="109" t="n">
        <x:v>5</x:v>
      </x:c>
      <x:c r="C9" s="109" t="n">
        <x:v>6</x:v>
      </x:c>
      <x:c r="D9" s="109" t="n">
        <x:v>70</x:v>
      </x:c>
      <x:c r="E9" s="109" t="n">
        <x:v>75</x:v>
      </x:c>
      <x:c r="F9" s="109" t="n">
        <x:v>80</x:v>
      </x:c>
      <x:c r="G9" s="109" t="n">
        <x:v>84</x:v>
      </x:c>
      <x:c r="H9" s="109" t="n">
        <x:v>88</x:v>
      </x:c>
      <x:c r="I9" s="109" t="n">
        <x:v>91</x:v>
      </x:c>
      <x:c r="J9" s="109" t="n">
        <x:v>94</x:v>
      </x:c>
      <x:c r="K9" s="109" t="n">
        <x:v>96</x:v>
      </x:c>
    </x:row>
    <x:row r="10">
      <x:c r="A10" s="108" t="str">
        <x:v>Maintenance capex</x:v>
      </x:c>
      <x:c r="B10" s="109" t="n">
        <x:v>0</x:v>
      </x:c>
      <x:c r="C10" s="109" t="n">
        <x:v>0</x:v>
      </x:c>
      <x:c r="D10" s="109" t="n">
        <x:v>8</x:v>
      </x:c>
      <x:c r="E10" s="109" t="n">
        <x:v>9</x:v>
      </x:c>
      <x:c r="F10" s="109" t="n">
        <x:v>9</x:v>
      </x:c>
      <x:c r="G10" s="109" t="n">
        <x:v>10</x:v>
      </x:c>
      <x:c r="H10" s="109" t="n">
        <x:v>10</x:v>
      </x:c>
      <x:c r="I10" s="109" t="n">
        <x:v>11</x:v>
      </x:c>
      <x:c r="J10" s="109" t="n">
        <x:v>11</x:v>
      </x:c>
      <x:c r="K10" s="109" t="n">
        <x:v>12</x:v>
      </x:c>
    </x:row>
    <x:row r="11">
      <x:c r="A11" s="111" t="str">
        <x:v>Change in NWC</x:v>
      </x:c>
      <x:c r="B11" s="112" t="n">
        <x:v>0</x:v>
      </x:c>
      <x:c r="C11" s="112" t="n">
        <x:v>5</x:v>
      </x:c>
      <x:c r="D11" s="112" t="n">
        <x:v>8</x:v>
      </x:c>
      <x:c r="E11" s="112" t="n">
        <x:v>5</x:v>
      </x:c>
      <x:c r="F11" s="112" t="n">
        <x:v>4</x:v>
      </x:c>
      <x:c r="G11" s="112" t="n">
        <x:v>4</x:v>
      </x:c>
      <x:c r="H11" s="112" t="n">
        <x:v>3</x:v>
      </x:c>
      <x:c r="I11" s="112" t="n">
        <x:v>3</x:v>
      </x:c>
      <x:c r="J11" s="112" t="n">
        <x:v>3</x:v>
      </x:c>
      <x:c r="K11" s="112" t="n">
        <x:v>2</x:v>
      </x:c>
    </x:row>
    <x:row r="13">
      <x:c r="A13" s="42" t="str">
        <x:v>Synthetic input pack. Preserve source definitions, units, period basis, and sign convention when replacing values.</x:v>
      </x:c>
      <x:c r="B13" s="43" t="str">
        <x:v>Synthetic input pack. Preserve source definitions, units, period basis, and sign convention when replacing values.</x:v>
      </x:c>
      <x:c r="C13" s="43" t="str">
        <x:v>Synthetic input pack. Preserve source definitions, units, period basis, and sign convention when replacing values.</x:v>
      </x:c>
      <x:c r="D13" s="43" t="str">
        <x:v>Synthetic input pack. Preserve source definitions, units, period basis, and sign convention when replacing values.</x:v>
      </x:c>
      <x:c r="E13" s="43" t="str">
        <x:v>Synthetic input pack. Preserve source definitions, units, period basis, and sign convention when replacing values.</x:v>
      </x:c>
      <x:c r="F13" s="43" t="str">
        <x:v>Synthetic input pack. Preserve source definitions, units, period basis, and sign convention when replacing values.</x:v>
      </x:c>
      <x:c r="G13" s="43" t="str">
        <x:v>Synthetic input pack. Preserve source definitions, units, period basis, and sign convention when replacing values.</x:v>
      </x:c>
      <x:c r="H13" s="43" t="str">
        <x:v>Synthetic input pack. Preserve source definitions, units, period basis, and sign convention when replacing values.</x:v>
      </x:c>
      <x:c r="I13" s="43" t="str">
        <x:v>Synthetic input pack. Preserve source definitions, units, period basis, and sign convention when replacing values.</x:v>
      </x:c>
      <x:c r="J13" s="43" t="str">
        <x:v>Synthetic input pack. Preserve source definitions, units, period basis, and sign convention when replacing values.</x:v>
      </x:c>
      <x:c r="K13" s="44" t="str">
        <x:v>Synthetic input pack. Preserve source definitions, units, period basis, and sign convention when replacing values.</x:v>
      </x:c>
    </x:row>
    <x:row r="14">
      <x:c r="A14" s="45" t="str">
        <x:v>Synthetic input pack. Preserve source definitions, units, period basis, and sign convention when replacing values.</x:v>
      </x:c>
      <x:c r="B14" s="46" t="str">
        <x:v>Synthetic input pack. Preserve source definitions, units, period basis, and sign convention when replacing values.</x:v>
      </x:c>
      <x:c r="C14" s="46" t="str">
        <x:v>Synthetic input pack. Preserve source definitions, units, period basis, and sign convention when replacing values.</x:v>
      </x:c>
      <x:c r="D14" s="46" t="str">
        <x:v>Synthetic input pack. Preserve source definitions, units, period basis, and sign convention when replacing values.</x:v>
      </x:c>
      <x:c r="E14" s="46" t="str">
        <x:v>Synthetic input pack. Preserve source definitions, units, period basis, and sign convention when replacing values.</x:v>
      </x:c>
      <x:c r="F14" s="46" t="str">
        <x:v>Synthetic input pack. Preserve source definitions, units, period basis, and sign convention when replacing values.</x:v>
      </x:c>
      <x:c r="G14" s="46" t="str">
        <x:v>Synthetic input pack. Preserve source definitions, units, period basis, and sign convention when replacing values.</x:v>
      </x:c>
      <x:c r="H14" s="46" t="str">
        <x:v>Synthetic input pack. Preserve source definitions, units, period basis, and sign convention when replacing values.</x:v>
      </x:c>
      <x:c r="I14" s="46" t="str">
        <x:v>Synthetic input pack. Preserve source definitions, units, period basis, and sign convention when replacing values.</x:v>
      </x:c>
      <x:c r="J14" s="46" t="str">
        <x:v>Synthetic input pack. Preserve source definitions, units, period basis, and sign convention when replacing values.</x:v>
      </x:c>
      <x:c r="K14" s="47" t="str">
        <x:v>Synthetic input pack. Preserve source definitions, units, period basis, and sign convention when replacing values.</x:v>
      </x:c>
    </x:row>
    <x:row r="15">
      <x:c r="A15" s="48" t="str">
        <x:v>Synthetic input pack. Preserve source definitions, units, period basis, and sign convention when replacing values.</x:v>
      </x:c>
      <x:c r="B15" s="49" t="str">
        <x:v>Synthetic input pack. Preserve source definitions, units, period basis, and sign convention when replacing values.</x:v>
      </x:c>
      <x:c r="C15" s="49" t="str">
        <x:v>Synthetic input pack. Preserve source definitions, units, period basis, and sign convention when replacing values.</x:v>
      </x:c>
      <x:c r="D15" s="49" t="str">
        <x:v>Synthetic input pack. Preserve source definitions, units, period basis, and sign convention when replacing values.</x:v>
      </x:c>
      <x:c r="E15" s="49" t="str">
        <x:v>Synthetic input pack. Preserve source definitions, units, period basis, and sign convention when replacing values.</x:v>
      </x:c>
      <x:c r="F15" s="49" t="str">
        <x:v>Synthetic input pack. Preserve source definitions, units, period basis, and sign convention when replacing values.</x:v>
      </x:c>
      <x:c r="G15" s="49" t="str">
        <x:v>Synthetic input pack. Preserve source definitions, units, period basis, and sign convention when replacing values.</x:v>
      </x:c>
      <x:c r="H15" s="49" t="str">
        <x:v>Synthetic input pack. Preserve source definitions, units, period basis, and sign convention when replacing values.</x:v>
      </x:c>
      <x:c r="I15" s="49" t="str">
        <x:v>Synthetic input pack. Preserve source definitions, units, period basis, and sign convention when replacing values.</x:v>
      </x:c>
      <x:c r="J15" s="49" t="str">
        <x:v>Synthetic input pack. Preserve source definitions, units, period basis, and sign convention when replacing values.</x:v>
      </x:c>
      <x:c r="K15" s="50" t="str">
        <x:v>Synthetic input pack. Preserve source definitions, units, period basis, and sign convention when replacing values.</x:v>
      </x:c>
    </x:row>
    <x:row r="17">
      <x:c r="A17" s="53" t="str">
        <x:v>TDAT Model Library  |  Trust builds the brand. Insight builds the decision.</x:v>
      </x:c>
      <x:c r="B17" s="53" t="str">
        <x:v>TDAT Model Library  |  Trust builds the brand. Insight builds the decision.</x:v>
      </x:c>
      <x:c r="C17" s="53" t="str">
        <x:v>TDAT Model Library  |  Trust builds the brand. Insight builds the decision.</x:v>
      </x:c>
      <x:c r="D17" s="53" t="str">
        <x:v>TDAT Model Library  |  Trust builds the brand. Insight builds the decision.</x:v>
      </x:c>
      <x:c r="E17" s="53" t="str">
        <x:v>TDAT Model Library  |  Trust builds the brand. Insight builds the decision.</x:v>
      </x:c>
      <x:c r="F17" s="53" t="str">
        <x:v>TDAT Model Library  |  Trust builds the brand. Insight builds the decision.</x:v>
      </x:c>
      <x:c r="G17" s="53" t="str">
        <x:v>TDAT Model Library  |  Trust builds the brand. Insight builds the decision.</x:v>
      </x:c>
      <x:c r="H17" s="53" t="str">
        <x:v>TDAT Model Library  |  Trust builds the brand. Insight builds the decision.</x:v>
      </x:c>
      <x:c r="I17" s="53" t="str">
        <x:v>TDAT Model Library  |  Trust builds the brand. Insight builds the decision.</x:v>
      </x:c>
      <x:c r="J17" s="53" t="str">
        <x:v>TDAT Model Library  |  Trust builds the brand. Insight builds the decision.</x:v>
      </x:c>
      <x:c r="K17" s="53" t="str">
        <x:v>TDAT Model Library  |  Trust builds the brand. Insight builds the decision.</x:v>
      </x:c>
    </x:row>
  </x:sheetData>
  <x:mergeCells>
    <x:mergeCell ref="A1:K1"/>
    <x:mergeCell ref="A2:K2"/>
    <x:mergeCell ref="A13:K15"/>
    <x:mergeCell ref="A17:K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1" ht="34" customHeight="1">
      <x:c r="A1" s="3" t="str">
        <x:v>PROJECT CASH FLOW</x:v>
      </x:c>
      <x:c r="B1" s="3" t="str">
        <x:v>PROJECT CASH FLOW</x:v>
      </x:c>
      <x:c r="C1" s="3" t="str">
        <x:v>PROJECT CASH FLOW</x:v>
      </x:c>
      <x:c r="D1" s="3" t="str">
        <x:v>PROJECT CASH FLOW</x:v>
      </x:c>
      <x:c r="E1" s="3" t="str">
        <x:v>PROJECT CASH FLOW</x:v>
      </x:c>
      <x:c r="F1" s="3" t="str">
        <x:v>PROJECT CASH FLOW</x:v>
      </x:c>
      <x:c r="G1" s="3" t="str">
        <x:v>PROJECT CASH FLOW</x:v>
      </x:c>
      <x:c r="H1" s="3" t="str">
        <x:v>PROJECT CASH FLOW</x:v>
      </x:c>
      <x:c r="I1" s="3" t="str">
        <x:v>PROJECT CASH FLOW</x:v>
      </x:c>
      <x:c r="J1" s="3" t="str">
        <x:v>PROJECT CASH FLOW</x:v>
      </x:c>
      <x:c r="K1" s="3" t="str">
        <x:v>PROJECT CASH FLOW</x:v>
      </x:c>
    </x:row>
    <x:row r="2" ht="24" customHeight="1">
      <x:c r="A2" s="6" t="str">
        <x:v>Project Finance Lite  |  Formula-driven core mechanics</x:v>
      </x:c>
      <x:c r="B2" s="6" t="str">
        <x:v>Project Finance Lite  |  Formula-driven core mechanics</x:v>
      </x:c>
      <x:c r="C2" s="6" t="str">
        <x:v>Project Finance Lite  |  Formula-driven core mechanics</x:v>
      </x:c>
      <x:c r="D2" s="6" t="str">
        <x:v>Project Finance Lite  |  Formula-driven core mechanics</x:v>
      </x:c>
      <x:c r="E2" s="6" t="str">
        <x:v>Project Finance Lite  |  Formula-driven core mechanics</x:v>
      </x:c>
      <x:c r="F2" s="6" t="str">
        <x:v>Project Finance Lite  |  Formula-driven core mechanics</x:v>
      </x:c>
      <x:c r="G2" s="6" t="str">
        <x:v>Project Finance Lite  |  Formula-driven core mechanics</x:v>
      </x:c>
      <x:c r="H2" s="6" t="str">
        <x:v>Project Finance Lite  |  Formula-driven core mechanics</x:v>
      </x:c>
      <x:c r="I2" s="6" t="str">
        <x:v>Project Finance Lite  |  Formula-driven core mechanics</x:v>
      </x:c>
      <x:c r="J2" s="6" t="str">
        <x:v>Project Finance Lite  |  Formula-driven core mechanics</x:v>
      </x:c>
      <x:c r="K2" s="6" t="str">
        <x:v>Project Finance Lite  |  Formula-driven core mechanics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</x:row>
    <x:row r="5" ht="24" customHeight="1">
      <x:c r="A5" s="66" t="str">
        <x:v>Calculation / Period</x:v>
      </x:c>
      <x:c r="B5" s="67" t="str">
        <x:v>Y1</x:v>
      </x:c>
      <x:c r="C5" s="67" t="str">
        <x:v>Y2</x:v>
      </x:c>
      <x:c r="D5" s="67" t="str">
        <x:v>Y3</x:v>
      </x:c>
      <x:c r="E5" s="67" t="str">
        <x:v>Y4</x:v>
      </x:c>
      <x:c r="F5" s="67" t="str">
        <x:v>Y5</x:v>
      </x:c>
      <x:c r="G5" s="67" t="str">
        <x:v>Y6</x:v>
      </x:c>
      <x:c r="H5" s="67" t="str">
        <x:v>Y7</x:v>
      </x:c>
      <x:c r="I5" s="67" t="str">
        <x:v>Y8</x:v>
      </x:c>
      <x:c r="J5" s="67" t="str">
        <x:v>Y9</x:v>
      </x:c>
      <x:c r="K5" s="68" t="str">
        <x:v>Y10</x:v>
      </x:c>
    </x:row>
    <x:row r="6">
      <x:c r="A6" s="134" t="str">
        <x:v>Operating revenue</x:v>
      </x:c>
      <x:c r="B6" s="135" t="n">
        <x:f>'Project Inputs'!B$7*'Project Inputs'!B$8</x:f>
        <x:v>0</x:v>
      </x:c>
      <x:c r="C6" s="135" t="n">
        <x:f>'Project Inputs'!C$7*'Project Inputs'!C$8</x:f>
        <x:v>0</x:v>
      </x:c>
      <x:c r="D6" s="135" t="n">
        <x:f>'Project Inputs'!D$7*'Project Inputs'!D$8</x:f>
        <x:v>210</x:v>
      </x:c>
      <x:c r="E6" s="135" t="n">
        <x:f>'Project Inputs'!E$7*'Project Inputs'!E$8</x:f>
        <x:v>248</x:v>
      </x:c>
      <x:c r="F6" s="135" t="n">
        <x:f>'Project Inputs'!F$7*'Project Inputs'!F$8</x:f>
        <x:v>288</x:v>
      </x:c>
      <x:c r="G6" s="135" t="n">
        <x:f>'Project Inputs'!G$7*'Project Inputs'!G$8</x:f>
        <x:v>313.5</x:v>
      </x:c>
      <x:c r="H6" s="135" t="n">
        <x:f>'Project Inputs'!H$7*'Project Inputs'!H$8</x:f>
        <x:v>340</x:v>
      </x:c>
      <x:c r="I6" s="135" t="n">
        <x:f>'Project Inputs'!I$7*'Project Inputs'!I$8</x:f>
        <x:v>360.5</x:v>
      </x:c>
      <x:c r="J6" s="135" t="n">
        <x:f>'Project Inputs'!J$7*'Project Inputs'!J$8</x:f>
        <x:v>381.6</x:v>
      </x:c>
      <x:c r="K6" s="135" t="n">
        <x:f>'Project Inputs'!K$7*'Project Inputs'!K$8</x:f>
        <x:v>399.6</x:v>
      </x:c>
    </x:row>
    <x:row r="7">
      <x:c r="A7" s="136" t="str">
        <x:v>EBITDA</x:v>
      </x:c>
      <x:c r="B7" s="137" t="n">
        <x:f>B$6-'Project Inputs'!B$9</x:f>
        <x:v>-5</x:v>
      </x:c>
      <x:c r="C7" s="137" t="n">
        <x:f>C$6-'Project Inputs'!C$9</x:f>
        <x:v>-6</x:v>
      </x:c>
      <x:c r="D7" s="137" t="n">
        <x:f>D$6-'Project Inputs'!D$9</x:f>
        <x:v>140</x:v>
      </x:c>
      <x:c r="E7" s="137" t="n">
        <x:f>E$6-'Project Inputs'!E$9</x:f>
        <x:v>173</x:v>
      </x:c>
      <x:c r="F7" s="137" t="n">
        <x:f>F$6-'Project Inputs'!F$9</x:f>
        <x:v>208</x:v>
      </x:c>
      <x:c r="G7" s="137" t="n">
        <x:f>G$6-'Project Inputs'!G$9</x:f>
        <x:v>229.5</x:v>
      </x:c>
      <x:c r="H7" s="137" t="n">
        <x:f>H$6-'Project Inputs'!H$9</x:f>
        <x:v>252</x:v>
      </x:c>
      <x:c r="I7" s="137" t="n">
        <x:f>I$6-'Project Inputs'!I$9</x:f>
        <x:v>269.5</x:v>
      </x:c>
      <x:c r="J7" s="137" t="n">
        <x:f>J$6-'Project Inputs'!J$9</x:f>
        <x:v>287.6</x:v>
      </x:c>
      <x:c r="K7" s="137" t="n">
        <x:f>K$6-'Project Inputs'!K$9</x:f>
        <x:v>303.6</x:v>
      </x:c>
    </x:row>
    <x:row r="8">
      <x:c r="A8" s="138" t="str">
        <x:v>Depreciation</x:v>
      </x:c>
      <x:c r="B8" s="139" t="n">
        <x:f>-SUM('Project Inputs'!B$6:'Project Inputs'!K$6)/'Assumptions'!$F$10</x:f>
        <x:v>-15</x:v>
      </x:c>
      <x:c r="C8" s="139" t="n">
        <x:f>-SUM('Project Inputs'!B$6:'Project Inputs'!K$6)/'Assumptions'!$F$10</x:f>
        <x:v>-15</x:v>
      </x:c>
      <x:c r="D8" s="139" t="n">
        <x:f>-SUM('Project Inputs'!B$6:'Project Inputs'!K$6)/'Assumptions'!$F$10</x:f>
        <x:v>-15</x:v>
      </x:c>
      <x:c r="E8" s="139" t="n">
        <x:f>-SUM('Project Inputs'!B$6:'Project Inputs'!K$6)/'Assumptions'!$F$10</x:f>
        <x:v>-15</x:v>
      </x:c>
      <x:c r="F8" s="139" t="n">
        <x:f>-SUM('Project Inputs'!B$6:'Project Inputs'!K$6)/'Assumptions'!$F$10</x:f>
        <x:v>-15</x:v>
      </x:c>
      <x:c r="G8" s="139" t="n">
        <x:f>-SUM('Project Inputs'!B$6:'Project Inputs'!K$6)/'Assumptions'!$F$10</x:f>
        <x:v>-15</x:v>
      </x:c>
      <x:c r="H8" s="139" t="n">
        <x:f>-SUM('Project Inputs'!B$6:'Project Inputs'!K$6)/'Assumptions'!$F$10</x:f>
        <x:v>-15</x:v>
      </x:c>
      <x:c r="I8" s="139" t="n">
        <x:f>-SUM('Project Inputs'!B$6:'Project Inputs'!K$6)/'Assumptions'!$F$10</x:f>
        <x:v>-15</x:v>
      </x:c>
      <x:c r="J8" s="139" t="n">
        <x:f>-SUM('Project Inputs'!B$6:'Project Inputs'!K$6)/'Assumptions'!$F$10</x:f>
        <x:v>-15</x:v>
      </x:c>
      <x:c r="K8" s="139" t="n">
        <x:f>-SUM('Project Inputs'!B$6:'Project Inputs'!K$6)/'Assumptions'!$F$10</x:f>
        <x:v>-15</x:v>
      </x:c>
    </x:row>
    <x:row r="9">
      <x:c r="A9" s="138" t="str">
        <x:v>EBIT</x:v>
      </x:c>
      <x:c r="B9" s="140" t="n">
        <x:f>B$7+B$8</x:f>
        <x:v>-20</x:v>
      </x:c>
      <x:c r="C9" s="140" t="n">
        <x:f>C$7+C$8</x:f>
        <x:v>-21</x:v>
      </x:c>
      <x:c r="D9" s="140" t="n">
        <x:f>D$7+D$8</x:f>
        <x:v>125</x:v>
      </x:c>
      <x:c r="E9" s="140" t="n">
        <x:f>E$7+E$8</x:f>
        <x:v>158</x:v>
      </x:c>
      <x:c r="F9" s="140" t="n">
        <x:f>F$7+F$8</x:f>
        <x:v>193</x:v>
      </x:c>
      <x:c r="G9" s="140" t="n">
        <x:f>G$7+G$8</x:f>
        <x:v>214.5</x:v>
      </x:c>
      <x:c r="H9" s="140" t="n">
        <x:f>H$7+H$8</x:f>
        <x:v>237</x:v>
      </x:c>
      <x:c r="I9" s="140" t="n">
        <x:f>I$7+I$8</x:f>
        <x:v>254.5</x:v>
      </x:c>
      <x:c r="J9" s="140" t="n">
        <x:f>J$7+J$8</x:f>
        <x:v>272.6</x:v>
      </x:c>
      <x:c r="K9" s="140" t="n">
        <x:f>K$7+K$8</x:f>
        <x:v>288.6</x:v>
      </x:c>
    </x:row>
    <x:row r="10">
      <x:c r="A10" s="138" t="str">
        <x:v>Cash tax</x:v>
      </x:c>
      <x:c r="B10" s="139" t="n">
        <x:f>-MAX(0,B$9*'Assumptions'!$F$8)</x:f>
        <x:v>0</x:v>
      </x:c>
      <x:c r="C10" s="139" t="n">
        <x:f>-MAX(0,C$9*'Assumptions'!$F$8)</x:f>
        <x:v>0</x:v>
      </x:c>
      <x:c r="D10" s="139" t="n">
        <x:f>-MAX(0,D$9*'Assumptions'!$F$8)</x:f>
        <x:v>-25</x:v>
      </x:c>
      <x:c r="E10" s="139" t="n">
        <x:f>-MAX(0,E$9*'Assumptions'!$F$8)</x:f>
        <x:v>-31.6</x:v>
      </x:c>
      <x:c r="F10" s="139" t="n">
        <x:f>-MAX(0,F$9*'Assumptions'!$F$8)</x:f>
        <x:v>-38.6</x:v>
      </x:c>
      <x:c r="G10" s="139" t="n">
        <x:f>-MAX(0,G$9*'Assumptions'!$F$8)</x:f>
        <x:v>-42.900000000000006</x:v>
      </x:c>
      <x:c r="H10" s="139" t="n">
        <x:f>-MAX(0,H$9*'Assumptions'!$F$8)</x:f>
        <x:v>-47.400000000000006</x:v>
      </x:c>
      <x:c r="I10" s="139" t="n">
        <x:f>-MAX(0,I$9*'Assumptions'!$F$8)</x:f>
        <x:v>-50.900000000000006</x:v>
      </x:c>
      <x:c r="J10" s="139" t="n">
        <x:f>-MAX(0,J$9*'Assumptions'!$F$8)</x:f>
        <x:v>-54.52000000000001</x:v>
      </x:c>
      <x:c r="K10" s="139" t="n">
        <x:f>-MAX(0,K$9*'Assumptions'!$F$8)</x:f>
        <x:v>-57.720000000000006</x:v>
      </x:c>
    </x:row>
    <x:row r="11">
      <x:c r="A11" s="136" t="str">
        <x:v>Cash flow available for debt service</x:v>
      </x:c>
      <x:c r="B11" s="137" t="n">
        <x:f>B$7+B$10-'Project Inputs'!B$10-'Project Inputs'!B$11</x:f>
        <x:v>-5</x:v>
      </x:c>
      <x:c r="C11" s="137" t="n">
        <x:f>C$7+C$10-'Project Inputs'!C$10-'Project Inputs'!C$11</x:f>
        <x:v>-11</x:v>
      </x:c>
      <x:c r="D11" s="137" t="n">
        <x:f>D$7+D$10-'Project Inputs'!D$10-'Project Inputs'!D$11</x:f>
        <x:v>99</x:v>
      </x:c>
      <x:c r="E11" s="137" t="n">
        <x:f>E$7+E$10-'Project Inputs'!E$10-'Project Inputs'!E$11</x:f>
        <x:v>127.4</x:v>
      </x:c>
      <x:c r="F11" s="137" t="n">
        <x:f>F$7+F$10-'Project Inputs'!F$10-'Project Inputs'!F$11</x:f>
        <x:v>156.4</x:v>
      </x:c>
      <x:c r="G11" s="137" t="n">
        <x:f>G$7+G$10-'Project Inputs'!G$10-'Project Inputs'!G$11</x:f>
        <x:v>172.6</x:v>
      </x:c>
      <x:c r="H11" s="137" t="n">
        <x:f>H$7+H$10-'Project Inputs'!H$10-'Project Inputs'!H$11</x:f>
        <x:v>191.6</x:v>
      </x:c>
      <x:c r="I11" s="137" t="n">
        <x:f>I$7+I$10-'Project Inputs'!I$10-'Project Inputs'!I$11</x:f>
        <x:v>204.6</x:v>
      </x:c>
      <x:c r="J11" s="137" t="n">
        <x:f>J$7+J$10-'Project Inputs'!J$10-'Project Inputs'!J$11</x:f>
        <x:v>219.08</x:v>
      </x:c>
      <x:c r="K11" s="137" t="n">
        <x:f>K$7+K$10-'Project Inputs'!K$10-'Project Inputs'!K$11</x:f>
        <x:v>231.88000000000002</x:v>
      </x:c>
    </x:row>
    <x:row r="12">
      <x:c r="A12" s="138" t="str">
        <x:v>Construction debt draw</x:v>
      </x:c>
      <x:c r="B12" s="139" t="n">
        <x:f>'Project Inputs'!B$6*'Assumptions'!$F$6</x:f>
        <x:v>117</x:v>
      </x:c>
      <x:c r="C12" s="139" t="n">
        <x:f>'Project Inputs'!C$6*'Assumptions'!$F$6</x:f>
        <x:v>78</x:v>
      </x:c>
      <x:c r="D12" s="139" t="n">
        <x:f>'Project Inputs'!D$6*'Assumptions'!$F$6</x:f>
        <x:v>0</x:v>
      </x:c>
      <x:c r="E12" s="139" t="n">
        <x:f>'Project Inputs'!E$6*'Assumptions'!$F$6</x:f>
        <x:v>0</x:v>
      </x:c>
      <x:c r="F12" s="139" t="n">
        <x:f>'Project Inputs'!F$6*'Assumptions'!$F$6</x:f>
        <x:v>0</x:v>
      </x:c>
      <x:c r="G12" s="139" t="n">
        <x:f>'Project Inputs'!G$6*'Assumptions'!$F$6</x:f>
        <x:v>0</x:v>
      </x:c>
      <x:c r="H12" s="139" t="n">
        <x:f>'Project Inputs'!H$6*'Assumptions'!$F$6</x:f>
        <x:v>0</x:v>
      </x:c>
      <x:c r="I12" s="139" t="n">
        <x:f>'Project Inputs'!I$6*'Assumptions'!$F$6</x:f>
        <x:v>0</x:v>
      </x:c>
      <x:c r="J12" s="139" t="n">
        <x:f>'Project Inputs'!J$6*'Assumptions'!$F$6</x:f>
        <x:v>0</x:v>
      </x:c>
      <x:c r="K12" s="139" t="n">
        <x:f>'Project Inputs'!K$6*'Assumptions'!$F$6</x:f>
        <x:v>0</x:v>
      </x:c>
    </x:row>
    <x:row r="13">
      <x:c r="A13" s="138" t="str">
        <x:v>Opening debt</x:v>
      </x:c>
      <x:c r="B13" s="140" t="n">
        <x:f>0</x:f>
        <x:v>0</x:v>
      </x:c>
      <x:c r="C13" s="140" t="n">
        <x:f>B$17</x:f>
        <x:v>117</x:v>
      </x:c>
      <x:c r="D13" s="140" t="n">
        <x:f>C$17</x:f>
        <x:v>195</x:v>
      </x:c>
      <x:c r="E13" s="140" t="n">
        <x:f>D$17</x:f>
        <x:v>133.47115384615387</x:v>
      </x:c>
      <x:c r="F13" s="140" t="n">
        <x:f>E$17</x:f>
        <x:v>45.48149038461541</x:v>
      </x:c>
      <x:c r="G13" s="140" t="n">
        <x:f>F$17</x:f>
        <x:v>0</x:v>
      </x:c>
      <x:c r="H13" s="140" t="n">
        <x:f>G$17</x:f>
        <x:v>0</x:v>
      </x:c>
      <x:c r="I13" s="140" t="n">
        <x:f>H$17</x:f>
        <x:v>0</x:v>
      </x:c>
      <x:c r="J13" s="140" t="n">
        <x:f>I$17</x:f>
        <x:v>0</x:v>
      </x:c>
      <x:c r="K13" s="140" t="n">
        <x:f>J$17</x:f>
        <x:v>0</x:v>
      </x:c>
    </x:row>
    <x:row r="14">
      <x:c r="A14" s="138" t="str">
        <x:v>Cash interest</x:v>
      </x:c>
      <x:c r="B14" s="139" t="n">
        <x:f>B$13*'Assumptions'!$F$7</x:f>
        <x:v>0</x:v>
      </x:c>
      <x:c r="C14" s="139" t="n">
        <x:f>C$13*'Assumptions'!$F$7</x:f>
        <x:v>8.775</x:v>
      </x:c>
      <x:c r="D14" s="139" t="n">
        <x:f>D$13*'Assumptions'!$F$7</x:f>
        <x:v>14.625</x:v>
      </x:c>
      <x:c r="E14" s="139" t="n">
        <x:f>E$13*'Assumptions'!$F$7</x:f>
        <x:v>10.010336538461539</x:v>
      </x:c>
      <x:c r="F14" s="139" t="n">
        <x:f>F$13*'Assumptions'!$F$7</x:f>
        <x:v>3.411111778846156</x:v>
      </x:c>
      <x:c r="G14" s="139" t="n">
        <x:f>G$13*'Assumptions'!$F$7</x:f>
        <x:v>0</x:v>
      </x:c>
      <x:c r="H14" s="139" t="n">
        <x:f>H$13*'Assumptions'!$F$7</x:f>
        <x:v>0</x:v>
      </x:c>
      <x:c r="I14" s="139" t="n">
        <x:f>I$13*'Assumptions'!$F$7</x:f>
        <x:v>0</x:v>
      </x:c>
      <x:c r="J14" s="139" t="n">
        <x:f>J$13*'Assumptions'!$F$7</x:f>
        <x:v>0</x:v>
      </x:c>
      <x:c r="K14" s="139" t="n">
        <x:f>K$13*'Assumptions'!$F$7</x:f>
        <x:v>0</x:v>
      </x:c>
    </x:row>
    <x:row r="15">
      <x:c r="A15" s="138" t="str">
        <x:v>Debt service capacity</x:v>
      </x:c>
      <x:c r="B15" s="139" t="n">
        <x:f>MAX(0,B$11/'Assumptions'!$F$9)</x:f>
        <x:v>0</x:v>
      </x:c>
      <x:c r="C15" s="139" t="n">
        <x:f>MAX(0,C$11/'Assumptions'!$F$9)</x:f>
        <x:v>0</x:v>
      </x:c>
      <x:c r="D15" s="139" t="n">
        <x:f>MAX(0,D$11/'Assumptions'!$F$9)</x:f>
        <x:v>76.15384615384615</x:v>
      </x:c>
      <x:c r="E15" s="139" t="n">
        <x:f>MAX(0,E$11/'Assumptions'!$F$9)</x:f>
        <x:v>98</x:v>
      </x:c>
      <x:c r="F15" s="139" t="n">
        <x:f>MAX(0,F$11/'Assumptions'!$F$9)</x:f>
        <x:v>120.3076923076923</x:v>
      </x:c>
      <x:c r="G15" s="139" t="n">
        <x:f>MAX(0,G$11/'Assumptions'!$F$9)</x:f>
        <x:v>132.76923076923077</x:v>
      </x:c>
      <x:c r="H15" s="139" t="n">
        <x:f>MAX(0,H$11/'Assumptions'!$F$9)</x:f>
        <x:v>147.3846153846154</x:v>
      </x:c>
      <x:c r="I15" s="139" t="n">
        <x:f>MAX(0,I$11/'Assumptions'!$F$9)</x:f>
        <x:v>157.3846153846154</x:v>
      </x:c>
      <x:c r="J15" s="139" t="n">
        <x:f>MAX(0,J$11/'Assumptions'!$F$9)</x:f>
        <x:v>168.52307692307693</x:v>
      </x:c>
      <x:c r="K15" s="139" t="n">
        <x:f>MAX(0,K$11/'Assumptions'!$F$9)</x:f>
        <x:v>178.36923076923077</x:v>
      </x:c>
    </x:row>
    <x:row r="16">
      <x:c r="A16" s="138" t="str">
        <x:v>Principal repayment</x:v>
      </x:c>
      <x:c r="B16" s="140" t="n">
        <x:f>MIN(B$13+B$12,MAX(0,B$15-B$14))</x:f>
        <x:v>0</x:v>
      </x:c>
      <x:c r="C16" s="140" t="n">
        <x:f>MIN(C$13+C$12,MAX(0,C$15-C$14))</x:f>
        <x:v>0</x:v>
      </x:c>
      <x:c r="D16" s="140" t="n">
        <x:f>MIN(D$13+D$12,MAX(0,D$15-D$14))</x:f>
        <x:v>61.528846153846146</x:v>
      </x:c>
      <x:c r="E16" s="140" t="n">
        <x:f>MIN(E$13+E$12,MAX(0,E$15-E$14))</x:f>
        <x:v>87.98966346153846</x:v>
      </x:c>
      <x:c r="F16" s="140" t="n">
        <x:f>MIN(F$13+F$12,MAX(0,F$15-F$14))</x:f>
        <x:v>45.48149038461541</x:v>
      </x:c>
      <x:c r="G16" s="140" t="n">
        <x:f>MIN(G$13+G$12,MAX(0,G$15-G$14))</x:f>
        <x:v>0</x:v>
      </x:c>
      <x:c r="H16" s="140" t="n">
        <x:f>MIN(H$13+H$12,MAX(0,H$15-H$14))</x:f>
        <x:v>0</x:v>
      </x:c>
      <x:c r="I16" s="140" t="n">
        <x:f>MIN(I$13+I$12,MAX(0,I$15-I$14))</x:f>
        <x:v>0</x:v>
      </x:c>
      <x:c r="J16" s="140" t="n">
        <x:f>MIN(J$13+J$12,MAX(0,J$15-J$14))</x:f>
        <x:v>0</x:v>
      </x:c>
      <x:c r="K16" s="140" t="n">
        <x:f>MIN(K$13+K$12,MAX(0,K$15-K$14))</x:f>
        <x:v>0</x:v>
      </x:c>
    </x:row>
    <x:row r="17">
      <x:c r="A17" s="141" t="str">
        <x:v>Closing debt</x:v>
      </x:c>
      <x:c r="B17" s="142" t="n">
        <x:f>B$13+B$12-B$16</x:f>
        <x:v>117</x:v>
      </x:c>
      <x:c r="C17" s="142" t="n">
        <x:f>C$13+C$12-C$16</x:f>
        <x:v>195</x:v>
      </x:c>
      <x:c r="D17" s="142" t="n">
        <x:f>D$13+D$12-D$16</x:f>
        <x:v>133.47115384615387</x:v>
      </x:c>
      <x:c r="E17" s="142" t="n">
        <x:f>E$13+E$12-E$16</x:f>
        <x:v>45.48149038461541</x:v>
      </x:c>
      <x:c r="F17" s="142" t="n">
        <x:f>F$13+F$12-F$16</x:f>
        <x:v>0</x:v>
      </x:c>
      <x:c r="G17" s="142" t="n">
        <x:f>G$13+G$12-G$16</x:f>
        <x:v>0</x:v>
      </x:c>
      <x:c r="H17" s="142" t="n">
        <x:f>H$13+H$12-H$16</x:f>
        <x:v>0</x:v>
      </x:c>
      <x:c r="I17" s="142" t="n">
        <x:f>I$13+I$12-I$16</x:f>
        <x:v>0</x:v>
      </x:c>
      <x:c r="J17" s="142" t="n">
        <x:f>J$13+J$12-J$16</x:f>
        <x:v>0</x:v>
      </x:c>
      <x:c r="K17" s="142" t="n">
        <x:f>K$13+K$12-K$16</x:f>
        <x:v>0</x:v>
      </x:c>
    </x:row>
    <x:row r="18">
      <x:c r="A18" s="138" t="str">
        <x:v>Debt service</x:v>
      </x:c>
      <x:c r="B18" s="140" t="n">
        <x:f>B$14+B$16</x:f>
        <x:v>0</x:v>
      </x:c>
      <x:c r="C18" s="140" t="n">
        <x:f>C$14+C$16</x:f>
        <x:v>8.775</x:v>
      </x:c>
      <x:c r="D18" s="140" t="n">
        <x:f>D$14+D$16</x:f>
        <x:v>76.15384615384615</x:v>
      </x:c>
      <x:c r="E18" s="140" t="n">
        <x:f>E$14+E$16</x:f>
        <x:v>98</x:v>
      </x:c>
      <x:c r="F18" s="140" t="n">
        <x:f>F$14+F$16</x:f>
        <x:v>48.89260216346157</x:v>
      </x:c>
      <x:c r="G18" s="140" t="n">
        <x:f>G$14+G$16</x:f>
        <x:v>0</x:v>
      </x:c>
      <x:c r="H18" s="140" t="n">
        <x:f>H$14+H$16</x:f>
        <x:v>0</x:v>
      </x:c>
      <x:c r="I18" s="140" t="n">
        <x:f>I$14+I$16</x:f>
        <x:v>0</x:v>
      </x:c>
      <x:c r="J18" s="140" t="n">
        <x:f>J$14+J$16</x:f>
        <x:v>0</x:v>
      </x:c>
      <x:c r="K18" s="140" t="n">
        <x:f>K$14+K$16</x:f>
        <x:v>0</x:v>
      </x:c>
    </x:row>
    <x:row r="19">
      <x:c r="A19" s="141" t="str">
        <x:v>DSCR</x:v>
      </x:c>
      <x:c r="B19" s="143" t="n">
        <x:f>IF(B$18=0,0,B$11/B$18)</x:f>
        <x:v>0</x:v>
      </x:c>
      <x:c r="C19" s="143" t="n">
        <x:f>IF(C$18=0,0,C$11/C$18)</x:f>
        <x:v>-1.2535612535612535</x:v>
      </x:c>
      <x:c r="D19" s="143" t="n">
        <x:f>IF(D$18=0,0,D$11/D$18)</x:f>
        <x:v>1.3</x:v>
      </x:c>
      <x:c r="E19" s="143" t="n">
        <x:f>IF(E$18=0,0,E$11/E$18)</x:f>
        <x:v>1.3</x:v>
      </x:c>
      <x:c r="F19" s="143" t="n">
        <x:f>IF(F$18=0,0,F$11/F$18)</x:f>
        <x:v>3.198847945893968</x:v>
      </x:c>
      <x:c r="G19" s="143" t="n">
        <x:f>IF(G$18=0,0,G$11/G$18)</x:f>
        <x:v>0</x:v>
      </x:c>
      <x:c r="H19" s="143" t="n">
        <x:f>IF(H$18=0,0,H$11/H$18)</x:f>
        <x:v>0</x:v>
      </x:c>
      <x:c r="I19" s="143" t="n">
        <x:f>IF(I$18=0,0,I$11/I$18)</x:f>
        <x:v>0</x:v>
      </x:c>
      <x:c r="J19" s="143" t="n">
        <x:f>IF(J$18=0,0,J$11/J$18)</x:f>
        <x:v>0</x:v>
      </x:c>
      <x:c r="K19" s="143" t="n">
        <x:f>IF(K$18=0,0,K$11/K$18)</x:f>
        <x:v>0</x:v>
      </x:c>
    </x:row>
    <x:row r="20">
      <x:c r="A20" s="138" t="str">
        <x:v>Unlevered project cash flow</x:v>
      </x:c>
      <x:c r="B20" s="139" t="n">
        <x:f>B$7+B$10-'Project Inputs'!B$10-'Project Inputs'!B$11-'Project Inputs'!B$6</x:f>
        <x:v>-185</x:v>
      </x:c>
      <x:c r="C20" s="139" t="n">
        <x:f>C$7+C$10-'Project Inputs'!C$10-'Project Inputs'!C$11-'Project Inputs'!C$6</x:f>
        <x:v>-131</x:v>
      </x:c>
      <x:c r="D20" s="139" t="n">
        <x:f>D$7+D$10-'Project Inputs'!D$10-'Project Inputs'!D$11-'Project Inputs'!D$6</x:f>
        <x:v>99</x:v>
      </x:c>
      <x:c r="E20" s="139" t="n">
        <x:f>E$7+E$10-'Project Inputs'!E$10-'Project Inputs'!E$11-'Project Inputs'!E$6</x:f>
        <x:v>127.4</x:v>
      </x:c>
      <x:c r="F20" s="139" t="n">
        <x:f>F$7+F$10-'Project Inputs'!F$10-'Project Inputs'!F$11-'Project Inputs'!F$6</x:f>
        <x:v>156.4</x:v>
      </x:c>
      <x:c r="G20" s="139" t="n">
        <x:f>G$7+G$10-'Project Inputs'!G$10-'Project Inputs'!G$11-'Project Inputs'!G$6</x:f>
        <x:v>172.6</x:v>
      </x:c>
      <x:c r="H20" s="139" t="n">
        <x:f>H$7+H$10-'Project Inputs'!H$10-'Project Inputs'!H$11-'Project Inputs'!H$6</x:f>
        <x:v>191.6</x:v>
      </x:c>
      <x:c r="I20" s="139" t="n">
        <x:f>I$7+I$10-'Project Inputs'!I$10-'Project Inputs'!I$11-'Project Inputs'!I$6</x:f>
        <x:v>204.6</x:v>
      </x:c>
      <x:c r="J20" s="139" t="n">
        <x:f>J$7+J$10-'Project Inputs'!J$10-'Project Inputs'!J$11-'Project Inputs'!J$6</x:f>
        <x:v>219.08</x:v>
      </x:c>
      <x:c r="K20" s="139" t="n">
        <x:f>K$7+K$10-'Project Inputs'!K$10-'Project Inputs'!K$11-'Project Inputs'!K$6</x:f>
        <x:v>231.88000000000002</x:v>
      </x:c>
    </x:row>
    <x:row r="21">
      <x:c r="A21" s="141" t="str">
        <x:v>Equity cash flow</x:v>
      </x:c>
      <x:c r="B21" s="144" t="n">
        <x:f>-'Project Inputs'!B$6+B$12+B$11-B$18</x:f>
        <x:v>-68</x:v>
      </x:c>
      <x:c r="C21" s="144" t="n">
        <x:f>-'Project Inputs'!C$6+C$12+C$11-C$18</x:f>
        <x:v>-61.775</x:v>
      </x:c>
      <x:c r="D21" s="144" t="n">
        <x:f>-'Project Inputs'!D$6+D$12+D$11-D$18</x:f>
        <x:v>22.846153846153854</x:v>
      </x:c>
      <x:c r="E21" s="144" t="n">
        <x:f>-'Project Inputs'!E$6+E$12+E$11-E$18</x:f>
        <x:v>29.400000000000006</x:v>
      </x:c>
      <x:c r="F21" s="144" t="n">
        <x:f>-'Project Inputs'!F$6+F$12+F$11-F$18</x:f>
        <x:v>107.50739783653844</x:v>
      </x:c>
      <x:c r="G21" s="144" t="n">
        <x:f>-'Project Inputs'!G$6+G$12+G$11-G$18</x:f>
        <x:v>172.6</x:v>
      </x:c>
      <x:c r="H21" s="144" t="n">
        <x:f>-'Project Inputs'!H$6+H$12+H$11-H$18</x:f>
        <x:v>191.6</x:v>
      </x:c>
      <x:c r="I21" s="144" t="n">
        <x:f>-'Project Inputs'!I$6+I$12+I$11-I$18</x:f>
        <x:v>204.6</x:v>
      </x:c>
      <x:c r="J21" s="144" t="n">
        <x:f>-'Project Inputs'!J$6+J$12+J$11-J$18</x:f>
        <x:v>219.08</x:v>
      </x:c>
      <x:c r="K21" s="144" t="n">
        <x:f>-'Project Inputs'!K$6+K$12+K$11-K$18</x:f>
        <x:v>231.88000000000002</x:v>
      </x:c>
    </x:row>
    <x:row r="22">
      <x:c r="A22" s="138" t="str">
        <x:v>Project IRR</x:v>
      </x:c>
      <x:c r="B22" s="145" t="n">
        <x:f>IRR('Project Cash Flow'!B20:K20)</x:f>
        <x:v>0.3519686294642025</x:v>
      </x:c>
      <x:c r="C22" s="145" t="n">
        <x:f>IRR('Project Cash Flow'!B20:K20)</x:f>
        <x:v>0.3519686294642025</x:v>
      </x:c>
      <x:c r="D22" s="145" t="n">
        <x:f>IRR('Project Cash Flow'!B20:K20)</x:f>
        <x:v>0.3519686294642025</x:v>
      </x:c>
      <x:c r="E22" s="145" t="n">
        <x:f>IRR('Project Cash Flow'!B20:K20)</x:f>
        <x:v>0.3519686294642025</x:v>
      </x:c>
      <x:c r="F22" s="145" t="n">
        <x:f>IRR('Project Cash Flow'!B20:K20)</x:f>
        <x:v>0.3519686294642025</x:v>
      </x:c>
      <x:c r="G22" s="145" t="n">
        <x:f>IRR('Project Cash Flow'!B20:K20)</x:f>
        <x:v>0.3519686294642025</x:v>
      </x:c>
      <x:c r="H22" s="145" t="n">
        <x:f>IRR('Project Cash Flow'!B20:K20)</x:f>
        <x:v>0.3519686294642025</x:v>
      </x:c>
      <x:c r="I22" s="145" t="n">
        <x:f>IRR('Project Cash Flow'!B20:K20)</x:f>
        <x:v>0.3519686294642025</x:v>
      </x:c>
      <x:c r="J22" s="145" t="n">
        <x:f>IRR('Project Cash Flow'!B20:K20)</x:f>
        <x:v>0.3519686294642025</x:v>
      </x:c>
      <x:c r="K22" s="145" t="n">
        <x:f>IRR('Project Cash Flow'!B20:K20)</x:f>
        <x:v>0.3519686294642025</x:v>
      </x:c>
    </x:row>
    <x:row r="23">
      <x:c r="A23" s="136" t="str">
        <x:v>Equity IRR</x:v>
      </x:c>
      <x:c r="B23" s="146" t="n">
        <x:f>IRR('Project Cash Flow'!B21:K21)</x:f>
        <x:v>0.4914446546308637</x:v>
      </x:c>
      <x:c r="C23" s="146" t="n">
        <x:f>IRR('Project Cash Flow'!B21:K21)</x:f>
        <x:v>0.4914446546308637</x:v>
      </x:c>
      <x:c r="D23" s="146" t="n">
        <x:f>IRR('Project Cash Flow'!B21:K21)</x:f>
        <x:v>0.4914446546308637</x:v>
      </x:c>
      <x:c r="E23" s="146" t="n">
        <x:f>IRR('Project Cash Flow'!B21:K21)</x:f>
        <x:v>0.4914446546308637</x:v>
      </x:c>
      <x:c r="F23" s="146" t="n">
        <x:f>IRR('Project Cash Flow'!B21:K21)</x:f>
        <x:v>0.4914446546308637</x:v>
      </x:c>
      <x:c r="G23" s="146" t="n">
        <x:f>IRR('Project Cash Flow'!B21:K21)</x:f>
        <x:v>0.4914446546308637</x:v>
      </x:c>
      <x:c r="H23" s="146" t="n">
        <x:f>IRR('Project Cash Flow'!B21:K21)</x:f>
        <x:v>0.4914446546308637</x:v>
      </x:c>
      <x:c r="I23" s="146" t="n">
        <x:f>IRR('Project Cash Flow'!B21:K21)</x:f>
        <x:v>0.4914446546308637</x:v>
      </x:c>
      <x:c r="J23" s="146" t="n">
        <x:f>IRR('Project Cash Flow'!B21:K21)</x:f>
        <x:v>0.4914446546308637</x:v>
      </x:c>
      <x:c r="K23" s="146" t="n">
        <x:f>IRR('Project Cash Flow'!B21:K21)</x:f>
        <x:v>0.4914446546308637</x:v>
      </x:c>
    </x:row>
    <x:row r="24">
      <x:c r="A24" s="147" t="str">
        <x:v>Debt roll-forward check</x:v>
      </x:c>
      <x:c r="B24" s="148" t="n">
        <x:f>B$17-B$13-B$12+B$16</x:f>
        <x:v>0</x:v>
      </x:c>
      <x:c r="C24" s="148" t="n">
        <x:f>C$17-C$13-C$12+C$16</x:f>
        <x:v>0</x:v>
      </x:c>
      <x:c r="D24" s="148" t="n">
        <x:f>D$17-D$13-D$12+D$16</x:f>
        <x:v>1.4210854715202004e-14</x:v>
      </x:c>
      <x:c r="E24" s="148" t="n">
        <x:f>E$17-E$13-E$12+E$16</x:f>
        <x:v>0</x:v>
      </x:c>
      <x:c r="F24" s="148" t="n">
        <x:f>F$17-F$13-F$12+F$16</x:f>
        <x:v>0</x:v>
      </x:c>
      <x:c r="G24" s="148" t="n">
        <x:f>G$17-G$13-G$12+G$16</x:f>
        <x:v>0</x:v>
      </x:c>
      <x:c r="H24" s="148" t="n">
        <x:f>H$17-H$13-H$12+H$16</x:f>
        <x:v>0</x:v>
      </x:c>
      <x:c r="I24" s="148" t="n">
        <x:f>I$17-I$13-I$12+I$16</x:f>
        <x:v>0</x:v>
      </x:c>
      <x:c r="J24" s="148" t="n">
        <x:f>J$17-J$13-J$12+J$16</x:f>
        <x:v>0</x:v>
      </x:c>
      <x:c r="K24" s="148" t="n">
        <x:f>K$17-K$13-K$12+K$16</x:f>
        <x:v>0</x:v>
      </x:c>
    </x:row>
    <x:row r="26">
      <x:c r="A26" s="42" t="str">
        <x:v>Review row definitions, sign convention, period basis, scenario mechanics, and every breakpoint before relying on the output.</x:v>
      </x:c>
      <x:c r="B26" s="43" t="str">
        <x:v>Review row definitions, sign convention, period basis, scenario mechanics, and every breakpoint before relying on the output.</x:v>
      </x:c>
      <x:c r="C26" s="43" t="str">
        <x:v>Review row definitions, sign convention, period basis, scenario mechanics, and every breakpoint before relying on the output.</x:v>
      </x:c>
      <x:c r="D26" s="43" t="str">
        <x:v>Review row definitions, sign convention, period basis, scenario mechanics, and every breakpoint before relying on the output.</x:v>
      </x:c>
      <x:c r="E26" s="43" t="str">
        <x:v>Review row definitions, sign convention, period basis, scenario mechanics, and every breakpoint before relying on the output.</x:v>
      </x:c>
      <x:c r="F26" s="43" t="str">
        <x:v>Review row definitions, sign convention, period basis, scenario mechanics, and every breakpoint before relying on the output.</x:v>
      </x:c>
      <x:c r="G26" s="43" t="str">
        <x:v>Review row definitions, sign convention, period basis, scenario mechanics, and every breakpoint before relying on the output.</x:v>
      </x:c>
      <x:c r="H26" s="43" t="str">
        <x:v>Review row definitions, sign convention, period basis, scenario mechanics, and every breakpoint before relying on the output.</x:v>
      </x:c>
      <x:c r="I26" s="43" t="str">
        <x:v>Review row definitions, sign convention, period basis, scenario mechanics, and every breakpoint before relying on the output.</x:v>
      </x:c>
      <x:c r="J26" s="43" t="str">
        <x:v>Review row definitions, sign convention, period basis, scenario mechanics, and every breakpoint before relying on the output.</x:v>
      </x:c>
      <x:c r="K26" s="44" t="str">
        <x:v>Review row definitions, sign convention, period basis, scenario mechanics, and every breakpoint before relying on the output.</x:v>
      </x:c>
    </x:row>
    <x:row r="27">
      <x:c r="A27" s="45" t="str">
        <x:v>Review row definitions, sign convention, period basis, scenario mechanics, and every breakpoint before relying on the output.</x:v>
      </x:c>
      <x:c r="B27" s="46" t="str">
        <x:v>Review row definitions, sign convention, period basis, scenario mechanics, and every breakpoint before relying on the output.</x:v>
      </x:c>
      <x:c r="C27" s="46" t="str">
        <x:v>Review row definitions, sign convention, period basis, scenario mechanics, and every breakpoint before relying on the output.</x:v>
      </x:c>
      <x:c r="D27" s="46" t="str">
        <x:v>Review row definitions, sign convention, period basis, scenario mechanics, and every breakpoint before relying on the output.</x:v>
      </x:c>
      <x:c r="E27" s="46" t="str">
        <x:v>Review row definitions, sign convention, period basis, scenario mechanics, and every breakpoint before relying on the output.</x:v>
      </x:c>
      <x:c r="F27" s="46" t="str">
        <x:v>Review row definitions, sign convention, period basis, scenario mechanics, and every breakpoint before relying on the output.</x:v>
      </x:c>
      <x:c r="G27" s="46" t="str">
        <x:v>Review row definitions, sign convention, period basis, scenario mechanics, and every breakpoint before relying on the output.</x:v>
      </x:c>
      <x:c r="H27" s="46" t="str">
        <x:v>Review row definitions, sign convention, period basis, scenario mechanics, and every breakpoint before relying on the output.</x:v>
      </x:c>
      <x:c r="I27" s="46" t="str">
        <x:v>Review row definitions, sign convention, period basis, scenario mechanics, and every breakpoint before relying on the output.</x:v>
      </x:c>
      <x:c r="J27" s="46" t="str">
        <x:v>Review row definitions, sign convention, period basis, scenario mechanics, and every breakpoint before relying on the output.</x:v>
      </x:c>
      <x:c r="K27" s="47" t="str">
        <x:v>Review row definitions, sign convention, period basis, scenario mechanics, and every breakpoint before relying on the output.</x:v>
      </x:c>
    </x:row>
    <x:row r="28">
      <x:c r="A28" s="48" t="str">
        <x:v>Review row definitions, sign convention, period basis, scenario mechanics, and every breakpoint before relying on the output.</x:v>
      </x:c>
      <x:c r="B28" s="49" t="str">
        <x:v>Review row definitions, sign convention, period basis, scenario mechanics, and every breakpoint before relying on the output.</x:v>
      </x:c>
      <x:c r="C28" s="49" t="str">
        <x:v>Review row definitions, sign convention, period basis, scenario mechanics, and every breakpoint before relying on the output.</x:v>
      </x:c>
      <x:c r="D28" s="49" t="str">
        <x:v>Review row definitions, sign convention, period basis, scenario mechanics, and every breakpoint before relying on the output.</x:v>
      </x:c>
      <x:c r="E28" s="49" t="str">
        <x:v>Review row definitions, sign convention, period basis, scenario mechanics, and every breakpoint before relying on the output.</x:v>
      </x:c>
      <x:c r="F28" s="49" t="str">
        <x:v>Review row definitions, sign convention, period basis, scenario mechanics, and every breakpoint before relying on the output.</x:v>
      </x:c>
      <x:c r="G28" s="49" t="str">
        <x:v>Review row definitions, sign convention, period basis, scenario mechanics, and every breakpoint before relying on the output.</x:v>
      </x:c>
      <x:c r="H28" s="49" t="str">
        <x:v>Review row definitions, sign convention, period basis, scenario mechanics, and every breakpoint before relying on the output.</x:v>
      </x:c>
      <x:c r="I28" s="49" t="str">
        <x:v>Review row definitions, sign convention, period basis, scenario mechanics, and every breakpoint before relying on the output.</x:v>
      </x:c>
      <x:c r="J28" s="49" t="str">
        <x:v>Review row definitions, sign convention, period basis, scenario mechanics, and every breakpoint before relying on the output.</x:v>
      </x:c>
      <x:c r="K28" s="50" t="str">
        <x:v>Review row definitions, sign convention, period basis, scenario mechanics, and every breakpoint before relying on the output.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  <x:c r="K30" s="53" t="str">
        <x:v>TDAT Model Library  |  Trust builds the brand. Insight builds the decision.</x:v>
      </x:c>
    </x:row>
  </x:sheetData>
  <x:mergeCells>
    <x:mergeCell ref="A1:K1"/>
    <x:mergeCell ref="A2:K2"/>
    <x:mergeCell ref="A26:K28"/>
    <x:mergeCell ref="A30:K3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Project Finance Lite  |  Formula-backed decision range</x:v>
      </x:c>
      <x:c r="B2" s="6" t="str">
        <x:v>Project Finance Lite  |  Formula-backed decision range</x:v>
      </x:c>
      <x:c r="C2" s="6" t="str">
        <x:v>Project Finance Lite  |  Formula-backed decision range</x:v>
      </x:c>
      <x:c r="D2" s="6" t="str">
        <x:v>Project Finance Lite  |  Formula-backed decision range</x:v>
      </x:c>
      <x:c r="E2" s="6" t="str">
        <x:v>Project Finance Lite  |  Formula-backed decision range</x:v>
      </x:c>
      <x:c r="F2" s="6" t="str">
        <x:v>Project Finance Lite  |  Formula-backed decision range</x:v>
      </x:c>
      <x:c r="G2" s="6" t="str">
        <x:v>Project Finance Lite  |  Formula-backed decision range</x:v>
      </x:c>
      <x:c r="H2" s="6" t="str">
        <x:v>Project Finance Lite  |  Formula-backed decision range</x:v>
      </x:c>
      <x:c r="I2" s="6" t="str">
        <x:v>Project Finance Lite  |  Formula-backed decision range</x:v>
      </x:c>
      <x:c r="J2" s="6" t="str">
        <x:v>Project Finance Lite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49" t="str">
        <x:v>Illustrative equity value creation — Capex overrun by Tariff / volume realization</x:v>
      </x:c>
      <x:c r="B5" s="149" t="str">
        <x:v>Illustrative equity value creation — Capex overrun by Tariff / volume realization</x:v>
      </x:c>
      <x:c r="C5" s="149" t="str">
        <x:v>Illustrative equity value creation — Capex overrun by Tariff / volume realization</x:v>
      </x:c>
      <x:c r="D5" s="149" t="str">
        <x:v>Illustrative equity value creation — Capex overrun by Tariff / volume realization</x:v>
      </x:c>
      <x:c r="E5" s="149" t="str">
        <x:v>Illustrative equity value creation — Capex overrun by Tariff / volume realization</x:v>
      </x:c>
      <x:c r="F5" s="149" t="str">
        <x:v>Illustrative equity value creation — Capex overrun by Tariff / volume realization</x:v>
      </x:c>
      <x:c r="G5" s="149" t="str">
        <x:v>Illustrative equity value creation — Capex overrun by Tariff / volume realization</x:v>
      </x:c>
      <x:c r="H5" s="149" t="str">
        <x:v>Illustrative equity value creation — Capex overrun by Tariff / volume realization</x:v>
      </x:c>
      <x:c r="I5" s="149" t="str">
        <x:v>Illustrative equity value creation — Capex overrun by Tariff / volume realization</x:v>
      </x:c>
      <x:c r="J5" s="149" t="str">
        <x:v>Illustrative equity value creation — Capex overrun by Tariff / volume realization</x:v>
      </x:c>
    </x:row>
    <x:row r="6">
      <x:c r="A6" t="str">
        <x:v>Capex overrun</x:v>
      </x:c>
      <x:c r="B6" t="str">
        <x:v>Tariff / volume realization</x:v>
      </x:c>
    </x:row>
    <x:row r="7">
      <x:c r="B7" s="71" t="n">
        <x:v>0.8</x:v>
      </x:c>
      <x:c r="C7" s="71" t="n">
        <x:v>0.9</x:v>
      </x:c>
      <x:c r="D7" s="71" t="n">
        <x:v>1</x:v>
      </x:c>
      <x:c r="E7" s="71" t="n">
        <x:v>1.1</x:v>
      </x:c>
      <x:c r="F7" s="71" t="n">
        <x:v>1.2</x:v>
      </x:c>
    </x:row>
    <x:row r="8">
      <x:c r="A8" s="71" t="n">
        <x:v>-0.1</x:v>
      </x:c>
      <x:c r="B8" s="151" t="n">
        <x:f>SUM('Project Cash Flow'!B11:K11)*B$7-SUM('Project Inputs'!B$6:'Project Inputs'!K$6)*(1+$A8)*(1-0.65)</x:f>
        <x:v>1014.7480000000003</x:v>
      </x:c>
      <x:c r="C8" s="151" t="n">
        <x:f>SUM('Project Cash Flow'!B11:K11)*C$7-SUM('Project Inputs'!B$6:'Project Inputs'!K$6)*(1+$A8)*(1-0.65)</x:f>
        <x:v>1153.4040000000002</x:v>
      </x:c>
      <x:c r="D8" s="151" t="n">
        <x:f>SUM('Project Cash Flow'!B11:K11)*D$7-SUM('Project Inputs'!B$6:'Project Inputs'!K$6)*(1+$A8)*(1-0.65)</x:f>
        <x:v>1292.0600000000002</x:v>
      </x:c>
      <x:c r="E8" s="151" t="n">
        <x:f>SUM('Project Cash Flow'!B11:K11)*E$7-SUM('Project Inputs'!B$6:'Project Inputs'!K$6)*(1+$A8)*(1-0.65)</x:f>
        <x:v>1430.7160000000003</x:v>
      </x:c>
      <x:c r="F8" s="151" t="n">
        <x:f>SUM('Project Cash Flow'!B11:K11)*F$7-SUM('Project Inputs'!B$6:'Project Inputs'!K$6)*(1+$A8)*(1-0.65)</x:f>
        <x:v>1569.372</x:v>
      </x:c>
    </x:row>
    <x:row r="9">
      <x:c r="A9" s="71" t="n">
        <x:v>0</x:v>
      </x:c>
      <x:c r="B9" s="151" t="n">
        <x:f>SUM('Project Cash Flow'!B11:K11)*B$7-SUM('Project Inputs'!B$6:'Project Inputs'!K$6)*(1+$A9)*(1-0.65)</x:f>
        <x:v>1004.2480000000003</x:v>
      </x:c>
      <x:c r="C9" s="151" t="n">
        <x:f>SUM('Project Cash Flow'!B11:K11)*C$7-SUM('Project Inputs'!B$6:'Project Inputs'!K$6)*(1+$A9)*(1-0.65)</x:f>
        <x:v>1142.9040000000002</x:v>
      </x:c>
      <x:c r="D9" s="151" t="n">
        <x:f>SUM('Project Cash Flow'!B11:K11)*D$7-SUM('Project Inputs'!B$6:'Project Inputs'!K$6)*(1+$A9)*(1-0.65)</x:f>
        <x:v>1281.5600000000002</x:v>
      </x:c>
      <x:c r="E9" s="151" t="n">
        <x:f>SUM('Project Cash Flow'!B11:K11)*E$7-SUM('Project Inputs'!B$6:'Project Inputs'!K$6)*(1+$A9)*(1-0.65)</x:f>
        <x:v>1420.2160000000003</x:v>
      </x:c>
      <x:c r="F9" s="151" t="n">
        <x:f>SUM('Project Cash Flow'!B11:K11)*F$7-SUM('Project Inputs'!B$6:'Project Inputs'!K$6)*(1+$A9)*(1-0.65)</x:f>
        <x:v>1558.872</x:v>
      </x:c>
    </x:row>
    <x:row r="10">
      <x:c r="A10" s="71" t="n">
        <x:v>0.1</x:v>
      </x:c>
      <x:c r="B10" s="151" t="n">
        <x:f>SUM('Project Cash Flow'!B11:K11)*B$7-SUM('Project Inputs'!B$6:'Project Inputs'!K$6)*(1+$A10)*(1-0.65)</x:f>
        <x:v>993.7480000000003</x:v>
      </x:c>
      <x:c r="C10" s="151" t="n">
        <x:f>SUM('Project Cash Flow'!B11:K11)*C$7-SUM('Project Inputs'!B$6:'Project Inputs'!K$6)*(1+$A10)*(1-0.65)</x:f>
        <x:v>1132.4040000000002</x:v>
      </x:c>
      <x:c r="D10" s="151" t="n">
        <x:f>SUM('Project Cash Flow'!B11:K11)*D$7-SUM('Project Inputs'!B$6:'Project Inputs'!K$6)*(1+$A10)*(1-0.65)</x:f>
        <x:v>1271.0600000000002</x:v>
      </x:c>
      <x:c r="E10" s="151" t="n">
        <x:f>SUM('Project Cash Flow'!B11:K11)*E$7-SUM('Project Inputs'!B$6:'Project Inputs'!K$6)*(1+$A10)*(1-0.65)</x:f>
        <x:v>1409.7160000000003</x:v>
      </x:c>
      <x:c r="F10" s="151" t="n">
        <x:f>SUM('Project Cash Flow'!B11:K11)*F$7-SUM('Project Inputs'!B$6:'Project Inputs'!K$6)*(1+$A10)*(1-0.65)</x:f>
        <x:v>1548.372</x:v>
      </x:c>
    </x:row>
    <x:row r="11">
      <x:c r="A11" s="71" t="n">
        <x:v>0.2</x:v>
      </x:c>
      <x:c r="B11" s="151" t="n">
        <x:f>SUM('Project Cash Flow'!B11:K11)*B$7-SUM('Project Inputs'!B$6:'Project Inputs'!K$6)*(1+$A11)*(1-0.65)</x:f>
        <x:v>983.2480000000003</x:v>
      </x:c>
      <x:c r="C11" s="151" t="n">
        <x:f>SUM('Project Cash Flow'!B11:K11)*C$7-SUM('Project Inputs'!B$6:'Project Inputs'!K$6)*(1+$A11)*(1-0.65)</x:f>
        <x:v>1121.9040000000002</x:v>
      </x:c>
      <x:c r="D11" s="151" t="n">
        <x:f>SUM('Project Cash Flow'!B11:K11)*D$7-SUM('Project Inputs'!B$6:'Project Inputs'!K$6)*(1+$A11)*(1-0.65)</x:f>
        <x:v>1260.5600000000002</x:v>
      </x:c>
      <x:c r="E11" s="151" t="n">
        <x:f>SUM('Project Cash Flow'!B11:K11)*E$7-SUM('Project Inputs'!B$6:'Project Inputs'!K$6)*(1+$A11)*(1-0.65)</x:f>
        <x:v>1399.2160000000003</x:v>
      </x:c>
      <x:c r="F11" s="151" t="n">
        <x:f>SUM('Project Cash Flow'!B11:K11)*F$7-SUM('Project Inputs'!B$6:'Project Inputs'!K$6)*(1+$A11)*(1-0.65)</x:f>
        <x:v>1537.872</x:v>
      </x:c>
    </x:row>
    <x:row r="12">
      <x:c r="A12" s="71" t="n">
        <x:v>0.3</x:v>
      </x:c>
      <x:c r="B12" s="151" t="n">
        <x:f>SUM('Project Cash Flow'!B11:K11)*B$7-SUM('Project Inputs'!B$6:'Project Inputs'!K$6)*(1+$A12)*(1-0.65)</x:f>
        <x:v>972.7480000000003</x:v>
      </x:c>
      <x:c r="C12" s="151" t="n">
        <x:f>SUM('Project Cash Flow'!B11:K11)*C$7-SUM('Project Inputs'!B$6:'Project Inputs'!K$6)*(1+$A12)*(1-0.65)</x:f>
        <x:v>1111.4040000000002</x:v>
      </x:c>
      <x:c r="D12" s="151" t="n">
        <x:f>SUM('Project Cash Flow'!B11:K11)*D$7-SUM('Project Inputs'!B$6:'Project Inputs'!K$6)*(1+$A12)*(1-0.65)</x:f>
        <x:v>1250.0600000000002</x:v>
      </x:c>
      <x:c r="E12" s="151" t="n">
        <x:f>SUM('Project Cash Flow'!B11:K11)*E$7-SUM('Project Inputs'!B$6:'Project Inputs'!K$6)*(1+$A12)*(1-0.65)</x:f>
        <x:v>1388.7160000000003</x:v>
      </x:c>
      <x:c r="F12" s="151" t="n">
        <x:f>SUM('Project Cash Flow'!B11:K11)*F$7-SUM('Project Inputs'!B$6:'Project Inputs'!K$6)*(1+$A12)*(1-0.65)</x:f>
        <x:v>1527.372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61" t="str">
        <x:v>Base</x:v>
      </x:c>
      <x:c r="B18" s="162" t="str">
        <x:v>Most likely operating and finance assumptions.</x:v>
      </x:c>
      <x:c r="C18" s="162" t="str">
        <x:v>Base</x:v>
      </x:c>
      <x:c r="D18" s="163" t="str">
        <x:v>What must be true for the base case to hold?</x:v>
      </x:c>
    </x:row>
    <x:row r="19">
      <x:c r="A19" s="164" t="str">
        <x:v>Upside</x:v>
      </x:c>
      <x:c r="B19" s="165" t="str">
        <x:v>Stronger performance, faster conversion, or lower risk/cost.</x:v>
      </x:c>
      <x:c r="C19" s="165" t="str">
        <x:v>Upside</x:v>
      </x:c>
      <x:c r="D19" s="166" t="str">
        <x:v>Which actions unlock the upside?</x:v>
      </x:c>
    </x:row>
    <x:row r="20">
      <x:c r="A20" s="167" t="str">
        <x:v>Downside</x:v>
      </x:c>
      <x:c r="B20" s="168" t="str">
        <x:v>Slower activity, weaker conversion, or higher risk/cost.</x:v>
      </x:c>
      <x:c r="C20" s="168" t="str">
        <x:v>Downside</x:v>
      </x:c>
      <x:c r="D20" s="169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Project Finance Lite  |  Decision outputs, trend, breakpoints, and action prompts</x:v>
      </x:c>
      <x:c r="B2" s="6" t="str">
        <x:v>Project Finance Lite  |  Decision outputs, trend, breakpoints, and action prompts</x:v>
      </x:c>
      <x:c r="C2" s="6" t="str">
        <x:v>Project Finance Lite  |  Decision outputs, trend, breakpoints, and action prompts</x:v>
      </x:c>
      <x:c r="D2" s="6" t="str">
        <x:v>Project Finance Lite  |  Decision outputs, trend, breakpoints, and action prompts</x:v>
      </x:c>
      <x:c r="E2" s="6" t="str">
        <x:v>Project Finance Lite  |  Decision outputs, trend, breakpoints, and action prompts</x:v>
      </x:c>
      <x:c r="F2" s="6" t="str">
        <x:v>Project Finance Lite  |  Decision outputs, trend, breakpoints, and action prompts</x:v>
      </x:c>
      <x:c r="G2" s="6" t="str">
        <x:v>Project Finance Lite  |  Decision outputs, trend, breakpoints, and action prompts</x:v>
      </x:c>
      <x:c r="H2" s="6" t="str">
        <x:v>Project Finance Lite  |  Decision outputs, trend, breakpoints, and action prompts</x:v>
      </x:c>
      <x:c r="I2" s="6" t="str">
        <x:v>Project Finance Lite  |  Decision outputs, trend, breakpoints, and action prompts</x:v>
      </x:c>
      <x:c r="J2" s="6" t="str">
        <x:v>Project Finance Lite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71" t="str">
        <x:v>EQUITY IRR</x:v>
      </x:c>
      <x:c r="B5" s="171" t="str">
        <x:v>EQUITY IRR</x:v>
      </x:c>
      <x:c r="C5" s="171" t="str">
        <x:v>EQUITY IRR</x:v>
      </x:c>
      <x:c r="D5" s="171" t="str">
        <x:v>PROJECT IRR</x:v>
      </x:c>
      <x:c r="E5" s="171" t="str">
        <x:v>PROJECT IRR</x:v>
      </x:c>
      <x:c r="F5" s="171" t="str">
        <x:v>PROJECT IRR</x:v>
      </x:c>
      <x:c r="G5" s="171" t="str">
        <x:v>MINIMUM OPERATING DSCR</x:v>
      </x:c>
      <x:c r="H5" s="171" t="str">
        <x:v>MINIMUM OPERATING DSCR</x:v>
      </x:c>
      <x:c r="I5" s="171" t="str">
        <x:v>MINIMUM OPERATING DSCR</x:v>
      </x:c>
      <x:c r="J5" s="191" t="str">
        <x:v>MODEL STATUS</x:v>
      </x:c>
    </x:row>
    <x:row r="6">
      <x:c r="A6" s="175" t="n">
        <x:f>'Project Cash Flow'!K$23</x:f>
        <x:v>0.4914446546308637</x:v>
      </x:c>
      <x:c r="B6" s="175"/>
      <x:c r="C6" s="175"/>
      <x:c r="D6" s="179" t="n">
        <x:f>'Project Cash Flow'!K$22</x:f>
        <x:v>0.3519686294642025</x:v>
      </x:c>
      <x:c r="E6" s="179"/>
      <x:c r="F6" s="179"/>
      <x:c r="G6" s="185" t="n">
        <x:f>MIN('Project Cash Flow'!D19:K19)</x:f>
        <x:v>0</x:v>
      </x:c>
      <x:c r="H6" s="185"/>
      <x:c r="I6" s="185"/>
      <x:c r="J6" s="195" t="str">
        <x:f>'Checks'!$B$5</x:f>
        <x:v>PASS</x:v>
      </x:c>
    </x:row>
    <x:row r="7">
      <x:c r="A7" s="175"/>
      <x:c r="B7" s="175"/>
      <x:c r="C7" s="175"/>
      <x:c r="D7" s="179"/>
      <x:c r="E7" s="179"/>
      <x:c r="F7" s="179"/>
      <x:c r="G7" s="185"/>
      <x:c r="H7" s="185"/>
      <x:c r="I7" s="185"/>
      <x:c r="J7" s="195"/>
    </x:row>
    <x:row r="9">
      <x:c r="A9" s="171" t="str">
        <x:v>PEAK DEBT</x:v>
      </x:c>
      <x:c r="B9" s="171" t="str">
        <x:v>PEAK DEBT</x:v>
      </x:c>
      <x:c r="C9" s="171" t="str">
        <x:v>PEAK DEBT</x:v>
      </x:c>
      <x:c r="D9" s="171" t="str">
        <x:v>TOTAL CAPEX</x:v>
      </x:c>
      <x:c r="E9" s="171" t="str">
        <x:v>TOTAL CAPEX</x:v>
      </x:c>
      <x:c r="F9" s="171" t="str">
        <x:v>TOTAL CAPEX</x:v>
      </x:c>
      <x:c r="G9" s="171" t="str">
        <x:v>CLOSING DEBT</x:v>
      </x:c>
      <x:c r="H9" s="171" t="str">
        <x:v>CLOSING DEBT</x:v>
      </x:c>
      <x:c r="I9" s="171" t="str">
        <x:v>CLOSING DEBT</x:v>
      </x:c>
      <x:c r="J9" s="191" t="str">
        <x:v>SCENARIO</x:v>
      </x:c>
    </x:row>
    <x:row r="10">
      <x:c r="A10" s="189" t="n">
        <x:f>MAX('Project Cash Flow'!B17:K17)</x:f>
        <x:v>195</x:v>
      </x:c>
      <x:c r="B10" s="189"/>
      <x:c r="C10" s="189"/>
      <x:c r="D10" s="189" t="n">
        <x:f>SUM('Project Inputs'!B$6:'Project Inputs'!K$6)</x:f>
        <x:v>300</x:v>
      </x:c>
      <x:c r="E10" s="189"/>
      <x:c r="F10" s="189"/>
      <x:c r="G10" s="189" t="n">
        <x:f>'Project Cash Flow'!K$17</x:f>
        <x:v>0</x:v>
      </x:c>
      <x:c r="H10" s="189"/>
      <x:c r="I10" s="189"/>
      <x:c r="J10" s="198" t="str">
        <x:f>'Assumptions'!$B$3</x:f>
        <x:v>Base</x:v>
      </x:c>
    </x:row>
    <x:row r="11">
      <x:c r="A11" s="189"/>
      <x:c r="B11" s="189"/>
      <x:c r="C11" s="189"/>
      <x:c r="D11" s="189"/>
      <x:c r="E11" s="189"/>
      <x:c r="F11" s="189"/>
      <x:c r="G11" s="189"/>
      <x:c r="H11" s="189"/>
      <x:c r="I11" s="189"/>
      <x:c r="J11" s="198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Cash flow available for debt service</x:v>
      </x:c>
      <x:c r="C15" s="68" t="str">
        <x:v>Debt service</x:v>
      </x:c>
    </x:row>
    <x:row r="16">
      <x:c r="A16" t="str">
        <x:v>Y1</x:v>
      </x:c>
      <x:c r="B16" s="200" t="n">
        <x:f>'Project Cash Flow'!B$11</x:f>
        <x:v>-5</x:v>
      </x:c>
      <x:c r="C16" s="200" t="n">
        <x:f>'Project Cash Flow'!B$18</x:f>
        <x:v>0</x:v>
      </x:c>
    </x:row>
    <x:row r="17">
      <x:c r="A17" t="str">
        <x:v>Y2</x:v>
      </x:c>
      <x:c r="B17" s="200" t="n">
        <x:f>'Project Cash Flow'!C$11</x:f>
        <x:v>-11</x:v>
      </x:c>
      <x:c r="C17" s="200" t="n">
        <x:f>'Project Cash Flow'!C$18</x:f>
        <x:v>8.775</x:v>
      </x:c>
    </x:row>
    <x:row r="18">
      <x:c r="A18" t="str">
        <x:v>Y3</x:v>
      </x:c>
      <x:c r="B18" s="200" t="n">
        <x:f>'Project Cash Flow'!D$11</x:f>
        <x:v>99</x:v>
      </x:c>
      <x:c r="C18" s="200" t="n">
        <x:f>'Project Cash Flow'!D$18</x:f>
        <x:v>76.15384615384615</x:v>
      </x:c>
    </x:row>
    <x:row r="19">
      <x:c r="A19" t="str">
        <x:v>Y4</x:v>
      </x:c>
      <x:c r="B19" s="200" t="n">
        <x:f>'Project Cash Flow'!E$11</x:f>
        <x:v>127.4</x:v>
      </x:c>
      <x:c r="C19" s="200" t="n">
        <x:f>'Project Cash Flow'!E$18</x:f>
        <x:v>98</x:v>
      </x:c>
    </x:row>
    <x:row r="20">
      <x:c r="A20" t="str">
        <x:v>Y5</x:v>
      </x:c>
      <x:c r="B20" s="200" t="n">
        <x:f>'Project Cash Flow'!F$11</x:f>
        <x:v>156.4</x:v>
      </x:c>
      <x:c r="C20" s="200" t="n">
        <x:f>'Project Cash Flow'!F$18</x:f>
        <x:v>48.89260216346157</x:v>
      </x:c>
    </x:row>
    <x:row r="21">
      <x:c r="A21" t="str">
        <x:v>Y6</x:v>
      </x:c>
      <x:c r="B21" s="200" t="n">
        <x:f>'Project Cash Flow'!G$11</x:f>
        <x:v>172.6</x:v>
      </x:c>
      <x:c r="C21" s="200" t="n">
        <x:f>'Project Cash Flow'!G$18</x:f>
        <x:v>0</x:v>
      </x:c>
    </x:row>
    <x:row r="22">
      <x:c r="A22" t="str">
        <x:v>Y7</x:v>
      </x:c>
      <x:c r="B22" s="200" t="n">
        <x:f>'Project Cash Flow'!H$11</x:f>
        <x:v>191.6</x:v>
      </x:c>
      <x:c r="C22" s="200" t="n">
        <x:f>'Project Cash Flow'!H$18</x:f>
        <x:v>0</x:v>
      </x:c>
    </x:row>
    <x:row r="23">
      <x:c r="A23" t="str">
        <x:v>Y8</x:v>
      </x:c>
      <x:c r="B23" s="200" t="n">
        <x:f>'Project Cash Flow'!I$11</x:f>
        <x:v>204.6</x:v>
      </x:c>
      <x:c r="C23" s="200" t="n">
        <x:f>'Project Cash Flow'!I$18</x:f>
        <x:v>0</x:v>
      </x:c>
    </x:row>
    <x:row r="24">
      <x:c r="A24" t="str">
        <x:v>Y9</x:v>
      </x:c>
      <x:c r="B24" s="200" t="n">
        <x:f>'Project Cash Flow'!J$11</x:f>
        <x:v>219.08</x:v>
      </x:c>
      <x:c r="C24" s="200" t="n">
        <x:f>'Project Cash Flow'!J$18</x:f>
        <x:v>0</x:v>
      </x:c>
    </x:row>
    <x:row r="25">
      <x:c r="A25" t="str">
        <x:v>Y10</x:v>
      </x:c>
      <x:c r="B25" s="200" t="n">
        <x:f>'Project Cash Flow'!K$11</x:f>
        <x:v>231.88000000000002</x:v>
      </x:c>
      <x:c r="C25" s="200" t="n">
        <x:f>'Project Cash Flow'!K$18</x:f>
        <x:v>0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Is the project bankable, and how do funding, construction, and operating assumptions affect returns?</x:v>
      </x:c>
      <x:c r="C32" s="17" t="str"/>
      <x:c r="D32" s="17" t="str"/>
      <x:c r="E32" s="17" t="str"/>
      <x:c r="F32" s="17" t="str"/>
      <x:c r="G32" s="17" t="str"/>
      <x:c r="H32" s="202" t="str">
        <x:v>Decision owner</x:v>
      </x:c>
      <x:c r="I32" s="202" t="str"/>
      <x:c r="J32" s="202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202" t="str">
        <x:v>Finance / business owner</x:v>
      </x:c>
      <x:c r="I33" s="202" t="str"/>
      <x:c r="J33" s="202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202" t="str">
        <x:v>Finance leader</x:v>
      </x:c>
      <x:c r="I34" s="202" t="str"/>
      <x:c r="J34" s="202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202" t="str">
        <x:v>Model owner</x:v>
      </x:c>
      <x:c r="I35" s="202" t="str"/>
      <x:c r="J35" s="202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202" t="str">
        <x:v>Reviewer</x:v>
      </x:c>
      <x:c r="I36" s="202" t="str"/>
      <x:c r="J36" s="202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202" t="str">
        <x:v>Action owner</x:v>
      </x:c>
      <x:c r="I37" s="202" t="str"/>
      <x:c r="J37" s="202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25b8a7e8c45c45f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Project Finance Lite  |  One assertion per row — investigate every FAIL</x:v>
      </x:c>
      <x:c r="B2" s="6" t="str">
        <x:v>Project Finance Lite  |  One assertion per row — investigate every FAIL</x:v>
      </x:c>
      <x:c r="C2" s="6" t="str">
        <x:v>Project Finance Lite  |  One assertion per row — investigate every FAIL</x:v>
      </x:c>
      <x:c r="D2" s="6" t="str">
        <x:v>Project Finance Lite  |  One assertion per row — investigate every FAIL</x:v>
      </x:c>
      <x:c r="E2" s="6" t="str">
        <x:v>Project Finance Lite  |  One assertion per row — investigate every FAIL</x:v>
      </x:c>
      <x:c r="F2" s="6" t="str">
        <x:v>Project Finance Lite  |  One assertion per row — investigate every FAIL</x:v>
      </x:c>
      <x:c r="G2" s="6" t="str">
        <x:v>Project Finance Lite  |  One assertion per row — investigate every FAIL</x:v>
      </x:c>
      <x:c r="H2" s="6" t="str">
        <x:v>Project Finance Lite  |  One assertion per row — investigate every FAIL</x:v>
      </x:c>
      <x:c r="I2" s="6" t="str">
        <x:v>Project Finance Lite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204" t="str">
        <x:f>IF(COUNTIF(G8:G17,"FAIL")=0,"PASS","FAIL")</x:f>
        <x:v>PASS</x:v>
      </x:c>
      <x:c r="C5" s="204"/>
      <x:c r="D5" s="206" t="str">
        <x:v>Published controls: 10. PASS means the listed calculations tie within tolerance; source and decision readiness remain separate.</x:v>
      </x:c>
      <x:c r="E5" s="206" t="str">
        <x:v>Published controls: 10. PASS means the listed calculations tie within tolerance; source and decision readiness remain separate.</x:v>
      </x:c>
      <x:c r="F5" s="206" t="str">
        <x:v>Published controls: 10. PASS means the listed calculations tie within tolerance; source and decision readiness remain separate.</x:v>
      </x:c>
      <x:c r="G5" s="206" t="str">
        <x:v>Published controls: 10. PASS means the listed calculations tie within tolerance; source and decision readiness remain separate.</x:v>
      </x:c>
      <x:c r="H5" s="206" t="str">
        <x:v>Published controls: 10. PASS means the listed calculations tie within tolerance; source and decision readiness remain separate.</x:v>
      </x:c>
      <x:c r="I5" s="206" t="str">
        <x:v>Published controls: 10.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215" t="str">
        <x:v>Debt roll-forward ties</x:v>
      </x:c>
      <x:c r="B8" s="215" t="str">
        <x:v>Model</x:v>
      </x:c>
      <x:c r="C8" s="216" t="n">
        <x:f>SUM('Project Cash Flow'!B24:K24)</x:f>
        <x:v>1.4210854715202004e-14</x:v>
      </x:c>
      <x:c r="D8" s="216" t="n">
        <x:v>0</x:v>
      </x:c>
      <x:c r="E8" s="216" t="n">
        <x:f>C8-D8</x:f>
        <x:v>1.4210854715202004e-14</x:v>
      </x:c>
      <x:c r="F8" s="216" t="n">
        <x:v>0.01</x:v>
      </x:c>
      <x:c r="G8" s="217" t="str">
        <x:f>IF(ABS(E8)&lt;=F8,"PASS","FAIL")</x:f>
        <x:v>PASS</x:v>
      </x:c>
      <x:c r="H8" s="218" t="str">
        <x:v>Project Cash Flow — debt</x:v>
      </x:c>
      <x:c r="I8" s="218" t="str">
        <x:v>Opening debt plus draws less principal equals closing debt.</x:v>
      </x:c>
    </x:row>
    <x:row r="9">
      <x:c r="A9" s="219" t="str">
        <x:v>Principal does not exceed available debt</x:v>
      </x:c>
      <x:c r="B9" s="219" t="str">
        <x:v>Model</x:v>
      </x:c>
      <x:c r="C9" s="220" t="n">
        <x:f>MAX(0,'Project Cash Flow'!B16-'Project Cash Flow'!B13-'Project Cash Flow'!B12,'Project Cash Flow'!C16-'Project Cash Flow'!C13-'Project Cash Flow'!C12,'Project Cash Flow'!D16-'Project Cash Flow'!D13-'Project Cash Flow'!D12,'Project Cash Flow'!E16-'Project Cash Flow'!E13-'Project Cash Flow'!E12,'Project Cash Flow'!F16-'Project Cash Flow'!F13-'Project Cash Flow'!F12,'Project Cash Flow'!G16-'Project Cash Flow'!G13-'Project Cash Flow'!G12,'Project Cash Flow'!H16-'Project Cash Flow'!H13-'Project Cash Flow'!H12,'Project Cash Flow'!I16-'Project Cash Flow'!I13-'Project Cash Flow'!I12,'Project Cash Flow'!J16-'Project Cash Flow'!J13-'Project Cash Flow'!J12,'Project Cash Flow'!K16-'Project Cash Flow'!K13-'Project Cash Flow'!K12)</x:f>
        <x:v>0</x:v>
      </x:c>
      <x:c r="D9" s="220" t="n">
        <x:v>0</x:v>
      </x:c>
      <x:c r="E9" s="220" t="n">
        <x:f>C9-D9</x:f>
        <x:v>0</x:v>
      </x:c>
      <x:c r="F9" s="220" t="n">
        <x:v>0.01</x:v>
      </x:c>
      <x:c r="G9" s="221" t="str">
        <x:f>IF(ABS(E9)&lt;=F9,"PASS","FAIL")</x:f>
        <x:v>PASS</x:v>
      </x:c>
      <x:c r="H9" s="222" t="str">
        <x:v>Project Cash Flow — principal</x:v>
      </x:c>
      <x:c r="I9" s="222" t="str">
        <x:v>Principal cannot exceed opening debt plus current draw.</x:v>
      </x:c>
    </x:row>
    <x:row r="10">
      <x:c r="A10" s="219" t="str">
        <x:v>Debt remains non-negative</x:v>
      </x:c>
      <x:c r="B10" s="219" t="str">
        <x:v>Model</x:v>
      </x:c>
      <x:c r="C10" s="220" t="n">
        <x:f>MAX(0,-MIN('Project Cash Flow'!B17:K17))</x:f>
        <x:v>0</x:v>
      </x:c>
      <x:c r="D10" s="220" t="n">
        <x:v>0</x:v>
      </x:c>
      <x:c r="E10" s="220" t="n">
        <x:f>C10-D10</x:f>
        <x:v>0</x:v>
      </x:c>
      <x:c r="F10" s="220" t="n">
        <x:v>0.01</x:v>
      </x:c>
      <x:c r="G10" s="221" t="str">
        <x:f>IF(ABS(E10)&lt;=F10,"PASS","FAIL")</x:f>
        <x:v>PASS</x:v>
      </x:c>
      <x:c r="H10" s="222" t="str">
        <x:v>Project Cash Flow — debt</x:v>
      </x:c>
      <x:c r="I10" s="222" t="str">
        <x:v>No negative debt balance.</x:v>
      </x:c>
    </x:row>
    <x:row r="11">
      <x:c r="A11" s="219" t="str">
        <x:v>Operating DSCR is positive</x:v>
      </x:c>
      <x:c r="B11" s="219" t="str">
        <x:v>Model</x:v>
      </x:c>
      <x:c r="C11" s="223" t="n">
        <x:f>MAX(0,-MIN('Project Cash Flow'!D19:K19))</x:f>
        <x:v>0</x:v>
      </x:c>
      <x:c r="D11" s="223" t="n">
        <x:v>0</x:v>
      </x:c>
      <x:c r="E11" s="223" t="n">
        <x:f>C11-D11</x:f>
        <x:v>0</x:v>
      </x:c>
      <x:c r="F11" s="223" t="n">
        <x:v>0.0001</x:v>
      </x:c>
      <x:c r="G11" s="221" t="str">
        <x:f>IF(ABS(E11)&lt;=F11,"PASS","FAIL")</x:f>
        <x:v>PASS</x:v>
      </x:c>
      <x:c r="H11" s="222" t="str">
        <x:v>Project Cash Flow — DSCR</x:v>
      </x:c>
      <x:c r="I11" s="222" t="str">
        <x:v>Coverage periods require non-negative DSCR.</x:v>
      </x:c>
    </x:row>
    <x:row r="12">
      <x:c r="A12" s="219" t="str">
        <x:v>Scenario selector is valid</x:v>
      </x:c>
      <x:c r="B12" s="219" t="str">
        <x:v>Current</x:v>
      </x:c>
      <x:c r="C12" s="224" t="n">
        <x:f>COUNTIF('Assumptions'!$C$5:$E$5,'Assumptions'!$B$3)</x:f>
        <x:v>1</x:v>
      </x:c>
      <x:c r="D12" s="224" t="n">
        <x:v>1</x:v>
      </x:c>
      <x:c r="E12" s="224" t="n">
        <x:f>C12-D12</x:f>
        <x:v>0</x:v>
      </x:c>
      <x:c r="F12" s="224" t="n">
        <x:v>0</x:v>
      </x:c>
      <x:c r="G12" s="221" t="str">
        <x:f>IF(ABS(E12)&lt;=F12,"PASS","FAIL")</x:f>
        <x:v>PASS</x:v>
      </x:c>
      <x:c r="H12" s="222" t="str">
        <x:v>Assumptions B3</x:v>
      </x:c>
      <x:c r="I12" s="222" t="str">
        <x:v>Base, Upside, or Downside only.</x:v>
      </x:c>
    </x:row>
    <x:row r="13">
      <x:c r="A13" s="219" t="str">
        <x:v>Period headers are complete</x:v>
      </x:c>
      <x:c r="B13" s="219" t="str">
        <x:v>All periods</x:v>
      </x:c>
      <x:c r="C13" s="224" t="n">
        <x:f>COUNTA('Project Inputs'!B5:K5)</x:f>
        <x:v>10</x:v>
      </x:c>
      <x:c r="D13" s="224" t="n">
        <x:v>10</x:v>
      </x:c>
      <x:c r="E13" s="224" t="n">
        <x:f>C13-D13</x:f>
        <x:v>0</x:v>
      </x:c>
      <x:c r="F13" s="224" t="n">
        <x:v>0</x:v>
      </x:c>
      <x:c r="G13" s="221" t="str">
        <x:f>IF(ABS(E13)&lt;=F13,"PASS","FAIL")</x:f>
        <x:v>PASS</x:v>
      </x:c>
      <x:c r="H13" s="222" t="str">
        <x:v>Project Inputs row 5</x:v>
      </x:c>
      <x:c r="I13" s="222" t="str">
        <x:v>All modeled periods must have a visible header.</x:v>
      </x:c>
    </x:row>
    <x:row r="14">
      <x:c r="A14" s="219" t="str">
        <x:v>Source input grid is complete</x:v>
      </x:c>
      <x:c r="B14" s="219" t="str">
        <x:v>All periods</x:v>
      </x:c>
      <x:c r="C14" s="224" t="n">
        <x:f>COUNTA('Project Inputs'!B6:K11)</x:f>
        <x:v>60</x:v>
      </x:c>
      <x:c r="D14" s="224" t="n">
        <x:v>60</x:v>
      </x:c>
      <x:c r="E14" s="224" t="n">
        <x:f>C14-D14</x:f>
        <x:v>0</x:v>
      </x:c>
      <x:c r="F14" s="224" t="n">
        <x:v>0</x:v>
      </x:c>
      <x:c r="G14" s="221" t="str">
        <x:f>IF(ABS(E14)&lt;=F14,"PASS","FAIL")</x:f>
        <x:v>PASS</x:v>
      </x:c>
      <x:c r="H14" s="222" t="str">
        <x:v>Project Inputs</x:v>
      </x:c>
      <x:c r="I14" s="222" t="str">
        <x:v>Replace blanks with an approved value or an explicitly documented zero.</x:v>
      </x:c>
    </x:row>
    <x:row r="15">
      <x:c r="A15" s="219" t="str">
        <x:v>Selected assumptions are complete</x:v>
      </x:c>
      <x:c r="B15" s="219" t="str">
        <x:v>Current</x:v>
      </x:c>
      <x:c r="C15" s="224" t="n">
        <x:f>COUNT('Assumptions'!F6:F10)</x:f>
        <x:v>5</x:v>
      </x:c>
      <x:c r="D15" s="224" t="n">
        <x:v>5</x:v>
      </x:c>
      <x:c r="E15" s="224" t="n">
        <x:f>C15-D15</x:f>
        <x:v>0</x:v>
      </x:c>
      <x:c r="F15" s="224" t="n">
        <x:v>0</x:v>
      </x:c>
      <x:c r="G15" s="221" t="str">
        <x:f>IF(ABS(E15)&lt;=F15,"PASS","FAIL")</x:f>
        <x:v>PASS</x:v>
      </x:c>
      <x:c r="H15" s="222" t="str">
        <x:v>Assumptions column F</x:v>
      </x:c>
      <x:c r="I15" s="222" t="str">
        <x:v>Every scenario driver must resolve to a numeric selected value.</x:v>
      </x:c>
    </x:row>
    <x:row r="16">
      <x:c r="A16" s="219" t="str">
        <x:v>Core model cells calculate to numbers</x:v>
      </x:c>
      <x:c r="B16" s="219" t="str">
        <x:v>All periods</x:v>
      </x:c>
      <x:c r="C16" s="224" t="n">
        <x:f>COUNT('Project Cash Flow'!B6:K24)</x:f>
        <x:v>190</x:v>
      </x:c>
      <x:c r="D16" s="224" t="n">
        <x:v>190</x:v>
      </x:c>
      <x:c r="E16" s="224" t="n">
        <x:f>C16-D16</x:f>
        <x:v>0</x:v>
      </x:c>
      <x:c r="F16" s="224" t="n">
        <x:v>0</x:v>
      </x:c>
      <x:c r="G16" s="221" t="str">
        <x:f>IF(ABS(E16)&lt;=F16,"PASS","FAIL")</x:f>
        <x:v>PASS</x:v>
      </x:c>
      <x:c r="H16" s="222" t="str">
        <x:v>Project Cash Flow</x:v>
      </x:c>
      <x:c r="I16" s="222" t="str">
        <x:v>No blank or text output is permitted inside the calculation block.</x:v>
      </x:c>
    </x:row>
    <x:row r="17">
      <x:c r="A17" s="225" t="str">
        <x:v>Headline output is non-negative</x:v>
      </x:c>
      <x:c r="B17" s="225" t="str">
        <x:v>All periods</x:v>
      </x:c>
      <x:c r="C17" s="226" t="n">
        <x:f>MAX(0,-MIN('Project Cash Flow'!B23:K23))</x:f>
        <x:v>0</x:v>
      </x:c>
      <x:c r="D17" s="226" t="n">
        <x:v>0</x:v>
      </x:c>
      <x:c r="E17" s="226" t="n">
        <x:f>C17-D17</x:f>
        <x:v>0</x:v>
      </x:c>
      <x:c r="F17" s="226" t="n">
        <x:v>0.01</x:v>
      </x:c>
      <x:c r="G17" s="227" t="str">
        <x:f>IF(ABS(E17)&lt;=F17,"PASS","FAIL")</x:f>
        <x:v>PASS</x:v>
      </x:c>
      <x:c r="H17" s="228" t="str">
        <x:v>Project Cash Flow — equityIrr</x:v>
      </x:c>
      <x:c r="I17" s="228" t="str">
        <x:v>Negative outputs require an explicit method and decision interpretation.</x:v>
      </x:c>
    </x:row>
    <x:row r="19">
      <x:c r="A19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19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0">
      <x:c r="A20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1">
      <x:c r="A21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3">
      <x:c r="A23" s="53" t="str">
        <x:v>TDAT Model Library  |  Trust builds the brand. Insight builds the decision.</x:v>
      </x:c>
      <x:c r="B23" s="53" t="str">
        <x:v>TDAT Model Library  |  Trust builds the brand. Insight builds the decision.</x:v>
      </x:c>
      <x:c r="C23" s="53" t="str">
        <x:v>TDAT Model Library  |  Trust builds the brand. Insight builds the decision.</x:v>
      </x:c>
      <x:c r="D23" s="53" t="str">
        <x:v>TDAT Model Library  |  Trust builds the brand. Insight builds the decision.</x:v>
      </x:c>
      <x:c r="E23" s="53" t="str">
        <x:v>TDAT Model Library  |  Trust builds the brand. Insight builds the decision.</x:v>
      </x:c>
      <x:c r="F23" s="53" t="str">
        <x:v>TDAT Model Library  |  Trust builds the brand. Insight builds the decision.</x:v>
      </x:c>
      <x:c r="G23" s="53" t="str">
        <x:v>TDAT Model Library  |  Trust builds the brand. Insight builds the decision.</x:v>
      </x:c>
      <x:c r="H23" s="53" t="str">
        <x:v>TDAT Model Library  |  Trust builds the brand. Insight builds the decision.</x:v>
      </x:c>
      <x:c r="I23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19:I21"/>
    <x:mergeCell ref="A23:I23"/>
  </x:mergeCells>
  <x:conditionalFormatting sqref="G8:G17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Project Finance Lite  |  Assumption register, release facts, and distribution controls</x:v>
      </x:c>
      <x:c r="B2" s="6" t="str">
        <x:v>Project Finance Lite  |  Assumption register, release facts, and distribution controls</x:v>
      </x:c>
      <x:c r="C2" s="6" t="str">
        <x:v>Project Finance Lite  |  Assumption register, release facts, and distribution controls</x:v>
      </x:c>
      <x:c r="D2" s="6" t="str">
        <x:v>Project Finance Lite  |  Assumption register, release facts, and distribution controls</x:v>
      </x:c>
      <x:c r="E2" s="6" t="str">
        <x:v>Project Finance Lite  |  Assumption register, release facts, and distribution controls</x:v>
      </x:c>
      <x:c r="F2" s="6" t="str">
        <x:v>Project Finance Lite  |  Assumption register, release facts, and distribution controls</x:v>
      </x:c>
      <x:c r="G2" s="6" t="str">
        <x:v>Project Finance Lite  |  Assumption register, release facts, and distribution controls</x:v>
      </x:c>
      <x:c r="H2" s="6" t="str">
        <x:v>Project Finance Lite  |  Assumption register, release facts, and distribution controls</x:v>
      </x:c>
      <x:c r="I2" s="6" t="str">
        <x:v>Project Finance Lite  |  Assumption register, release facts, and distribution controls</x:v>
      </x:c>
      <x:c r="J2" s="6" t="str">
        <x:v>Project Finance Lite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61" t="str">
        <x:v>Worked example</x:v>
      </x:c>
      <x:c r="B7" s="162" t="str">
        <x:v>Synthetic case values</x:v>
      </x:c>
      <x:c r="C7" s="162" t="str">
        <x:v>LCY millions</x:v>
      </x:c>
      <x:c r="D7" s="162" t="str">
        <x:v>2026-07-13</x:v>
      </x:c>
      <x:c r="E7" s="162" t="str">
        <x:v>Illustrative</x:v>
      </x:c>
      <x:c r="F7" s="162" t="str">
        <x:v>TDAT model build</x:v>
      </x:c>
      <x:c r="G7" s="162" t="str">
        <x:v>SYN-001</x:v>
      </x:c>
      <x:c r="H7" s="162" t="str">
        <x:v>Illustrative</x:v>
      </x:c>
      <x:c r="I7" s="163" t="str">
        <x:v>Replace before use.</x:v>
      </x:c>
    </x:row>
    <x:row r="8">
      <x:c r="A8" s="164" t="str">
        <x:v>Scenario drivers</x:v>
      </x:c>
      <x:c r="B8" s="165" t="str">
        <x:v>Base / Upside / Downside</x:v>
      </x:c>
      <x:c r="C8" s="165" t="str">
        <x:v>Mixed</x:v>
      </x:c>
      <x:c r="D8" s="165" t="str">
        <x:v>Model horizon</x:v>
      </x:c>
      <x:c r="E8" s="165" t="str">
        <x:v>Assumption</x:v>
      </x:c>
      <x:c r="F8" s="165" t="str">
        <x:v>User / finance owner</x:v>
      </x:c>
      <x:c r="G8" s="165" t="str">
        <x:v>ASM-001</x:v>
      </x:c>
      <x:c r="H8" s="165" t="str">
        <x:v>Open</x:v>
      </x:c>
      <x:c r="I8" s="166" t="str">
        <x:v>Confirm rationale and owner.</x:v>
      </x:c>
    </x:row>
    <x:row r="9">
      <x:c r="A9" s="167" t="str">
        <x:v>Method</x:v>
      </x:c>
      <x:c r="B9" s="168" t="str">
        <x:v>Project Cash Flow</x:v>
      </x:c>
      <x:c r="C9" s="168" t="str">
        <x:v>Method</x:v>
      </x:c>
      <x:c r="D9" s="168" t="str">
        <x:v>Version 1.0.0</x:v>
      </x:c>
      <x:c r="E9" s="168" t="str">
        <x:v>Model method</x:v>
      </x:c>
      <x:c r="F9" s="168" t="str">
        <x:v>Model Guide</x:v>
      </x:c>
      <x:c r="G9" s="168" t="str">
        <x:v>MTH-001</x:v>
      </x:c>
      <x:c r="H9" s="168" t="str">
        <x:v>Template</x:v>
      </x:c>
      <x:c r="I9" s="169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29" t="str">
        <x:v>Owner</x:v>
      </x:c>
      <x:c r="B12" s="162" t="str">
        <x:v>Truong Dinh Anh Tu</x:v>
      </x:c>
      <x:c r="C12" s="231" t="str">
        <x:v>Version</x:v>
      </x:c>
      <x:c r="D12" s="162" t="str">
        <x:v>1.0.0</x:v>
      </x:c>
      <x:c r="E12" s="231" t="str">
        <x:v>Standard</x:v>
      </x:c>
      <x:c r="F12" s="162" t="str">
        <x:v>TDAT Model Standard 1.0</x:v>
      </x:c>
      <x:c r="G12" s="231" t="str">
        <x:v>Last QA</x:v>
      </x:c>
      <x:c r="H12" s="162" t="str">
        <x:v>2026-07-13</x:v>
      </x:c>
      <x:c r="I12" s="231" t="str">
        <x:v>Status</x:v>
      </x:c>
      <x:c r="J12" s="163" t="str">
        <x:v>Available after release gates</x:v>
      </x:c>
    </x:row>
    <x:row r="13">
      <x:c r="A13" s="230" t="str">
        <x:v>Compatibility</x:v>
      </x:c>
      <x:c r="B13" s="168" t="str">
        <x:v>Excel 365</x:v>
      </x:c>
      <x:c r="C13" s="232" t="str">
        <x:v>Macros</x:v>
      </x:c>
      <x:c r="D13" s="168" t="str">
        <x:v>None</x:v>
      </x:c>
      <x:c r="E13" s="232" t="str">
        <x:v>External links</x:v>
      </x:c>
      <x:c r="F13" s="168" t="str">
        <x:v>None</x:v>
      </x:c>
      <x:c r="G13" s="232" t="str">
        <x:v>Circularity</x:v>
      </x:c>
      <x:c r="H13" s="168" t="str">
        <x:v>None</x:v>
      </x:c>
      <x:c r="I13" s="232" t="str">
        <x:v>Evidence</x:v>
      </x:c>
      <x:c r="J13" s="169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36" t="str">
        <x:v>1.0.0</x:v>
      </x:c>
      <x:c r="B17" s="237" t="str">
        <x:v>2026-07-13</x:v>
      </x:c>
      <x:c r="C17" s="237" t="str">
        <x:v>All</x:v>
      </x:c>
      <x:c r="D17" s="237" t="str">
        <x:v>Initial public reusable template</x:v>
      </x:c>
      <x:c r="E17" s="237" t="str">
        <x:v>New model release</x:v>
      </x:c>
      <x:c r="F17" s="237" t="str">
        <x:v>None</x:v>
      </x:c>
      <x:c r="G17" s="237" t="str">
        <x:v>Truong Dinh Anh Tu</x:v>
      </x:c>
      <x:c r="H17" s="237" t="str">
        <x:v>TDAT QA review</x:v>
      </x:c>
      <x:c r="I17" s="238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Illustrative project-finance template only. Validate construction contracts, funding commitments, tax, debt terms, reserve requirements, coverage definitions, legal waterfall, and bankability with qualified advisors.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