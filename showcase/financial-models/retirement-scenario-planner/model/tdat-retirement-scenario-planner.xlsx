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5ace139df74a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" sheetId="1" r:id="Rb23318538f514874"/>
    <x:sheet xmlns:r="http://schemas.openxmlformats.org/officeDocument/2006/relationships" name="Inputs" sheetId="2" r:id="R054eb3e958d74411"/>
    <x:sheet xmlns:r="http://schemas.openxmlformats.org/officeDocument/2006/relationships" name="Model" sheetId="3" r:id="Ra04c1f8dcb734fad"/>
    <x:sheet xmlns:r="http://schemas.openxmlformats.org/officeDocument/2006/relationships" name="Results" sheetId="4" r:id="R064d428a443c45da"/>
    <x:sheet xmlns:r="http://schemas.openxmlformats.org/officeDocument/2006/relationships" name="Checks" sheetId="5" r:id="R4dd317483acc4e1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;[Red](#,##0);-"/>
    <x:numFmt numFmtId="201" formatCode="0.0%;[Red](0.0%);-"/>
    <x:numFmt numFmtId="202" formatCode="#,##0.0;[Red](#,##0.0);-"/>
    <x:numFmt numFmtId="203" formatCode="0.00;[Red](0.00);-"/>
  </x:numFmts>
  <x:fonts count="15">
    <x:font>
      <x:sz val="11"/>
      <x:name val="Carlito"/>
    </x:font>
    <x:font>
      <x:sz val="11"/>
      <x:color rgb="FF202833"/>
      <x:name val="Carlito"/>
    </x:font>
    <x:font>
      <x:b/>
      <x:sz val="11"/>
      <x:color rgb="FFFFFFFF"/>
      <x:name val="Carlito"/>
    </x:font>
    <x:font>
      <x:b/>
      <x:sz val="11"/>
      <x:color rgb="FF202833"/>
      <x:name val="Carlito"/>
    </x:font>
    <x:font>
      <x:b/>
      <x:sz val="11"/>
      <x:color rgb="FF0000FF"/>
      <x:name val="Carlito"/>
    </x:font>
    <x:font>
      <x:sz val="11"/>
      <x:color rgb="FF68717C"/>
      <x:name val="Carlito"/>
    </x:font>
    <x:font>
      <x:sz val="11"/>
      <x:color rgb="FF805C19"/>
      <x:name val="Carlito"/>
    </x:font>
    <x:font>
      <x:sz val="11"/>
      <x:color rgb="FF008000"/>
      <x:name val="Carlito"/>
    </x:font>
    <x:font>
      <x:b/>
      <x:sz val="11"/>
      <x:color rgb="FF008000"/>
      <x:name val="Carlito"/>
    </x:font>
    <x:font>
      <x:sz val="11"/>
      <x:color rgb="FF202833"/>
      <x:name val="Carlito"/>
    </x:font>
    <x:font>
      <x:b/>
      <x:sz val="11"/>
      <x:color rgb="FFB5883A"/>
      <x:name val="Carlito"/>
    </x:font>
    <x:font>
      <x:b/>
      <x:sz val="11"/>
      <x:color rgb="FF68717C"/>
      <x:name val="Carlito"/>
    </x:font>
    <x:font>
      <x:b/>
      <x:sz val="11"/>
      <x:color rgb="FF247252"/>
      <x:name val="Carlito"/>
    </x:font>
    <x:font>
      <x:b/>
      <x:sz val="11"/>
      <x:color rgb="FF805C19"/>
      <x:name val="Carlito"/>
    </x:font>
    <x:font>
      <x:sz val="11"/>
      <x:color rgb="FFF5F6F8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F5F6F8"/>
      </x:patternFill>
    </x:fill>
    <x:fill>
      <x:patternFill patternType="solid">
        <x:fgColor rgb="FF1C2430"/>
      </x:patternFill>
    </x:fill>
    <x:fill>
      <x:patternFill patternType="solid">
        <x:fgColor rgb="FFB5883A"/>
      </x:patternFill>
    </x:fill>
    <x:fill>
      <x:patternFill patternType="solid">
        <x:fgColor rgb="FFF2E8D5"/>
      </x:patternFill>
    </x:fill>
    <x:fill>
      <x:patternFill patternType="solid">
        <x:fgColor rgb="FF303B49"/>
      </x:patternFill>
    </x:fill>
    <x:fill>
      <x:patternFill patternType="solid">
        <x:fgColor rgb="FFECEFF2"/>
      </x:patternFill>
    </x:fill>
    <x:fill>
      <x:patternFill patternType="solid">
        <x:fgColor rgb="FFFFFFFF"/>
      </x:patternFill>
    </x:fill>
    <x:fill>
      <x:patternFill patternType="solid">
        <x:fgColor rgb="FFF8EBCF"/>
      </x:patternFill>
    </x:fill>
    <x:fill>
      <x:patternFill patternType="solid">
        <x:fgColor rgb="FFE6F2EB"/>
      </x:patternFill>
    </x:fill>
  </x:fills>
  <x:borders count="30">
    <x:border/>
    <x:border>
      <x:left style="thin">
        <x:color rgb="FFD7DBE0"/>
      </x:left>
      <x:top style="thin">
        <x:color rgb="FFD7DBE0"/>
      </x:top>
    </x:border>
    <x:border>
      <x:top style="thin">
        <x:color rgb="FFD7DBE0"/>
      </x:top>
    </x:border>
    <x:border>
      <x:right style="thin">
        <x:color rgb="FFD7DBE0"/>
      </x:right>
      <x:top style="thin">
        <x:color rgb="FFD7DBE0"/>
      </x:top>
    </x:border>
    <x:border>
      <x:left style="thin">
        <x:color rgb="FFD7DBE0"/>
      </x:left>
      <x:bottom style="thin">
        <x:color rgb="FFD7DBE0"/>
      </x:bottom>
    </x:border>
    <x:border>
      <x:bottom style="thin">
        <x:color rgb="FFD7DBE0"/>
      </x:bottom>
    </x:border>
    <x:border>
      <x:right style="thin">
        <x:color rgb="FFD7DBE0"/>
      </x:right>
      <x:bottom style="thin">
        <x:color rgb="FFD7DBE0"/>
      </x:bottom>
    </x:border>
    <x:border>
      <x:bottom style="medium">
        <x:color rgb="FFB5883A"/>
      </x:bottom>
    </x:border>
    <x:border>
      <x:left style="thin">
        <x:color rgb="FFD3AE64"/>
      </x:left>
      <x:right style="thin">
        <x:color rgb="FFD3AE64"/>
      </x:right>
      <x:top style="thin">
        <x:color rgb="FFD3AE64"/>
      </x:top>
      <x:bottom style="thin">
        <x:color rgb="FFD3AE64"/>
      </x:bottom>
    </x:border>
    <x:border>
      <x:left style="thin">
        <x:color rgb="FFD3AE64"/>
      </x:left>
      <x:right style="thin">
        <x:color rgb="FFD3AE64"/>
      </x:right>
    </x:border>
    <x:border>
      <x:left style="thin">
        <x:color rgb="FFD3AE64"/>
      </x:left>
      <x:top style="thin">
        <x:color rgb="FFD3AE64"/>
      </x:top>
    </x:border>
    <x:border>
      <x:top style="thin">
        <x:color rgb="FFD3AE64"/>
      </x:top>
    </x:border>
    <x:border>
      <x:right style="thin">
        <x:color rgb="FFD3AE64"/>
      </x:right>
      <x:top style="thin">
        <x:color rgb="FFD3AE64"/>
      </x:top>
    </x:border>
    <x:border>
      <x:left style="thin">
        <x:color rgb="FFD3AE64"/>
      </x:left>
      <x:bottom style="thin">
        <x:color rgb="FFD3AE64"/>
      </x:bottom>
    </x:border>
    <x:border>
      <x:bottom style="thin">
        <x:color rgb="FFD3AE64"/>
      </x:bottom>
    </x:border>
    <x:border>
      <x:right style="thin">
        <x:color rgb="FFD3AE64"/>
      </x:right>
      <x:bottom style="thin">
        <x:color rgb="FFD3AE64"/>
      </x:bottom>
    </x:border>
    <x:border>
      <x:bottom style="thin">
        <x:color rgb="FFB5883A"/>
      </x:bottom>
    </x:border>
    <x:border>
      <x:left style="thin">
        <x:color rgb="FFD7DBE0"/>
      </x:left>
      <x:bottom style="thin">
        <x:color rgb="FFB5883A"/>
      </x:bottom>
    </x:border>
    <x:border>
      <x:left style="thin">
        <x:color rgb="FF1C2430"/>
      </x:left>
      <x:top style="thin">
        <x:color rgb="FF1C2430"/>
      </x:top>
      <x:bottom style="thin">
        <x:color rgb="FF1C2430"/>
      </x:bottom>
    </x:border>
    <x:border>
      <x:right style="thin">
        <x:color rgb="FF1C2430"/>
      </x:right>
      <x:top style="thin">
        <x:color rgb="FF1C2430"/>
      </x:top>
      <x:bottom style="thin">
        <x:color rgb="FF1C2430"/>
      </x:bottom>
    </x:border>
    <x:border>
      <x:left style="thin">
        <x:color rgb="FFD7DBE0"/>
      </x:left>
    </x:border>
    <x:border>
      <x:right style="thin">
        <x:color rgb="FFD7DBE0"/>
      </x:right>
    </x:border>
    <x:border>
      <x:left style="thin">
        <x:color rgb="FFB5883A"/>
      </x:left>
      <x:top style="thin">
        <x:color rgb="FFB5883A"/>
      </x:top>
    </x:border>
    <x:border>
      <x:top style="thin">
        <x:color rgb="FFB5883A"/>
      </x:top>
    </x:border>
    <x:border>
      <x:right style="thin">
        <x:color rgb="FFB5883A"/>
      </x:right>
      <x:top style="thin">
        <x:color rgb="FFB5883A"/>
      </x:top>
    </x:border>
    <x:border>
      <x:left style="thin">
        <x:color rgb="FFB5883A"/>
      </x:left>
      <x:bottom style="thin">
        <x:color rgb="FFB5883A"/>
      </x:bottom>
    </x:border>
    <x:border>
      <x:right style="thin">
        <x:color rgb="FFB5883A"/>
      </x:right>
      <x:bottom style="thin">
        <x:color rgb="FFB5883A"/>
      </x:bottom>
    </x:border>
    <x:border>
      <x:left style="thin">
        <x:color rgb="FFD7DBE0"/>
      </x:left>
      <x:top style="thin">
        <x:color rgb="FFD7DBE0"/>
      </x:top>
      <x:bottom style="thin">
        <x:color rgb="FFD7DBE0"/>
      </x:bottom>
    </x:border>
    <x:border>
      <x:right style="thin">
        <x:color rgb="FFD7DBE0"/>
      </x:right>
      <x:top style="thin">
        <x:color rgb="FFD7DBE0"/>
      </x:top>
      <x:bottom style="thin">
        <x:color rgb="FFD7DBE0"/>
      </x:bottom>
    </x:border>
    <x:border>
      <x:top style="thin">
        <x:color rgb="FFD7DBE0"/>
      </x:top>
      <x:bottom style="thin">
        <x:color rgb="FFD7DBE0"/>
      </x:bottom>
    </x:border>
  </x:borders>
  <x:cellStyleXfs count="1">
    <x:xf numFmtId="0" fontId="0" fillId="0" borderId="0"/>
  </x:cellStyleXfs>
  <x:cellXfs count="28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horizontal="left" vertical="center"/>
    </x:xf>
    <x:xf numFmtId="0" fontId="1" fillId="4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horizontal="left" vertical="center"/>
    </x:xf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3" fillId="5" borderId="1" xfId="0" applyNumberFormat="1" applyFont="1" applyFill="1" applyBorder="1" applyAlignment="1">
      <x:alignment vertical="center"/>
    </x:xf>
    <x:xf numFmtId="0" fontId="3" fillId="5" borderId="2" xfId="0" applyNumberFormat="1" applyFont="1" applyFill="1" applyBorder="1" applyAlignment="1">
      <x:alignment vertical="center"/>
    </x:xf>
    <x:xf numFmtId="0" fontId="3" fillId="5" borderId="3" xfId="0" applyNumberFormat="1" applyFont="1" applyFill="1" applyBorder="1" applyAlignment="1">
      <x:alignment vertical="center"/>
    </x:xf>
    <x:xf numFmtId="0" fontId="3" fillId="5" borderId="4" xfId="0" applyNumberFormat="1" applyFont="1" applyFill="1" applyBorder="1" applyAlignment="1">
      <x:alignment vertical="center"/>
    </x:xf>
    <x:xf numFmtId="0" fontId="3" fillId="5" borderId="5" xfId="0" applyNumberFormat="1" applyFont="1" applyFill="1" applyBorder="1" applyAlignment="1">
      <x:alignment vertical="center"/>
    </x:xf>
    <x:xf numFmtId="0" fontId="3" fillId="5" borderId="6" xfId="0" applyNumberFormat="1" applyFont="1" applyFill="1" applyBorder="1" applyAlignment="1">
      <x:alignment vertical="center"/>
    </x:xf>
    <x:xf numFmtId="0" fontId="3" fillId="5" borderId="1" xfId="0" applyNumberFormat="1" applyFont="1" applyFill="1" applyBorder="1" applyAlignment="1">
      <x:alignment vertical="center" wrapText="1"/>
    </x:xf>
    <x:xf numFmtId="0" fontId="3" fillId="5" borderId="2" xfId="0" applyNumberFormat="1" applyFont="1" applyFill="1" applyBorder="1" applyAlignment="1">
      <x:alignment vertical="center" wrapText="1"/>
    </x:xf>
    <x:xf numFmtId="0" fontId="3" fillId="5" borderId="3" xfId="0" applyNumberFormat="1" applyFont="1" applyFill="1" applyBorder="1" applyAlignment="1">
      <x:alignment vertical="center" wrapText="1"/>
    </x:xf>
    <x:xf numFmtId="0" fontId="3" fillId="5" borderId="4" xfId="0" applyNumberFormat="1" applyFont="1" applyFill="1" applyBorder="1" applyAlignment="1">
      <x:alignment vertical="center" wrapText="1"/>
    </x:xf>
    <x:xf numFmtId="0" fontId="3" fillId="5" borderId="5" xfId="0" applyNumberFormat="1" applyFont="1" applyFill="1" applyBorder="1" applyAlignment="1">
      <x:alignment vertical="center" wrapText="1"/>
    </x:xf>
    <x:xf numFmtId="0" fontId="3" fillId="5" borderId="6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 applyAlignment="1">
      <x:alignment vertical="center"/>
    </x:xf>
    <x:xf numFmtId="0" fontId="2" fillId="6" borderId="7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/>
    </x:xf>
    <x:xf numFmtId="0" fontId="4" fillId="8" borderId="0" xfId="0" applyNumberFormat="1" applyFont="1" applyFill="1" applyBorder="1" applyAlignment="1">
      <x:alignment vertical="center"/>
    </x:xf>
    <x:xf numFmtId="0" fontId="4" fillId="8" borderId="8" xfId="0" applyNumberFormat="1" applyFont="1" applyFill="1" applyBorder="1" applyAlignment="1">
      <x:alignment vertical="center"/>
    </x:xf>
    <x:xf numFmtId="200" fontId="4" fillId="8" borderId="8" xfId="0" applyNumberFormat="1" applyFont="1" applyFill="1" applyBorder="1" applyAlignment="1">
      <x:alignment vertical="center"/>
    </x:xf>
    <x:xf numFmtId="200" fontId="4" fillId="8" borderId="8" xfId="0" applyNumberFormat="1" applyFont="1" applyFill="1" applyBorder="1" applyAlignment="1">
      <x:alignment horizontal="right" vertical="center"/>
    </x:xf>
    <x:xf numFmtId="0" fontId="5" fillId="8" borderId="0" xfId="0" applyNumberFormat="1" applyFont="1" applyFill="1" applyBorder="1" applyAlignment="1">
      <x:alignment vertical="center"/>
    </x:xf>
    <x:xf numFmtId="0" fontId="5" fillId="8" borderId="4" xfId="0" applyNumberFormat="1" applyFont="1" applyFill="1" applyBorder="1" applyAlignment="1">
      <x:alignment vertical="center"/>
    </x:xf>
    <x:xf numFmtId="0" fontId="5" fillId="8" borderId="5" xfId="0" applyNumberFormat="1" applyFont="1" applyFill="1" applyBorder="1" applyAlignment="1">
      <x:alignment vertical="center"/>
    </x:xf>
    <x:xf numFmtId="0" fontId="5" fillId="8" borderId="4" xfId="0" applyNumberFormat="1" applyFont="1" applyFill="1" applyBorder="1" applyAlignment="1">
      <x:alignment vertical="center" wrapText="1"/>
    </x:xf>
    <x:xf numFmtId="0" fontId="5" fillId="8" borderId="5" xfId="0" applyNumberFormat="1" applyFont="1" applyFill="1" applyBorder="1" applyAlignment="1">
      <x:alignment vertical="center" wrapText="1"/>
    </x:xf>
    <x:xf numFmtId="200" fontId="4" fillId="8" borderId="9" xfId="0" applyNumberFormat="1" applyFont="1" applyFill="1" applyBorder="1" applyAlignment="1">
      <x:alignment horizontal="right" vertical="center"/>
    </x:xf>
    <x:xf numFmtId="201" fontId="4" fillId="8" borderId="8" xfId="0" applyNumberFormat="1" applyFont="1" applyFill="1" applyBorder="1" applyAlignment="1">
      <x:alignment vertical="center"/>
    </x:xf>
    <x:xf numFmtId="201" fontId="4" fillId="8" borderId="8" xfId="0" applyNumberFormat="1" applyFont="1" applyFill="1" applyBorder="1" applyAlignment="1">
      <x:alignment horizontal="right" vertical="center"/>
    </x:xf>
    <x:xf numFmtId="201" fontId="4" fillId="8" borderId="9" xfId="0" applyNumberFormat="1" applyFont="1" applyFill="1" applyBorder="1" applyAlignment="1">
      <x:alignment horizontal="right" vertical="center"/>
    </x:xf>
    <x:xf numFmtId="0" fontId="1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/>
    </x:xf>
    <x:xf numFmtId="0" fontId="6" fillId="9" borderId="10" xfId="0" applyNumberFormat="1" applyFont="1" applyFill="1" applyBorder="1" applyAlignment="1">
      <x:alignment vertical="center"/>
    </x:xf>
    <x:xf numFmtId="0" fontId="6" fillId="9" borderId="11" xfId="0" applyNumberFormat="1" applyFont="1" applyFill="1" applyBorder="1" applyAlignment="1">
      <x:alignment vertical="center"/>
    </x:xf>
    <x:xf numFmtId="0" fontId="6" fillId="9" borderId="12" xfId="0" applyNumberFormat="1" applyFont="1" applyFill="1" applyBorder="1" applyAlignment="1">
      <x:alignment vertical="center"/>
    </x:xf>
    <x:xf numFmtId="0" fontId="6" fillId="9" borderId="13" xfId="0" applyNumberFormat="1" applyFont="1" applyFill="1" applyBorder="1" applyAlignment="1">
      <x:alignment vertical="center"/>
    </x:xf>
    <x:xf numFmtId="0" fontId="6" fillId="9" borderId="14" xfId="0" applyNumberFormat="1" applyFont="1" applyFill="1" applyBorder="1" applyAlignment="1">
      <x:alignment vertical="center"/>
    </x:xf>
    <x:xf numFmtId="0" fontId="6" fillId="9" borderId="15" xfId="0" applyNumberFormat="1" applyFont="1" applyFill="1" applyBorder="1" applyAlignment="1">
      <x:alignment vertical="center"/>
    </x:xf>
    <x:xf numFmtId="0" fontId="6" fillId="9" borderId="10" xfId="0" applyNumberFormat="1" applyFont="1" applyFill="1" applyBorder="1" applyAlignment="1">
      <x:alignment vertical="center" wrapText="1"/>
    </x:xf>
    <x:xf numFmtId="0" fontId="6" fillId="9" borderId="11" xfId="0" applyNumberFormat="1" applyFont="1" applyFill="1" applyBorder="1" applyAlignment="1">
      <x:alignment vertical="center" wrapText="1"/>
    </x:xf>
    <x:xf numFmtId="0" fontId="6" fillId="9" borderId="12" xfId="0" applyNumberFormat="1" applyFont="1" applyFill="1" applyBorder="1" applyAlignment="1">
      <x:alignment vertical="center" wrapText="1"/>
    </x:xf>
    <x:xf numFmtId="0" fontId="6" fillId="9" borderId="13" xfId="0" applyNumberFormat="1" applyFont="1" applyFill="1" applyBorder="1" applyAlignment="1">
      <x:alignment vertical="center" wrapText="1"/>
    </x:xf>
    <x:xf numFmtId="0" fontId="6" fillId="9" borderId="14" xfId="0" applyNumberFormat="1" applyFont="1" applyFill="1" applyBorder="1" applyAlignment="1">
      <x:alignment vertical="center" wrapText="1"/>
    </x:xf>
    <x:xf numFmtId="0" fontId="6" fillId="9" borderId="15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horizontal="center" vertical="center"/>
    </x:xf>
    <x:xf numFmtId="0" fontId="2" fillId="6" borderId="7" xfId="0" applyNumberFormat="1" applyFont="1" applyFill="1" applyBorder="1" applyAlignment="1">
      <x:alignment horizontal="left" vertical="center"/>
    </x:xf>
    <x:xf numFmtId="0" fontId="2" fillId="6" borderId="16" xfId="0" applyNumberFormat="1" applyFont="1" applyFill="1" applyBorder="1" applyAlignment="1">
      <x:alignment horizontal="left" vertical="center"/>
    </x:xf>
    <x:xf numFmtId="0" fontId="3" fillId="7" borderId="4" xfId="0" applyNumberFormat="1" applyFont="1" applyFill="1" applyBorder="1" applyAlignment="1">
      <x:alignment vertical="center"/>
    </x:xf>
    <x:xf numFmtId="0" fontId="3" fillId="7" borderId="5" xfId="0" applyNumberFormat="1" applyFont="1" applyFill="1" applyBorder="1" applyAlignment="1">
      <x:alignment vertical="center"/>
    </x:xf>
    <x:xf numFmtId="0" fontId="7" fillId="8" borderId="0" xfId="0" applyNumberFormat="1" applyFont="1" applyFill="1" applyBorder="1" applyAlignment="1">
      <x:alignment vertical="center"/>
    </x:xf>
    <x:xf numFmtId="201" fontId="7" fillId="8" borderId="0" xfId="0" applyNumberFormat="1" applyFont="1" applyFill="1" applyBorder="1" applyAlignment="1">
      <x:alignment vertical="center"/>
    </x:xf>
    <x:xf numFmtId="201" fontId="7" fillId="8" borderId="0" xfId="0" applyNumberFormat="1" applyFont="1" applyFill="1" applyBorder="1" applyAlignment="1">
      <x:alignment horizontal="right" vertical="center"/>
    </x:xf>
    <x:xf numFmtId="200" fontId="7" fillId="8" borderId="0" xfId="0" applyNumberFormat="1" applyFont="1" applyFill="1" applyBorder="1" applyAlignment="1">
      <x:alignment vertical="center"/>
    </x:xf>
    <x:xf numFmtId="200" fontId="7" fillId="8" borderId="0" xfId="0" applyNumberFormat="1" applyFont="1" applyFill="1" applyBorder="1" applyAlignment="1">
      <x:alignment horizontal="right" vertical="center"/>
    </x:xf>
    <x:xf numFmtId="0" fontId="8" fillId="5" borderId="0" xfId="0" applyNumberFormat="1" applyFont="1" applyFill="1" applyBorder="1" applyAlignment="1">
      <x:alignment vertical="center"/>
    </x:xf>
    <x:xf numFmtId="202" fontId="8" fillId="5" borderId="0" xfId="0" applyNumberFormat="1" applyFont="1" applyFill="1" applyBorder="1" applyAlignment="1">
      <x:alignment vertical="center"/>
    </x:xf>
    <x:xf numFmtId="202" fontId="8" fillId="5" borderId="0" xfId="0" applyNumberFormat="1" applyFont="1" applyFill="1" applyBorder="1" applyAlignment="1">
      <x:alignment horizontal="right" vertical="center"/>
    </x:xf>
    <x:xf numFmtId="0" fontId="5" fillId="5" borderId="0" xfId="0" applyNumberFormat="1" applyFont="1" applyFill="1" applyBorder="1" applyAlignment="1">
      <x:alignment vertical="center"/>
    </x:xf>
    <x:xf numFmtId="0" fontId="5" fillId="5" borderId="4" xfId="0" applyNumberFormat="1" applyFont="1" applyFill="1" applyBorder="1" applyAlignment="1">
      <x:alignment vertical="center"/>
    </x:xf>
    <x:xf numFmtId="0" fontId="5" fillId="5" borderId="5" xfId="0" applyNumberFormat="1" applyFont="1" applyFill="1" applyBorder="1" applyAlignment="1">
      <x:alignment vertical="center"/>
    </x:xf>
    <x:xf numFmtId="0" fontId="5" fillId="5" borderId="4" xfId="0" applyNumberFormat="1" applyFont="1" applyFill="1" applyBorder="1" applyAlignment="1">
      <x:alignment vertical="center" wrapText="1"/>
    </x:xf>
    <x:xf numFmtId="0" fontId="5" fillId="5" borderId="5" xfId="0" applyNumberFormat="1" applyFont="1" applyFill="1" applyBorder="1" applyAlignment="1">
      <x:alignment vertical="center" wrapText="1"/>
    </x:xf>
    <x:xf numFmtId="202" fontId="7" fillId="8" borderId="0" xfId="0" applyNumberFormat="1" applyFont="1" applyFill="1" applyBorder="1" applyAlignment="1">
      <x:alignment vertical="center"/>
    </x:xf>
    <x:xf numFmtId="202" fontId="7" fillId="8" borderId="0" xfId="0" applyNumberFormat="1" applyFont="1" applyFill="1" applyBorder="1" applyAlignment="1">
      <x:alignment horizontal="right" vertical="center"/>
    </x:xf>
    <x:xf numFmtId="202" fontId="3" fillId="5" borderId="0" xfId="0" applyNumberFormat="1" applyFont="1" applyFill="1" applyBorder="1" applyAlignment="1">
      <x:alignment vertical="center"/>
    </x:xf>
    <x:xf numFmtId="202" fontId="3" fillId="5" borderId="0" xfId="0" applyNumberFormat="1" applyFont="1" applyFill="1" applyBorder="1" applyAlignment="1">
      <x:alignment horizontal="right" vertical="center"/>
    </x:xf>
    <x:xf numFmtId="0" fontId="3" fillId="9" borderId="0" xfId="0" applyNumberFormat="1" applyFont="1" applyFill="1" applyBorder="1" applyAlignment="1">
      <x:alignment vertical="center"/>
    </x:xf>
    <x:xf numFmtId="202" fontId="3" fillId="9" borderId="0" xfId="0" applyNumberFormat="1" applyFont="1" applyFill="1" applyBorder="1" applyAlignment="1">
      <x:alignment vertical="center"/>
    </x:xf>
    <x:xf numFmtId="202" fontId="3" fillId="9" borderId="0" xfId="0" applyNumberFormat="1" applyFont="1" applyFill="1" applyBorder="1" applyAlignment="1">
      <x:alignment horizontal="right" vertical="center"/>
    </x:xf>
    <x:xf numFmtId="0" fontId="5" fillId="9" borderId="0" xfId="0" applyNumberFormat="1" applyFont="1" applyFill="1" applyBorder="1" applyAlignment="1">
      <x:alignment vertical="center"/>
    </x:xf>
    <x:xf numFmtId="0" fontId="5" fillId="9" borderId="4" xfId="0" applyNumberFormat="1" applyFont="1" applyFill="1" applyBorder="1" applyAlignment="1">
      <x:alignment vertical="center"/>
    </x:xf>
    <x:xf numFmtId="0" fontId="5" fillId="9" borderId="5" xfId="0" applyNumberFormat="1" applyFont="1" applyFill="1" applyBorder="1" applyAlignment="1">
      <x:alignment vertical="center"/>
    </x:xf>
    <x:xf numFmtId="0" fontId="5" fillId="9" borderId="4" xfId="0" applyNumberFormat="1" applyFont="1" applyFill="1" applyBorder="1" applyAlignment="1">
      <x:alignment vertical="center" wrapText="1"/>
    </x:xf>
    <x:xf numFmtId="0" fontId="5" fillId="9" borderId="5" xfId="0" applyNumberFormat="1" applyFont="1" applyFill="1" applyBorder="1" applyAlignment="1">
      <x:alignment vertical="center" wrapText="1"/>
    </x:xf>
    <x:xf numFmtId="0" fontId="9" fillId="8" borderId="0" xfId="0" applyNumberFormat="1" applyFont="1" applyFill="1" applyBorder="1" applyAlignment="1">
      <x:alignment vertical="center"/>
    </x:xf>
    <x:xf numFmtId="202" fontId="9" fillId="8" borderId="0" xfId="0" applyNumberFormat="1" applyFont="1" applyFill="1" applyBorder="1" applyAlignment="1">
      <x:alignment vertical="center"/>
    </x:xf>
    <x:xf numFmtId="202" fontId="9" fillId="8" borderId="0" xfId="0" applyNumberFormat="1" applyFont="1" applyFill="1" applyBorder="1" applyAlignment="1">
      <x:alignment horizontal="right" vertical="center"/>
    </x:xf>
    <x:xf numFmtId="0" fontId="1" fillId="10" borderId="0" xfId="0" applyNumberFormat="1" applyFont="1" applyFill="1" applyBorder="1" applyAlignment="1">
      <x:alignment vertical="center"/>
    </x:xf>
    <x:xf numFmtId="0" fontId="3" fillId="10" borderId="0" xfId="0" applyNumberFormat="1" applyFont="1" applyFill="1" applyBorder="1" applyAlignment="1">
      <x:alignment vertical="center"/>
    </x:xf>
    <x:xf numFmtId="202" fontId="3" fillId="10" borderId="0" xfId="0" applyNumberFormat="1" applyFont="1" applyFill="1" applyBorder="1" applyAlignment="1">
      <x:alignment vertical="center"/>
    </x:xf>
    <x:xf numFmtId="202" fontId="3" fillId="10" borderId="0" xfId="0" applyNumberFormat="1" applyFont="1" applyFill="1" applyBorder="1" applyAlignment="1">
      <x:alignment horizontal="right" vertical="center"/>
    </x:xf>
    <x:xf numFmtId="0" fontId="5" fillId="10" borderId="0" xfId="0" applyNumberFormat="1" applyFont="1" applyFill="1" applyBorder="1" applyAlignment="1">
      <x:alignment vertical="center"/>
    </x:xf>
    <x:xf numFmtId="0" fontId="5" fillId="10" borderId="4" xfId="0" applyNumberFormat="1" applyFont="1" applyFill="1" applyBorder="1" applyAlignment="1">
      <x:alignment vertical="center"/>
    </x:xf>
    <x:xf numFmtId="0" fontId="5" fillId="10" borderId="5" xfId="0" applyNumberFormat="1" applyFont="1" applyFill="1" applyBorder="1" applyAlignment="1">
      <x:alignment vertical="center"/>
    </x:xf>
    <x:xf numFmtId="0" fontId="5" fillId="10" borderId="4" xfId="0" applyNumberFormat="1" applyFont="1" applyFill="1" applyBorder="1" applyAlignment="1">
      <x:alignment vertical="center" wrapText="1"/>
    </x:xf>
    <x:xf numFmtId="0" fontId="5" fillId="10" borderId="5" xfId="0" applyNumberFormat="1" applyFont="1" applyFill="1" applyBorder="1" applyAlignment="1">
      <x:alignment vertical="center" wrapText="1"/>
    </x:xf>
    <x:xf numFmtId="201" fontId="9" fillId="8" borderId="0" xfId="0" applyNumberFormat="1" applyFont="1" applyFill="1" applyBorder="1" applyAlignment="1">
      <x:alignment vertical="center"/>
    </x:xf>
    <x:xf numFmtId="201" fontId="9" fillId="8" borderId="0" xfId="0" applyNumberFormat="1" applyFont="1" applyFill="1" applyBorder="1" applyAlignment="1">
      <x:alignment horizontal="right" vertical="center"/>
    </x:xf>
    <x:xf numFmtId="0" fontId="3" fillId="6" borderId="0" xfId="0" applyNumberFormat="1" applyFont="1" applyFill="1" applyBorder="1" applyAlignment="1">
      <x:alignment vertical="center"/>
    </x:xf>
    <x:xf numFmtId="0" fontId="3" fillId="6" borderId="4" xfId="0" applyNumberFormat="1" applyFont="1" applyFill="1" applyBorder="1" applyAlignment="1">
      <x:alignment vertical="center"/>
    </x:xf>
    <x:xf numFmtId="0" fontId="3" fillId="6" borderId="5" xfId="0" applyNumberFormat="1" applyFont="1" applyFill="1" applyBorder="1" applyAlignment="1">
      <x:alignment vertical="center"/>
    </x:xf>
    <x:xf numFmtId="0" fontId="2" fillId="6" borderId="4" xfId="0" applyNumberFormat="1" applyFont="1" applyFill="1" applyBorder="1" applyAlignment="1">
      <x:alignment vertical="center"/>
    </x:xf>
    <x:xf numFmtId="0" fontId="2" fillId="6" borderId="5" xfId="0" applyNumberFormat="1" applyFont="1" applyFill="1" applyBorder="1" applyAlignment="1">
      <x:alignment vertical="center"/>
    </x:xf>
    <x:xf numFmtId="0" fontId="2" fillId="6" borderId="16" xfId="0" applyNumberFormat="1" applyFont="1" applyFill="1" applyBorder="1" applyAlignment="1">
      <x:alignment vertical="center"/>
    </x:xf>
    <x:xf numFmtId="0" fontId="2" fillId="6" borderId="17" xfId="0" applyNumberFormat="1" applyFont="1" applyFill="1" applyBorder="1" applyAlignment="1">
      <x:alignment vertical="center"/>
    </x:xf>
    <x:xf numFmtId="0" fontId="2" fillId="3" borderId="18" xfId="0" applyNumberFormat="1" applyFont="1" applyFill="1" applyBorder="1" applyAlignment="1">
      <x:alignment vertical="center"/>
    </x:xf>
    <x:xf numFmtId="0" fontId="2" fillId="3" borderId="19" xfId="0" applyNumberFormat="1" applyFont="1" applyFill="1" applyBorder="1" applyAlignment="1">
      <x:alignment vertical="center"/>
    </x:xf>
    <x:xf numFmtId="0" fontId="2" fillId="3" borderId="18" xfId="0" applyNumberFormat="1" applyFont="1" applyFill="1" applyBorder="1" applyAlignment="1">
      <x:alignment horizontal="center" vertical="center"/>
    </x:xf>
    <x:xf numFmtId="0" fontId="2" fillId="3" borderId="19" xfId="0" applyNumberFormat="1" applyFont="1" applyFill="1" applyBorder="1" applyAlignment="1">
      <x:alignment horizontal="center" vertical="center"/>
    </x:xf>
    <x:xf numFmtId="0" fontId="10" fillId="8" borderId="0" xfId="0" applyNumberFormat="1" applyFont="1" applyFill="1" applyBorder="1" applyAlignment="1">
      <x:alignment vertical="center"/>
    </x:xf>
    <x:xf numFmtId="0" fontId="10" fillId="8" borderId="1" xfId="0" applyNumberFormat="1" applyFont="1" applyFill="1" applyBorder="1" applyAlignment="1">
      <x:alignment vertical="center"/>
    </x:xf>
    <x:xf numFmtId="0" fontId="10" fillId="8" borderId="3" xfId="0" applyNumberFormat="1" applyFont="1" applyFill="1" applyBorder="1" applyAlignment="1">
      <x:alignment vertical="center"/>
    </x:xf>
    <x:xf numFmtId="0" fontId="10" fillId="8" borderId="20" xfId="0" applyNumberFormat="1" applyFont="1" applyFill="1" applyBorder="1" applyAlignment="1">
      <x:alignment vertical="center"/>
    </x:xf>
    <x:xf numFmtId="0" fontId="10" fillId="8" borderId="21" xfId="0" applyNumberFormat="1" applyFont="1" applyFill="1" applyBorder="1" applyAlignment="1">
      <x:alignment vertical="center"/>
    </x:xf>
    <x:xf numFmtId="0" fontId="10" fillId="8" borderId="4" xfId="0" applyNumberFormat="1" applyFont="1" applyFill="1" applyBorder="1" applyAlignment="1">
      <x:alignment vertical="center"/>
    </x:xf>
    <x:xf numFmtId="0" fontId="10" fillId="8" borderId="6" xfId="0" applyNumberFormat="1" applyFont="1" applyFill="1" applyBorder="1" applyAlignment="1">
      <x:alignment vertical="center"/>
    </x:xf>
    <x:xf numFmtId="202" fontId="10" fillId="8" borderId="1" xfId="0" applyNumberFormat="1" applyFont="1" applyFill="1" applyBorder="1" applyAlignment="1">
      <x:alignment vertical="center"/>
    </x:xf>
    <x:xf numFmtId="202" fontId="10" fillId="8" borderId="3" xfId="0" applyNumberFormat="1" applyFont="1" applyFill="1" applyBorder="1" applyAlignment="1">
      <x:alignment vertical="center"/>
    </x:xf>
    <x:xf numFmtId="202" fontId="10" fillId="8" borderId="20" xfId="0" applyNumberFormat="1" applyFont="1" applyFill="1" applyBorder="1" applyAlignment="1">
      <x:alignment vertical="center"/>
    </x:xf>
    <x:xf numFmtId="202" fontId="10" fillId="8" borderId="21" xfId="0" applyNumberFormat="1" applyFont="1" applyFill="1" applyBorder="1" applyAlignment="1">
      <x:alignment vertical="center"/>
    </x:xf>
    <x:xf numFmtId="202" fontId="10" fillId="8" borderId="4" xfId="0" applyNumberFormat="1" applyFont="1" applyFill="1" applyBorder="1" applyAlignment="1">
      <x:alignment vertical="center"/>
    </x:xf>
    <x:xf numFmtId="202" fontId="10" fillId="8" borderId="6" xfId="0" applyNumberFormat="1" applyFont="1" applyFill="1" applyBorder="1" applyAlignment="1">
      <x:alignment vertical="center"/>
    </x:xf>
    <x:xf numFmtId="202" fontId="10" fillId="8" borderId="1" xfId="0" applyNumberFormat="1" applyFont="1" applyFill="1" applyBorder="1" applyAlignment="1">
      <x:alignment horizontal="center" vertical="center"/>
    </x:xf>
    <x:xf numFmtId="202" fontId="10" fillId="8" borderId="3" xfId="0" applyNumberFormat="1" applyFont="1" applyFill="1" applyBorder="1" applyAlignment="1">
      <x:alignment horizontal="center" vertical="center"/>
    </x:xf>
    <x:xf numFmtId="202" fontId="10" fillId="8" borderId="20" xfId="0" applyNumberFormat="1" applyFont="1" applyFill="1" applyBorder="1" applyAlignment="1">
      <x:alignment horizontal="center" vertical="center"/>
    </x:xf>
    <x:xf numFmtId="202" fontId="10" fillId="8" borderId="21" xfId="0" applyNumberFormat="1" applyFont="1" applyFill="1" applyBorder="1" applyAlignment="1">
      <x:alignment horizontal="center" vertical="center"/>
    </x:xf>
    <x:xf numFmtId="202" fontId="10" fillId="8" borderId="4" xfId="0" applyNumberFormat="1" applyFont="1" applyFill="1" applyBorder="1" applyAlignment="1">
      <x:alignment horizontal="center" vertical="center"/>
    </x:xf>
    <x:xf numFmtId="202" fontId="10" fillId="8" borderId="6" xfId="0" applyNumberFormat="1" applyFont="1" applyFill="1" applyBorder="1" applyAlignment="1">
      <x:alignment horizontal="center" vertical="center"/>
    </x:xf>
    <x:xf numFmtId="201" fontId="10" fillId="8" borderId="1" xfId="0" applyNumberFormat="1" applyFont="1" applyFill="1" applyBorder="1" applyAlignment="1">
      <x:alignment vertical="center"/>
    </x:xf>
    <x:xf numFmtId="201" fontId="10" fillId="8" borderId="3" xfId="0" applyNumberFormat="1" applyFont="1" applyFill="1" applyBorder="1" applyAlignment="1">
      <x:alignment vertical="center"/>
    </x:xf>
    <x:xf numFmtId="201" fontId="10" fillId="8" borderId="20" xfId="0" applyNumberFormat="1" applyFont="1" applyFill="1" applyBorder="1" applyAlignment="1">
      <x:alignment vertical="center"/>
    </x:xf>
    <x:xf numFmtId="201" fontId="10" fillId="8" borderId="21" xfId="0" applyNumberFormat="1" applyFont="1" applyFill="1" applyBorder="1" applyAlignment="1">
      <x:alignment vertical="center"/>
    </x:xf>
    <x:xf numFmtId="201" fontId="10" fillId="8" borderId="4" xfId="0" applyNumberFormat="1" applyFont="1" applyFill="1" applyBorder="1" applyAlignment="1">
      <x:alignment vertical="center"/>
    </x:xf>
    <x:xf numFmtId="201" fontId="10" fillId="8" borderId="6" xfId="0" applyNumberFormat="1" applyFont="1" applyFill="1" applyBorder="1" applyAlignment="1">
      <x:alignment vertical="center"/>
    </x:xf>
    <x:xf numFmtId="201" fontId="10" fillId="8" borderId="1" xfId="0" applyNumberFormat="1" applyFont="1" applyFill="1" applyBorder="1" applyAlignment="1">
      <x:alignment horizontal="center" vertical="center"/>
    </x:xf>
    <x:xf numFmtId="201" fontId="10" fillId="8" borderId="3" xfId="0" applyNumberFormat="1" applyFont="1" applyFill="1" applyBorder="1" applyAlignment="1">
      <x:alignment horizontal="center" vertical="center"/>
    </x:xf>
    <x:xf numFmtId="201" fontId="10" fillId="8" borderId="20" xfId="0" applyNumberFormat="1" applyFont="1" applyFill="1" applyBorder="1" applyAlignment="1">
      <x:alignment horizontal="center" vertical="center"/>
    </x:xf>
    <x:xf numFmtId="201" fontId="10" fillId="8" borderId="21" xfId="0" applyNumberFormat="1" applyFont="1" applyFill="1" applyBorder="1" applyAlignment="1">
      <x:alignment horizontal="center" vertical="center"/>
    </x:xf>
    <x:xf numFmtId="201" fontId="10" fillId="8" borderId="4" xfId="0" applyNumberFormat="1" applyFont="1" applyFill="1" applyBorder="1" applyAlignment="1">
      <x:alignment horizontal="center" vertical="center"/>
    </x:xf>
    <x:xf numFmtId="201" fontId="10" fillId="8" borderId="6" xfId="0" applyNumberFormat="1" applyFont="1" applyFill="1" applyBorder="1" applyAlignment="1">
      <x:alignment horizontal="center" vertical="center"/>
    </x:xf>
    <x:xf numFmtId="0" fontId="2" fillId="6" borderId="16" xfId="0" applyNumberFormat="1" applyFont="1" applyFill="1" applyBorder="1" applyAlignment="1">
      <x:alignment horizontal="right" vertical="center"/>
    </x:xf>
    <x:xf numFmtId="200" fontId="1" fillId="8" borderId="0" xfId="0" applyNumberFormat="1" applyFont="1" applyFill="1" applyBorder="1" applyAlignment="1">
      <x:alignment vertical="center"/>
    </x:xf>
    <x:xf numFmtId="202" fontId="1" fillId="8" borderId="0" xfId="0" applyNumberFormat="1" applyFont="1" applyFill="1" applyBorder="1" applyAlignment="1">
      <x:alignment vertical="center"/>
    </x:xf>
    <x:xf numFmtId="200" fontId="1" fillId="8" borderId="0" xfId="0" applyNumberFormat="1" applyFont="1" applyFill="1" applyBorder="1" applyAlignment="1">
      <x:alignment horizontal="right" vertical="center"/>
    </x:xf>
    <x:xf numFmtId="0" fontId="1" fillId="8" borderId="0" xfId="0" applyNumberFormat="1" applyFont="1" applyFill="1" applyBorder="1" applyAlignment="1">
      <x:alignment horizontal="right" vertical="center"/>
    </x:xf>
    <x:xf numFmtId="202" fontId="1" fillId="8" borderId="0" xfId="0" applyNumberFormat="1" applyFont="1" applyFill="1" applyBorder="1" applyAlignment="1">
      <x:alignment horizontal="right" vertical="center"/>
    </x:xf>
    <x:xf numFmtId="0" fontId="1" fillId="8" borderId="0" xfId="0" applyNumberFormat="1" applyFont="1" applyFill="1" applyBorder="1" applyAlignment="1">
      <x:alignment horizontal="left" vertical="center"/>
    </x:xf>
    <x:xf numFmtId="200" fontId="1" fillId="5" borderId="0" xfId="0" applyNumberFormat="1" applyFont="1" applyFill="1" applyBorder="1" applyAlignment="1">
      <x:alignment vertical="center"/>
    </x:xf>
    <x:xf numFmtId="202" fontId="1" fillId="5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horizontal="right" vertical="center"/>
    </x:xf>
    <x:xf numFmtId="0" fontId="1" fillId="5" borderId="0" xfId="0" applyNumberFormat="1" applyFont="1" applyFill="1" applyBorder="1" applyAlignment="1">
      <x:alignment horizontal="right" vertical="center"/>
    </x:xf>
    <x:xf numFmtId="202" fontId="1" fillId="5" borderId="0" xfId="0" applyNumberFormat="1" applyFont="1" applyFill="1" applyBorder="1" applyAlignment="1">
      <x:alignment horizontal="right" vertical="center"/>
    </x:xf>
    <x:xf numFmtId="0" fontId="1" fillId="5" borderId="0" xfId="0" applyNumberFormat="1" applyFont="1" applyFill="1" applyBorder="1" applyAlignment="1">
      <x:alignment horizontal="left" vertical="center"/>
    </x:xf>
    <x:xf numFmtId="0" fontId="10" fillId="5" borderId="0" xfId="0" applyNumberFormat="1" applyFont="1" applyFill="1" applyBorder="1" applyAlignment="1">
      <x:alignment vertical="center"/>
    </x:xf>
    <x:xf numFmtId="0" fontId="10" fillId="5" borderId="22" xfId="0" applyNumberFormat="1" applyFont="1" applyFill="1" applyBorder="1" applyAlignment="1">
      <x:alignment vertical="center"/>
    </x:xf>
    <x:xf numFmtId="0" fontId="10" fillId="5" borderId="23" xfId="0" applyNumberFormat="1" applyFont="1" applyFill="1" applyBorder="1" applyAlignment="1">
      <x:alignment vertical="center"/>
    </x:xf>
    <x:xf numFmtId="0" fontId="10" fillId="5" borderId="24" xfId="0" applyNumberFormat="1" applyFont="1" applyFill="1" applyBorder="1" applyAlignment="1">
      <x:alignment vertical="center"/>
    </x:xf>
    <x:xf numFmtId="0" fontId="10" fillId="5" borderId="25" xfId="0" applyNumberFormat="1" applyFont="1" applyFill="1" applyBorder="1" applyAlignment="1">
      <x:alignment vertical="center"/>
    </x:xf>
    <x:xf numFmtId="0" fontId="10" fillId="5" borderId="16" xfId="0" applyNumberFormat="1" applyFont="1" applyFill="1" applyBorder="1" applyAlignment="1">
      <x:alignment vertical="center"/>
    </x:xf>
    <x:xf numFmtId="0" fontId="10" fillId="5" borderId="26" xfId="0" applyNumberFormat="1" applyFont="1" applyFill="1" applyBorder="1" applyAlignment="1">
      <x:alignment vertical="center"/>
    </x:xf>
    <x:xf numFmtId="0" fontId="10" fillId="5" borderId="22" xfId="0" applyNumberFormat="1" applyFont="1" applyFill="1" applyBorder="1" applyAlignment="1">
      <x:alignment vertical="center" wrapText="1"/>
    </x:xf>
    <x:xf numFmtId="0" fontId="10" fillId="5" borderId="23" xfId="0" applyNumberFormat="1" applyFont="1" applyFill="1" applyBorder="1" applyAlignment="1">
      <x:alignment vertical="center" wrapText="1"/>
    </x:xf>
    <x:xf numFmtId="0" fontId="10" fillId="5" borderId="24" xfId="0" applyNumberFormat="1" applyFont="1" applyFill="1" applyBorder="1" applyAlignment="1">
      <x:alignment vertical="center" wrapText="1"/>
    </x:xf>
    <x:xf numFmtId="0" fontId="10" fillId="5" borderId="25" xfId="0" applyNumberFormat="1" applyFont="1" applyFill="1" applyBorder="1" applyAlignment="1">
      <x:alignment vertical="center" wrapText="1"/>
    </x:xf>
    <x:xf numFmtId="0" fontId="10" fillId="5" borderId="16" xfId="0" applyNumberFormat="1" applyFont="1" applyFill="1" applyBorder="1" applyAlignment="1">
      <x:alignment vertical="center" wrapText="1"/>
    </x:xf>
    <x:xf numFmtId="0" fontId="10" fillId="5" borderId="26" xfId="0" applyNumberFormat="1" applyFont="1" applyFill="1" applyBorder="1" applyAlignment="1">
      <x:alignment vertical="center" wrapText="1"/>
    </x:xf>
    <x:xf numFmtId="0" fontId="10" fillId="5" borderId="22" xfId="0" applyNumberFormat="1" applyFont="1" applyFill="1" applyBorder="1" applyAlignment="1">
      <x:alignment horizontal="center" vertical="center" wrapText="1"/>
    </x:xf>
    <x:xf numFmtId="0" fontId="10" fillId="5" borderId="23" xfId="0" applyNumberFormat="1" applyFont="1" applyFill="1" applyBorder="1" applyAlignment="1">
      <x:alignment horizontal="center" vertical="center" wrapText="1"/>
    </x:xf>
    <x:xf numFmtId="0" fontId="10" fillId="5" borderId="24" xfId="0" applyNumberFormat="1" applyFont="1" applyFill="1" applyBorder="1" applyAlignment="1">
      <x:alignment horizontal="center" vertical="center" wrapText="1"/>
    </x:xf>
    <x:xf numFmtId="0" fontId="10" fillId="5" borderId="25" xfId="0" applyNumberFormat="1" applyFont="1" applyFill="1" applyBorder="1" applyAlignment="1">
      <x:alignment horizontal="center" vertical="center" wrapText="1"/>
    </x:xf>
    <x:xf numFmtId="0" fontId="10" fillId="5" borderId="16" xfId="0" applyNumberFormat="1" applyFont="1" applyFill="1" applyBorder="1" applyAlignment="1">
      <x:alignment horizontal="center" vertical="center" wrapText="1"/>
    </x:xf>
    <x:xf numFmtId="0" fontId="10" fillId="5" borderId="26" xfId="0" applyNumberFormat="1" applyFont="1" applyFill="1" applyBorder="1" applyAlignment="1">
      <x:alignment horizontal="center" vertical="center" wrapText="1"/>
    </x:xf>
    <x:xf numFmtId="0" fontId="11" fillId="7" borderId="0" xfId="0" applyNumberFormat="1" applyFont="1" applyFill="1" applyBorder="1" applyAlignment="1">
      <x:alignment vertical="center"/>
    </x:xf>
    <x:xf numFmtId="0" fontId="11" fillId="7" borderId="0" xfId="0" applyNumberFormat="1" applyFont="1" applyFill="1" applyBorder="1" applyAlignment="1">
      <x:alignment horizontal="center" vertical="center"/>
    </x:xf>
    <x:xf numFmtId="0" fontId="12" fillId="8" borderId="0" xfId="0" applyNumberFormat="1" applyFont="1" applyFill="1" applyBorder="1" applyAlignment="1">
      <x:alignment vertical="center"/>
    </x:xf>
    <x:xf numFmtId="0" fontId="12" fillId="8" borderId="27" xfId="0" applyNumberFormat="1" applyFont="1" applyFill="1" applyBorder="1" applyAlignment="1">
      <x:alignment vertical="center"/>
    </x:xf>
    <x:xf numFmtId="0" fontId="12" fillId="8" borderId="28" xfId="0" applyNumberFormat="1" applyFont="1" applyFill="1" applyBorder="1" applyAlignment="1">
      <x:alignment vertical="center"/>
    </x:xf>
    <x:xf numFmtId="0" fontId="12" fillId="8" borderId="27" xfId="0" applyNumberFormat="1" applyFont="1" applyFill="1" applyBorder="1" applyAlignment="1">
      <x:alignment horizontal="center" vertical="center"/>
    </x:xf>
    <x:xf numFmtId="0" fontId="12" fillId="8" borderId="28" xfId="0" applyNumberFormat="1" applyFont="1" applyFill="1" applyBorder="1" applyAlignment="1">
      <x:alignment horizontal="center" vertical="center"/>
    </x:xf>
    <x:xf numFmtId="0" fontId="13" fillId="9" borderId="0" xfId="0" applyNumberFormat="1" applyFont="1" applyFill="1" applyBorder="1" applyAlignment="1">
      <x:alignment vertical="center"/>
    </x:xf>
    <x:xf numFmtId="0" fontId="13" fillId="9" borderId="27" xfId="0" applyNumberFormat="1" applyFont="1" applyFill="1" applyBorder="1" applyAlignment="1">
      <x:alignment vertical="center"/>
    </x:xf>
    <x:xf numFmtId="0" fontId="13" fillId="9" borderId="28" xfId="0" applyNumberFormat="1" applyFont="1" applyFill="1" applyBorder="1" applyAlignment="1">
      <x:alignment vertical="center"/>
    </x:xf>
    <x:xf numFmtId="0" fontId="13" fillId="9" borderId="27" xfId="0" applyNumberFormat="1" applyFont="1" applyFill="1" applyBorder="1" applyAlignment="1">
      <x:alignment vertical="center" wrapText="1"/>
    </x:xf>
    <x:xf numFmtId="0" fontId="13" fillId="9" borderId="28" xfId="0" applyNumberFormat="1" applyFont="1" applyFill="1" applyBorder="1" applyAlignment="1">
      <x:alignment vertical="center" wrapText="1"/>
    </x:xf>
    <x:xf numFmtId="0" fontId="13" fillId="9" borderId="27" xfId="0" applyNumberFormat="1" applyFont="1" applyFill="1" applyBorder="1" applyAlignment="1">
      <x:alignment horizontal="center" vertical="center" wrapText="1"/>
    </x:xf>
    <x:xf numFmtId="0" fontId="13" fillId="9" borderId="28" xfId="0" applyNumberFormat="1" applyFont="1" applyFill="1" applyBorder="1" applyAlignment="1">
      <x:alignment horizontal="center" vertical="center" wrapText="1"/>
    </x:xf>
    <x:xf numFmtId="0" fontId="3" fillId="8" borderId="0" xfId="0" applyNumberFormat="1" applyFont="1" applyFill="1" applyBorder="1" applyAlignment="1">
      <x:alignment vertical="center"/>
    </x:xf>
    <x:xf numFmtId="0" fontId="3" fillId="8" borderId="1" xfId="0" applyNumberFormat="1" applyFont="1" applyFill="1" applyBorder="1" applyAlignment="1">
      <x:alignment vertical="center"/>
    </x:xf>
    <x:xf numFmtId="0" fontId="3" fillId="8" borderId="2" xfId="0" applyNumberFormat="1" applyFont="1" applyFill="1" applyBorder="1" applyAlignment="1">
      <x:alignment vertical="center"/>
    </x:xf>
    <x:xf numFmtId="0" fontId="3" fillId="8" borderId="3" xfId="0" applyNumberFormat="1" applyFont="1" applyFill="1" applyBorder="1" applyAlignment="1">
      <x:alignment vertical="center"/>
    </x:xf>
    <x:xf numFmtId="0" fontId="3" fillId="8" borderId="4" xfId="0" applyNumberFormat="1" applyFont="1" applyFill="1" applyBorder="1" applyAlignment="1">
      <x:alignment vertical="center"/>
    </x:xf>
    <x:xf numFmtId="0" fontId="3" fillId="8" borderId="5" xfId="0" applyNumberFormat="1" applyFont="1" applyFill="1" applyBorder="1" applyAlignment="1">
      <x:alignment vertical="center"/>
    </x:xf>
    <x:xf numFmtId="0" fontId="3" fillId="8" borderId="6" xfId="0" applyNumberFormat="1" applyFont="1" applyFill="1" applyBorder="1" applyAlignment="1">
      <x:alignment vertical="center"/>
    </x:xf>
    <x:xf numFmtId="0" fontId="3" fillId="8" borderId="1" xfId="0" applyNumberFormat="1" applyFont="1" applyFill="1" applyBorder="1" applyAlignment="1">
      <x:alignment vertical="center" wrapText="1"/>
    </x:xf>
    <x:xf numFmtId="0" fontId="3" fillId="8" borderId="2" xfId="0" applyNumberFormat="1" applyFont="1" applyFill="1" applyBorder="1" applyAlignment="1">
      <x:alignment vertical="center" wrapText="1"/>
    </x:xf>
    <x:xf numFmtId="0" fontId="3" fillId="8" borderId="3" xfId="0" applyNumberFormat="1" applyFont="1" applyFill="1" applyBorder="1" applyAlignment="1">
      <x:alignment vertical="center" wrapText="1"/>
    </x:xf>
    <x:xf numFmtId="0" fontId="3" fillId="8" borderId="4" xfId="0" applyNumberFormat="1" applyFont="1" applyFill="1" applyBorder="1" applyAlignment="1">
      <x:alignment vertical="center" wrapText="1"/>
    </x:xf>
    <x:xf numFmtId="0" fontId="3" fillId="8" borderId="5" xfId="0" applyNumberFormat="1" applyFont="1" applyFill="1" applyBorder="1" applyAlignment="1">
      <x:alignment vertical="center" wrapText="1"/>
    </x:xf>
    <x:xf numFmtId="0" fontId="3" fillId="8" borderId="6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vertical="center"/>
    </x:xf>
    <x:xf numFmtId="0" fontId="1" fillId="8" borderId="2" xfId="0" applyNumberFormat="1" applyFont="1" applyFill="1" applyBorder="1" applyAlignment="1">
      <x:alignment vertical="center"/>
    </x:xf>
    <x:xf numFmtId="0" fontId="1" fillId="8" borderId="3" xfId="0" applyNumberFormat="1" applyFont="1" applyFill="1" applyBorder="1" applyAlignment="1">
      <x:alignment vertical="center"/>
    </x:xf>
    <x:xf numFmtId="0" fontId="1" fillId="8" borderId="20" xfId="0" applyNumberFormat="1" applyFont="1" applyFill="1" applyBorder="1" applyAlignment="1">
      <x:alignment vertical="center"/>
    </x:xf>
    <x:xf numFmtId="0" fontId="1" fillId="8" borderId="21" xfId="0" applyNumberFormat="1" applyFont="1" applyFill="1" applyBorder="1" applyAlignment="1">
      <x:alignment vertical="center"/>
    </x:xf>
    <x:xf numFmtId="0" fontId="1" fillId="8" borderId="4" xfId="0" applyNumberFormat="1" applyFont="1" applyFill="1" applyBorder="1" applyAlignment="1">
      <x:alignment vertical="center"/>
    </x:xf>
    <x:xf numFmtId="0" fontId="1" fillId="8" borderId="5" xfId="0" applyNumberFormat="1" applyFont="1" applyFill="1" applyBorder="1" applyAlignment="1">
      <x:alignment vertical="center"/>
    </x:xf>
    <x:xf numFmtId="0" fontId="1" fillId="8" borderId="6" xfId="0" applyNumberFormat="1" applyFont="1" applyFill="1" applyBorder="1" applyAlignment="1">
      <x:alignment vertical="center"/>
    </x:xf>
    <x:xf numFmtId="0" fontId="1" fillId="8" borderId="1" xfId="0" applyNumberFormat="1" applyFont="1" applyFill="1" applyBorder="1" applyAlignment="1">
      <x:alignment vertical="center" wrapText="1"/>
    </x:xf>
    <x:xf numFmtId="0" fontId="1" fillId="8" borderId="2" xfId="0" applyNumberFormat="1" applyFont="1" applyFill="1" applyBorder="1" applyAlignment="1">
      <x:alignment vertical="center" wrapText="1"/>
    </x:xf>
    <x:xf numFmtId="0" fontId="1" fillId="8" borderId="3" xfId="0" applyNumberFormat="1" applyFont="1" applyFill="1" applyBorder="1" applyAlignment="1">
      <x:alignment vertical="center" wrapText="1"/>
    </x:xf>
    <x:xf numFmtId="0" fontId="1" fillId="8" borderId="2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" fillId="8" borderId="21" xfId="0" applyNumberFormat="1" applyFont="1" applyFill="1" applyBorder="1" applyAlignment="1">
      <x:alignment vertical="center" wrapText="1"/>
    </x:xf>
    <x:xf numFmtId="0" fontId="1" fillId="8" borderId="4" xfId="0" applyNumberFormat="1" applyFont="1" applyFill="1" applyBorder="1" applyAlignment="1">
      <x:alignment vertical="center" wrapText="1"/>
    </x:xf>
    <x:xf numFmtId="0" fontId="1" fillId="8" borderId="5" xfId="0" applyNumberFormat="1" applyFont="1" applyFill="1" applyBorder="1" applyAlignment="1">
      <x:alignment vertical="center" wrapText="1"/>
    </x:xf>
    <x:xf numFmtId="0" fontId="1" fillId="8" borderId="6" xfId="0" applyNumberFormat="1" applyFont="1" applyFill="1" applyBorder="1" applyAlignment="1">
      <x:alignment vertical="center" wrapText="1"/>
    </x:xf>
    <x:xf numFmtId="0" fontId="3" fillId="5" borderId="27" xfId="0" applyNumberFormat="1" applyFont="1" applyFill="1" applyBorder="1" applyAlignment="1">
      <x:alignment vertical="center"/>
    </x:xf>
    <x:xf numFmtId="0" fontId="3" fillId="5" borderId="29" xfId="0" applyNumberFormat="1" applyFont="1" applyFill="1" applyBorder="1" applyAlignment="1">
      <x:alignment vertical="center"/>
    </x:xf>
    <x:xf numFmtId="0" fontId="3" fillId="5" borderId="28" xfId="0" applyNumberFormat="1" applyFont="1" applyFill="1" applyBorder="1" applyAlignment="1">
      <x:alignment vertical="center"/>
    </x:xf>
    <x:xf numFmtId="0" fontId="3" fillId="5" borderId="27" xfId="0" applyNumberFormat="1" applyFont="1" applyFill="1" applyBorder="1" applyAlignment="1">
      <x:alignment horizontal="center" vertical="center"/>
    </x:xf>
    <x:xf numFmtId="0" fontId="3" fillId="5" borderId="29" xfId="0" applyNumberFormat="1" applyFont="1" applyFill="1" applyBorder="1" applyAlignment="1">
      <x:alignment horizontal="center" vertical="center"/>
    </x:xf>
    <x:xf numFmtId="0" fontId="3" fillId="5" borderId="28" xfId="0" applyNumberFormat="1" applyFont="1" applyFill="1" applyBorder="1" applyAlignment="1">
      <x:alignment horizontal="center" vertical="center"/>
    </x:xf>
    <x:xf numFmtId="0" fontId="14" fillId="2" borderId="0" xfId="0" applyNumberFormat="1" applyFont="1" applyFill="1" applyBorder="1" applyAlignment="1">
      <x:alignment vertical="center"/>
    </x:xf>
    <x:xf numFmtId="0" fontId="12" fillId="8" borderId="29" xfId="0" applyNumberFormat="1" applyFont="1" applyFill="1" applyBorder="1" applyAlignment="1">
      <x:alignment vertical="center"/>
    </x:xf>
    <x:xf numFmtId="0" fontId="12" fillId="8" borderId="29" xfId="0" applyNumberFormat="1" applyFont="1" applyFill="1" applyBorder="1" applyAlignment="1">
      <x:alignment horizontal="center" vertical="center"/>
    </x:xf>
    <x:xf numFmtId="200" fontId="1" fillId="2" borderId="0" xfId="0" applyNumberFormat="1" applyFont="1" applyFill="1" applyBorder="1" applyAlignment="1">
      <x:alignment vertical="center"/>
    </x:xf>
    <x:xf numFmtId="200" fontId="1" fillId="8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8" borderId="0" xfId="0" applyNumberFormat="1" applyFont="1" applyFill="1" applyBorder="1" applyAlignment="1">
      <x:alignment vertical="center"/>
    </x:xf>
    <x:xf numFmtId="203" fontId="1" fillId="8" borderId="0" xfId="0" applyNumberFormat="1" applyFont="1" applyFill="1" applyBorder="1" applyAlignment="1">
      <x:alignment vertical="center" wrapText="1"/>
    </x:xf>
    <x:xf numFmtId="202" fontId="1" fillId="2" borderId="0" xfId="0" applyNumberFormat="1" applyFont="1" applyFill="1" applyBorder="1" applyAlignment="1">
      <x:alignment vertical="center"/>
    </x:xf>
    <x:xf numFmtId="202" fontId="1" fillId="8" borderId="0" xfId="0" applyNumberFormat="1" applyFont="1" applyFill="1" applyBorder="1" applyAlignment="1">
      <x:alignment vertical="center" wrapText="1"/>
    </x:xf>
    <x:xf numFmtId="201" fontId="1" fillId="2" borderId="0" xfId="0" applyNumberFormat="1" applyFont="1" applyFill="1" applyBorder="1" applyAlignment="1">
      <x:alignment vertical="center"/>
    </x:xf>
    <x:xf numFmtId="201" fontId="1" fillId="8" borderId="0" xfId="0" applyNumberFormat="1" applyFont="1" applyFill="1" applyBorder="1" applyAlignment="1">
      <x:alignment vertical="center"/>
    </x:xf>
    <x:xf numFmtId="201" fontId="1" fillId="8" borderId="0" xfId="0" applyNumberFormat="1" applyFont="1" applyFill="1" applyBorder="1" applyAlignment="1">
      <x:alignment vertical="center" wrapText="1"/>
    </x:xf>
    <x:xf numFmtId="0" fontId="6" fillId="9" borderId="27" xfId="0" applyNumberFormat="1" applyFont="1" applyFill="1" applyBorder="1" applyAlignment="1">
      <x:alignment vertical="center"/>
    </x:xf>
    <x:xf numFmtId="0" fontId="6" fillId="9" borderId="29" xfId="0" applyNumberFormat="1" applyFont="1" applyFill="1" applyBorder="1" applyAlignment="1">
      <x:alignment vertical="center"/>
    </x:xf>
    <x:xf numFmtId="0" fontId="6" fillId="9" borderId="28" xfId="0" applyNumberFormat="1" applyFont="1" applyFill="1" applyBorder="1" applyAlignment="1">
      <x:alignment vertical="center"/>
    </x:xf>
    <x:xf numFmtId="0" fontId="6" fillId="9" borderId="27" xfId="0" applyNumberFormat="1" applyFont="1" applyFill="1" applyBorder="1" applyAlignment="1">
      <x:alignment horizontal="center" vertical="center"/>
    </x:xf>
    <x:xf numFmtId="0" fontId="6" fillId="9" borderId="29" xfId="0" applyNumberFormat="1" applyFont="1" applyFill="1" applyBorder="1" applyAlignment="1">
      <x:alignment horizontal="center" vertical="center"/>
    </x:xf>
    <x:xf numFmtId="0" fontId="6" fillId="9" borderId="28" xfId="0" applyNumberFormat="1" applyFont="1" applyFill="1" applyBorder="1" applyAlignment="1">
      <x:alignment horizontal="center" vertical="center"/>
    </x:xf>
    <x:xf numFmtId="0" fontId="3" fillId="5" borderId="20" xfId="0" applyNumberFormat="1" applyFont="1" applyFill="1" applyBorder="1" applyAlignment="1">
      <x:alignment vertical="center"/>
    </x:xf>
    <x:xf numFmtId="0" fontId="3" fillId="5" borderId="21" xfId="0" applyNumberFormat="1" applyFont="1" applyFill="1" applyBorder="1" applyAlignment="1">
      <x:alignment vertical="center"/>
    </x:xf>
    <x:xf numFmtId="0" fontId="3" fillId="5" borderId="1" xfId="0" applyNumberFormat="1" applyFont="1" applyFill="1" applyBorder="1" applyAlignment="1">
      <x:alignment horizontal="left" vertical="center"/>
    </x:xf>
    <x:xf numFmtId="0" fontId="3" fillId="5" borderId="2" xfId="0" applyNumberFormat="1" applyFont="1" applyFill="1" applyBorder="1" applyAlignment="1">
      <x:alignment horizontal="left" vertical="center"/>
    </x:xf>
    <x:xf numFmtId="0" fontId="3" fillId="5" borderId="3" xfId="0" applyNumberFormat="1" applyFont="1" applyFill="1" applyBorder="1" applyAlignment="1">
      <x:alignment horizontal="left" vertical="center"/>
    </x:xf>
    <x:xf numFmtId="0" fontId="3" fillId="5" borderId="20" xfId="0" applyNumberFormat="1" applyFont="1" applyFill="1" applyBorder="1" applyAlignment="1">
      <x:alignment horizontal="left" vertical="center"/>
    </x:xf>
    <x:xf numFmtId="0" fontId="3" fillId="5" borderId="0" xfId="0" applyNumberFormat="1" applyFont="1" applyFill="1" applyBorder="1" applyAlignment="1">
      <x:alignment horizontal="left" vertical="center"/>
    </x:xf>
    <x:xf numFmtId="0" fontId="3" fillId="5" borderId="21" xfId="0" applyNumberFormat="1" applyFont="1" applyFill="1" applyBorder="1" applyAlignment="1">
      <x:alignment horizontal="left" vertical="center"/>
    </x:xf>
    <x:xf numFmtId="0" fontId="3" fillId="5" borderId="4" xfId="0" applyNumberFormat="1" applyFont="1" applyFill="1" applyBorder="1" applyAlignment="1">
      <x:alignment horizontal="left" vertical="center"/>
    </x:xf>
    <x:xf numFmtId="0" fontId="3" fillId="5" borderId="5" xfId="0" applyNumberFormat="1" applyFont="1" applyFill="1" applyBorder="1" applyAlignment="1">
      <x:alignment horizontal="left" vertical="center"/>
    </x:xf>
    <x:xf numFmtId="0" fontId="3" fillId="5" borderId="6" xfId="0" applyNumberFormat="1" applyFont="1" applyFill="1" applyBorder="1" applyAlignment="1">
      <x:alignment horizontal="left" vertical="center"/>
    </x:xf>
    <x:xf numFmtId="0" fontId="12" fillId="8" borderId="1" xfId="0" applyNumberFormat="1" applyFont="1" applyFill="1" applyBorder="1" applyAlignment="1">
      <x:alignment vertical="center"/>
    </x:xf>
    <x:xf numFmtId="0" fontId="12" fillId="8" borderId="3" xfId="0" applyNumberFormat="1" applyFont="1" applyFill="1" applyBorder="1" applyAlignment="1">
      <x:alignment vertical="center"/>
    </x:xf>
    <x:xf numFmtId="0" fontId="12" fillId="8" borderId="4" xfId="0" applyNumberFormat="1" applyFont="1" applyFill="1" applyBorder="1" applyAlignment="1">
      <x:alignment vertical="center"/>
    </x:xf>
    <x:xf numFmtId="0" fontId="12" fillId="8" borderId="6" xfId="0" applyNumberFormat="1" applyFont="1" applyFill="1" applyBorder="1" applyAlignment="1">
      <x:alignment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8" borderId="3" xfId="0" applyNumberFormat="1" applyFont="1" applyFill="1" applyBorder="1" applyAlignment="1">
      <x:alignment horizontal="center" vertical="center"/>
    </x:xf>
    <x:xf numFmtId="0" fontId="12" fillId="8" borderId="4" xfId="0" applyNumberFormat="1" applyFont="1" applyFill="1" applyBorder="1" applyAlignment="1">
      <x:alignment horizontal="center" vertical="center"/>
    </x:xf>
    <x:xf numFmtId="0" fontId="12" fillId="8" borderId="6" xfId="0" applyNumberFormat="1" applyFont="1" applyFill="1" applyBorder="1" applyAlignment="1">
      <x:alignment horizontal="center" vertical="center"/>
    </x:xf>
    <x:xf numFmtId="0" fontId="10" fillId="5" borderId="27" xfId="0" applyNumberFormat="1" applyFont="1" applyFill="1" applyBorder="1" applyAlignment="1">
      <x:alignment vertical="center"/>
    </x:xf>
    <x:xf numFmtId="0" fontId="10" fillId="5" borderId="28" xfId="0" applyNumberFormat="1" applyFont="1" applyFill="1" applyBorder="1" applyAlignment="1">
      <x:alignment vertical="center"/>
    </x:xf>
    <x:xf numFmtId="0" fontId="10" fillId="5" borderId="27" xfId="0" applyNumberFormat="1" applyFont="1" applyFill="1" applyBorder="1" applyAlignment="1">
      <x:alignment horizontal="center" vertical="center"/>
    </x:xf>
    <x:xf numFmtId="0" fontId="10" fillId="5" borderId="28" xfId="0" applyNumberFormat="1" applyFont="1" applyFill="1" applyBorder="1" applyAlignment="1">
      <x:alignment horizontal="center" vertical="center"/>
    </x:xf>
    <x:xf numFmtId="0" fontId="1" fillId="8" borderId="1" xfId="0" applyNumberFormat="1" applyFont="1" applyFill="1" applyBorder="1" applyAlignment="1">
      <x:alignment horizontal="center" vertical="center" wrapText="1"/>
    </x:xf>
    <x:xf numFmtId="0" fontId="1" fillId="8" borderId="3" xfId="0" applyNumberFormat="1" applyFont="1" applyFill="1" applyBorder="1" applyAlignment="1">
      <x:alignment horizontal="center" vertical="center" wrapText="1"/>
    </x:xf>
    <x:xf numFmtId="0" fontId="1" fillId="8" borderId="4" xfId="0" applyNumberFormat="1" applyFont="1" applyFill="1" applyBorder="1" applyAlignment="1">
      <x:alignment horizontal="center" vertical="center" wrapText="1"/>
    </x:xf>
    <x:xf numFmtId="0" fontId="1" fillId="8" borderId="6" xfId="0" applyNumberFormat="1" applyFont="1" applyFill="1" applyBorder="1" applyAlignment="1">
      <x:alignment horizontal="center" vertical="center" wrapText="1"/>
    </x:xf>
    <x:xf numFmtId="0" fontId="6" fillId="9" borderId="1" xfId="0" applyNumberFormat="1" applyFont="1" applyFill="1" applyBorder="1" applyAlignment="1">
      <x:alignment vertical="center"/>
    </x:xf>
    <x:xf numFmtId="0" fontId="6" fillId="9" borderId="2" xfId="0" applyNumberFormat="1" applyFont="1" applyFill="1" applyBorder="1" applyAlignment="1">
      <x:alignment vertical="center"/>
    </x:xf>
    <x:xf numFmtId="0" fontId="6" fillId="9" borderId="3" xfId="0" applyNumberFormat="1" applyFont="1" applyFill="1" applyBorder="1" applyAlignment="1">
      <x:alignment vertical="center"/>
    </x:xf>
    <x:xf numFmtId="0" fontId="6" fillId="9" borderId="4" xfId="0" applyNumberFormat="1" applyFont="1" applyFill="1" applyBorder="1" applyAlignment="1">
      <x:alignment vertical="center"/>
    </x:xf>
    <x:xf numFmtId="0" fontId="6" fillId="9" borderId="5" xfId="0" applyNumberFormat="1" applyFont="1" applyFill="1" applyBorder="1" applyAlignment="1">
      <x:alignment vertical="center"/>
    </x:xf>
    <x:xf numFmtId="0" fontId="6" fillId="9" borderId="6" xfId="0" applyNumberFormat="1" applyFont="1" applyFill="1" applyBorder="1" applyAlignment="1">
      <x:alignment vertical="center"/>
    </x:xf>
    <x:xf numFmtId="0" fontId="6" fillId="9" borderId="1" xfId="0" applyNumberFormat="1" applyFont="1" applyFill="1" applyBorder="1" applyAlignment="1">
      <x:alignment vertical="center" wrapText="1"/>
    </x:xf>
    <x:xf numFmtId="0" fontId="6" fillId="9" borderId="2" xfId="0" applyNumberFormat="1" applyFont="1" applyFill="1" applyBorder="1" applyAlignment="1">
      <x:alignment vertical="center" wrapText="1"/>
    </x:xf>
    <x:xf numFmtId="0" fontId="6" fillId="9" borderId="3" xfId="0" applyNumberFormat="1" applyFont="1" applyFill="1" applyBorder="1" applyAlignment="1">
      <x:alignment vertical="center" wrapText="1"/>
    </x:xf>
    <x:xf numFmtId="0" fontId="6" fillId="9" borderId="4" xfId="0" applyNumberFormat="1" applyFont="1" applyFill="1" applyBorder="1" applyAlignment="1">
      <x:alignment vertical="center" wrapText="1"/>
    </x:xf>
    <x:xf numFmtId="0" fontId="6" fillId="9" borderId="5" xfId="0" applyNumberFormat="1" applyFont="1" applyFill="1" applyBorder="1" applyAlignment="1">
      <x:alignment vertical="center" wrapText="1"/>
    </x:xf>
    <x:xf numFmtId="0" fontId="6" fillId="9" borderId="6" xfId="0" applyNumberFormat="1" applyFont="1" applyFill="1" applyBorder="1" applyAlignment="1">
      <x:alignment vertical="center" wrapText="1"/>
    </x:xf>
    <x:xf numFmtId="0" fontId="11" fillId="8" borderId="0" xfId="0" applyNumberFormat="1" applyFont="1" applyFill="1" applyBorder="1" applyAlignment="1">
      <x:alignment vertical="center"/>
    </x:xf>
    <x:xf numFmtId="0" fontId="11" fillId="8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26"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ffdf275b7284f01" /><Relationship Type="http://schemas.openxmlformats.org/officeDocument/2006/relationships/theme" Target="/xl/theme/theme1.xml" Id="Rfb741b7b0bd447c1" /><Relationship Type="http://schemas.openxmlformats.org/officeDocument/2006/relationships/sharedStrings" Target="/xl/sharedStrings.xml" Id="R557db4f0b4214b76" /><Relationship Type="http://schemas.openxmlformats.org/officeDocument/2006/relationships/worksheet" Target="/xl/worksheets/sheet1.xml" Id="Rb23318538f514874" /><Relationship Type="http://schemas.openxmlformats.org/officeDocument/2006/relationships/worksheet" Target="/xl/worksheets/sheet2.xml" Id="R054eb3e958d74411" /><Relationship Type="http://schemas.openxmlformats.org/officeDocument/2006/relationships/worksheet" Target="/xl/worksheets/sheet3.xml" Id="Ra04c1f8dcb734fad" /><Relationship Type="http://schemas.openxmlformats.org/officeDocument/2006/relationships/worksheet" Target="/xl/worksheets/sheet4.xml" Id="R064d428a443c45da" /><Relationship Type="http://schemas.openxmlformats.org/officeDocument/2006/relationships/worksheet" Target="/xl/worksheets/sheet5.xml" Id="R4dd317483acc4e1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7" customHeight="1">
      <x:c r="A1" s="6" t="str">
        <x:v>TDAT FINANCIAL MODEL</x:v>
      </x:c>
      <x:c r="B1" s="6"/>
      <x:c r="C1" s="6"/>
      <x:c r="D1" s="6"/>
      <x:c r="E1" s="6"/>
      <x:c r="F1" s="6"/>
      <x:c r="G1" s="6"/>
      <x:c r="H1" s="6"/>
    </x:row>
    <x:row r="2" ht="27" customHeight="1">
      <x:c r="A2" s="6"/>
      <x:c r="B2" s="6"/>
      <x:c r="C2" s="6"/>
      <x:c r="D2" s="6"/>
      <x:c r="E2" s="6"/>
      <x:c r="F2" s="6"/>
      <x:c r="G2" s="6"/>
      <x:c r="H2" s="6"/>
    </x:row>
    <x:row r="3" ht="20" customHeight="1">
      <x:c r="A3" s="9" t="str">
        <x:v>TDAT-FM-PER-002 · Up to 60 years · v1.4.0 · Five visible tabs</x:v>
      </x:c>
      <x:c r="B3" s="9"/>
      <x:c r="C3" s="9"/>
      <x:c r="D3" s="9"/>
      <x:c r="E3" s="9"/>
      <x:c r="F3" s="9"/>
      <x:c r="G3" s="9"/>
      <x:c r="H3" s="9"/>
    </x:row>
    <x:row r="4" ht="20" customHeight="1">
      <x:c r="A4" s="3"/>
      <x:c r="B4" s="3"/>
      <x:c r="C4" s="3"/>
      <x:c r="D4" s="3"/>
      <x:c r="E4" s="3"/>
      <x:c r="F4" s="3"/>
      <x:c r="G4" s="3"/>
      <x:c r="H4" s="3"/>
    </x:row>
    <x:row r="5" ht="20" customHeight="1">
      <x:c r="A5" s="247" t="str">
        <x:v>Retirement Scenario Planner</x:v>
      </x:c>
      <x:c r="B5" s="248"/>
      <x:c r="C5" s="248"/>
      <x:c r="D5" s="248"/>
      <x:c r="E5" s="248"/>
      <x:c r="F5" s="249"/>
      <x:c r="G5" s="57" t="str">
        <x:v>MODEL STATUS</x:v>
      </x:c>
      <x:c r="H5" s="57"/>
    </x:row>
    <x:row r="6" ht="20" customHeight="1">
      <x:c r="A6" s="250"/>
      <x:c r="B6" s="251"/>
      <x:c r="C6" s="251"/>
      <x:c r="D6" s="251"/>
      <x:c r="E6" s="251"/>
      <x:c r="F6" s="252"/>
      <x:c r="G6" s="260" t="str">
        <x:f>'Checks'!B4</x:f>
        <x:v>PASS</x:v>
      </x:c>
      <x:c r="H6" s="261"/>
    </x:row>
    <x:row r="7" ht="20" customHeight="1">
      <x:c r="A7" s="253"/>
      <x:c r="B7" s="254"/>
      <x:c r="C7" s="254"/>
      <x:c r="D7" s="254"/>
      <x:c r="E7" s="254"/>
      <x:c r="F7" s="255"/>
      <x:c r="G7" s="262"/>
      <x:c r="H7" s="263"/>
    </x:row>
    <x:row r="8" ht="20" customHeight="1">
      <x:c r="A8" s="3"/>
      <x:c r="B8" s="3"/>
      <x:c r="C8" s="3"/>
      <x:c r="D8" s="3"/>
      <x:c r="E8" s="3"/>
      <x:c r="F8" s="3"/>
      <x:c r="G8" s="3"/>
      <x:c r="H8" s="3"/>
    </x:row>
    <x:row r="9" ht="20" customHeight="1">
      <x:c r="A9" s="58" t="str">
        <x:v>WHAT THIS MODEL IS FOR</x:v>
      </x:c>
      <x:c r="B9" s="58"/>
      <x:c r="C9" s="58"/>
      <x:c r="D9" s="58"/>
      <x:c r="E9" s="58"/>
      <x:c r="F9" s="58"/>
      <x:c r="G9" s="58"/>
      <x:c r="H9" s="58"/>
    </x:row>
    <x:row r="10" ht="20" customHeight="1">
      <x:c r="A10" s="196" t="str">
        <x:v>Will savings support the planned withdrawal through the plan age?</x:v>
      </x:c>
      <x:c r="B10" s="197"/>
      <x:c r="C10" s="197"/>
      <x:c r="D10" s="197"/>
      <x:c r="E10" s="197"/>
      <x:c r="F10" s="197"/>
      <x:c r="G10" s="197"/>
      <x:c r="H10" s="198"/>
    </x:row>
    <x:row r="11" ht="20" customHeight="1">
      <x:c r="A11" s="199"/>
      <x:c r="B11" s="200"/>
      <x:c r="C11" s="200"/>
      <x:c r="D11" s="200"/>
      <x:c r="E11" s="200"/>
      <x:c r="F11" s="200"/>
      <x:c r="G11" s="200"/>
      <x:c r="H11" s="201"/>
    </x:row>
    <x:row r="12" ht="20" customHeight="1">
      <x:c r="A12" s="3"/>
      <x:c r="B12" s="3"/>
      <x:c r="C12" s="3"/>
      <x:c r="D12" s="3"/>
      <x:c r="E12" s="3"/>
      <x:c r="F12" s="3"/>
      <x:c r="G12" s="3"/>
      <x:c r="H12" s="3"/>
    </x:row>
    <x:row r="13" ht="20" customHeight="1">
      <x:c r="A13" s="58" t="str">
        <x:v>USE IT IN FOUR STEPS</x:v>
      </x:c>
      <x:c r="B13" s="58"/>
      <x:c r="C13" s="58"/>
      <x:c r="D13" s="58"/>
      <x:c r="E13" s="58"/>
      <x:c r="F13" s="58"/>
      <x:c r="G13" s="58"/>
      <x:c r="H13" s="58"/>
    </x:row>
    <x:row r="14" ht="20" customHeight="1">
      <x:c r="A14" s="266" t="str">
        <x:v>1 · INPUTS</x:v>
      </x:c>
      <x:c r="B14" s="267"/>
      <x:c r="C14" s="266" t="str">
        <x:v>2 · MODEL</x:v>
      </x:c>
      <x:c r="D14" s="267"/>
      <x:c r="E14" s="266" t="str">
        <x:v>3 · RESULTS</x:v>
      </x:c>
      <x:c r="F14" s="267"/>
      <x:c r="G14" s="266" t="str">
        <x:v>4 · CHECKS</x:v>
      </x:c>
      <x:c r="H14" s="267"/>
    </x:row>
    <x:row r="15" ht="20" customHeight="1">
      <x:c r="A15" s="268" t="str">
        <x:v>Edit only blue cells</x:v>
      </x:c>
      <x:c r="B15" s="269"/>
      <x:c r="C15" s="268" t="str">
        <x:v>Trace schedules and formulas</x:v>
      </x:c>
      <x:c r="D15" s="269"/>
      <x:c r="E15" s="268" t="str">
        <x:v>Read the linked decision view</x:v>
      </x:c>
      <x:c r="F15" s="269"/>
      <x:c r="G15" s="268" t="str">
        <x:v>Resolve every FAIL</x:v>
      </x:c>
      <x:c r="H15" s="269"/>
    </x:row>
    <x:row r="16" ht="20" customHeight="1">
      <x:c r="A16" s="270"/>
      <x:c r="B16" s="271"/>
      <x:c r="C16" s="270"/>
      <x:c r="D16" s="271"/>
      <x:c r="E16" s="270"/>
      <x:c r="F16" s="271"/>
      <x:c r="G16" s="270"/>
      <x:c r="H16" s="271"/>
    </x:row>
    <x:row r="17" ht="20" customHeight="1">
      <x:c r="A17" s="3"/>
      <x:c r="B17" s="3"/>
      <x:c r="C17" s="3"/>
      <x:c r="D17" s="3"/>
      <x:c r="E17" s="3"/>
      <x:c r="F17" s="3"/>
      <x:c r="G17" s="3"/>
      <x:c r="H17" s="3"/>
    </x:row>
    <x:row r="18" ht="20" customHeight="1">
      <x:c r="A18" s="58" t="str">
        <x:v>DEPTH WITHOUT EXTRA TABS</x:v>
      </x:c>
      <x:c r="B18" s="58"/>
      <x:c r="C18" s="58"/>
      <x:c r="D18" s="58"/>
      <x:c r="E18" s="58"/>
      <x:c r="F18" s="58"/>
      <x:c r="G18" s="58"/>
      <x:c r="H18" s="58"/>
    </x:row>
    <x:row r="19" ht="20" customHeight="1">
      <x:c r="A19" s="175" t="str">
        <x:v>Forecast</x:v>
      </x:c>
      <x:c r="B19" s="175"/>
      <x:c r="C19" s="189" t="str">
        <x:v>Up to 60 years</x:v>
      </x:c>
      <x:c r="D19" s="189"/>
      <x:c r="E19" s="189"/>
      <x:c r="F19" s="189"/>
      <x:c r="G19" s="189"/>
      <x:c r="H19" s="189"/>
    </x:row>
    <x:row r="20" ht="20" customHeight="1">
      <x:c r="A20" s="175" t="str">
        <x:v>Editable inputs</x:v>
      </x:c>
      <x:c r="B20" s="175"/>
      <x:c r="C20" s="189" t="str">
        <x:v>9</x:v>
      </x:c>
      <x:c r="D20" s="189"/>
      <x:c r="E20" s="189"/>
      <x:c r="F20" s="189"/>
      <x:c r="G20" s="189"/>
      <x:c r="H20" s="189"/>
    </x:row>
    <x:row r="21" ht="20" customHeight="1">
      <x:c r="A21" s="175" t="str">
        <x:v>Visible sheets</x:v>
      </x:c>
      <x:c r="B21" s="175"/>
      <x:c r="C21" s="189" t="str">
        <x:v>5</x:v>
      </x:c>
      <x:c r="D21" s="189"/>
      <x:c r="E21" s="189"/>
      <x:c r="F21" s="189"/>
      <x:c r="G21" s="189"/>
      <x:c r="H21" s="189"/>
    </x:row>
    <x:row r="22" ht="20" customHeight="1">
      <x:c r="A22" s="175" t="str">
        <x:v>Setup</x:v>
      </x:c>
      <x:c r="B22" s="175"/>
      <x:c r="C22" s="189" t="str">
        <x:v>10–15 minutes</x:v>
      </x:c>
      <x:c r="D22" s="189"/>
      <x:c r="E22" s="189"/>
      <x:c r="F22" s="189"/>
      <x:c r="G22" s="189"/>
      <x:c r="H22" s="189"/>
    </x:row>
    <x:row r="23" ht="20" customHeight="1">
      <x:c r="A23" s="3"/>
      <x:c r="B23" s="3"/>
      <x:c r="C23" s="3"/>
      <x:c r="D23" s="3"/>
      <x:c r="E23" s="3"/>
      <x:c r="F23" s="3"/>
      <x:c r="G23" s="3"/>
      <x:c r="H23" s="3"/>
    </x:row>
    <x:row r="24" ht="20" customHeight="1">
      <x:c r="A24" s="58" t="str">
        <x:v>FIT &amp; SCOPE</x:v>
      </x:c>
      <x:c r="B24" s="58"/>
      <x:c r="C24" s="58"/>
      <x:c r="D24" s="58"/>
      <x:c r="E24" s="58"/>
      <x:c r="F24" s="58"/>
      <x:c r="G24" s="58"/>
      <x:c r="H24" s="58"/>
    </x:row>
    <x:row r="25" ht="20" customHeight="1">
      <x:c r="A25" s="210" t="str">
        <x:v>Included: One deterministic real-return path · Contributions before retirement and a level net withdrawal · Funding bridge plus seven visible age milestones</x:v>
      </x:c>
      <x:c r="B25" s="211"/>
      <x:c r="C25" s="211"/>
      <x:c r="D25" s="211"/>
      <x:c r="E25" s="211"/>
      <x:c r="F25" s="211"/>
      <x:c r="G25" s="211"/>
      <x:c r="H25" s="212"/>
    </x:row>
    <x:row r="26" ht="20" customHeight="1">
      <x:c r="A26" s="216"/>
      <x:c r="B26" s="217"/>
      <x:c r="C26" s="217"/>
      <x:c r="D26" s="217"/>
      <x:c r="E26" s="217"/>
      <x:c r="F26" s="217"/>
      <x:c r="G26" s="217"/>
      <x:c r="H26" s="218"/>
    </x:row>
    <x:row r="27" ht="20" customHeight="1">
      <x:c r="A27" s="278" t="str">
        <x:v>Scope boundary: Probability simulation, taxes, pensions, benefits, fees, product selection, and advice.</x:v>
      </x:c>
      <x:c r="B27" s="279"/>
      <x:c r="C27" s="279"/>
      <x:c r="D27" s="279"/>
      <x:c r="E27" s="279"/>
      <x:c r="F27" s="279"/>
      <x:c r="G27" s="279"/>
      <x:c r="H27" s="280"/>
    </x:row>
    <x:row r="28" ht="20" customHeight="1">
      <x:c r="A28" s="281"/>
      <x:c r="B28" s="282"/>
      <x:c r="C28" s="282"/>
      <x:c r="D28" s="282"/>
      <x:c r="E28" s="282"/>
      <x:c r="F28" s="282"/>
      <x:c r="G28" s="282"/>
      <x:c r="H28" s="283"/>
    </x:row>
    <x:row r="29" ht="20" customHeight="1">
      <x:c r="A29" s="285" t="str">
        <x:v>Synthetic demonstration only · Tested 2026-08-17 · Excel 365 · Macro-free · No external links</x:v>
      </x:c>
      <x:c r="B29" s="285"/>
      <x:c r="C29" s="285"/>
      <x:c r="D29" s="285"/>
      <x:c r="E29" s="285"/>
      <x:c r="F29" s="285"/>
      <x:c r="G29" s="285"/>
      <x:c r="H29" s="285"/>
    </x:row>
    <x:row r="30" ht="20" customHeight="1">
      <x:c r="A30" s="3"/>
      <x:c r="B30" s="3"/>
      <x:c r="C30" s="3"/>
      <x:c r="D30" s="3"/>
      <x:c r="E30" s="3"/>
      <x:c r="F30" s="3"/>
      <x:c r="G30" s="3"/>
      <x:c r="H30" s="3"/>
    </x:row>
    <x:row r="31" ht="20" customHeight="1">
      <x:c r="A31" s="57" t="str">
        <x:v>Retirement Scenario Planner · Start → Inputs → Model → Results → Checks</x:v>
      </x:c>
      <x:c r="B31" s="57"/>
      <x:c r="C31" s="57"/>
      <x:c r="D31" s="57"/>
      <x:c r="E31" s="57"/>
      <x:c r="F31" s="57"/>
      <x:c r="G31" s="57"/>
      <x:c r="H31" s="57"/>
    </x:row>
  </x:sheetData>
  <x:mergeCells>
    <x:mergeCell ref="A1:H2"/>
    <x:mergeCell ref="A3:H3"/>
    <x:mergeCell ref="A5:F7"/>
    <x:mergeCell ref="G5:H5"/>
    <x:mergeCell ref="G6:H7"/>
    <x:mergeCell ref="A9:H9"/>
    <x:mergeCell ref="A10:H11"/>
    <x:mergeCell ref="A13:H13"/>
    <x:mergeCell ref="A14:B14"/>
    <x:mergeCell ref="A15:B16"/>
    <x:mergeCell ref="C14:D14"/>
    <x:mergeCell ref="C15:D16"/>
    <x:mergeCell ref="E14:F14"/>
    <x:mergeCell ref="E15:F16"/>
    <x:mergeCell ref="G14:H14"/>
    <x:mergeCell ref="G15:H16"/>
    <x:mergeCell ref="A18:H18"/>
    <x:mergeCell ref="A19:B19"/>
    <x:mergeCell ref="C19:H19"/>
    <x:mergeCell ref="A20:B20"/>
    <x:mergeCell ref="C20:H20"/>
    <x:mergeCell ref="A21:B21"/>
    <x:mergeCell ref="C21:H21"/>
    <x:mergeCell ref="A22:B22"/>
    <x:mergeCell ref="C22:H22"/>
    <x:mergeCell ref="A24:H24"/>
    <x:mergeCell ref="A25:H26"/>
    <x:mergeCell ref="A27:H28"/>
    <x:mergeCell ref="A29:H29"/>
    <x:mergeCell ref="A31:H31"/>
  </x:mergeCells>
  <x:conditionalFormatting sqref="G6:H7">
    <x:cfRule type="containsText" dxfId="24" priority="1" operator="containsText" text="FAIL"/>
    <x:cfRule type="containsText" dxfId="25" priority="2" operator="containsText" text="PASS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4" hidden="0" customWidth="1"/>
    <x:col min="3" max="3" width="20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27" customHeight="1">
      <x:c r="A1" s="6" t="str">
        <x:v>INPUTS</x:v>
      </x:c>
      <x:c r="B1" s="6"/>
      <x:c r="C1" s="6"/>
      <x:c r="D1" s="6"/>
      <x:c r="E1" s="6"/>
      <x:c r="F1" s="6"/>
      <x:c r="G1" s="6"/>
      <x:c r="H1" s="6"/>
    </x:row>
    <x:row r="2" ht="27" customHeight="1">
      <x:c r="A2" s="6"/>
      <x:c r="B2" s="6"/>
      <x:c r="C2" s="6"/>
      <x:c r="D2" s="6"/>
      <x:c r="E2" s="6"/>
      <x:c r="F2" s="6"/>
      <x:c r="G2" s="6"/>
      <x:c r="H2" s="6"/>
    </x:row>
    <x:row r="3" ht="20" customHeight="1">
      <x:c r="A3" s="9" t="str">
        <x:v>Retirement Scenario Planner · Only blue cells are editable</x:v>
      </x:c>
      <x:c r="B3" s="9"/>
      <x:c r="C3" s="9"/>
      <x:c r="D3" s="9"/>
      <x:c r="E3" s="9"/>
      <x:c r="F3" s="9"/>
      <x:c r="G3" s="9"/>
      <x:c r="H3" s="9"/>
    </x:row>
    <x:row r="4" ht="20" customHeight="1">
      <x:c r="A4" s="3"/>
      <x:c r="B4" s="3"/>
      <x:c r="C4" s="3"/>
      <x:c r="D4" s="3"/>
      <x:c r="E4" s="3"/>
      <x:c r="F4" s="3"/>
      <x:c r="G4" s="3"/>
      <x:c r="H4" s="3"/>
    </x:row>
    <x:row r="5" ht="20" customHeight="1">
      <x:c r="A5" s="18" t="str">
        <x:v>Change the blue assumptions below. The Model sheet expands them into visible formulas, schedules, and roll-forwards.</x:v>
      </x:c>
      <x:c r="B5" s="19"/>
      <x:c r="C5" s="19"/>
      <x:c r="D5" s="19"/>
      <x:c r="E5" s="19"/>
      <x:c r="F5" s="19"/>
      <x:c r="G5" s="19"/>
      <x:c r="H5" s="20"/>
    </x:row>
    <x:row r="6" ht="20" customHeight="1">
      <x:c r="A6" s="21"/>
      <x:c r="B6" s="22"/>
      <x:c r="C6" s="22"/>
      <x:c r="D6" s="22"/>
      <x:c r="E6" s="22"/>
      <x:c r="F6" s="22"/>
      <x:c r="G6" s="22"/>
      <x:c r="H6" s="23"/>
    </x:row>
    <x:row r="7" ht="20" customHeight="1">
      <x:c r="A7" s="3"/>
      <x:c r="B7" s="3"/>
      <x:c r="C7" s="3"/>
      <x:c r="D7" s="3"/>
      <x:c r="E7" s="3"/>
      <x:c r="F7" s="3"/>
      <x:c r="G7" s="3"/>
      <x:c r="H7" s="3"/>
    </x:row>
    <x:row r="8" ht="20" customHeight="1">
      <x:c r="A8" s="26" t="str">
        <x:v>CORE ASSUMPTIONS</x:v>
      </x:c>
      <x:c r="B8" s="26"/>
      <x:c r="C8" s="26"/>
      <x:c r="D8" s="26"/>
      <x:c r="E8" s="26"/>
      <x:c r="F8" s="26"/>
      <x:c r="G8" s="26"/>
      <x:c r="H8" s="26"/>
    </x:row>
    <x:row r="9" ht="20" customHeight="1">
      <x:c r="A9" s="28" t="str">
        <x:v>Input</x:v>
      </x:c>
      <x:c r="B9" s="28" t="str">
        <x:v>Value</x:v>
      </x:c>
      <x:c r="C9" s="28" t="str">
        <x:v>Unit</x:v>
      </x:c>
      <x:c r="D9" s="28" t="str">
        <x:v>Purpose</x:v>
      </x:c>
      <x:c r="E9" s="28"/>
      <x:c r="F9" s="28"/>
      <x:c r="G9" s="28"/>
      <x:c r="H9" s="28"/>
    </x:row>
    <x:row r="10" ht="20" customHeight="1">
      <x:c r="A10" s="3" t="str">
        <x:v>Current age</x:v>
      </x:c>
      <x:c r="B10" s="39" t="n">
        <x:v>35</x:v>
      </x:c>
      <x:c r="C10" s="3" t="str">
        <x:v>years</x:v>
      </x:c>
      <x:c r="D10" s="37" t="str">
        <x:v>Age at the start of the plan</x:v>
      </x:c>
      <x:c r="E10" s="38"/>
      <x:c r="F10" s="38"/>
      <x:c r="G10" s="38"/>
      <x:c r="H10" s="38"/>
    </x:row>
    <x:row r="11" ht="20" customHeight="1">
      <x:c r="A11" s="3" t="str">
        <x:v>Retirement age</x:v>
      </x:c>
      <x:c r="B11" s="39" t="n">
        <x:v>65</x:v>
      </x:c>
      <x:c r="C11" s="3" t="str">
        <x:v>years</x:v>
      </x:c>
      <x:c r="D11" s="37" t="str">
        <x:v>First retirement year</x:v>
      </x:c>
      <x:c r="E11" s="38"/>
      <x:c r="F11" s="38"/>
      <x:c r="G11" s="38"/>
      <x:c r="H11" s="38"/>
    </x:row>
    <x:row r="12" ht="20" customHeight="1">
      <x:c r="A12" s="3" t="str">
        <x:v>Plan through age</x:v>
      </x:c>
      <x:c r="B12" s="39" t="n">
        <x:v>90</x:v>
      </x:c>
      <x:c r="C12" s="3" t="str">
        <x:v>years</x:v>
      </x:c>
      <x:c r="D12" s="37" t="str">
        <x:v>Last age included</x:v>
      </x:c>
      <x:c r="E12" s="38"/>
      <x:c r="F12" s="38"/>
      <x:c r="G12" s="38"/>
      <x:c r="H12" s="38"/>
    </x:row>
    <x:row r="13" ht="20" customHeight="1">
      <x:c r="A13" s="3" t="str">
        <x:v>Current savings</x:v>
      </x:c>
      <x:c r="B13" s="39" t="n">
        <x:v>120000</x:v>
      </x:c>
      <x:c r="C13" s="3" t="str">
        <x:v>today's LCY</x:v>
      </x:c>
      <x:c r="D13" s="37" t="str">
        <x:v>Invested balance now</x:v>
      </x:c>
      <x:c r="E13" s="38"/>
      <x:c r="F13" s="38"/>
      <x:c r="G13" s="38"/>
      <x:c r="H13" s="38"/>
    </x:row>
    <x:row r="14" ht="20" customHeight="1">
      <x:c r="A14" s="3" t="str">
        <x:v>Annual contribution</x:v>
      </x:c>
      <x:c r="B14" s="39" t="n">
        <x:v>15000</x:v>
      </x:c>
      <x:c r="C14" s="3" t="str">
        <x:v>today's LCY</x:v>
      </x:c>
      <x:c r="D14" s="37" t="str">
        <x:v>Paid before retirement</x:v>
      </x:c>
      <x:c r="E14" s="38"/>
      <x:c r="F14" s="38"/>
      <x:c r="G14" s="38"/>
      <x:c r="H14" s="38"/>
    </x:row>
    <x:row r="15" ht="20" customHeight="1">
      <x:c r="A15" s="3" t="str">
        <x:v>Nominal return</x:v>
      </x:c>
      <x:c r="B15" s="42" t="n">
        <x:v>0.065</x:v>
      </x:c>
      <x:c r="C15" s="3" t="str">
        <x:v>%</x:v>
      </x:c>
      <x:c r="D15" s="37" t="str">
        <x:v>Annual investment return</x:v>
      </x:c>
      <x:c r="E15" s="38"/>
      <x:c r="F15" s="38"/>
      <x:c r="G15" s="38"/>
      <x:c r="H15" s="38"/>
    </x:row>
    <x:row r="16" ht="20" customHeight="1">
      <x:c r="A16" s="3" t="str">
        <x:v>Inflation</x:v>
      </x:c>
      <x:c r="B16" s="42" t="n">
        <x:v>0.025</x:v>
      </x:c>
      <x:c r="C16" s="3" t="str">
        <x:v>%</x:v>
      </x:c>
      <x:c r="D16" s="37" t="str">
        <x:v>Used to calculate the real return</x:v>
      </x:c>
      <x:c r="E16" s="38"/>
      <x:c r="F16" s="38"/>
      <x:c r="G16" s="38"/>
      <x:c r="H16" s="38"/>
    </x:row>
    <x:row r="17" ht="20" customHeight="1">
      <x:c r="A17" s="3" t="str">
        <x:v>Retirement spending</x:v>
      </x:c>
      <x:c r="B17" s="39" t="n">
        <x:v>70000</x:v>
      </x:c>
      <x:c r="C17" s="3" t="str">
        <x:v>today's LCY / year</x:v>
      </x:c>
      <x:c r="D17" s="37" t="str">
        <x:v>Annual spending after retirement</x:v>
      </x:c>
      <x:c r="E17" s="38"/>
      <x:c r="F17" s="38"/>
      <x:c r="G17" s="38"/>
      <x:c r="H17" s="38"/>
    </x:row>
    <x:row r="18" ht="20" customHeight="1">
      <x:c r="A18" s="3" t="str">
        <x:v>Other retirement income</x:v>
      </x:c>
      <x:c r="B18" s="39" t="n">
        <x:v>10000</x:v>
      </x:c>
      <x:c r="C18" s="3" t="str">
        <x:v>today's LCY / year</x:v>
      </x:c>
      <x:c r="D18" s="37" t="str">
        <x:v>Pension or other annual income</x:v>
      </x:c>
      <x:c r="E18" s="38"/>
      <x:c r="F18" s="38"/>
      <x:c r="G18" s="38"/>
      <x:c r="H18" s="38"/>
    </x:row>
    <x:row r="19" ht="20" customHeight="1">
      <x:c r="A19" s="3"/>
      <x:c r="B19" s="3"/>
      <x:c r="C19" s="3"/>
      <x:c r="D19" s="3"/>
      <x:c r="E19" s="3"/>
      <x:c r="F19" s="3"/>
      <x:c r="G19" s="3"/>
      <x:c r="H19" s="3"/>
    </x:row>
    <x:row r="20" ht="20" customHeight="1">
      <x:c r="A20" s="51" t="str">
        <x:v>Synthetic example. Replace only the blue values, trace the calculation on Model, then review Results and Checks.</x:v>
      </x:c>
      <x:c r="B20" s="52"/>
      <x:c r="C20" s="52"/>
      <x:c r="D20" s="52"/>
      <x:c r="E20" s="52"/>
      <x:c r="F20" s="52"/>
      <x:c r="G20" s="52"/>
      <x:c r="H20" s="53"/>
    </x:row>
    <x:row r="21" ht="20" customHeight="1">
      <x:c r="A21" s="54"/>
      <x:c r="B21" s="55"/>
      <x:c r="C21" s="55"/>
      <x:c r="D21" s="55"/>
      <x:c r="E21" s="55"/>
      <x:c r="F21" s="55"/>
      <x:c r="G21" s="55"/>
      <x:c r="H21" s="56"/>
    </x:row>
    <x:row r="22" ht="20" customHeight="1">
      <x:c r="A22" s="3"/>
      <x:c r="B22" s="3"/>
      <x:c r="C22" s="3"/>
      <x:c r="D22" s="3"/>
      <x:c r="E22" s="3"/>
      <x:c r="F22" s="3"/>
      <x:c r="G22" s="3"/>
      <x:c r="H22" s="3"/>
    </x:row>
    <x:row r="23" ht="20" customHeight="1">
      <x:c r="A23" s="3"/>
      <x:c r="B23" s="3"/>
      <x:c r="C23" s="3"/>
      <x:c r="D23" s="3"/>
      <x:c r="E23" s="3"/>
      <x:c r="F23" s="3"/>
      <x:c r="G23" s="3"/>
      <x:c r="H23" s="3"/>
    </x:row>
    <x:row r="24" ht="20" customHeight="1">
      <x:c r="A24" s="3"/>
      <x:c r="B24" s="3"/>
      <x:c r="C24" s="3"/>
      <x:c r="D24" s="3"/>
      <x:c r="E24" s="3"/>
      <x:c r="F24" s="3"/>
      <x:c r="G24" s="3"/>
      <x:c r="H24" s="3"/>
    </x:row>
    <x:row r="25" ht="20" customHeight="1">
      <x:c r="A25" s="57" t="str">
        <x:v>Retirement Scenario Planner · 9 editable assumptions · v1.4.0</x:v>
      </x:c>
      <x:c r="B25" s="57"/>
      <x:c r="C25" s="57"/>
      <x:c r="D25" s="57"/>
      <x:c r="E25" s="57"/>
      <x:c r="F25" s="57"/>
      <x:c r="G25" s="57"/>
      <x:c r="H25" s="57"/>
    </x:row>
  </x:sheetData>
  <x:mergeCells>
    <x:mergeCell ref="A1:H2"/>
    <x:mergeCell ref="A3:H3"/>
    <x:mergeCell ref="A5:H6"/>
    <x:mergeCell ref="A8:H8"/>
    <x:mergeCell ref="D9:H9"/>
    <x:mergeCell ref="D10:H10"/>
    <x:mergeCell ref="D11:H11"/>
    <x:mergeCell ref="D12:H12"/>
    <x:mergeCell ref="D13:H13"/>
    <x:mergeCell ref="D14:H14"/>
    <x:mergeCell ref="D15:H15"/>
    <x:mergeCell ref="D16:H16"/>
    <x:mergeCell ref="D17:H17"/>
    <x:mergeCell ref="D18:H18"/>
    <x:mergeCell ref="A20:H21"/>
    <x:mergeCell ref="A25:H2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4" hidden="0" customWidth="1"/>
    <x:col min="3" max="3" width="20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27" customHeight="1">
      <x:c r="A1" s="6" t="str">
        <x:v>MODEL DETAIL</x:v>
      </x:c>
      <x:c r="B1" s="6"/>
      <x:c r="C1" s="6"/>
      <x:c r="D1" s="6"/>
      <x:c r="E1" s="6"/>
      <x:c r="F1" s="6"/>
      <x:c r="G1" s="6"/>
      <x:c r="H1" s="6"/>
    </x:row>
    <x:row r="2" ht="27" customHeight="1">
      <x:c r="A2" s="6"/>
      <x:c r="B2" s="6"/>
      <x:c r="C2" s="6"/>
      <x:c r="D2" s="6"/>
      <x:c r="E2" s="6"/>
      <x:c r="F2" s="6"/>
      <x:c r="G2" s="6"/>
      <x:c r="H2" s="6"/>
    </x:row>
    <x:row r="3" ht="20" customHeight="1">
      <x:c r="A3" s="9" t="str">
        <x:v>Retirement Scenario Planner · Deterministic plan in today's money</x:v>
      </x:c>
      <x:c r="B3" s="9"/>
      <x:c r="C3" s="9"/>
      <x:c r="D3" s="9"/>
      <x:c r="E3" s="9"/>
      <x:c r="F3" s="9"/>
      <x:c r="G3" s="9"/>
      <x:c r="H3" s="9"/>
    </x:row>
    <x:row r="4" ht="20" customHeight="1">
      <x:c r="A4" s="3"/>
      <x:c r="B4" s="3"/>
      <x:c r="C4" s="3"/>
      <x:c r="D4" s="3"/>
      <x:c r="E4" s="3"/>
      <x:c r="F4" s="3"/>
      <x:c r="G4" s="3"/>
      <x:c r="H4" s="3"/>
    </x:row>
    <x:row r="5" ht="20" customHeight="1">
      <x:c r="A5" s="110" t="str">
        <x:v>AT RETIREMENT</x:v>
      </x:c>
      <x:c r="B5" s="111"/>
      <x:c r="C5" s="110" t="str">
        <x:v>WITHDRAWAL RATE</x:v>
      </x:c>
      <x:c r="D5" s="111"/>
      <x:c r="E5" s="110" t="str">
        <x:v>ENDING BALANCE</x:v>
      </x:c>
      <x:c r="F5" s="111"/>
      <x:c r="G5" s="110" t="str">
        <x:v>FUNDING GAP</x:v>
      </x:c>
      <x:c r="H5" s="111"/>
    </x:row>
    <x:row r="6" ht="20" customHeight="1">
      <x:c r="A6" s="125" t="n">
        <x:f>B14</x:f>
        <x:v>1206096.2519174763</x:v>
      </x:c>
      <x:c r="B6" s="126"/>
      <x:c r="C6" s="137" t="n">
        <x:f>B21</x:f>
        <x:v>0.04974727340758317</x:v>
      </x:c>
      <x:c r="D6" s="138"/>
      <x:c r="E6" s="125" t="n">
        <x:f>B20</x:f>
        <x:v>640842.226705546</x:v>
      </x:c>
      <x:c r="F6" s="126"/>
      <x:c r="G6" s="125" t="n">
        <x:f>B18</x:f>
        <x:v>0</x:v>
      </x:c>
      <x:c r="H6" s="126"/>
    </x:row>
    <x:row r="7" ht="20" customHeight="1">
      <x:c r="A7" s="127"/>
      <x:c r="B7" s="128"/>
      <x:c r="C7" s="139"/>
      <x:c r="D7" s="140"/>
      <x:c r="E7" s="127"/>
      <x:c r="F7" s="128"/>
      <x:c r="G7" s="127"/>
      <x:c r="H7" s="128"/>
    </x:row>
    <x:row r="8" ht="20" customHeight="1">
      <x:c r="A8" s="129"/>
      <x:c r="B8" s="130"/>
      <x:c r="C8" s="141"/>
      <x:c r="D8" s="142"/>
      <x:c r="E8" s="129"/>
      <x:c r="F8" s="130"/>
      <x:c r="G8" s="129"/>
      <x:c r="H8" s="130"/>
    </x:row>
    <x:row r="9" ht="20" customHeight="1">
      <x:c r="A9" s="3"/>
      <x:c r="B9" s="3"/>
      <x:c r="C9" s="3"/>
      <x:c r="D9" s="3"/>
      <x:c r="E9" s="3"/>
      <x:c r="F9" s="3"/>
      <x:c r="G9" s="3"/>
      <x:c r="H9" s="3"/>
    </x:row>
    <x:row r="10" ht="20" customHeight="1">
      <x:c r="A10" s="59" t="str">
        <x:v>RETIREMENT FUNDING BRIDGE</x:v>
      </x:c>
      <x:c r="B10" s="59"/>
      <x:c r="C10" s="59"/>
      <x:c r="D10" s="59"/>
      <x:c r="E10" s="59"/>
      <x:c r="F10" s="59"/>
      <x:c r="G10" s="59"/>
      <x:c r="H10" s="59"/>
    </x:row>
    <x:row r="11" ht="20" customHeight="1">
      <x:c r="A11" s="106" t="str">
        <x:v>Metric</x:v>
      </x:c>
      <x:c r="B11" s="106" t="str">
        <x:v>Value</x:v>
      </x:c>
      <x:c r="C11" s="106" t="str">
        <x:v>Unit</x:v>
      </x:c>
      <x:c r="D11" s="107" t="str">
        <x:v>Notes</x:v>
      </x:c>
      <x:c r="E11" s="106"/>
      <x:c r="F11" s="106"/>
      <x:c r="G11" s="106"/>
      <x:c r="H11" s="106"/>
    </x:row>
    <x:row r="12" ht="20" customHeight="1">
      <x:c r="A12" s="29" t="str">
        <x:v>Real annual return</x:v>
      </x:c>
      <x:c r="B12" s="64" t="n">
        <x:f>IF(OR(1+'Inputs'!$B$15&lt;=0,1+'Inputs'!$B$16&lt;=0),0,(1+'Inputs'!$B$15)/(1+'Inputs'!$B$16)-1)</x:f>
        <x:v>0.039024390243902474</x:v>
      </x:c>
      <x:c r="C12" s="29" t="str">
        <x:v>%</x:v>
      </x:c>
      <x:c r="D12" s="37" t="str">
        <x:v>Nominal return adjusted for inflation</x:v>
      </x:c>
      <x:c r="E12" s="38"/>
      <x:c r="F12" s="38"/>
      <x:c r="G12" s="38"/>
      <x:c r="H12" s="38"/>
    </x:row>
    <x:row r="13" ht="20" customHeight="1">
      <x:c r="A13" s="29" t="str">
        <x:v>Years to retirement</x:v>
      </x:c>
      <x:c r="B13" s="66" t="n">
        <x:f>MAX(0,MIN(60,ROUND('Inputs'!$B$11-'Inputs'!$B$10,0)))</x:f>
        <x:v>30</x:v>
      </x:c>
      <x:c r="C13" s="29" t="str">
        <x:v>years</x:v>
      </x:c>
      <x:c r="D13" s="37" t="str">
        <x:v>Whole-year accumulation period</x:v>
      </x:c>
      <x:c r="E13" s="38"/>
      <x:c r="F13" s="38"/>
      <x:c r="G13" s="38"/>
      <x:c r="H13" s="38"/>
    </x:row>
    <x:row r="14" ht="20" customHeight="1">
      <x:c r="A14" s="11" t="str">
        <x:v>Projected at retirement</x:v>
      </x:c>
      <x:c r="B14" s="69" t="n">
        <x:f>IF(B12=0,'Inputs'!$B$13+'Inputs'!$B$14*B13,'Inputs'!$B$13*(1+B12)^B13+'Inputs'!$B$14*((1+B12)^B13-1)/B12)</x:f>
        <x:v>1206096.2519174763</x:v>
      </x:c>
      <x:c r="C14" s="11" t="str">
        <x:v>today's LCY</x:v>
      </x:c>
      <x:c r="D14" s="73" t="str">
        <x:v>Savings plus end-of-year contributions</x:v>
      </x:c>
      <x:c r="E14" s="74"/>
      <x:c r="F14" s="74"/>
      <x:c r="G14" s="74"/>
      <x:c r="H14" s="74"/>
    </x:row>
    <x:row r="15" ht="20" customHeight="1">
      <x:c r="A15" s="29" t="str">
        <x:v>Net annual withdrawal</x:v>
      </x:c>
      <x:c r="B15" s="76" t="n">
        <x:f>MAX(0,'Inputs'!$B$17-'Inputs'!$B$18)</x:f>
        <x:v>60000</x:v>
      </x:c>
      <x:c r="C15" s="29" t="str">
        <x:v>today's LCY</x:v>
      </x:c>
      <x:c r="D15" s="37" t="str">
        <x:v>Spending less other income</x:v>
      </x:c>
      <x:c r="E15" s="38"/>
      <x:c r="F15" s="38"/>
      <x:c r="G15" s="38"/>
      <x:c r="H15" s="38"/>
    </x:row>
    <x:row r="16" ht="20" customHeight="1">
      <x:c r="A16" s="29" t="str">
        <x:v>Retirement years funded</x:v>
      </x:c>
      <x:c r="B16" s="66" t="n">
        <x:f>MAX(0,MIN(61,ROUND('Inputs'!$B$12-'Inputs'!$B$11+1,0)))</x:f>
        <x:v>26</x:v>
      </x:c>
      <x:c r="C16" s="29" t="str">
        <x:v>years</x:v>
      </x:c>
      <x:c r="D16" s="37" t="str">
        <x:v>Retirement age through plan age</x:v>
      </x:c>
      <x:c r="E16" s="38"/>
      <x:c r="F16" s="38"/>
      <x:c r="G16" s="38"/>
      <x:c r="H16" s="38"/>
    </x:row>
    <x:row r="17" ht="20" customHeight="1">
      <x:c r="A17" s="11" t="str">
        <x:v>Required at retirement</x:v>
      </x:c>
      <x:c r="B17" s="78" t="n">
        <x:f>IF(B15&lt;=0,0,IF(B12=0,B15*B16,B15*(1-(1+B12)^(-B16))/B12))</x:f>
        <x:v>969241.6545614959</x:v>
      </x:c>
      <x:c r="C17" s="11" t="str">
        <x:v>today's LCY</x:v>
      </x:c>
      <x:c r="D17" s="73" t="str">
        <x:v>Present value of level net withdrawals</x:v>
      </x:c>
      <x:c r="E17" s="74"/>
      <x:c r="F17" s="74"/>
      <x:c r="G17" s="74"/>
      <x:c r="H17" s="74"/>
    </x:row>
    <x:row r="18" ht="20" customHeight="1">
      <x:c r="A18" s="11" t="str">
        <x:v>Retirement funding gap</x:v>
      </x:c>
      <x:c r="B18" s="78" t="n">
        <x:f>MAX(0,B17-B14)</x:f>
        <x:v>0</x:v>
      </x:c>
      <x:c r="C18" s="11" t="str">
        <x:v>today's LCY</x:v>
      </x:c>
      <x:c r="D18" s="73" t="str">
        <x:v>Required balance less projected balance</x:v>
      </x:c>
      <x:c r="E18" s="74"/>
      <x:c r="F18" s="74"/>
      <x:c r="G18" s="74"/>
      <x:c r="H18" s="74"/>
    </x:row>
    <x:row r="19" ht="20" customHeight="1">
      <x:c r="A19" s="29" t="str">
        <x:v>Retirement funding surplus</x:v>
      </x:c>
      <x:c r="B19" s="89" t="n">
        <x:f>MAX(0,B14-B17)</x:f>
        <x:v>236854.59735598043</x:v>
      </x:c>
      <x:c r="C19" s="29" t="str">
        <x:v>today's LCY</x:v>
      </x:c>
      <x:c r="D19" s="37" t="str">
        <x:v>Projected balance above the requirement</x:v>
      </x:c>
      <x:c r="E19" s="38"/>
      <x:c r="F19" s="38"/>
      <x:c r="G19" s="38"/>
      <x:c r="H19" s="38"/>
    </x:row>
    <x:row r="20" ht="20" customHeight="1">
      <x:c r="A20" s="11" t="str">
        <x:v>Ending balance at plan age</x:v>
      </x:c>
      <x:c r="B20" s="78" t="n">
        <x:f>MAX(0,IF(B12=0,B14-B15*B16,B14*(1+B12)^B16-B15*((1+B12)^B16-1)/B12))</x:f>
        <x:v>640842.226705546</x:v>
      </x:c>
      <x:c r="C20" s="11" t="str">
        <x:v>today's LCY</x:v>
      </x:c>
      <x:c r="D20" s="73" t="str">
        <x:v>Balance after the final planned withdrawal</x:v>
      </x:c>
      <x:c r="E20" s="74"/>
      <x:c r="F20" s="74"/>
      <x:c r="G20" s="74"/>
      <x:c r="H20" s="74"/>
    </x:row>
    <x:row r="21" ht="20" customHeight="1">
      <x:c r="A21" s="29" t="str">
        <x:v>Starting withdrawal rate</x:v>
      </x:c>
      <x:c r="B21" s="100" t="n">
        <x:f>IF(B14&lt;=0,0,B15/B14)</x:f>
        <x:v>0.04974727340758317</x:v>
      </x:c>
      <x:c r="C21" s="29" t="str">
        <x:v>%</x:v>
      </x:c>
      <x:c r="D21" s="37" t="str">
        <x:v>Net withdrawal divided by retirement balance</x:v>
      </x:c>
      <x:c r="E21" s="38"/>
      <x:c r="F21" s="38"/>
      <x:c r="G21" s="38"/>
      <x:c r="H21" s="38"/>
    </x:row>
    <x:row r="22" ht="20" customHeight="1">
      <x:c r="A22" s="3"/>
      <x:c r="B22" s="3"/>
      <x:c r="C22" s="3"/>
      <x:c r="D22" s="3"/>
      <x:c r="E22" s="3"/>
      <x:c r="F22" s="3"/>
      <x:c r="G22" s="3"/>
      <x:c r="H22" s="3"/>
    </x:row>
    <x:row r="23" ht="20" customHeight="1">
      <x:c r="A23" s="59" t="str">
        <x:v>SEVEN-MILESTONE SAVING &amp; DRAWDOWN PATH</x:v>
      </x:c>
      <x:c r="B23" s="59"/>
      <x:c r="C23" s="59"/>
      <x:c r="D23" s="59"/>
      <x:c r="E23" s="59"/>
      <x:c r="F23" s="59"/>
      <x:c r="G23" s="59"/>
      <x:c r="H23" s="59"/>
    </x:row>
    <x:row r="24" ht="20" customHeight="1">
      <x:c r="A24" s="143" t="str">
        <x:v>Age</x:v>
      </x:c>
      <x:c r="B24" s="59" t="str">
        <x:v>Milestone</x:v>
      </x:c>
      <x:c r="C24" s="59"/>
      <x:c r="D24" s="143" t="str">
        <x:v>Years from today</x:v>
      </x:c>
      <x:c r="E24" s="143" t="str">
        <x:v>Annual saving / (withdrawal)</x:v>
      </x:c>
      <x:c r="F24" s="143"/>
      <x:c r="G24" s="143" t="str">
        <x:v>Projected balance</x:v>
      </x:c>
      <x:c r="H24" s="143"/>
    </x:row>
    <x:row r="25" ht="20" customHeight="1">
      <x:c r="A25" s="146" t="n">
        <x:f>'Inputs'!$B$10</x:f>
        <x:v>35</x:v>
      </x:c>
      <x:c r="B25" s="149" t="str">
        <x:v>Today</x:v>
      </x:c>
      <x:c r="C25" s="149"/>
      <x:c r="D25" s="146" t="n">
        <x:f>MAX(0,A25-'Inputs'!$B$10)</x:f>
        <x:v>0</x:v>
      </x:c>
      <x:c r="E25" s="148" t="n">
        <x:f>IF(A25&lt;'Inputs'!$B$11,'Inputs'!$B$14,-B15)</x:f>
        <x:v>15000</x:v>
      </x:c>
      <x:c r="F25" s="148"/>
      <x:c r="G25" s="148" t="n">
        <x:f>IF(A25&lt;='Inputs'!$B$11,IF(B12=0,'Inputs'!$B$13+'Inputs'!$B$14*MAX(0,A25-'Inputs'!$B$10),'Inputs'!$B$13*(1+B12)^MAX(0,A25-'Inputs'!$B$10)+'Inputs'!$B$14*((1+B12)^MAX(0,A25-'Inputs'!$B$10)-1)/B12),MAX(0,IF(B12=0,B14-B15*MAX(0,A25-'Inputs'!$B$11+1),B14*(1+B12)^MAX(0,A25-'Inputs'!$B$11+1)-B15*((1+B12)^MAX(0,A25-'Inputs'!$B$11+1)-1)/B12)))</x:f>
        <x:v>120000</x:v>
      </x:c>
      <x:c r="H25" s="148"/>
    </x:row>
    <x:row r="26" ht="20" customHeight="1">
      <x:c r="A26" s="146" t="n">
        <x:f>ROUND('Inputs'!$B$10+('Inputs'!$B$11-'Inputs'!$B$10)/3,0)</x:f>
        <x:v>45</x:v>
      </x:c>
      <x:c r="B26" s="149" t="str">
        <x:v>Early accumulation</x:v>
      </x:c>
      <x:c r="C26" s="149"/>
      <x:c r="D26" s="146" t="n">
        <x:f>MAX(0,A26-'Inputs'!$B$10)</x:f>
        <x:v>10</x:v>
      </x:c>
      <x:c r="E26" s="148" t="n">
        <x:f>IF(A26&lt;'Inputs'!$B$11,'Inputs'!$B$14,-B15)</x:f>
        <x:v>15000</x:v>
      </x:c>
      <x:c r="F26" s="148"/>
      <x:c r="G26" s="148" t="n">
        <x:f>IF(A26&lt;='Inputs'!$B$11,IF(B12=0,'Inputs'!$B$13+'Inputs'!$B$14*MAX(0,A26-'Inputs'!$B$10),'Inputs'!$B$13*(1+B12)^MAX(0,A26-'Inputs'!$B$10)+'Inputs'!$B$14*((1+B12)^MAX(0,A26-'Inputs'!$B$10)-1)/B12),MAX(0,IF(B12=0,B14-B15*MAX(0,A26-'Inputs'!$B$11+1),B14*(1+B12)^MAX(0,A26-'Inputs'!$B$11+1)-B15*((1+B12)^MAX(0,A26-'Inputs'!$B$11+1)-1)/B12)))</x:f>
        <x:v>355248.9672900875</x:v>
      </x:c>
      <x:c r="H26" s="148"/>
    </x:row>
    <x:row r="27" ht="20" customHeight="1">
      <x:c r="A27" s="146" t="n">
        <x:f>ROUND('Inputs'!$B$10+2*('Inputs'!$B$11-'Inputs'!$B$10)/3,0)</x:f>
        <x:v>55</x:v>
      </x:c>
      <x:c r="B27" s="149" t="str">
        <x:v>Late accumulation</x:v>
      </x:c>
      <x:c r="C27" s="149"/>
      <x:c r="D27" s="146" t="n">
        <x:f>MAX(0,A27-'Inputs'!$B$10)</x:f>
        <x:v>20</x:v>
      </x:c>
      <x:c r="E27" s="148" t="n">
        <x:f>IF(A27&lt;'Inputs'!$B$11,'Inputs'!$B$14,-B15)</x:f>
        <x:v>15000</x:v>
      </x:c>
      <x:c r="F27" s="148"/>
      <x:c r="G27" s="148" t="n">
        <x:f>IF(A27&lt;='Inputs'!$B$11,IF(B12=0,'Inputs'!$B$13+'Inputs'!$B$14*MAX(0,A27-'Inputs'!$B$10),'Inputs'!$B$13*(1+B12)^MAX(0,A27-'Inputs'!$B$10)+'Inputs'!$B$14*((1+B12)^MAX(0,A27-'Inputs'!$B$10)-1)/B12),MAX(0,IF(B12=0,B14-B15*MAX(0,A27-'Inputs'!$B$11+1),B14*(1+B12)^MAX(0,A27-'Inputs'!$B$11+1)-B15*((1+B12)^MAX(0,A27-'Inputs'!$B$11+1)-1)/B12)))</x:f>
        <x:v>700222.0022105153</x:v>
      </x:c>
      <x:c r="H27" s="148"/>
    </x:row>
    <x:row r="28" ht="20" customHeight="1">
      <x:c r="A28" s="152" t="n">
        <x:f>'Inputs'!$B$11</x:f>
        <x:v>65</x:v>
      </x:c>
      <x:c r="B28" s="155" t="str">
        <x:v>Retirement</x:v>
      </x:c>
      <x:c r="C28" s="155"/>
      <x:c r="D28" s="152" t="n">
        <x:f>MAX(0,A28-'Inputs'!$B$10)</x:f>
        <x:v>30</x:v>
      </x:c>
      <x:c r="E28" s="154" t="n">
        <x:f>IF(A28&lt;'Inputs'!$B$11,'Inputs'!$B$14,-B15)</x:f>
        <x:v>-60000</x:v>
      </x:c>
      <x:c r="F28" s="154"/>
      <x:c r="G28" s="154" t="n">
        <x:f>IF(A28&lt;='Inputs'!$B$11,IF(B12=0,'Inputs'!$B$13+'Inputs'!$B$14*MAX(0,A28-'Inputs'!$B$10),'Inputs'!$B$13*(1+B12)^MAX(0,A28-'Inputs'!$B$10)+'Inputs'!$B$14*((1+B12)^MAX(0,A28-'Inputs'!$B$10)-1)/B12),MAX(0,IF(B12=0,B14-B15*MAX(0,A28-'Inputs'!$B$11+1),B14*(1+B12)^MAX(0,A28-'Inputs'!$B$11+1)-B15*((1+B12)^MAX(0,A28-'Inputs'!$B$11+1)-1)/B12)))</x:f>
        <x:v>1206096.2519174763</x:v>
      </x:c>
      <x:c r="H28" s="154"/>
    </x:row>
    <x:row r="29" ht="20" customHeight="1">
      <x:c r="A29" s="146" t="n">
        <x:f>ROUND('Inputs'!$B$11+('Inputs'!$B$12-'Inputs'!$B$11)/3,0)</x:f>
        <x:v>73</x:v>
      </x:c>
      <x:c r="B29" s="149" t="str">
        <x:v>Early retirement</x:v>
      </x:c>
      <x:c r="C29" s="149"/>
      <x:c r="D29" s="146" t="n">
        <x:f>MAX(0,A29-'Inputs'!$B$10)</x:f>
        <x:v>38</x:v>
      </x:c>
      <x:c r="E29" s="148" t="n">
        <x:f>IF(A29&lt;'Inputs'!$B$11,'Inputs'!$B$14,-B15)</x:f>
        <x:v>-60000</x:v>
      </x:c>
      <x:c r="F29" s="148"/>
      <x:c r="G29" s="148" t="n">
        <x:f>IF(A29&lt;='Inputs'!$B$11,IF(B12=0,'Inputs'!$B$13+'Inputs'!$B$14*MAX(0,A29-'Inputs'!$B$10),'Inputs'!$B$13*(1+B12)^MAX(0,A29-'Inputs'!$B$10)+'Inputs'!$B$14*((1+B12)^MAX(0,A29-'Inputs'!$B$10)-1)/B12),MAX(0,IF(B12=0,B14-B15*MAX(0,A29-'Inputs'!$B$11+1),B14*(1+B12)^MAX(0,A29-'Inputs'!$B$11+1)-B15*((1+B12)^MAX(0,A29-'Inputs'!$B$11+1)-1)/B12)))</x:f>
        <x:v>1069776.6007669684</x:v>
      </x:c>
      <x:c r="H29" s="148"/>
    </x:row>
    <x:row r="30" ht="20" customHeight="1">
      <x:c r="A30" s="146" t="n">
        <x:f>ROUND('Inputs'!$B$11+2*('Inputs'!$B$12-'Inputs'!$B$11)/3,0)</x:f>
        <x:v>82</x:v>
      </x:c>
      <x:c r="B30" s="149" t="str">
        <x:v>Late retirement</x:v>
      </x:c>
      <x:c r="C30" s="149"/>
      <x:c r="D30" s="146" t="n">
        <x:f>MAX(0,A30-'Inputs'!$B$10)</x:f>
        <x:v>47</x:v>
      </x:c>
      <x:c r="E30" s="148" t="n">
        <x:f>IF(A30&lt;'Inputs'!$B$11,'Inputs'!$B$14,-B15)</x:f>
        <x:v>-60000</x:v>
      </x:c>
      <x:c r="F30" s="148"/>
      <x:c r="G30" s="148" t="n">
        <x:f>IF(A30&lt;='Inputs'!$B$11,IF(B12=0,'Inputs'!$B$13+'Inputs'!$B$14*MAX(0,A30-'Inputs'!$B$10),'Inputs'!$B$13*(1+B12)^MAX(0,A30-'Inputs'!$B$10)+'Inputs'!$B$14*((1+B12)^MAX(0,A30-'Inputs'!$B$10)-1)/B12),MAX(0,IF(B12=0,B14-B15*MAX(0,A30-'Inputs'!$B$11+1),B14*(1+B12)^MAX(0,A30-'Inputs'!$B$11+1)-B15*((1+B12)^MAX(0,A30-'Inputs'!$B$11+1)-1)/B12)))</x:f>
        <x:v>877383.2105675924</x:v>
      </x:c>
      <x:c r="H30" s="148"/>
    </x:row>
    <x:row r="31" ht="20" customHeight="1">
      <x:c r="A31" s="146" t="n">
        <x:f>'Inputs'!$B$12</x:f>
        <x:v>90</x:v>
      </x:c>
      <x:c r="B31" s="149" t="str">
        <x:v>Plan age</x:v>
      </x:c>
      <x:c r="C31" s="149"/>
      <x:c r="D31" s="146" t="n">
        <x:f>MAX(0,A31-'Inputs'!$B$10)</x:f>
        <x:v>55</x:v>
      </x:c>
      <x:c r="E31" s="148" t="n">
        <x:f>IF(A31&lt;'Inputs'!$B$11,'Inputs'!$B$14,-B15)</x:f>
        <x:v>-60000</x:v>
      </x:c>
      <x:c r="F31" s="148"/>
      <x:c r="G31" s="148" t="n">
        <x:f>IF(A31&lt;='Inputs'!$B$11,IF(B12=0,'Inputs'!$B$13+'Inputs'!$B$14*MAX(0,A31-'Inputs'!$B$10),'Inputs'!$B$13*(1+B12)^MAX(0,A31-'Inputs'!$B$10)+'Inputs'!$B$14*((1+B12)^MAX(0,A31-'Inputs'!$B$10)-1)/B12),MAX(0,IF(B12=0,B14-B15*MAX(0,A31-'Inputs'!$B$11+1),B14*(1+B12)^MAX(0,A31-'Inputs'!$B$11+1)-B15*((1+B12)^MAX(0,A31-'Inputs'!$B$11+1)-1)/B12)))</x:f>
        <x:v>640842.226705546</x:v>
      </x:c>
      <x:c r="H31" s="148"/>
    </x:row>
    <x:row r="32" ht="20" customHeight="1">
      <x:c r="A32" s="3"/>
      <x:c r="B32" s="3"/>
      <x:c r="C32" s="3"/>
      <x:c r="D32" s="3"/>
      <x:c r="E32" s="3"/>
      <x:c r="F32" s="3"/>
      <x:c r="G32" s="3"/>
      <x:c r="H32" s="3"/>
    </x:row>
    <x:row r="33" ht="20" customHeight="1">
      <x:c r="A33" s="3"/>
      <x:c r="B33" s="3"/>
      <x:c r="C33" s="3"/>
      <x:c r="D33" s="3"/>
      <x:c r="E33" s="3"/>
      <x:c r="F33" s="3"/>
      <x:c r="G33" s="3"/>
      <x:c r="H33" s="3"/>
    </x:row>
    <x:row r="34" ht="20" customHeight="1">
      <x:c r="A34" s="169" t="str">
        <x:f>IF(B18&lt;=0.01,"FUNDED IN THIS ONE PATH","FUNDING GAP · change saving, timing, return, or spending")</x:f>
        <x:v>FUNDED IN THIS ONE PATH</x:v>
      </x:c>
      <x:c r="B34" s="170"/>
      <x:c r="C34" s="170"/>
      <x:c r="D34" s="170"/>
      <x:c r="E34" s="170"/>
      <x:c r="F34" s="170"/>
      <x:c r="G34" s="170"/>
      <x:c r="H34" s="171"/>
    </x:row>
    <x:row r="35" ht="20" customHeight="1">
      <x:c r="A35" s="172"/>
      <x:c r="B35" s="173"/>
      <x:c r="C35" s="173"/>
      <x:c r="D35" s="173"/>
      <x:c r="E35" s="173"/>
      <x:c r="F35" s="173"/>
      <x:c r="G35" s="173"/>
      <x:c r="H35" s="174"/>
    </x:row>
    <x:row r="36" ht="20" customHeight="1">
      <x:c r="A36" s="3"/>
      <x:c r="B36" s="3"/>
      <x:c r="C36" s="3"/>
      <x:c r="D36" s="3"/>
      <x:c r="E36" s="3"/>
      <x:c r="F36" s="3"/>
      <x:c r="G36" s="3"/>
      <x:c r="H36" s="3"/>
    </x:row>
    <x:row r="37" ht="20" customHeight="1">
      <x:c r="A37" s="3"/>
      <x:c r="B37" s="3"/>
      <x:c r="C37" s="3"/>
      <x:c r="D37" s="3"/>
      <x:c r="E37" s="3"/>
      <x:c r="F37" s="3"/>
      <x:c r="G37" s="3"/>
      <x:c r="H37" s="3"/>
    </x:row>
    <x:row r="38" ht="20" customHeight="1">
      <x:c r="A38" s="3"/>
      <x:c r="B38" s="3"/>
      <x:c r="C38" s="3"/>
      <x:c r="D38" s="3"/>
      <x:c r="E38" s="3"/>
      <x:c r="F38" s="3"/>
      <x:c r="G38" s="3"/>
      <x:c r="H38" s="3"/>
    </x:row>
    <x:row r="39" ht="20" customHeight="1">
      <x:c r="A39" s="3"/>
      <x:c r="B39" s="3"/>
      <x:c r="C39" s="3"/>
      <x:c r="D39" s="3"/>
      <x:c r="E39" s="3"/>
      <x:c r="F39" s="3"/>
      <x:c r="G39" s="3"/>
      <x:c r="H39" s="3"/>
    </x:row>
    <x:row r="40" ht="20" customHeight="1">
      <x:c r="A40" s="57" t="str">
        <x:v>Retirement Scenario Planner · Seven visible milestones · Deterministic education only</x:v>
      </x:c>
      <x:c r="B40" s="57"/>
      <x:c r="C40" s="57"/>
      <x:c r="D40" s="57"/>
      <x:c r="E40" s="57"/>
      <x:c r="F40" s="57"/>
      <x:c r="G40" s="57"/>
      <x:c r="H40" s="57"/>
    </x:row>
  </x:sheetData>
  <x:mergeCells>
    <x:mergeCell ref="A1:H2"/>
    <x:mergeCell ref="A3:H3"/>
    <x:mergeCell ref="A10:H10"/>
    <x:mergeCell ref="D11:H11"/>
    <x:mergeCell ref="D12:H12"/>
    <x:mergeCell ref="D13:H13"/>
    <x:mergeCell ref="D14:H14"/>
    <x:mergeCell ref="D15:H15"/>
    <x:mergeCell ref="D16:H16"/>
    <x:mergeCell ref="D17:H17"/>
    <x:mergeCell ref="D18:H18"/>
    <x:mergeCell ref="D19:H19"/>
    <x:mergeCell ref="D20:H20"/>
    <x:mergeCell ref="D21:H21"/>
    <x:mergeCell ref="A5:B5"/>
    <x:mergeCell ref="A6:B8"/>
    <x:mergeCell ref="C5:D5"/>
    <x:mergeCell ref="C6:D8"/>
    <x:mergeCell ref="E5:F5"/>
    <x:mergeCell ref="E6:F8"/>
    <x:mergeCell ref="G5:H5"/>
    <x:mergeCell ref="G6:H8"/>
    <x:mergeCell ref="A23:H23"/>
    <x:mergeCell ref="B24:C24"/>
    <x:mergeCell ref="E24:F24"/>
    <x:mergeCell ref="G24:H24"/>
    <x:mergeCell ref="B25:C25"/>
    <x:mergeCell ref="E25:F25"/>
    <x:mergeCell ref="G25:H25"/>
    <x:mergeCell ref="B26:C26"/>
    <x:mergeCell ref="E26:F26"/>
    <x:mergeCell ref="G26:H26"/>
    <x:mergeCell ref="B27:C27"/>
    <x:mergeCell ref="E27:F27"/>
    <x:mergeCell ref="G27:H27"/>
    <x:mergeCell ref="B28:C28"/>
    <x:mergeCell ref="E28:F28"/>
    <x:mergeCell ref="G28:H28"/>
    <x:mergeCell ref="B29:C29"/>
    <x:mergeCell ref="E29:F29"/>
    <x:mergeCell ref="G29:H29"/>
    <x:mergeCell ref="B30:C30"/>
    <x:mergeCell ref="E30:F30"/>
    <x:mergeCell ref="G30:H30"/>
    <x:mergeCell ref="B31:C31"/>
    <x:mergeCell ref="E31:F31"/>
    <x:mergeCell ref="G31:H31"/>
    <x:mergeCell ref="A34:H35"/>
    <x:mergeCell ref="A40:H40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7" customHeight="1">
      <x:c r="A1" s="6" t="str">
        <x:v>RESULTS</x:v>
      </x:c>
      <x:c r="B1" s="6"/>
      <x:c r="C1" s="6"/>
      <x:c r="D1" s="6"/>
      <x:c r="E1" s="6"/>
      <x:c r="F1" s="6"/>
      <x:c r="G1" s="6"/>
      <x:c r="H1" s="6"/>
    </x:row>
    <x:row r="2" ht="27" customHeight="1">
      <x:c r="A2" s="6"/>
      <x:c r="B2" s="6"/>
      <x:c r="C2" s="6"/>
      <x:c r="D2" s="6"/>
      <x:c r="E2" s="6"/>
      <x:c r="F2" s="6"/>
      <x:c r="G2" s="6"/>
      <x:c r="H2" s="6"/>
    </x:row>
    <x:row r="3" ht="20" customHeight="1">
      <x:c r="A3" s="9" t="str">
        <x:v>Retirement Scenario Planner · Decision view linked to the detailed Model sheet</x:v>
      </x:c>
      <x:c r="B3" s="9"/>
      <x:c r="C3" s="9"/>
      <x:c r="D3" s="9"/>
      <x:c r="E3" s="9"/>
      <x:c r="F3" s="9"/>
      <x:c r="G3" s="9"/>
      <x:c r="H3" s="9"/>
    </x:row>
    <x:row r="4" ht="20" customHeight="1">
      <x:c r="A4" s="3"/>
      <x:c r="B4" s="3"/>
      <x:c r="C4" s="3"/>
      <x:c r="D4" s="3"/>
      <x:c r="E4" s="3"/>
      <x:c r="F4" s="3"/>
      <x:c r="G4" s="3"/>
      <x:c r="H4" s="3"/>
    </x:row>
    <x:row r="5" ht="20" customHeight="1">
      <x:c r="A5" s="110" t="str">
        <x:v>AT RETIREMENT</x:v>
      </x:c>
      <x:c r="B5" s="111"/>
      <x:c r="C5" s="110" t="str">
        <x:v>WITHDRAWAL RATE</x:v>
      </x:c>
      <x:c r="D5" s="111"/>
      <x:c r="E5" s="110" t="str">
        <x:v>ENDING BALANCE</x:v>
      </x:c>
      <x:c r="F5" s="111"/>
      <x:c r="G5" s="110" t="str">
        <x:v>FUNDING GAP</x:v>
      </x:c>
      <x:c r="H5" s="111"/>
    </x:row>
    <x:row r="6" ht="20" customHeight="1">
      <x:c r="A6" s="125" t="n">
        <x:f>'Model'!A6</x:f>
        <x:v>1206096.2519174763</x:v>
      </x:c>
      <x:c r="B6" s="126"/>
      <x:c r="C6" s="137" t="n">
        <x:f>'Model'!C6</x:f>
        <x:v>0.04974727340758317</x:v>
      </x:c>
      <x:c r="D6" s="138"/>
      <x:c r="E6" s="125" t="n">
        <x:f>'Model'!E6</x:f>
        <x:v>640842.226705546</x:v>
      </x:c>
      <x:c r="F6" s="126"/>
      <x:c r="G6" s="125" t="n">
        <x:f>'Model'!G6</x:f>
        <x:v>0</x:v>
      </x:c>
      <x:c r="H6" s="126"/>
    </x:row>
    <x:row r="7" ht="20" customHeight="1">
      <x:c r="A7" s="127"/>
      <x:c r="B7" s="128"/>
      <x:c r="C7" s="139"/>
      <x:c r="D7" s="140"/>
      <x:c r="E7" s="127"/>
      <x:c r="F7" s="128"/>
      <x:c r="G7" s="127"/>
      <x:c r="H7" s="128"/>
    </x:row>
    <x:row r="8" ht="20" customHeight="1">
      <x:c r="A8" s="129"/>
      <x:c r="B8" s="130"/>
      <x:c r="C8" s="141"/>
      <x:c r="D8" s="142"/>
      <x:c r="E8" s="129"/>
      <x:c r="F8" s="130"/>
      <x:c r="G8" s="129"/>
      <x:c r="H8" s="130"/>
    </x:row>
    <x:row r="9" ht="20" customHeight="1">
      <x:c r="A9" s="3"/>
      <x:c r="B9" s="3"/>
      <x:c r="C9" s="3"/>
      <x:c r="D9" s="3"/>
      <x:c r="E9" s="3"/>
      <x:c r="F9" s="3"/>
      <x:c r="G9" s="3"/>
      <x:c r="H9" s="3"/>
    </x:row>
    <x:row r="10" ht="20" customHeight="1">
      <x:c r="A10" s="58" t="str">
        <x:v>DECISION VIEW</x:v>
      </x:c>
      <x:c r="B10" s="58"/>
      <x:c r="C10" s="58"/>
      <x:c r="D10" s="58"/>
      <x:c r="E10" s="58"/>
      <x:c r="F10" s="58"/>
      <x:c r="G10" s="58"/>
      <x:c r="H10" s="58"/>
    </x:row>
    <x:row r="11" ht="34" customHeight="1">
      <x:c r="A11" s="176" t="str">
        <x:v>CALCULATION STATUS</x:v>
      </x:c>
      <x:c r="B11" s="176"/>
      <x:c r="C11" s="180" t="str">
        <x:f>'Checks'!B4</x:f>
        <x:v>PASS</x:v>
      </x:c>
      <x:c r="D11" s="181"/>
      <x:c r="E11" s="176" t="str">
        <x:v>RETIREMENT OUTCOME</x:v>
      </x:c>
      <x:c r="F11" s="176"/>
      <x:c r="G11" s="187" t="str">
        <x:f>'Model'!A34</x:f>
        <x:v>FUNDED IN THIS ONE PATH</x:v>
      </x:c>
      <x:c r="H11" s="188"/>
    </x:row>
    <x:row r="12" ht="20" customHeight="1">
      <x:c r="A12" s="3"/>
      <x:c r="B12" s="3"/>
      <x:c r="C12" s="3"/>
      <x:c r="D12" s="3"/>
      <x:c r="E12" s="3"/>
      <x:c r="F12" s="3"/>
      <x:c r="G12" s="3"/>
      <x:c r="H12" s="3"/>
    </x:row>
    <x:row r="13" ht="20" customHeight="1">
      <x:c r="A13" s="58" t="str">
        <x:v>WHAT IT ANSWERS</x:v>
      </x:c>
      <x:c r="B13" s="58"/>
      <x:c r="C13" s="58"/>
      <x:c r="D13" s="58"/>
      <x:c r="E13" s="58"/>
      <x:c r="F13" s="58"/>
      <x:c r="G13" s="58"/>
      <x:c r="H13" s="58"/>
    </x:row>
    <x:row r="14" ht="20" customHeight="1">
      <x:c r="A14" s="196" t="str">
        <x:v>Will savings support the planned withdrawal through the plan age?</x:v>
      </x:c>
      <x:c r="B14" s="197"/>
      <x:c r="C14" s="197"/>
      <x:c r="D14" s="197"/>
      <x:c r="E14" s="197"/>
      <x:c r="F14" s="197"/>
      <x:c r="G14" s="197"/>
      <x:c r="H14" s="198"/>
    </x:row>
    <x:row r="15" ht="20" customHeight="1">
      <x:c r="A15" s="199"/>
      <x:c r="B15" s="200"/>
      <x:c r="C15" s="200"/>
      <x:c r="D15" s="200"/>
      <x:c r="E15" s="200"/>
      <x:c r="F15" s="200"/>
      <x:c r="G15" s="200"/>
      <x:c r="H15" s="201"/>
    </x:row>
    <x:row r="16" ht="20" customHeight="1">
      <x:c r="A16" s="3"/>
      <x:c r="B16" s="3"/>
      <x:c r="C16" s="3"/>
      <x:c r="D16" s="3"/>
      <x:c r="E16" s="3"/>
      <x:c r="F16" s="3"/>
      <x:c r="G16" s="3"/>
      <x:c r="H16" s="3"/>
    </x:row>
    <x:row r="17" ht="20" customHeight="1">
      <x:c r="A17" s="58" t="str">
        <x:v>MODEL DEPTH</x:v>
      </x:c>
      <x:c r="B17" s="58"/>
      <x:c r="C17" s="58"/>
      <x:c r="D17" s="58"/>
      <x:c r="E17" s="58"/>
      <x:c r="F17" s="58"/>
      <x:c r="G17" s="58"/>
      <x:c r="H17" s="58"/>
    </x:row>
    <x:row r="18" ht="20" customHeight="1">
      <x:c r="A18" s="175" t="str">
        <x:v>Forecast</x:v>
      </x:c>
      <x:c r="B18" s="175"/>
      <x:c r="C18" s="189" t="str">
        <x:v>Up to 60 years</x:v>
      </x:c>
      <x:c r="D18" s="189"/>
      <x:c r="E18" s="189"/>
      <x:c r="F18" s="189"/>
      <x:c r="G18" s="189"/>
      <x:c r="H18" s="189"/>
    </x:row>
    <x:row r="19" ht="20" customHeight="1">
      <x:c r="A19" s="175" t="str">
        <x:v>Editable inputs</x:v>
      </x:c>
      <x:c r="B19" s="175"/>
      <x:c r="C19" s="189" t="str">
        <x:v>9</x:v>
      </x:c>
      <x:c r="D19" s="189"/>
      <x:c r="E19" s="189"/>
      <x:c r="F19" s="189"/>
      <x:c r="G19" s="189"/>
      <x:c r="H19" s="189"/>
    </x:row>
    <x:row r="20" ht="20" customHeight="1">
      <x:c r="A20" s="175" t="str">
        <x:v>Calculation detail</x:v>
      </x:c>
      <x:c r="B20" s="175"/>
      <x:c r="C20" s="189" t="str">
        <x:v>Visible formulas, schedules, roll-forwards, and bridges</x:v>
      </x:c>
      <x:c r="D20" s="189"/>
      <x:c r="E20" s="189"/>
      <x:c r="F20" s="189"/>
      <x:c r="G20" s="189"/>
      <x:c r="H20" s="189"/>
    </x:row>
    <x:row r="21" ht="20" customHeight="1">
      <x:c r="A21" s="175" t="str">
        <x:v>Workbook flow</x:v>
      </x:c>
      <x:c r="B21" s="175"/>
      <x:c r="C21" s="189" t="str">
        <x:v>Start → Inputs → Model → Results → Checks</x:v>
      </x:c>
      <x:c r="D21" s="189"/>
      <x:c r="E21" s="189"/>
      <x:c r="F21" s="189"/>
      <x:c r="G21" s="189"/>
      <x:c r="H21" s="189"/>
    </x:row>
    <x:row r="22" ht="20" customHeight="1">
      <x:c r="A22" s="3"/>
      <x:c r="B22" s="3"/>
      <x:c r="C22" s="3"/>
      <x:c r="D22" s="3"/>
      <x:c r="E22" s="3"/>
      <x:c r="F22" s="3"/>
      <x:c r="G22" s="3"/>
      <x:c r="H22" s="3"/>
    </x:row>
    <x:row r="23" ht="20" customHeight="1">
      <x:c r="A23" s="58" t="str">
        <x:v>SCOPE</x:v>
      </x:c>
      <x:c r="B23" s="58"/>
      <x:c r="C23" s="58"/>
      <x:c r="D23" s="58"/>
      <x:c r="E23" s="58"/>
      <x:c r="F23" s="58"/>
      <x:c r="G23" s="58"/>
      <x:c r="H23" s="58"/>
    </x:row>
    <x:row r="24" ht="20" customHeight="1">
      <x:c r="A24" s="210" t="str">
        <x:v>Included: One deterministic real-return path · Contributions before retirement and a level net withdrawal · Funding bridge plus seven visible age milestones</x:v>
      </x:c>
      <x:c r="B24" s="211"/>
      <x:c r="C24" s="211"/>
      <x:c r="D24" s="211"/>
      <x:c r="E24" s="211"/>
      <x:c r="F24" s="211"/>
      <x:c r="G24" s="211"/>
      <x:c r="H24" s="212"/>
    </x:row>
    <x:row r="25" ht="20" customHeight="1">
      <x:c r="A25" s="213"/>
      <x:c r="B25" s="214"/>
      <x:c r="C25" s="214"/>
      <x:c r="D25" s="214"/>
      <x:c r="E25" s="214"/>
      <x:c r="F25" s="214"/>
      <x:c r="G25" s="214"/>
      <x:c r="H25" s="215"/>
    </x:row>
    <x:row r="26" ht="20" customHeight="1">
      <x:c r="A26" s="216"/>
      <x:c r="B26" s="217"/>
      <x:c r="C26" s="217"/>
      <x:c r="D26" s="217"/>
      <x:c r="E26" s="217"/>
      <x:c r="F26" s="217"/>
      <x:c r="G26" s="217"/>
      <x:c r="H26" s="218"/>
    </x:row>
    <x:row r="27" ht="20" customHeight="1">
      <x:c r="A27" s="51" t="str">
        <x:v>Outside this model: Probability simulation, taxes, pensions, benefits, fees, product selection, and advice.</x:v>
      </x:c>
      <x:c r="B27" s="52"/>
      <x:c r="C27" s="52"/>
      <x:c r="D27" s="52"/>
      <x:c r="E27" s="52"/>
      <x:c r="F27" s="52"/>
      <x:c r="G27" s="52"/>
      <x:c r="H27" s="53"/>
    </x:row>
    <x:row r="28" ht="20" customHeight="1">
      <x:c r="A28" s="54"/>
      <x:c r="B28" s="55"/>
      <x:c r="C28" s="55"/>
      <x:c r="D28" s="55"/>
      <x:c r="E28" s="55"/>
      <x:c r="F28" s="55"/>
      <x:c r="G28" s="55"/>
      <x:c r="H28" s="56"/>
    </x:row>
    <x:row r="29" ht="20" customHeight="1">
      <x:c r="A29" s="222" t="str">
        <x:v>Five visible tabs · No hidden calculations · Calculation status and business outcome are reported separately.</x:v>
      </x:c>
      <x:c r="B29" s="223"/>
      <x:c r="C29" s="223"/>
      <x:c r="D29" s="223"/>
      <x:c r="E29" s="223"/>
      <x:c r="F29" s="223"/>
      <x:c r="G29" s="223"/>
      <x:c r="H29" s="224"/>
    </x:row>
    <x:row r="30" ht="20" customHeight="1">
      <x:c r="A30" s="3"/>
      <x:c r="B30" s="3"/>
      <x:c r="C30" s="3"/>
      <x:c r="D30" s="3"/>
      <x:c r="E30" s="3"/>
      <x:c r="F30" s="3"/>
      <x:c r="G30" s="3"/>
      <x:c r="H30" s="3"/>
    </x:row>
    <x:row r="31" ht="20" customHeight="1">
      <x:c r="A31" s="57" t="str">
        <x:v>Retirement Scenario Planner · v1.4.0 · Linked summary only · Trace all formulas on Model</x:v>
      </x:c>
      <x:c r="B31" s="57"/>
      <x:c r="C31" s="57"/>
      <x:c r="D31" s="57"/>
      <x:c r="E31" s="57"/>
      <x:c r="F31" s="57"/>
      <x:c r="G31" s="57"/>
      <x:c r="H31" s="57"/>
    </x:row>
  </x:sheetData>
  <x:mergeCells>
    <x:mergeCell ref="A1:H2"/>
    <x:mergeCell ref="A3:H3"/>
    <x:mergeCell ref="A5:B5"/>
    <x:mergeCell ref="A6:B8"/>
    <x:mergeCell ref="C5:D5"/>
    <x:mergeCell ref="C6:D8"/>
    <x:mergeCell ref="E5:F5"/>
    <x:mergeCell ref="E6:F8"/>
    <x:mergeCell ref="G5:H5"/>
    <x:mergeCell ref="G6:H8"/>
    <x:mergeCell ref="A10:H10"/>
    <x:mergeCell ref="A11:B11"/>
    <x:mergeCell ref="C11:D11"/>
    <x:mergeCell ref="E11:F11"/>
    <x:mergeCell ref="G11:H11"/>
    <x:mergeCell ref="A13:H13"/>
    <x:mergeCell ref="A14:H15"/>
    <x:mergeCell ref="A17:H17"/>
    <x:mergeCell ref="A18:B18"/>
    <x:mergeCell ref="C18:H18"/>
    <x:mergeCell ref="A19:B19"/>
    <x:mergeCell ref="C19:H19"/>
    <x:mergeCell ref="A20:B20"/>
    <x:mergeCell ref="C20:H20"/>
    <x:mergeCell ref="A21:B21"/>
    <x:mergeCell ref="C21:H21"/>
    <x:mergeCell ref="A23:H23"/>
    <x:mergeCell ref="A24:H26"/>
    <x:mergeCell ref="A27:H28"/>
    <x:mergeCell ref="A29:H29"/>
    <x:mergeCell ref="A31:H31"/>
  </x:mergeCells>
  <x:conditionalFormatting sqref="C11:D11">
    <x:cfRule type="containsText" dxfId="0" priority="1" operator="containsText" text="FAIL"/>
    <x:cfRule type="containsText" dxfId="1" priority="2" operator="containsText" text="PASS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23" hidden="0" customWidth="1"/>
    <x:col min="8" max="8" width="16" hidden="0" customWidth="1"/>
  </x:cols>
  <x:sheetData>
    <x:row r="1" ht="27" customHeight="1">
      <x:c r="A1" s="6" t="str">
        <x:v>CHECKS</x:v>
      </x:c>
      <x:c r="B1" s="6"/>
      <x:c r="C1" s="6"/>
      <x:c r="D1" s="6"/>
      <x:c r="E1" s="6"/>
      <x:c r="F1" s="6"/>
      <x:c r="G1" s="6"/>
      <x:c r="H1" s="6"/>
    </x:row>
    <x:row r="2" ht="27" customHeight="1">
      <x:c r="A2" s="6"/>
      <x:c r="B2" s="6"/>
      <x:c r="C2" s="6"/>
      <x:c r="D2" s="6"/>
      <x:c r="E2" s="6"/>
      <x:c r="F2" s="6"/>
      <x:c r="G2" s="6"/>
      <x:c r="H2" s="6"/>
    </x:row>
    <x:row r="3" ht="20" customHeight="1">
      <x:c r="A3" s="9" t="str">
        <x:v>Retirement Scenario Planner · Calculation controls only; business outcomes are shown separately</x:v>
      </x:c>
      <x:c r="B3" s="9"/>
      <x:c r="C3" s="9"/>
      <x:c r="D3" s="9"/>
      <x:c r="E3" s="9"/>
      <x:c r="F3" s="9"/>
      <x:c r="G3" s="9"/>
      <x:c r="H3" s="9"/>
    </x:row>
    <x:row r="4" ht="12" customHeight="1">
      <x:c r="A4" s="3"/>
      <x:c r="B4" s="225" t="str">
        <x:f>IF(COUNTIF(F9:F18,"PASS")=10,"PASS","FAIL")</x:f>
        <x:v>PASS</x:v>
      </x:c>
      <x:c r="C4" s="225"/>
      <x:c r="D4" s="225"/>
      <x:c r="E4" s="225"/>
      <x:c r="F4" s="225"/>
      <x:c r="G4" s="225"/>
      <x:c r="H4" s="225"/>
    </x:row>
    <x:row r="5" ht="20" customHeight="1">
      <x:c r="A5" s="57" t="str">
        <x:v>MODEL STATUS</x:v>
      </x:c>
      <x:c r="B5" s="57"/>
      <x:c r="C5" s="180" t="str">
        <x:f>B4</x:f>
        <x:v>PASS</x:v>
      </x:c>
      <x:c r="D5" s="227"/>
      <x:c r="E5" s="227"/>
      <x:c r="F5" s="227"/>
      <x:c r="G5" s="227"/>
      <x:c r="H5" s="181"/>
    </x:row>
    <x:row r="6" ht="20" customHeight="1">
      <x:c r="A6" s="3"/>
      <x:c r="B6" s="3"/>
      <x:c r="C6" s="3"/>
      <x:c r="D6" s="3"/>
      <x:c r="E6" s="3"/>
      <x:c r="F6" s="3"/>
      <x:c r="G6" s="3"/>
      <x:c r="H6" s="3"/>
    </x:row>
    <x:row r="7" ht="20" customHeight="1">
      <x:c r="A7" s="58" t="str">
        <x:v>10 CALCULATION CONTROLS</x:v>
      </x:c>
      <x:c r="B7" s="58"/>
      <x:c r="C7" s="58"/>
      <x:c r="D7" s="58"/>
      <x:c r="E7" s="58"/>
      <x:c r="F7" s="58"/>
      <x:c r="G7" s="58"/>
      <x:c r="H7" s="58"/>
    </x:row>
    <x:row r="8" ht="20" customHeight="1">
      <x:c r="A8" s="28" t="str">
        <x:v>Control</x:v>
      </x:c>
      <x:c r="B8" s="28" t="str">
        <x:v>Actual</x:v>
      </x:c>
      <x:c r="C8" s="28" t="str">
        <x:v>Expected</x:v>
      </x:c>
      <x:c r="D8" s="28" t="str">
        <x:v>Difference</x:v>
      </x:c>
      <x:c r="E8" s="28" t="str">
        <x:v>Tolerance</x:v>
      </x:c>
      <x:c r="F8" s="28" t="str">
        <x:v>Status</x:v>
      </x:c>
      <x:c r="G8" s="28" t="str">
        <x:v>Where to fix</x:v>
      </x:c>
      <x:c r="H8" s="28"/>
    </x:row>
    <x:row r="9" ht="26" customHeight="1">
      <x:c r="A9" s="214" t="str">
        <x:v>All editable inputs are numeric</x:v>
      </x:c>
      <x:c r="B9" s="229" t="n">
        <x:f>ROUND(COUNT('Inputs'!B10,'Inputs'!B11,'Inputs'!B12,'Inputs'!B13,'Inputs'!B14,'Inputs'!B15,'Inputs'!B16,'Inputs'!B17,'Inputs'!B18),6)</x:f>
        <x:v>9</x:v>
      </x:c>
      <x:c r="C9" s="229" t="n">
        <x:f>9</x:f>
        <x:v>9</x:v>
      </x:c>
      <x:c r="D9" s="229" t="n">
        <x:f>ROUND(B9-C9,6)</x:f>
        <x:v>0</x:v>
      </x:c>
      <x:c r="E9" s="229" t="n">
        <x:f>0</x:f>
        <x:v>0</x:v>
      </x:c>
      <x:c r="F9" s="230" t="str">
        <x:f>IF(ABS(ROUND(D9,6))&lt;=E9,"PASS","FAIL")</x:f>
        <x:v>PASS</x:v>
      </x:c>
      <x:c r="G9" s="214" t="str">
        <x:v>Complete the blue cells on Inputs</x:v>
      </x:c>
      <x:c r="H9" s="214"/>
    </x:row>
    <x:row r="10" ht="26" customHeight="1">
      <x:c r="A10" s="214" t="str">
        <x:v>Results headline KPIs reconcile to Model</x:v>
      </x:c>
      <x:c r="B10" s="233" t="n">
        <x:f>ROUND(IFERROR(SUM(ABS('Results'!A6-'Model'!A6),ABS('Results'!C6-'Model'!C6),ABS('Results'!E6-'Model'!E6),ABS('Results'!G6-'Model'!G6)),1E+99),6)</x:f>
        <x:v>0</x:v>
      </x:c>
      <x:c r="C10" s="233" t="n">
        <x:f>0</x:f>
        <x:v>0</x:v>
      </x:c>
      <x:c r="D10" s="233" t="n">
        <x:f>ROUND(B10-C10,6)</x:f>
        <x:v>0</x:v>
      </x:c>
      <x:c r="E10" s="233" t="n">
        <x:f>0.0001</x:f>
        <x:v>0.0001</x:v>
      </x:c>
      <x:c r="F10" s="230" t="str">
        <x:f>IF(ABS(ROUND(D10,6))&lt;=E10,"PASS","FAIL")</x:f>
        <x:v>PASS</x:v>
      </x:c>
      <x:c r="G10" s="214" t="str">
        <x:v>Review Results-to-Model links</x:v>
      </x:c>
      <x:c r="H10" s="214"/>
    </x:row>
    <x:row r="11" ht="26" customHeight="1">
      <x:c r="A11" s="214" t="str">
        <x:v>Ages and planning inputs are valid</x:v>
      </x:c>
      <x:c r="B11" s="233" t="n">
        <x:f>ROUND(IF(AND('Inputs'!$B$10&gt;=18,'Inputs'!$B$10&lt;'Inputs'!$B$11,'Inputs'!$B$11&lt;='Inputs'!$B$12,'Inputs'!$B$12-'Inputs'!$B$10&lt;=60,'Inputs'!$B$12&lt;=120,'Inputs'!$B$10=ROUND('Inputs'!$B$10,0),'Inputs'!$B$11=ROUND('Inputs'!$B$11,0),'Inputs'!$B$12=ROUND('Inputs'!$B$12,0),'Inputs'!$B$13&gt;=0,'Inputs'!$B$14&gt;=0,'Inputs'!$B$15&gt;-1,'Inputs'!$B$16&gt;-1,'Inputs'!$B$17&gt;=0,'Inputs'!$B$18&gt;=0),1,0),6)</x:f>
        <x:v>1</x:v>
      </x:c>
      <x:c r="C11" s="233" t="n">
        <x:f>1</x:f>
        <x:v>1</x:v>
      </x:c>
      <x:c r="D11" s="233" t="n">
        <x:f>ROUND(B11-C11,6)</x:f>
        <x:v>0</x:v>
      </x:c>
      <x:c r="E11" s="233" t="n">
        <x:f>0.0001</x:f>
        <x:v>0.0001</x:v>
      </x:c>
      <x:c r="F11" s="230" t="str">
        <x:f>IF(ABS(ROUND(D11,6))&lt;=E11,"PASS","FAIL")</x:f>
        <x:v>PASS</x:v>
      </x:c>
      <x:c r="G11" s="214" t="str">
        <x:v>Inputs: ages, rates, and amounts</x:v>
      </x:c>
      <x:c r="H11" s="214"/>
    </x:row>
    <x:row r="12" ht="26" customHeight="1">
      <x:c r="A12" s="214" t="str">
        <x:v>Retirement accumulation bridge ties</x:v>
      </x:c>
      <x:c r="B12" s="235" t="n">
        <x:f>ROUND('Model'!B14,6)</x:f>
        <x:v>1206096.251917</x:v>
      </x:c>
      <x:c r="C12" s="235" t="n">
        <x:f>IF('Model'!B12=0,'Inputs'!$B$13+'Inputs'!$B$14*'Model'!B13,'Inputs'!$B$13*(1+'Model'!B12)^'Model'!B13+'Inputs'!$B$14*((1+'Model'!B12)^'Model'!B13-1)/'Model'!B12)</x:f>
        <x:v>1206096.2519174763</x:v>
      </x:c>
      <x:c r="D12" s="235" t="n">
        <x:f>ROUND(B12-C12,6)</x:f>
        <x:v>0</x:v>
      </x:c>
      <x:c r="E12" s="235" t="n">
        <x:f>0.0001</x:f>
        <x:v>0.0001</x:v>
      </x:c>
      <x:c r="F12" s="230" t="str">
        <x:f>IF(ABS(ROUND(D12,6))&lt;=E12,"PASS","FAIL")</x:f>
        <x:v>PASS</x:v>
      </x:c>
      <x:c r="G12" s="214" t="str">
        <x:v>Model: retirement accumulation</x:v>
      </x:c>
      <x:c r="H12" s="214"/>
    </x:row>
    <x:row r="13" ht="26" customHeight="1">
      <x:c r="A13" s="214" t="str">
        <x:v>Funding bridge ties</x:v>
      </x:c>
      <x:c r="B13" s="235" t="n">
        <x:f>ROUND(ABS('Model'!B17-'Model'!B14-'Model'!B18+'Model'!B19)+MAX(0,-'Model'!B20),6)</x:f>
        <x:v>0</x:v>
      </x:c>
      <x:c r="C13" s="235" t="n">
        <x:f>0</x:f>
        <x:v>0</x:v>
      </x:c>
      <x:c r="D13" s="235" t="n">
        <x:f>ROUND(B13-C13,6)</x:f>
        <x:v>0</x:v>
      </x:c>
      <x:c r="E13" s="235" t="n">
        <x:f>0.0001</x:f>
        <x:v>0.0001</x:v>
      </x:c>
      <x:c r="F13" s="230" t="str">
        <x:f>IF(ABS(ROUND(D13,6))&lt;=E13,"PASS","FAIL")</x:f>
        <x:v>PASS</x:v>
      </x:c>
      <x:c r="G13" s="214" t="str">
        <x:v>Model: funding bridge</x:v>
      </x:c>
      <x:c r="H13" s="214"/>
    </x:row>
    <x:row r="14" ht="26" customHeight="1">
      <x:c r="A14" s="214" t="str">
        <x:v>Real return traces to nominal return and inflation</x:v>
      </x:c>
      <x:c r="B14" s="238" t="n">
        <x:f>ROUND('Model'!B12-IF(OR(1+'Inputs'!$B$15&lt;=0,1+'Inputs'!$B$16&lt;=0),0,(1+'Inputs'!$B$15)/(1+'Inputs'!$B$16)-1),6)</x:f>
        <x:v>0</x:v>
      </x:c>
      <x:c r="C14" s="238" t="n">
        <x:f>0</x:f>
        <x:v>0</x:v>
      </x:c>
      <x:c r="D14" s="238" t="n">
        <x:f>ROUND(B14-C14,6)</x:f>
        <x:v>0</x:v>
      </x:c>
      <x:c r="E14" s="238" t="n">
        <x:f>0.0001</x:f>
        <x:v>0.0001</x:v>
      </x:c>
      <x:c r="F14" s="230" t="str">
        <x:f>IF(ABS(ROUND(D14,6))&lt;=E14,"PASS","FAIL")</x:f>
        <x:v>PASS</x:v>
      </x:c>
      <x:c r="G14" s="214" t="str">
        <x:v>Model: real return</x:v>
      </x:c>
      <x:c r="H14" s="214"/>
    </x:row>
    <x:row r="15" ht="26" customHeight="1">
      <x:c r="A15" s="214" t="str">
        <x:v>Retirement timing and net withdrawal trace</x:v>
      </x:c>
      <x:c r="B15" s="235" t="n">
        <x:f>ROUND(SUM(ABS('Model'!B13-MAX(0,MIN(60,ROUND('Inputs'!$B$11-'Inputs'!$B$10,0)))),ABS('Model'!B16-MAX(0,MIN(61,ROUND('Inputs'!$B$12-'Inputs'!$B$11+1,0)))),ABS('Model'!B15-MAX(0,'Inputs'!$B$17-'Inputs'!$B$18))),6)</x:f>
        <x:v>0</x:v>
      </x:c>
      <x:c r="C15" s="235" t="n">
        <x:f>0</x:f>
        <x:v>0</x:v>
      </x:c>
      <x:c r="D15" s="235" t="n">
        <x:f>ROUND(B15-C15,6)</x:f>
        <x:v>0</x:v>
      </x:c>
      <x:c r="E15" s="235" t="n">
        <x:f>0.0001</x:f>
        <x:v>0.0001</x:v>
      </x:c>
      <x:c r="F15" s="230" t="str">
        <x:f>IF(ABS(ROUND(D15,6))&lt;=E15,"PASS","FAIL")</x:f>
        <x:v>PASS</x:v>
      </x:c>
      <x:c r="G15" s="214" t="str">
        <x:v>Model: timing and withdrawal</x:v>
      </x:c>
      <x:c r="H15" s="214"/>
    </x:row>
    <x:row r="16" ht="26" customHeight="1">
      <x:c r="A16" s="214" t="str">
        <x:v>Required retirement balance traces</x:v>
      </x:c>
      <x:c r="B16" s="235" t="n">
        <x:f>ROUND('Model'!B17-IF('Model'!B15&lt;=0,0,IF('Model'!B12=0,'Model'!B15*'Model'!B16,'Model'!B15*(1-(1+'Model'!B12)^(-'Model'!B16))/'Model'!B12)),6)</x:f>
        <x:v>0</x:v>
      </x:c>
      <x:c r="C16" s="235" t="n">
        <x:f>0</x:f>
        <x:v>0</x:v>
      </x:c>
      <x:c r="D16" s="235" t="n">
        <x:f>ROUND(B16-C16,6)</x:f>
        <x:v>0</x:v>
      </x:c>
      <x:c r="E16" s="235" t="n">
        <x:f>0.0001</x:f>
        <x:v>0.0001</x:v>
      </x:c>
      <x:c r="F16" s="230" t="str">
        <x:f>IF(ABS(ROUND(D16,6))&lt;=E16,"PASS","FAIL")</x:f>
        <x:v>PASS</x:v>
      </x:c>
      <x:c r="G16" s="214" t="str">
        <x:v>Model: required retirement balance</x:v>
      </x:c>
      <x:c r="H16" s="214"/>
    </x:row>
    <x:row r="17" ht="26" customHeight="1">
      <x:c r="A17" s="214" t="str">
        <x:v>Ending drawdown balance traces</x:v>
      </x:c>
      <x:c r="B17" s="235" t="n">
        <x:f>ROUND('Model'!B20-MAX(0,IF('Model'!B12=0,'Model'!B14-'Model'!B15*'Model'!B16,'Model'!B14*(1+'Model'!B12)^'Model'!B16-'Model'!B15*((1+'Model'!B12)^'Model'!B16-1)/'Model'!B12)),6)</x:f>
        <x:v>0</x:v>
      </x:c>
      <x:c r="C17" s="235" t="n">
        <x:f>0</x:f>
        <x:v>0</x:v>
      </x:c>
      <x:c r="D17" s="235" t="n">
        <x:f>ROUND(B17-C17,6)</x:f>
        <x:v>0</x:v>
      </x:c>
      <x:c r="E17" s="235" t="n">
        <x:f>0.0001</x:f>
        <x:v>0.0001</x:v>
      </x:c>
      <x:c r="F17" s="230" t="str">
        <x:f>IF(ABS(ROUND(D17,6))&lt;=E17,"PASS","FAIL")</x:f>
        <x:v>PASS</x:v>
      </x:c>
      <x:c r="G17" s="214" t="str">
        <x:v>Model: retirement drawdown</x:v>
      </x:c>
      <x:c r="H17" s="214"/>
    </x:row>
    <x:row r="18" ht="26" customHeight="1">
      <x:c r="A18" s="214" t="str">
        <x:v>Milestone path ties to key plan balances</x:v>
      </x:c>
      <x:c r="B18" s="235" t="n">
        <x:f>ROUND(SUM(ABS('Model'!A25-'Inputs'!$B$10),ABS('Model'!A28-'Inputs'!$B$11),ABS('Model'!A31-'Inputs'!$B$12),ABS('Model'!G25-'Inputs'!$B$13),ABS('Model'!G28-'Model'!B14),ABS('Model'!G31-IF('Inputs'!$B$12='Inputs'!$B$11,'Model'!B14,'Model'!B20))),6)</x:f>
        <x:v>0</x:v>
      </x:c>
      <x:c r="C18" s="235" t="n">
        <x:f>0</x:f>
        <x:v>0</x:v>
      </x:c>
      <x:c r="D18" s="235" t="n">
        <x:f>ROUND(B18-C18,6)</x:f>
        <x:v>0</x:v>
      </x:c>
      <x:c r="E18" s="235" t="n">
        <x:f>0.0001</x:f>
        <x:v>0.0001</x:v>
      </x:c>
      <x:c r="F18" s="230" t="str">
        <x:f>IF(ABS(ROUND(D18,6))&lt;=E18,"PASS","FAIL")</x:f>
        <x:v>PASS</x:v>
      </x:c>
      <x:c r="G18" s="214" t="str">
        <x:v>Model: milestone path</x:v>
      </x:c>
      <x:c r="H18" s="214"/>
    </x:row>
    <x:row r="19" ht="20" customHeight="1">
      <x:c r="A19" s="242" t="str">
        <x:v>A warning business outcome can still pass these controls; review Model and Results before making a decision.</x:v>
      </x:c>
      <x:c r="B19" s="243"/>
      <x:c r="C19" s="243"/>
      <x:c r="D19" s="243"/>
      <x:c r="E19" s="243"/>
      <x:c r="F19" s="243"/>
      <x:c r="G19" s="243"/>
      <x:c r="H19" s="244"/>
    </x:row>
    <x:row r="20" ht="20" customHeight="1">
      <x:c r="A20" s="57" t="str">
        <x:v>Retirement Scenario Planner · 10 / 10 controls should show PASS · v1.4.0</x:v>
      </x:c>
      <x:c r="B20" s="57"/>
      <x:c r="C20" s="57"/>
      <x:c r="D20" s="57"/>
      <x:c r="E20" s="57"/>
      <x:c r="F20" s="57"/>
      <x:c r="G20" s="57"/>
      <x:c r="H20" s="57"/>
    </x:row>
  </x:sheetData>
  <x:mergeCells>
    <x:mergeCell ref="A1:H2"/>
    <x:mergeCell ref="A3:H3"/>
    <x:mergeCell ref="B4:H4"/>
    <x:mergeCell ref="A5:B5"/>
    <x:mergeCell ref="C5:H5"/>
    <x:mergeCell ref="A7:H7"/>
    <x:mergeCell ref="G8:H8"/>
    <x:mergeCell ref="G9:H9"/>
    <x:mergeCell ref="G10:H10"/>
    <x:mergeCell ref="G11:H11"/>
    <x:mergeCell ref="G12:H12"/>
    <x:mergeCell ref="G13:H13"/>
    <x:mergeCell ref="G14:H14"/>
    <x:mergeCell ref="G15:H15"/>
    <x:mergeCell ref="G16:H16"/>
    <x:mergeCell ref="G17:H17"/>
    <x:mergeCell ref="G18:H18"/>
    <x:mergeCell ref="A19:H19"/>
    <x:mergeCell ref="A20:H20"/>
  </x:mergeCells>
  <x:conditionalFormatting sqref="C5:H5">
    <x:cfRule type="containsText" dxfId="2" priority="1" operator="containsText" text="FAIL"/>
    <x:cfRule type="containsText" dxfId="3" priority="2" operator="containsText" text="PASS"/>
  </x:conditionalFormatting>
  <x:conditionalFormatting sqref="F9:F9">
    <x:cfRule type="containsText" dxfId="4" priority="3" operator="containsText" text="FAIL"/>
    <x:cfRule type="containsText" dxfId="5" priority="4" operator="containsText" text="PASS"/>
  </x:conditionalFormatting>
  <x:conditionalFormatting sqref="F10:F10">
    <x:cfRule type="containsText" dxfId="6" priority="5" operator="containsText" text="FAIL"/>
    <x:cfRule type="containsText" dxfId="7" priority="6" operator="containsText" text="PASS"/>
  </x:conditionalFormatting>
  <x:conditionalFormatting sqref="F11:F11">
    <x:cfRule type="containsText" dxfId="8" priority="7" operator="containsText" text="FAIL"/>
    <x:cfRule type="containsText" dxfId="9" priority="8" operator="containsText" text="PASS"/>
  </x:conditionalFormatting>
  <x:conditionalFormatting sqref="F12:F12">
    <x:cfRule type="containsText" dxfId="10" priority="9" operator="containsText" text="FAIL"/>
    <x:cfRule type="containsText" dxfId="11" priority="10" operator="containsText" text="PASS"/>
  </x:conditionalFormatting>
  <x:conditionalFormatting sqref="F13:F13">
    <x:cfRule type="containsText" dxfId="12" priority="11" operator="containsText" text="FAIL"/>
    <x:cfRule type="containsText" dxfId="13" priority="12" operator="containsText" text="PASS"/>
  </x:conditionalFormatting>
  <x:conditionalFormatting sqref="F14:F14">
    <x:cfRule type="containsText" dxfId="14" priority="13" operator="containsText" text="FAIL"/>
    <x:cfRule type="containsText" dxfId="15" priority="14" operator="containsText" text="PASS"/>
  </x:conditionalFormatting>
  <x:conditionalFormatting sqref="F15:F15">
    <x:cfRule type="containsText" dxfId="16" priority="15" operator="containsText" text="FAIL"/>
    <x:cfRule type="containsText" dxfId="17" priority="16" operator="containsText" text="PASS"/>
  </x:conditionalFormatting>
  <x:conditionalFormatting sqref="F16:F16">
    <x:cfRule type="containsText" dxfId="18" priority="17" operator="containsText" text="FAIL"/>
    <x:cfRule type="containsText" dxfId="19" priority="18" operator="containsText" text="PASS"/>
  </x:conditionalFormatting>
  <x:conditionalFormatting sqref="F17:F17">
    <x:cfRule type="containsText" dxfId="20" priority="19" operator="containsText" text="FAIL"/>
    <x:cfRule type="containsText" dxfId="21" priority="20" operator="containsText" text="PASS"/>
  </x:conditionalFormatting>
  <x:conditionalFormatting sqref="F18:F18">
    <x:cfRule type="containsText" dxfId="22" priority="21" operator="containsText" text="FAIL"/>
    <x:cfRule type="containsText" dxfId="23" priority="22" operator="containsText" text="PASS"/>
  </x:conditionalFormatting>
  <x:pageMargins left="0.7" right="0.7" top="0.75" bottom="0.75" header="0.3" footer="0.3"/>
</x:worksheet>
</file>