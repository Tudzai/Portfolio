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c1b5fab864f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8f70b7bec184d03"/>
    <x:sheet xmlns:r="http://schemas.openxmlformats.org/officeDocument/2006/relationships" name="Guide" sheetId="2" r:id="R3310a3b9603b4b46"/>
    <x:sheet xmlns:r="http://schemas.openxmlformats.org/officeDocument/2006/relationships" name="Assumptions" sheetId="3" r:id="Rb41b3bd31c7a452a"/>
    <x:sheet xmlns:r="http://schemas.openxmlformats.org/officeDocument/2006/relationships" name="Annual Inputs" sheetId="4" r:id="Rcfd708b5e4f94370"/>
    <x:sheet xmlns:r="http://schemas.openxmlformats.org/officeDocument/2006/relationships" name="Retirement Plan" sheetId="5" r:id="R705250c6f2b14a0b"/>
    <x:sheet xmlns:r="http://schemas.openxmlformats.org/officeDocument/2006/relationships" name="Sensitivity" sheetId="6" r:id="R3a17e8a165d3485b"/>
    <x:sheet xmlns:r="http://schemas.openxmlformats.org/officeDocument/2006/relationships" name="Summary" sheetId="7" r:id="R69a1eeb8072041ab"/>
    <x:sheet xmlns:r="http://schemas.openxmlformats.org/officeDocument/2006/relationships" name="Checks" sheetId="8" r:id="R3ef5260cecd14734"/>
    <x:sheet xmlns:r="http://schemas.openxmlformats.org/officeDocument/2006/relationships" name="Sources &amp; Version" sheetId="9" r:id="R7ad8a412717142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;(#,##0.0);-"/>
    <x:numFmt numFmtId="201" formatCode="0.0%;(0.0%);-"/>
    <x:numFmt numFmtId="202" formatCode="#,##0;(#,##0);-"/>
  </x:numFmts>
  <x:fonts count="36">
    <x:font>
      <x:sz val="11"/>
      <x:name val="Carlito"/>
    </x:font>
    <x:font>
      <x:b/>
      <x:sz val="20"/>
      <x:color rgb="FFFFFFFF"/>
      <x:name val="Aptos Display"/>
    </x:font>
    <x:font>
      <x:sz val="9"/>
      <x:color rgb="FFDCE6F2"/>
      <x:name val="Aptos"/>
    </x:font>
    <x:font>
      <x:b/>
      <x:sz val="10"/>
      <x:color rgb="FFFFFFFF"/>
      <x:name val="Aptos"/>
    </x:font>
    <x:font>
      <x:sz val="10"/>
      <x:color rgb="FF101827"/>
      <x:name val="Carlito"/>
    </x:font>
    <x:font>
      <x:b/>
      <x:sz val="11"/>
      <x:color rgb="FFFFFFFF"/>
      <x:name val="Carlito"/>
    </x:font>
    <x:font>
      <x:b/>
      <x:sz val="11"/>
      <x:color rgb="FF101827"/>
      <x:name val="Carlito"/>
    </x:font>
    <x:font>
      <x:sz val="9"/>
      <x:color rgb="FF5B687A"/>
      <x:name val="Carlito"/>
    </x:font>
    <x:font>
      <x:b/>
      <x:sz val="11"/>
      <x:color rgb="FF075CCF"/>
      <x:name val="Carlito"/>
    </x:font>
    <x:font>
      <x:sz val="9"/>
      <x:color rgb="FF8A5A00"/>
      <x:name val="Aptos"/>
    </x:font>
    <x:font>
      <x:b/>
      <x:sz val="9"/>
      <x:color rgb="FFFFFFFF"/>
      <x:name val="Aptos"/>
    </x:font>
    <x:font>
      <x:b/>
      <x:sz val="11"/>
      <x:color rgb="FF8A5A00"/>
      <x:name val="Carlito"/>
    </x:font>
    <x:font>
      <x:sz val="10"/>
      <x:color rgb="FF0000FF"/>
      <x:name val="Aptos"/>
    </x:font>
    <x:font>
      <x:sz val="10"/>
      <x:color rgb="FF000000"/>
      <x:name val="Aptos"/>
    </x:font>
    <x:font>
      <x:sz val="11"/>
      <x:color rgb="FF101827"/>
      <x:name val="Carlito"/>
    </x:font>
    <x:font>
      <x:sz val="11"/>
      <x:color rgb="FF101827"/>
      <x:name val="Carlito"/>
    </x:font>
    <x:font>
      <x:sz val="10"/>
      <x:color rgb="FF008000"/>
      <x:name val="Aptos"/>
    </x:font>
    <x:font>
      <x:b/>
      <x:sz val="9"/>
      <x:color rgb="FFFFFFFF"/>
      <x:name val="Carlito"/>
    </x:font>
    <x:font>
      <x:b/>
      <x:sz val="18"/>
      <x:color rgb="FF075CCF"/>
      <x:name val="Aptos"/>
    </x:font>
    <x:font>
      <x:b/>
      <x:sz val="18"/>
      <x:color rgb="FF0F9F8F"/>
      <x:name val="Aptos"/>
    </x:font>
    <x:font>
      <x:b/>
      <x:sz val="8"/>
      <x:color rgb="FFFFFFFF"/>
      <x:name val="Carlito"/>
    </x:font>
    <x:font>
      <x:b/>
      <x:sz val="14"/>
      <x:color rgb="FF0F9F8F"/>
      <x:name val="Carlito"/>
    </x:font>
    <x:font>
      <x:b/>
      <x:sz val="12"/>
      <x:color rgb="FF8A5A00"/>
      <x:name val="Carlito"/>
    </x:font>
    <x:font>
      <x:sz val="11"/>
      <x:color rgb="FF008000"/>
      <x:name val="Carlito"/>
    </x:font>
    <x:font>
      <x:b/>
      <x:sz val="9"/>
      <x:color rgb="FF075CCF"/>
      <x:name val="Carlito"/>
    </x:font>
    <x:font>
      <x:b/>
      <x:sz val="16"/>
      <x:color rgb="FF0F9F8F"/>
      <x:name val="Carlito"/>
    </x:font>
    <x:font>
      <x:b/>
      <x:sz val="11"/>
      <x:color rgb="FF0F9F8F"/>
      <x:name val="Carlito"/>
    </x:font>
    <x:font>
      <x:b/>
      <x:sz val="11"/>
      <x:color rgb="FF5B687A"/>
      <x:name val="Carlito"/>
    </x:font>
    <x:font>
      <x:b/>
      <x:sz val="22"/>
      <x:color rgb="FF101827"/>
      <x:name val="Aptos Display"/>
    </x:font>
    <x:font>
      <x:b/>
      <x:sz val="20"/>
      <x:color rgb="FF0F9F8F"/>
      <x:name val="Carlito"/>
    </x:font>
    <x:font>
      <x:b/>
      <x:sz val="11"/>
      <x:color rgb="FF008000"/>
      <x:name val="Carlito"/>
    </x:font>
    <x:font>
      <x:b/>
      <x:sz val="11"/>
      <x:color rgb="FF075CCF"/>
      <x:name val="Aptos"/>
    </x:font>
    <x:font>
      <x:sz val="9"/>
      <x:color rgb="FF101827"/>
      <x:name val="Carlito"/>
    </x:font>
    <x:font>
      <x:b/>
      <x:sz val="9"/>
      <x:color rgb="FF0000FF"/>
      <x:name val="Carlito"/>
    </x:font>
    <x:font>
      <x:b/>
      <x:sz val="9"/>
      <x:color rgb="FF000000"/>
      <x:name val="Carlito"/>
    </x:font>
    <x:font>
      <x:b/>
      <x:sz val="9"/>
      <x:color rgb="FF008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7111F"/>
      </x:patternFill>
    </x:fill>
    <x:fill>
      <x:patternFill patternType="solid">
        <x:fgColor rgb="FF101827"/>
      </x:patternFill>
    </x:fill>
    <x:fill>
      <x:patternFill patternType="solid">
        <x:fgColor rgb="FF1479FF"/>
      </x:patternFill>
    </x:fill>
    <x:fill>
      <x:patternFill patternType="solid">
        <x:fgColor rgb="FFEEF5FF"/>
      </x:patternFill>
    </x:fill>
    <x:fill>
      <x:patternFill patternType="solid">
        <x:fgColor rgb="FFF7F9FC"/>
      </x:patternFill>
    </x:fill>
    <x:fill>
      <x:patternFill patternType="solid">
        <x:fgColor rgb="FFFFF4DB"/>
      </x:patternFill>
    </x:fill>
    <x:fill>
      <x:patternFill patternType="solid">
        <x:fgColor rgb="FFE5F6F3"/>
      </x:patternFill>
    </x:fill>
    <x:fill>
      <x:patternFill patternType="solid">
        <x:fgColor rgb="FFFFFFFF"/>
      </x:patternFill>
    </x:fill>
  </x:fills>
  <x:borders count="25">
    <x:border/>
    <x:border>
      <x:left style="thin">
        <x:color rgb="FFC88922"/>
      </x:left>
      <x:top style="thin">
        <x:color rgb="FFC88922"/>
      </x:top>
    </x:border>
    <x:border>
      <x:top style="thin">
        <x:color rgb="FFC88922"/>
      </x:top>
    </x:border>
    <x:border>
      <x:right style="thin">
        <x:color rgb="FFC88922"/>
      </x:right>
      <x:top style="thin">
        <x:color rgb="FFC88922"/>
      </x:top>
    </x:border>
    <x:border>
      <x:left style="thin">
        <x:color rgb="FFC88922"/>
      </x:left>
    </x:border>
    <x:border>
      <x:right style="thin">
        <x:color rgb="FFC88922"/>
      </x:right>
    </x:border>
    <x:border>
      <x:left style="thin">
        <x:color rgb="FFC88922"/>
      </x:left>
      <x:bottom style="thin">
        <x:color rgb="FFC88922"/>
      </x:bottom>
    </x:border>
    <x:border>
      <x:bottom style="thin">
        <x:color rgb="FFC88922"/>
      </x:bottom>
    </x:border>
    <x:border>
      <x:right style="thin">
        <x:color rgb="FFC88922"/>
      </x:right>
      <x:bottom style="thin">
        <x:color rgb="FFC88922"/>
      </x:bottom>
    </x:border>
    <x:border>
      <x:right style="thin">
        <x:color rgb="FFDBE4EF"/>
      </x:right>
    </x:border>
    <x:border>
      <x:left style="thin">
        <x:color rgb="FFDBE4EF"/>
      </x:left>
      <x:right style="thin">
        <x:color rgb="FFDBE4EF"/>
      </x:right>
    </x:border>
    <x:border>
      <x:left style="thin">
        <x:color rgb="FFDBE4EF"/>
      </x:left>
    </x:border>
    <x:border>
      <x:right style="thin">
        <x:color rgb="FFDBE4EF"/>
      </x:right>
      <x:bottom style="thin">
        <x:color rgb="FFDBE4EF"/>
      </x:bottom>
    </x:border>
    <x:border>
      <x:left style="thin">
        <x:color rgb="FFDBE4EF"/>
      </x:left>
      <x:right style="thin">
        <x:color rgb="FFDBE4EF"/>
      </x:right>
      <x:bottom style="thin">
        <x:color rgb="FFDBE4EF"/>
      </x:bottom>
    </x:border>
    <x:border>
      <x:left style="thin">
        <x:color rgb="FFDBE4EF"/>
      </x:left>
      <x:bottom style="thin">
        <x:color rgb="FFDBE4EF"/>
      </x:bottom>
    </x:border>
    <x:border>
      <x:right style="thin">
        <x:color rgb="FFDBE4EF"/>
      </x:right>
      <x:top style="thin">
        <x:color rgb="FFDBE4EF"/>
      </x:top>
      <x:bottom style="thin">
        <x:color rgb="FFDBE4EF"/>
      </x:bottom>
    </x:border>
    <x:border>
      <x:left style="thin">
        <x:color rgb="FFDBE4EF"/>
      </x:left>
      <x:right style="thin">
        <x:color rgb="FFDBE4EF"/>
      </x:right>
      <x:top style="thin">
        <x:color rgb="FFDBE4EF"/>
      </x:top>
      <x:bottom style="thin">
        <x:color rgb="FFDBE4EF"/>
      </x:bottom>
    </x:border>
    <x:border>
      <x:left style="thin">
        <x:color rgb="FFDBE4EF"/>
      </x:left>
      <x:top style="thin">
        <x:color rgb="FFDBE4EF"/>
      </x:top>
      <x:bottom style="thin">
        <x:color rgb="FFDBE4EF"/>
      </x:bottom>
    </x:border>
    <x:border>
      <x:right style="thin">
        <x:color rgb="FFDBE4EF"/>
      </x:right>
      <x:top style="thin">
        <x:color rgb="FFDBE4EF"/>
      </x:top>
    </x:border>
    <x:border>
      <x:left style="thin">
        <x:color rgb="FFDBE4EF"/>
      </x:left>
      <x:right style="thin">
        <x:color rgb="FFDBE4EF"/>
      </x:right>
      <x:top style="thin">
        <x:color rgb="FFDBE4EF"/>
      </x:top>
    </x:border>
    <x:border>
      <x:left style="thin">
        <x:color rgb="FFDBE4EF"/>
      </x:left>
      <x:top style="thin">
        <x:color rgb="FFDBE4EF"/>
      </x:top>
    </x:border>
    <x:border>
      <x:bottom style="thin">
        <x:color rgb="FFDBE4EF"/>
      </x:bottom>
    </x:border>
    <x:border>
      <x:top style="thin">
        <x:color rgb="FFDBE4EF"/>
      </x:top>
    </x:border>
    <x:border>
      <x:top style="thin">
        <x:color rgb="FF101827"/>
      </x:top>
    </x:border>
    <x:border>
      <x:top style="thin">
        <x:color rgb="FFDBE4EF"/>
      </x:top>
      <x:bottom style="thin">
        <x:color rgb="FFDBE4EF"/>
      </x:bottom>
    </x:border>
  </x:borders>
  <x:cellStyleXfs count="1">
    <x:xf numFmtId="0" fontId="0" fillId="0" borderId="0"/>
  </x:cellStyleXfs>
  <x:cellXfs count="2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2" xfId="0" applyNumberFormat="1" applyFont="1" applyFill="1" applyBorder="1"/>
    <x:xf numFmtId="0" fontId="9" fillId="7" borderId="3" xfId="0" applyNumberFormat="1" applyFont="1" applyFill="1" applyBorder="1"/>
    <x:xf numFmtId="0" fontId="9" fillId="7" borderId="4" xfId="0" applyNumberFormat="1" applyFont="1" applyFill="1" applyBorder="1"/>
    <x:xf numFmtId="0" fontId="9" fillId="7" borderId="5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2" xfId="0" applyNumberFormat="1" applyFont="1" applyFill="1" applyBorder="1" applyAlignment="1">
      <x:alignment wrapText="1"/>
    </x:xf>
    <x:xf numFmtId="0" fontId="9" fillId="7" borderId="3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9" fillId="7" borderId="5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center" wrapText="1"/>
    </x:xf>
    <x:xf numFmtId="0" fontId="9" fillId="7" borderId="2" xfId="0" applyNumberFormat="1" applyFont="1" applyFill="1" applyBorder="1" applyAlignment="1">
      <x:alignment vertical="center" wrapText="1"/>
    </x:xf>
    <x:xf numFmtId="0" fontId="9" fillId="7" borderId="3" xfId="0" applyNumberFormat="1" applyFont="1" applyFill="1" applyBorder="1" applyAlignment="1">
      <x:alignment vertical="center" wrapText="1"/>
    </x:xf>
    <x:xf numFmtId="0" fontId="9" fillId="7" borderId="4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6" xfId="0" applyNumberFormat="1" applyFont="1" applyFill="1" applyBorder="1" applyAlignment="1">
      <x:alignment vertical="center" wrapText="1"/>
    </x:xf>
    <x:xf numFmtId="0" fontId="9" fillId="7" borderId="7" xfId="0" applyNumberFormat="1" applyFont="1" applyFill="1" applyBorder="1" applyAlignment="1">
      <x:alignment vertical="center" wrapText="1"/>
    </x:xf>
    <x:xf numFmtId="0" fontId="9" fillId="7" borderId="8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center"/>
    </x:xf>
    <x:xf numFmtId="0" fontId="10" fillId="3" borderId="9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10" fillId="3" borderId="9" xfId="0" applyNumberFormat="1" applyFont="1" applyFill="1" applyBorder="1" applyAlignment="1">
      <x:alignment wrapText="1"/>
    </x:xf>
    <x:xf numFmtId="0" fontId="10" fillId="3" borderId="10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wrapText="1"/>
    </x:xf>
    <x:xf numFmtId="0" fontId="10" fillId="3" borderId="9" xfId="0" applyNumberFormat="1" applyFont="1" applyFill="1" applyBorder="1" applyAlignment="1">
      <x:alignment horizontal="center" wrapText="1"/>
    </x:xf>
    <x:xf numFmtId="0" fontId="10" fillId="3" borderId="10" xfId="0" applyNumberFormat="1" applyFont="1" applyFill="1" applyBorder="1" applyAlignment="1">
      <x:alignment horizontal="center" wrapText="1"/>
    </x:xf>
    <x:xf numFmtId="0" fontId="10" fillId="3" borderId="11" xfId="0" applyNumberFormat="1" applyFont="1" applyFill="1" applyBorder="1" applyAlignment="1">
      <x:alignment horizontal="center" wrapText="1"/>
    </x:xf>
    <x:xf numFmtId="0" fontId="10" fillId="3" borderId="9" xfId="0" applyNumberFormat="1" applyFont="1" applyFill="1" applyBorder="1" applyAlignment="1">
      <x:alignment horizontal="center" vertical="center" wrapText="1"/>
    </x:xf>
    <x:xf numFmtId="0" fontId="10" fillId="3" borderId="10" xfId="0" applyNumberFormat="1" applyFont="1" applyFill="1" applyBorder="1" applyAlignment="1">
      <x:alignment horizontal="center" vertical="center" wrapText="1"/>
    </x:xf>
    <x:xf numFmtId="0" fontId="10" fillId="3" borderId="11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/>
    <x:xf numFmtId="200" fontId="12" fillId="5" borderId="0" xfId="0" applyNumberFormat="1" applyFont="1" applyFill="1" applyBorder="1"/>
    <x:xf numFmtId="200" fontId="12" fillId="5" borderId="0" xfId="0" applyNumberFormat="1" applyFont="1" applyFill="1" applyBorder="1" applyAlignment="1">
      <x:alignment horizontal="right"/>
    </x:xf>
    <x:xf numFmtId="0" fontId="13" fillId="0" borderId="0" xfId="0" applyNumberFormat="1" applyFont="1" applyFill="1" applyBorder="1"/>
    <x:xf numFmtId="200" fontId="13" fillId="0" borderId="0" xfId="0" applyNumberFormat="1" applyFont="1" applyFill="1" applyBorder="1"/>
    <x:xf numFmtId="200" fontId="13" fillId="0" borderId="0" xfId="0" applyNumberFormat="1" applyFont="1" applyFill="1" applyBorder="1" applyAlignment="1">
      <x:alignment horizontal="right"/>
    </x:xf>
    <x:xf numFmtId="201" fontId="12" fillId="5" borderId="0" xfId="0" applyNumberFormat="1" applyFont="1" applyFill="1" applyBorder="1"/>
    <x:xf numFmtId="201" fontId="12" fillId="5" borderId="0" xfId="0" applyNumberFormat="1" applyFont="1" applyFill="1" applyBorder="1" applyAlignment="1">
      <x:alignment horizontal="right"/>
    </x:xf>
    <x:xf numFmtId="201" fontId="13" fillId="0" borderId="0" xfId="0" applyNumberFormat="1" applyFont="1" applyFill="1" applyBorder="1"/>
    <x:xf numFmtId="201" fontId="13" fillId="0" borderId="0" xfId="0" applyNumberFormat="1" applyFont="1" applyFill="1" applyBorder="1" applyAlignment="1">
      <x:alignment horizontal="right"/>
    </x:xf>
    <x:xf numFmtId="202" fontId="12" fillId="5" borderId="0" xfId="0" applyNumberFormat="1" applyFont="1" applyFill="1" applyBorder="1"/>
    <x:xf numFmtId="202" fontId="12" fillId="5" borderId="0" xfId="0" applyNumberFormat="1" applyFont="1" applyFill="1" applyBorder="1" applyAlignment="1">
      <x:alignment horizontal="right"/>
    </x:xf>
    <x:xf numFmtId="202" fontId="13" fillId="0" borderId="0" xfId="0" applyNumberFormat="1" applyFont="1" applyFill="1" applyBorder="1"/>
    <x:xf numFmtId="202" fontId="13" fillId="0" borderId="0" xfId="0" applyNumberFormat="1" applyFont="1" applyFill="1" applyBorder="1" applyAlignment="1">
      <x:alignment horizontal="right"/>
    </x:xf>
    <x:xf numFmtId="0" fontId="14" fillId="0" borderId="0" xfId="0" applyNumberFormat="1" applyFont="1" applyFill="1" applyBorder="1"/>
    <x:xf numFmtId="0" fontId="14" fillId="0" borderId="12" xfId="0" applyNumberFormat="1" applyFont="1" applyFill="1" applyBorder="1"/>
    <x:xf numFmtId="0" fontId="14" fillId="0" borderId="13" xfId="0" applyNumberFormat="1" applyFont="1" applyFill="1" applyBorder="1"/>
    <x:xf numFmtId="200" fontId="12" fillId="5" borderId="13" xfId="0" applyNumberFormat="1" applyFont="1" applyFill="1" applyBorder="1" applyAlignment="1">
      <x:alignment horizontal="right"/>
    </x:xf>
    <x:xf numFmtId="200" fontId="13" fillId="0" borderId="13" xfId="0" applyNumberFormat="1" applyFont="1" applyFill="1" applyBorder="1" applyAlignment="1">
      <x:alignment horizontal="right"/>
    </x:xf>
    <x:xf numFmtId="0" fontId="7" fillId="0" borderId="14" xfId="0" applyNumberFormat="1" applyFont="1" applyFill="1" applyBorder="1" applyAlignment="1">
      <x:alignment wrapText="1"/>
    </x:xf>
    <x:xf numFmtId="0" fontId="14" fillId="0" borderId="15" xfId="0" applyNumberFormat="1" applyFont="1" applyFill="1" applyBorder="1"/>
    <x:xf numFmtId="0" fontId="14" fillId="0" borderId="16" xfId="0" applyNumberFormat="1" applyFont="1" applyFill="1" applyBorder="1"/>
    <x:xf numFmtId="201" fontId="12" fillId="5" borderId="16" xfId="0" applyNumberFormat="1" applyFont="1" applyFill="1" applyBorder="1" applyAlignment="1">
      <x:alignment horizontal="right"/>
    </x:xf>
    <x:xf numFmtId="201" fontId="13" fillId="0" borderId="16" xfId="0" applyNumberFormat="1" applyFont="1" applyFill="1" applyBorder="1" applyAlignment="1">
      <x:alignment horizontal="right"/>
    </x:xf>
    <x:xf numFmtId="0" fontId="7" fillId="0" borderId="17" xfId="0" applyNumberFormat="1" applyFont="1" applyFill="1" applyBorder="1" applyAlignment="1">
      <x:alignment wrapText="1"/>
    </x:xf>
    <x:xf numFmtId="202" fontId="12" fillId="5" borderId="16" xfId="0" applyNumberFormat="1" applyFont="1" applyFill="1" applyBorder="1" applyAlignment="1">
      <x:alignment horizontal="right"/>
    </x:xf>
    <x:xf numFmtId="202" fontId="13" fillId="0" borderId="16" xfId="0" applyNumberFormat="1" applyFont="1" applyFill="1" applyBorder="1" applyAlignment="1">
      <x:alignment horizontal="right"/>
    </x:xf>
    <x:xf numFmtId="0" fontId="14" fillId="0" borderId="18" xfId="0" applyNumberFormat="1" applyFont="1" applyFill="1" applyBorder="1"/>
    <x:xf numFmtId="0" fontId="14" fillId="0" borderId="19" xfId="0" applyNumberFormat="1" applyFont="1" applyFill="1" applyBorder="1"/>
    <x:xf numFmtId="200" fontId="12" fillId="5" borderId="19" xfId="0" applyNumberFormat="1" applyFont="1" applyFill="1" applyBorder="1" applyAlignment="1">
      <x:alignment horizontal="right"/>
    </x:xf>
    <x:xf numFmtId="200" fontId="13" fillId="0" borderId="19" xfId="0" applyNumberFormat="1" applyFont="1" applyFill="1" applyBorder="1" applyAlignment="1">
      <x:alignment horizontal="right"/>
    </x:xf>
    <x:xf numFmtId="0" fontId="7" fillId="0" borderId="2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5" fillId="0" borderId="21" xfId="0" applyNumberFormat="1" applyFont="1" applyFill="1" applyBorder="1"/>
    <x:xf numFmtId="200" fontId="12" fillId="5" borderId="21" xfId="0" applyNumberFormat="1" applyFont="1" applyFill="1" applyBorder="1" applyAlignment="1">
      <x:alignment horizontal="right"/>
    </x:xf>
    <x:xf numFmtId="0" fontId="15" fillId="0" borderId="22" xfId="0" applyNumberFormat="1" applyFont="1" applyFill="1" applyBorder="1"/>
    <x:xf numFmtId="200" fontId="12" fillId="5" borderId="22" xfId="0" applyNumberFormat="1" applyFont="1" applyFill="1" applyBorder="1" applyAlignment="1">
      <x:alignment horizontal="right"/>
    </x:xf>
    <x:xf numFmtId="0" fontId="16" fillId="0" borderId="0" xfId="0" applyNumberFormat="1" applyFont="1" applyFill="1" applyBorder="1"/>
    <x:xf numFmtId="200" fontId="16" fillId="0" borderId="0" xfId="0" applyNumberFormat="1" applyFont="1" applyFill="1" applyBorder="1"/>
    <x:xf numFmtId="200" fontId="16" fillId="0" borderId="0" xfId="0" applyNumberFormat="1" applyFont="1" applyFill="1" applyBorder="1" applyAlignment="1">
      <x:alignment horizontal="right"/>
    </x:xf>
    <x:xf numFmtId="0" fontId="1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23" xfId="0" applyNumberFormat="1" applyFont="1" applyFill="1" applyBorder="1" applyAlignment="1">
      <x:alignment wrapText="1"/>
    </x:xf>
    <x:xf numFmtId="200" fontId="13" fillId="0" borderId="23" xfId="0" applyNumberFormat="1" applyFont="1" applyFill="1" applyBorder="1" applyAlignment="1">
      <x:alignment horizontal="right"/>
    </x:xf>
    <x:xf numFmtId="0" fontId="6" fillId="8" borderId="23" xfId="0" applyNumberFormat="1" applyFont="1" applyFill="1" applyBorder="1" applyAlignment="1">
      <x:alignment wrapText="1"/>
    </x:xf>
    <x:xf numFmtId="200" fontId="13" fillId="8" borderId="23" xfId="0" applyNumberFormat="1" applyFont="1" applyFill="1" applyBorder="1" applyAlignment="1">
      <x:alignment horizontal="right"/>
    </x:xf>
    <x:xf numFmtId="202" fontId="16" fillId="0" borderId="0" xfId="0" applyNumberFormat="1" applyFont="1" applyFill="1" applyBorder="1"/>
    <x:xf numFmtId="202" fontId="16" fillId="0" borderId="0" xfId="0" applyNumberFormat="1" applyFont="1" applyFill="1" applyBorder="1" applyAlignment="1">
      <x:alignment horizontal="right"/>
    </x:xf>
    <x:xf numFmtId="0" fontId="15" fillId="0" borderId="21" xfId="0" applyNumberFormat="1" applyFont="1" applyFill="1" applyBorder="1" applyAlignment="1">
      <x:alignment wrapText="1"/>
    </x:xf>
    <x:xf numFmtId="200" fontId="16" fillId="0" borderId="21" xfId="0" applyNumberFormat="1" applyFont="1" applyFill="1" applyBorder="1" applyAlignment="1">
      <x:alignment horizontal="right"/>
    </x:xf>
    <x:xf numFmtId="0" fontId="15" fillId="0" borderId="24" xfId="0" applyNumberFormat="1" applyFont="1" applyFill="1" applyBorder="1" applyAlignment="1">
      <x:alignment wrapText="1"/>
    </x:xf>
    <x:xf numFmtId="200" fontId="16" fillId="0" borderId="24" xfId="0" applyNumberFormat="1" applyFont="1" applyFill="1" applyBorder="1" applyAlignment="1">
      <x:alignment horizontal="right"/>
    </x:xf>
    <x:xf numFmtId="0" fontId="6" fillId="8" borderId="24" xfId="0" applyNumberFormat="1" applyFont="1" applyFill="1" applyBorder="1" applyAlignment="1">
      <x:alignment wrapText="1"/>
    </x:xf>
    <x:xf numFmtId="200" fontId="13" fillId="8" borderId="24" xfId="0" applyNumberFormat="1" applyFont="1" applyFill="1" applyBorder="1" applyAlignment="1">
      <x:alignment horizontal="right"/>
    </x:xf>
    <x:xf numFmtId="200" fontId="13" fillId="0" borderId="24" xfId="0" applyNumberFormat="1" applyFont="1" applyFill="1" applyBorder="1" applyAlignment="1">
      <x:alignment horizontal="right"/>
    </x:xf>
    <x:xf numFmtId="202" fontId="16" fillId="0" borderId="24" xfId="0" applyNumberFormat="1" applyFont="1" applyFill="1" applyBorder="1" applyAlignment="1">
      <x:alignment horizontal="right"/>
    </x:xf>
    <x:xf numFmtId="0" fontId="15" fillId="0" borderId="22" xfId="0" applyNumberFormat="1" applyFont="1" applyFill="1" applyBorder="1" applyAlignment="1">
      <x:alignment wrapText="1"/>
    </x:xf>
    <x:xf numFmtId="200" fontId="13" fillId="0" borderId="22" xfId="0" applyNumberFormat="1" applyFont="1" applyFill="1" applyBorder="1" applyAlignment="1">
      <x:alignment horizontal="right"/>
    </x:xf>
    <x:xf numFmtId="0" fontId="5" fillId="3" borderId="0" xfId="0" applyNumberFormat="1" applyFont="1" applyFill="1" applyBorder="1" applyAlignment="1">
      <x:alignment horizontal="center"/>
    </x:xf>
    <x:xf numFmtId="200" fontId="16" fillId="6" borderId="0" xfId="0" applyNumberFormat="1" applyFont="1" applyFill="1" applyBorder="1" applyAlignment="1">
      <x:alignment horizontal="right"/>
    </x:xf>
    <x:xf numFmtId="200" fontId="16" fillId="6" borderId="16" xfId="0" applyNumberFormat="1" applyFont="1" applyFill="1" applyBorder="1" applyAlignment="1">
      <x:alignment horizontal="right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17" fillId="3" borderId="0" xfId="0" applyNumberFormat="1" applyFont="1" applyFill="1" applyBorder="1"/>
    <x:xf numFmtId="0" fontId="17" fillId="3" borderId="0" xfId="0" applyNumberFormat="1" applyFont="1" applyFill="1" applyBorder="1" applyAlignment="1">
      <x:alignment horizontal="center"/>
    </x:xf>
    <x:xf numFmtId="200" fontId="16" fillId="5" borderId="0" xfId="0" applyNumberFormat="1" applyFont="1" applyFill="1" applyBorder="1" applyAlignment="1">
      <x:alignment horizontal="right"/>
    </x:xf>
    <x:xf numFmtId="200" fontId="18" fillId="5" borderId="0" xfId="0" applyNumberFormat="1" applyFont="1" applyFill="1" applyBorder="1" applyAlignment="1">
      <x:alignment horizontal="right"/>
    </x:xf>
    <x:xf numFmtId="200" fontId="18" fillId="5" borderId="0" xfId="0" applyNumberFormat="1" applyFont="1" applyFill="1" applyBorder="1" applyAlignment="1">
      <x:alignment horizontal="center"/>
    </x:xf>
    <x:xf numFmtId="200" fontId="18" fillId="5" borderId="0" xfId="0" applyNumberFormat="1" applyFont="1" applyFill="1" applyBorder="1" applyAlignment="1">
      <x:alignment horizontal="center" vertical="center"/>
    </x:xf>
    <x:xf numFmtId="200" fontId="16" fillId="8" borderId="0" xfId="0" applyNumberFormat="1" applyFont="1" applyFill="1" applyBorder="1" applyAlignment="1">
      <x:alignment horizontal="right"/>
    </x:xf>
    <x:xf numFmtId="200" fontId="19" fillId="8" borderId="0" xfId="0" applyNumberFormat="1" applyFont="1" applyFill="1" applyBorder="1" applyAlignment="1">
      <x:alignment horizontal="right"/>
    </x:xf>
    <x:xf numFmtId="200" fontId="19" fillId="8" borderId="0" xfId="0" applyNumberFormat="1" applyFont="1" applyFill="1" applyBorder="1" applyAlignment="1">
      <x:alignment horizontal="center"/>
    </x:xf>
    <x:xf numFmtId="200" fontId="19" fillId="8" borderId="0" xfId="0" applyNumberFormat="1" applyFont="1" applyFill="1" applyBorder="1" applyAlignment="1">
      <x:alignment horizontal="center" vertical="center"/>
    </x:xf>
    <x:xf numFmtId="202" fontId="16" fillId="5" borderId="0" xfId="0" applyNumberFormat="1" applyFont="1" applyFill="1" applyBorder="1" applyAlignment="1">
      <x:alignment horizontal="right"/>
    </x:xf>
    <x:xf numFmtId="202" fontId="18" fillId="5" borderId="0" xfId="0" applyNumberFormat="1" applyFont="1" applyFill="1" applyBorder="1" applyAlignment="1">
      <x:alignment horizontal="right"/>
    </x:xf>
    <x:xf numFmtId="202" fontId="18" fillId="5" borderId="0" xfId="0" applyNumberFormat="1" applyFont="1" applyFill="1" applyBorder="1" applyAlignment="1">
      <x:alignment horizontal="center"/>
    </x:xf>
    <x:xf numFmtId="202" fontId="18" fillId="5" borderId="0" xfId="0" applyNumberFormat="1" applyFont="1" applyFill="1" applyBorder="1" applyAlignment="1">
      <x:alignment horizontal="center" vertical="center"/>
    </x:xf>
    <x:xf numFmtId="0" fontId="20" fillId="3" borderId="0" xfId="0" applyNumberFormat="1" applyFont="1" applyFill="1" applyBorder="1"/>
    <x:xf numFmtId="0" fontId="20" fillId="3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1" fillId="8" borderId="0" xfId="0" applyNumberFormat="1" applyFont="1" applyFill="1" applyBorder="1"/>
    <x:xf numFmtId="0" fontId="21" fillId="8" borderId="0" xfId="0" applyNumberFormat="1" applyFont="1" applyFill="1" applyBorder="1" applyAlignment="1">
      <x:alignment horizontal="center"/>
    </x:xf>
    <x:xf numFmtId="0" fontId="21" fillId="8" borderId="0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/>
    <x:xf numFmtId="0" fontId="22" fillId="7" borderId="0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23" fillId="0" borderId="0" xfId="0" applyNumberFormat="1" applyFont="1" applyFill="1" applyBorder="1"/>
    <x:xf numFmtId="0" fontId="24" fillId="6" borderId="0" xfId="0" applyNumberFormat="1" applyFont="1" applyFill="1" applyBorder="1"/>
    <x:xf numFmtId="0" fontId="24" fillId="6" borderId="0" xfId="0" applyNumberFormat="1" applyFont="1" applyFill="1" applyBorder="1" applyAlignment="1">
      <x:alignment wrapText="1"/>
    </x:xf>
    <x:xf numFmtId="0" fontId="25" fillId="8" borderId="0" xfId="0" applyNumberFormat="1" applyFont="1" applyFill="1" applyBorder="1"/>
    <x:xf numFmtId="0" fontId="25" fillId="8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23" fillId="0" borderId="0" xfId="0" applyNumberFormat="1" applyFont="1" applyFill="1" applyBorder="1"/>
    <x:xf numFmtId="0" fontId="23" fillId="8" borderId="0" xfId="0" applyNumberFormat="1" applyFont="1" applyFill="1" applyBorder="1"/>
    <x:xf numFmtId="0" fontId="26" fillId="8" borderId="0" xfId="0" applyNumberFormat="1" applyFont="1" applyFill="1" applyBorder="1"/>
    <x:xf numFmtId="0" fontId="26" fillId="8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23" fillId="0" borderId="0" xfId="0" applyNumberFormat="1" applyFont="1" applyFill="1" applyBorder="1"/>
    <x:xf numFmtId="0" fontId="0" fillId="0" borderId="21" xfId="0" applyNumberFormat="1" applyFont="1" applyFill="1" applyBorder="1"/>
    <x:xf numFmtId="200" fontId="23" fillId="0" borderId="21" xfId="0" applyNumberFormat="1" applyFont="1" applyFill="1" applyBorder="1"/>
    <x:xf numFmtId="0" fontId="26" fillId="8" borderId="21" xfId="0" applyNumberFormat="1" applyFont="1" applyFill="1" applyBorder="1" applyAlignment="1">
      <x:alignment horizontal="center"/>
    </x:xf>
    <x:xf numFmtId="0" fontId="7" fillId="0" borderId="21" xfId="0" applyNumberFormat="1" applyFont="1" applyFill="1" applyBorder="1" applyAlignment="1">
      <x:alignment wrapText="1"/>
    </x:xf>
    <x:xf numFmtId="0" fontId="0" fillId="0" borderId="24" xfId="0" applyNumberFormat="1" applyFont="1" applyFill="1" applyBorder="1"/>
    <x:xf numFmtId="202" fontId="23" fillId="0" borderId="24" xfId="0" applyNumberFormat="1" applyFont="1" applyFill="1" applyBorder="1"/>
    <x:xf numFmtId="0" fontId="26" fillId="8" borderId="24" xfId="0" applyNumberFormat="1" applyFont="1" applyFill="1" applyBorder="1" applyAlignment="1">
      <x:alignment horizontal="center"/>
    </x:xf>
    <x:xf numFmtId="0" fontId="7" fillId="0" borderId="24" xfId="0" applyNumberFormat="1" applyFont="1" applyFill="1" applyBorder="1" applyAlignment="1">
      <x:alignment wrapText="1"/>
    </x:xf>
    <x:xf numFmtId="200" fontId="23" fillId="0" borderId="24" xfId="0" applyNumberFormat="1" applyFont="1" applyFill="1" applyBorder="1"/>
    <x:xf numFmtId="0" fontId="0" fillId="0" borderId="22" xfId="0" applyNumberFormat="1" applyFont="1" applyFill="1" applyBorder="1"/>
    <x:xf numFmtId="200" fontId="23" fillId="0" borderId="22" xfId="0" applyNumberFormat="1" applyFont="1" applyFill="1" applyBorder="1"/>
    <x:xf numFmtId="0" fontId="26" fillId="8" borderId="22" xfId="0" applyNumberFormat="1" applyFont="1" applyFill="1" applyBorder="1" applyAlignment="1">
      <x:alignment horizontal="center"/>
    </x:xf>
    <x:xf numFmtId="0" fontId="7" fillId="0" borderId="22" xfId="0" applyNumberFormat="1" applyFont="1" applyFill="1" applyBorder="1" applyAlignment="1">
      <x:alignment wrapText="1"/>
    </x:xf>
    <x:xf numFmtId="0" fontId="27" fillId="0" borderId="12" xfId="0" applyNumberFormat="1" applyFont="1" applyFill="1" applyBorder="1" applyAlignment="1">
      <x:alignment wrapText="1"/>
    </x:xf>
    <x:xf numFmtId="0" fontId="27" fillId="0" borderId="18" xfId="0" applyNumberFormat="1" applyFont="1" applyFill="1" applyBorder="1" applyAlignment="1">
      <x:alignment wrapText="1"/>
    </x:xf>
    <x:xf numFmtId="0" fontId="27" fillId="0" borderId="13" xfId="0" applyNumberFormat="1" applyFont="1" applyFill="1" applyBorder="1" applyAlignment="1">
      <x:alignment wrapText="1"/>
    </x:xf>
    <x:xf numFmtId="0" fontId="27" fillId="0" borderId="19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8" fillId="5" borderId="0" xfId="0" applyNumberFormat="1" applyFont="1" applyFill="1" applyBorder="1"/>
    <x:xf numFmtId="0" fontId="28" fillId="5" borderId="0" xfId="0" applyNumberFormat="1" applyFont="1" applyFill="1" applyBorder="1" applyAlignment="1">
      <x:alignment vertical="center"/>
    </x:xf>
    <x:xf numFmtId="0" fontId="29" fillId="8" borderId="0" xfId="0" applyNumberFormat="1" applyFont="1" applyFill="1" applyBorder="1"/>
    <x:xf numFmtId="0" fontId="29" fillId="8" borderId="0" xfId="0" applyNumberFormat="1" applyFont="1" applyFill="1" applyBorder="1" applyAlignment="1">
      <x:alignment horizontal="center"/>
    </x:xf>
    <x:xf numFmtId="0" fontId="29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0" fontId="27" fillId="0" borderId="12" xfId="0" applyNumberFormat="1" applyFont="1" applyFill="1" applyBorder="1"/>
    <x:xf numFmtId="0" fontId="27" fillId="0" borderId="13" xfId="0" applyNumberFormat="1" applyFont="1" applyFill="1" applyBorder="1"/>
    <x:xf numFmtId="0" fontId="27" fillId="0" borderId="15" xfId="0" applyNumberFormat="1" applyFont="1" applyFill="1" applyBorder="1"/>
    <x:xf numFmtId="0" fontId="27" fillId="0" borderId="16" xfId="0" applyNumberFormat="1" applyFont="1" applyFill="1" applyBorder="1"/>
    <x:xf numFmtId="0" fontId="27" fillId="0" borderId="18" xfId="0" applyNumberFormat="1" applyFont="1" applyFill="1" applyBorder="1"/>
    <x:xf numFmtId="0" fontId="27" fillId="0" borderId="19" xfId="0" applyNumberFormat="1" applyFont="1" applyFill="1" applyBorder="1"/>
    <x:xf numFmtId="0" fontId="30" fillId="0" borderId="13" xfId="0" applyNumberFormat="1" applyFont="1" applyFill="1" applyBorder="1"/>
    <x:xf numFmtId="0" fontId="30" fillId="0" borderId="16" xfId="0" applyNumberFormat="1" applyFont="1" applyFill="1" applyBorder="1"/>
    <x:xf numFmtId="0" fontId="30" fillId="0" borderId="19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11" fillId="7" borderId="13" xfId="0" applyNumberFormat="1" applyFont="1" applyFill="1" applyBorder="1"/>
    <x:xf numFmtId="0" fontId="11" fillId="7" borderId="14" xfId="0" applyNumberFormat="1" applyFont="1" applyFill="1" applyBorder="1"/>
    <x:xf numFmtId="0" fontId="11" fillId="7" borderId="16" xfId="0" applyNumberFormat="1" applyFont="1" applyFill="1" applyBorder="1"/>
    <x:xf numFmtId="0" fontId="11" fillId="7" borderId="17" xfId="0" applyNumberFormat="1" applyFont="1" applyFill="1" applyBorder="1"/>
    <x:xf numFmtId="0" fontId="11" fillId="7" borderId="19" xfId="0" applyNumberFormat="1" applyFont="1" applyFill="1" applyBorder="1"/>
    <x:xf numFmtId="0" fontId="11" fillId="7" borderId="20" xfId="0" applyNumberFormat="1" applyFont="1" applyFill="1" applyBorder="1"/>
    <x:xf numFmtId="0" fontId="11" fillId="7" borderId="13" xfId="0" applyNumberFormat="1" applyFont="1" applyFill="1" applyBorder="1" applyAlignment="1">
      <x:alignment wrapText="1"/>
    </x:xf>
    <x:xf numFmtId="0" fontId="11" fillId="7" borderId="14" xfId="0" applyNumberFormat="1" applyFont="1" applyFill="1" applyBorder="1" applyAlignment="1">
      <x:alignment wrapText="1"/>
    </x:xf>
    <x:xf numFmtId="0" fontId="11" fillId="7" borderId="16" xfId="0" applyNumberFormat="1" applyFont="1" applyFill="1" applyBorder="1" applyAlignment="1">
      <x:alignment wrapText="1"/>
    </x:xf>
    <x:xf numFmtId="0" fontId="11" fillId="7" borderId="17" xfId="0" applyNumberFormat="1" applyFont="1" applyFill="1" applyBorder="1" applyAlignment="1">
      <x:alignment wrapText="1"/>
    </x:xf>
    <x:xf numFmtId="0" fontId="11" fillId="7" borderId="19" xfId="0" applyNumberFormat="1" applyFont="1" applyFill="1" applyBorder="1" applyAlignment="1">
      <x:alignment wrapText="1"/>
    </x:xf>
    <x:xf numFmtId="0" fontId="11" fillId="7" borderId="2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7" fillId="0" borderId="15" xfId="0" applyNumberFormat="1" applyFont="1" applyFill="1" applyBorder="1" applyAlignment="1">
      <x:alignment wrapText="1"/>
    </x:xf>
    <x:xf numFmtId="0" fontId="27" fillId="0" borderId="16" xfId="0" applyNumberFormat="1" applyFont="1" applyFill="1" applyBorder="1" applyAlignment="1">
      <x:alignment wrapText="1"/>
    </x:xf>
    <x:xf numFmtId="0" fontId="27" fillId="0" borderId="0" xfId="0" applyNumberFormat="1" applyFont="1" applyFill="1" applyBorder="1"/>
    <x:xf numFmtId="200" fontId="31" fillId="0" borderId="0" xfId="0" applyNumberFormat="1" applyFont="1" applyFill="1" applyBorder="1" applyAlignment="1">
      <x:alignment horizontal="right"/>
    </x:xf>
    <x:xf numFmtId="0" fontId="32" fillId="0" borderId="0" xfId="0" applyNumberFormat="1" applyFont="1" applyFill="1" applyBorder="1"/>
    <x:xf numFmtId="0" fontId="32" fillId="0" borderId="12" xfId="0" applyNumberFormat="1" applyFont="1" applyFill="1" applyBorder="1"/>
    <x:xf numFmtId="0" fontId="32" fillId="0" borderId="13" xfId="0" applyNumberFormat="1" applyFont="1" applyFill="1" applyBorder="1"/>
    <x:xf numFmtId="0" fontId="32" fillId="0" borderId="14" xfId="0" applyNumberFormat="1" applyFont="1" applyFill="1" applyBorder="1"/>
    <x:xf numFmtId="0" fontId="32" fillId="0" borderId="15" xfId="0" applyNumberFormat="1" applyFont="1" applyFill="1" applyBorder="1"/>
    <x:xf numFmtId="0" fontId="32" fillId="0" borderId="16" xfId="0" applyNumberFormat="1" applyFont="1" applyFill="1" applyBorder="1"/>
    <x:xf numFmtId="0" fontId="32" fillId="0" borderId="17" xfId="0" applyNumberFormat="1" applyFont="1" applyFill="1" applyBorder="1"/>
    <x:xf numFmtId="0" fontId="32" fillId="0" borderId="18" xfId="0" applyNumberFormat="1" applyFont="1" applyFill="1" applyBorder="1"/>
    <x:xf numFmtId="0" fontId="32" fillId="0" borderId="19" xfId="0" applyNumberFormat="1" applyFont="1" applyFill="1" applyBorder="1"/>
    <x:xf numFmtId="0" fontId="32" fillId="0" borderId="20" xfId="0" applyNumberFormat="1" applyFont="1" applyFill="1" applyBorder="1"/>
    <x:xf numFmtId="0" fontId="32" fillId="0" borderId="12" xfId="0" applyNumberFormat="1" applyFont="1" applyFill="1" applyBorder="1" applyAlignment="1">
      <x:alignment wrapText="1"/>
    </x:xf>
    <x:xf numFmtId="0" fontId="32" fillId="0" borderId="13" xfId="0" applyNumberFormat="1" applyFont="1" applyFill="1" applyBorder="1" applyAlignment="1">
      <x:alignment wrapText="1"/>
    </x:xf>
    <x:xf numFmtId="0" fontId="32" fillId="0" borderId="14" xfId="0" applyNumberFormat="1" applyFont="1" applyFill="1" applyBorder="1" applyAlignment="1">
      <x:alignment wrapText="1"/>
    </x:xf>
    <x:xf numFmtId="0" fontId="32" fillId="0" borderId="15" xfId="0" applyNumberFormat="1" applyFont="1" applyFill="1" applyBorder="1" applyAlignment="1">
      <x:alignment wrapText="1"/>
    </x:xf>
    <x:xf numFmtId="0" fontId="32" fillId="0" borderId="16" xfId="0" applyNumberFormat="1" applyFont="1" applyFill="1" applyBorder="1" applyAlignment="1">
      <x:alignment wrapText="1"/>
    </x:xf>
    <x:xf numFmtId="0" fontId="32" fillId="0" borderId="17" xfId="0" applyNumberFormat="1" applyFont="1" applyFill="1" applyBorder="1" applyAlignment="1">
      <x:alignment wrapText="1"/>
    </x:xf>
    <x:xf numFmtId="0" fontId="32" fillId="0" borderId="18" xfId="0" applyNumberFormat="1" applyFont="1" applyFill="1" applyBorder="1" applyAlignment="1">
      <x:alignment wrapText="1"/>
    </x:xf>
    <x:xf numFmtId="0" fontId="32" fillId="0" borderId="19" xfId="0" applyNumberFormat="1" applyFont="1" applyFill="1" applyBorder="1" applyAlignment="1">
      <x:alignment wrapText="1"/>
    </x:xf>
    <x:xf numFmtId="0" fontId="32" fillId="0" borderId="20" xfId="0" applyNumberFormat="1" applyFont="1" applyFill="1" applyBorder="1" applyAlignment="1">
      <x:alignment wrapText="1"/>
    </x:xf>
    <x:xf numFmtId="0" fontId="33" fillId="0" borderId="12" xfId="0" applyNumberFormat="1" applyFont="1" applyFill="1" applyBorder="1" applyAlignment="1">
      <x:alignment wrapText="1"/>
    </x:xf>
    <x:xf numFmtId="0" fontId="34" fillId="0" borderId="13" xfId="0" applyNumberFormat="1" applyFont="1" applyFill="1" applyBorder="1" applyAlignment="1">
      <x:alignment wrapText="1"/>
    </x:xf>
    <x:xf numFmtId="0" fontId="35" fillId="0" borderId="13" xfId="0" applyNumberFormat="1" applyFont="1" applyFill="1" applyBorder="1" applyAlignment="1">
      <x:alignment wrapText="1"/>
    </x:xf>
    <x:xf numFmtId="0" fontId="32" fillId="7" borderId="13" xfId="0" applyNumberFormat="1" applyFont="1" applyFill="1" applyBorder="1" applyAlignment="1">
      <x:alignment wrapText="1"/>
    </x:xf>
    <x:xf numFmtId="0" fontId="32" fillId="8" borderId="13" xfId="0" applyNumberFormat="1" applyFont="1" applyFill="1" applyBorder="1" applyAlignment="1">
      <x:alignment wrapText="1"/>
    </x:xf>
    <x:xf numFmtId="0" fontId="32" fillId="8" borderId="14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F9F8F"/>
      </x:font>
      <x:fill>
        <x:patternFill patternType="solid">
          <x:bgColor rgb="FFE5F6F3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ea8851fcbe4ec9" /><Relationship Type="http://schemas.openxmlformats.org/officeDocument/2006/relationships/theme" Target="/xl/theme/theme1.xml" Id="R1de888b988004f30" /><Relationship Type="http://schemas.openxmlformats.org/officeDocument/2006/relationships/sharedStrings" Target="/xl/sharedStrings.xml" Id="Rd25f7b1e0f754df6" /><Relationship Type="http://schemas.openxmlformats.org/officeDocument/2006/relationships/worksheet" Target="/xl/worksheets/sheet1.xml" Id="R18f70b7bec184d03" /><Relationship Type="http://schemas.openxmlformats.org/officeDocument/2006/relationships/worksheet" Target="/xl/worksheets/sheet2.xml" Id="R3310a3b9603b4b46" /><Relationship Type="http://schemas.openxmlformats.org/officeDocument/2006/relationships/worksheet" Target="/xl/worksheets/sheet3.xml" Id="Rb41b3bd31c7a452a" /><Relationship Type="http://schemas.openxmlformats.org/officeDocument/2006/relationships/worksheet" Target="/xl/worksheets/sheet4.xml" Id="Rcfd708b5e4f94370" /><Relationship Type="http://schemas.openxmlformats.org/officeDocument/2006/relationships/worksheet" Target="/xl/worksheets/sheet5.xml" Id="R705250c6f2b14a0b" /><Relationship Type="http://schemas.openxmlformats.org/officeDocument/2006/relationships/worksheet" Target="/xl/worksheets/sheet6.xml" Id="R3a17e8a165d3485b" /><Relationship Type="http://schemas.openxmlformats.org/officeDocument/2006/relationships/worksheet" Target="/xl/worksheets/sheet7.xml" Id="R69a1eeb8072041ab" /><Relationship Type="http://schemas.openxmlformats.org/officeDocument/2006/relationships/worksheet" Target="/xl/worksheets/sheet8.xml" Id="R3ef5260cecd14734" /><Relationship Type="http://schemas.openxmlformats.org/officeDocument/2006/relationships/worksheet" Target="/xl/worksheets/sheet9.xml" Id="R7ad8a412717142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57564985cd42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Nominal and real retirement balance</a:t>
            </a:r>
          </a:p>
        </c:rich>
      </c:tx>
    </c:title>
    <c:plotArea>
      <c:lineChart>
        <c:grouping val="standard"/>
        <c:ser>
          <c:idx val="0"/>
          <c:order val="0"/>
          <c:tx>
            <c:v>Closing balance</c:v>
          </c:tx>
          <c:marker>
            <c:symbol val="none"/>
          </c:marker>
          <c:cat>
            <c:strRef>
              <c:f>'Summary'!$A$16:$A$27</c:f>
              <c:strCache>
                <c:ptCount val="0"/>
              </c:strCache>
            </c:strRef>
          </c:cat>
          <c:val>
            <c:numRef>
              <c:f>'Summary'!$B$16:$B$27</c:f>
              <c:numCache>
                <c:formatCode>#,##0.0;(#,##0.0);-</c:formatCode>
                <c:ptCount val="0"/>
              </c:numCache>
            </c:numRef>
          </c:val>
        </c:ser>
        <c:ser>
          <c:idx val="1"/>
          <c:order val="1"/>
          <c:tx>
            <c:v>Balance in today's money</c:v>
          </c:tx>
          <c:marker>
            <c:symbol val="none"/>
          </c:marker>
          <c:cat>
            <c:strRef>
              <c:f>'Summary'!$A$16:$A$27</c:f>
              <c:strCache>
                <c:ptCount val="0"/>
              </c:strCache>
            </c:strRef>
          </c:cat>
          <c:val>
            <c:numRef>
              <c:f>'Summary'!$C$16:$C$27</c:f>
              <c:numCache>
                <c:formatCode>#,##0.0;(#,##0.0);-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-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57564985cd424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b042d0a0a8e04b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TDAT FINANCIAL MODELS</x:v>
      </x:c>
      <x:c r="B1" s="3" t="str">
        <x:v>TDAT FINANCIAL MODELS</x:v>
      </x:c>
      <x:c r="C1" s="3" t="str">
        <x:v>TDAT FINANCIAL MODELS</x:v>
      </x:c>
      <x:c r="D1" s="3" t="str">
        <x:v>TDAT FINANCIAL MODELS</x:v>
      </x:c>
      <x:c r="E1" s="3" t="str">
        <x:v>TDAT FINANCIAL MODELS</x:v>
      </x:c>
      <x:c r="F1" s="3" t="str">
        <x:v>TDAT FINANCIAL MODELS</x:v>
      </x:c>
      <x:c r="G1" s="3" t="str">
        <x:v>TDAT FINANCIAL MODELS</x:v>
      </x:c>
      <x:c r="H1" s="3" t="str">
        <x:v>TDAT FINANCIAL MODELS</x:v>
      </x:c>
      <x:c r="I1" s="3" t="str">
        <x:v>TDAT FINANCIAL MODELS</x:v>
      </x:c>
      <x:c r="J1" s="3" t="str">
        <x:v>TDAT FINANCIAL MODELS</x:v>
      </x:c>
    </x:row>
    <x:row r="2" ht="24" customHeight="1">
      <x:c r="A2" s="6" t="str">
        <x:v>TDAT-FM-PER-002  |  Built to flex. Built to tie. Built to trust.</x:v>
      </x:c>
      <x:c r="B2" s="6" t="str">
        <x:v>TDAT-FM-PER-002  |  Built to flex. Built to tie. Built to trust.</x:v>
      </x:c>
      <x:c r="C2" s="6" t="str">
        <x:v>TDAT-FM-PER-002  |  Built to flex. Built to tie. Built to trust.</x:v>
      </x:c>
      <x:c r="D2" s="6" t="str">
        <x:v>TDAT-FM-PER-002  |  Built to flex. Built to tie. Built to trust.</x:v>
      </x:c>
      <x:c r="E2" s="6" t="str">
        <x:v>TDAT-FM-PER-002  |  Built to flex. Built to tie. Built to trust.</x:v>
      </x:c>
      <x:c r="F2" s="6" t="str">
        <x:v>TDAT-FM-PER-002  |  Built to flex. Built to tie. Built to trust.</x:v>
      </x:c>
      <x:c r="G2" s="6" t="str">
        <x:v>TDAT-FM-PER-002  |  Built to flex. Built to tie. Built to trust.</x:v>
      </x:c>
      <x:c r="H2" s="6" t="str">
        <x:v>TDAT-FM-PER-002  |  Built to flex. Built to tie. Built to trust.</x:v>
      </x:c>
      <x:c r="I2" s="6" t="str">
        <x:v>TDAT-FM-PER-002  |  Built to flex. Built to tie. Built to trust.</x:v>
      </x:c>
      <x:c r="J2" s="6" t="str">
        <x:v>TDAT-FM-PER-002  |  Built to flex. Built to tie. Built to trust.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209" t="str">
        <x:v>Retirement Scenario Planner</x:v>
      </x:c>
      <x:c r="B5" s="209" t="str">
        <x:v>Retirement Scenario Planner</x:v>
      </x:c>
      <x:c r="C5" s="209" t="str">
        <x:v>Retirement Scenario Planner</x:v>
      </x:c>
      <x:c r="D5" s="209" t="str">
        <x:v>Retirement Scenario Planner</x:v>
      </x:c>
      <x:c r="E5" s="209" t="str">
        <x:v>Retirement Scenario Planner</x:v>
      </x:c>
      <x:c r="F5" s="209" t="str">
        <x:v>Retirement Scenario Planner</x:v>
      </x:c>
      <x:c r="G5" s="127" t="str">
        <x:v>CALCULATION INTEGRITY</x:v>
      </x:c>
      <x:c r="H5" s="127" t="str">
        <x:v>CALCULATION INTEGRITY</x:v>
      </x:c>
      <x:c r="I5" s="127" t="str">
        <x:v>CALCULATION INTEGRITY</x:v>
      </x:c>
      <x:c r="J5" s="127" t="str">
        <x:v>CALCULATION INTEGRITY</x:v>
      </x:c>
    </x:row>
    <x:row r="6">
      <x:c r="A6" s="209" t="str">
        <x:v>Retirement Scenario Planner</x:v>
      </x:c>
      <x:c r="B6" s="209" t="str">
        <x:v>Retirement Scenario Planner</x:v>
      </x:c>
      <x:c r="C6" s="209" t="str">
        <x:v>Retirement Scenario Planner</x:v>
      </x:c>
      <x:c r="D6" s="209" t="str">
        <x:v>Retirement Scenario Planner</x:v>
      </x:c>
      <x:c r="E6" s="209" t="str">
        <x:v>Retirement Scenario Planner</x:v>
      </x:c>
      <x:c r="F6" s="209" t="str">
        <x:v>Retirement Scenario Planner</x:v>
      </x:c>
      <x:c r="G6" s="212" t="str">
        <x:f>'Checks'!$B$5</x:f>
        <x:v>PASS</x:v>
      </x:c>
      <x:c r="H6" s="212"/>
      <x:c r="I6" s="212"/>
      <x:c r="J6" s="212"/>
    </x:row>
    <x:row r="7">
      <x:c r="A7" s="209" t="str">
        <x:v>Retirement Scenario Planner</x:v>
      </x:c>
      <x:c r="B7" s="209" t="str">
        <x:v>Retirement Scenario Planner</x:v>
      </x:c>
      <x:c r="C7" s="209" t="str">
        <x:v>Retirement Scenario Planner</x:v>
      </x:c>
      <x:c r="D7" s="209" t="str">
        <x:v>Retirement Scenario Planner</x:v>
      </x:c>
      <x:c r="E7" s="209" t="str">
        <x:v>Retirement Scenario Planner</x:v>
      </x:c>
      <x:c r="F7" s="209" t="str">
        <x:v>Retirement Scenario Planner</x:v>
      </x:c>
      <x:c r="G7" s="212"/>
      <x:c r="H7" s="212"/>
      <x:c r="I7" s="212"/>
      <x:c r="J7" s="212"/>
    </x:row>
    <x:row r="9" ht="22" customHeight="1">
      <x:c r="A9" s="9" t="str">
        <x:v>DECISION QUESTION</x:v>
      </x:c>
      <x:c r="B9" s="9" t="str">
        <x:v>DECISION QUESTION</x:v>
      </x:c>
      <x:c r="C9" s="9" t="str">
        <x:v>DECISION QUESTION</x:v>
      </x:c>
      <x:c r="D9" s="9" t="str">
        <x:v>DECISION QUESTION</x:v>
      </x:c>
      <x:c r="E9" s="9" t="str">
        <x:v>DECISION QUESTION</x:v>
      </x:c>
      <x:c r="F9" s="9" t="str">
        <x:v>DECISION QUESTION</x:v>
      </x:c>
      <x:c r="G9" s="9" t="str">
        <x:v>DECISION QUESTION</x:v>
      </x:c>
      <x:c r="H9" s="9" t="str">
        <x:v>DECISION QUESTION</x:v>
      </x:c>
      <x:c r="I9" s="9" t="str">
        <x:v>DECISION QUESTION</x:v>
      </x:c>
      <x:c r="J9" s="9" t="str">
        <x:v>DECISION QUESTION</x:v>
      </x:c>
    </x:row>
    <x:row r="10">
      <x:c r="A10" s="216" t="str">
        <x:v>How do contributions, inflation, returns, timing, and drawdown assumptions affect retirement readiness?</x:v>
      </x:c>
      <x:c r="B10" s="216" t="str">
        <x:v>How do contributions, inflation, returns, timing, and drawdown assumptions affect retirement readiness?</x:v>
      </x:c>
      <x:c r="C10" s="216" t="str">
        <x:v>How do contributions, inflation, returns, timing, and drawdown assumptions affect retirement readiness?</x:v>
      </x:c>
      <x:c r="D10" s="216" t="str">
        <x:v>How do contributions, inflation, returns, timing, and drawdown assumptions affect retirement readiness?</x:v>
      </x:c>
      <x:c r="E10" s="216" t="str">
        <x:v>How do contributions, inflation, returns, timing, and drawdown assumptions affect retirement readiness?</x:v>
      </x:c>
      <x:c r="F10" s="216" t="str">
        <x:v>How do contributions, inflation, returns, timing, and drawdown assumptions affect retirement readiness?</x:v>
      </x:c>
      <x:c r="G10" s="216" t="str">
        <x:v>How do contributions, inflation, returns, timing, and drawdown assumptions affect retirement readiness?</x:v>
      </x:c>
      <x:c r="H10" s="216" t="str">
        <x:v>How do contributions, inflation, returns, timing, and drawdown assumptions affect retirement readiness?</x:v>
      </x:c>
      <x:c r="I10" s="216" t="str">
        <x:v>How do contributions, inflation, returns, timing, and drawdown assumptions affect retirement readiness?</x:v>
      </x:c>
      <x:c r="J10" s="216" t="str">
        <x:v>How do contributions, inflation, returns, timing, and drawdown assumptions affect retirement readiness?</x:v>
      </x:c>
    </x:row>
    <x:row r="11">
      <x:c r="A11" s="216" t="str">
        <x:v>How do contributions, inflation, returns, timing, and drawdown assumptions affect retirement readiness?</x:v>
      </x:c>
      <x:c r="B11" s="216" t="str">
        <x:v>How do contributions, inflation, returns, timing, and drawdown assumptions affect retirement readiness?</x:v>
      </x:c>
      <x:c r="C11" s="216" t="str">
        <x:v>How do contributions, inflation, returns, timing, and drawdown assumptions affect retirement readiness?</x:v>
      </x:c>
      <x:c r="D11" s="216" t="str">
        <x:v>How do contributions, inflation, returns, timing, and drawdown assumptions affect retirement readiness?</x:v>
      </x:c>
      <x:c r="E11" s="216" t="str">
        <x:v>How do contributions, inflation, returns, timing, and drawdown assumptions affect retirement readiness?</x:v>
      </x:c>
      <x:c r="F11" s="216" t="str">
        <x:v>How do contributions, inflation, returns, timing, and drawdown assumptions affect retirement readiness?</x:v>
      </x:c>
      <x:c r="G11" s="216" t="str">
        <x:v>How do contributions, inflation, returns, timing, and drawdown assumptions affect retirement readiness?</x:v>
      </x:c>
      <x:c r="H11" s="216" t="str">
        <x:v>How do contributions, inflation, returns, timing, and drawdown assumptions affect retirement readiness?</x:v>
      </x:c>
      <x:c r="I11" s="216" t="str">
        <x:v>How do contributions, inflation, returns, timing, and drawdown assumptions affect retirement readiness?</x:v>
      </x:c>
      <x:c r="J11" s="216" t="str">
        <x:v>How do contributions, inflation, returns, timing, and drawdown assumptions affect retirement readiness?</x:v>
      </x:c>
    </x:row>
    <x:row r="13" ht="22" customHeight="1">
      <x:c r="A13" s="9" t="str">
        <x:v>FIRST READ</x:v>
      </x:c>
      <x:c r="B13" s="9" t="str">
        <x:v>FIRST READ</x:v>
      </x:c>
      <x:c r="C13" s="9" t="str">
        <x:v>FIRST READ</x:v>
      </x:c>
      <x:c r="D13" s="9" t="str">
        <x:v>FIRST READ</x:v>
      </x:c>
      <x:c r="E13" s="9" t="str">
        <x:v>FIRST READ</x:v>
      </x:c>
      <x:c r="F13" s="9" t="str">
        <x:v>FIRST READ</x:v>
      </x:c>
      <x:c r="G13" s="9" t="str">
        <x:v>FIRST READ</x:v>
      </x:c>
      <x:c r="H13" s="9" t="str">
        <x:v>FIRST READ</x:v>
      </x:c>
      <x:c r="I13" s="9" t="str">
        <x:v>FIRST READ</x:v>
      </x:c>
      <x:c r="J13" s="9" t="str">
        <x:v>FIRST READ</x:v>
      </x:c>
    </x:row>
    <x:row r="14">
      <x:c r="A14" s="217" t="str">
        <x:v>Calculation integrity</x:v>
      </x:c>
      <x:c r="B14" s="218" t="str">
        <x:v>Decision readiness</x:v>
      </x:c>
      <x:c r="C14" s="223" t="str">
        <x:f>'Checks'!$B$5</x:f>
        <x:v>PASS</x:v>
      </x:c>
      <x:c r="D14" s="223"/>
      <x:c r="E14" s="223"/>
      <x:c r="F14" s="238" t="str">
        <x:v>TEMPLATE — VALIDATE INPUTS</x:v>
      </x:c>
      <x:c r="G14" s="238" t="str">
        <x:v>TEMPLATE — VALIDATE INPUTS</x:v>
      </x:c>
      <x:c r="H14" s="238" t="str">
        <x:v>TEMPLATE — VALIDATE INPUTS</x:v>
      </x:c>
      <x:c r="I14" s="238" t="str">
        <x:v>TEMPLATE — VALIDATE INPUTS</x:v>
      </x:c>
      <x:c r="J14" s="239" t="str">
        <x:v>TEMPLATE — VALIDATE INPUTS</x:v>
      </x:c>
    </x:row>
    <x:row r="15">
      <x:c r="A15" s="219" t="str">
        <x:v>Published checks</x:v>
      </x:c>
      <x:c r="B15" s="220" t="str">
        <x:v>Template posture</x:v>
      </x:c>
      <x:c r="C15" s="224" t="str">
        <x:f>"11 / 11 PASS"</x:f>
        <x:v>11 / 11 PASS</x:v>
      </x:c>
      <x:c r="D15" s="224"/>
      <x:c r="E15" s="224"/>
      <x:c r="F15" s="240" t="str">
        <x:v>Illustrative, screen-grade worked example</x:v>
      </x:c>
      <x:c r="G15" s="240" t="str">
        <x:v>Illustrative, screen-grade worked example</x:v>
      </x:c>
      <x:c r="H15" s="240" t="str">
        <x:v>Illustrative, screen-grade worked example</x:v>
      </x:c>
      <x:c r="I15" s="240" t="str">
        <x:v>Illustrative, screen-grade worked example</x:v>
      </x:c>
      <x:c r="J15" s="241" t="str">
        <x:v>Illustrative, screen-grade worked example</x:v>
      </x:c>
    </x:row>
    <x:row r="16">
      <x:c r="A16" s="219" t="str">
        <x:v>Scenario</x:v>
      </x:c>
      <x:c r="B16" s="220" t="str">
        <x:v>Evidence</x:v>
      </x:c>
      <x:c r="C16" s="224" t="str">
        <x:f>'Assumptions'!$B$3</x:f>
        <x:v>Base</x:v>
      </x:c>
      <x:c r="D16" s="224"/>
      <x:c r="E16" s="224"/>
      <x:c r="F16" s="240" t="str">
        <x:v>Synthetic / illustrative</x:v>
      </x:c>
      <x:c r="G16" s="240" t="str">
        <x:v>Synthetic / illustrative</x:v>
      </x:c>
      <x:c r="H16" s="240" t="str">
        <x:v>Synthetic / illustrative</x:v>
      </x:c>
      <x:c r="I16" s="240" t="str">
        <x:v>Synthetic / illustrative</x:v>
      </x:c>
      <x:c r="J16" s="241" t="str">
        <x:v>Synthetic / illustrative</x:v>
      </x:c>
    </x:row>
    <x:row r="17">
      <x:c r="A17" s="221" t="str">
        <x:v>Owner</x:v>
      </x:c>
      <x:c r="B17" s="222" t="str">
        <x:v>Use</x:v>
      </x:c>
      <x:c r="C17" s="225" t="str">
        <x:f>'Sources &amp; Version'!$B$12</x:f>
        <x:v>Truong Dinh Anh Tu</x:v>
      </x:c>
      <x:c r="D17" s="225"/>
      <x:c r="E17" s="225"/>
      <x:c r="F17" s="242" t="str">
        <x:v>Individual / Household · Financial Education / Learner</x:v>
      </x:c>
      <x:c r="G17" s="242" t="str">
        <x:v>Individual / Household · Financial Education / Learner</x:v>
      </x:c>
      <x:c r="H17" s="242" t="str">
        <x:v>Individual / Household · Financial Education / Learner</x:v>
      </x:c>
      <x:c r="I17" s="242" t="str">
        <x:v>Individual / Household · Financial Education / Learner</x:v>
      </x:c>
      <x:c r="J17" s="243" t="str">
        <x:v>Individual / Household · Financial Education / Learner</x:v>
      </x:c>
    </x:row>
    <x:row r="19" ht="22" customHeight="1">
      <x:c r="A19" s="9" t="str">
        <x:v>MODEL IDENTITY</x:v>
      </x:c>
      <x:c r="B19" s="9" t="str">
        <x:v>MODEL IDENTITY</x:v>
      </x:c>
      <x:c r="C19" s="9" t="str">
        <x:v>MODEL IDENTITY</x:v>
      </x:c>
      <x:c r="D19" s="9" t="str">
        <x:v>MODEL IDENTITY</x:v>
      </x:c>
      <x:c r="E19" s="9" t="str">
        <x:v>MODEL IDENTITY</x:v>
      </x:c>
      <x:c r="F19" s="9" t="str">
        <x:v>MODEL IDENTITY</x:v>
      </x:c>
      <x:c r="G19" s="9" t="str">
        <x:v>KEY OUTPUTS</x:v>
      </x:c>
      <x:c r="H19" s="9" t="str">
        <x:v>KEY OUTPUTS</x:v>
      </x:c>
      <x:c r="I19" s="9" t="str">
        <x:v>KEY OUTPUTS</x:v>
      </x:c>
      <x:c r="J19" s="9" t="str">
        <x:v>KEY OUTPUTS</x:v>
      </x:c>
    </x:row>
    <x:row r="20">
      <x:c r="A20" s="198" t="str">
        <x:v>Model ID</x:v>
      </x:c>
      <x:c r="B20" s="140" t="str">
        <x:v>TDAT-FM-PER-002</x:v>
      </x:c>
      <x:c r="C20" s="200" t="str">
        <x:v>Version</x:v>
      </x:c>
      <x:c r="D20" s="140" t="str">
        <x:v>1.0.0</x:v>
      </x:c>
      <x:c r="E20" s="200" t="str">
        <x:v>Last QA</x:v>
      </x:c>
      <x:c r="F20" s="141" t="str">
        <x:v>2026-07-13</x:v>
      </x:c>
      <x:c r="G20" s="247" t="str">
        <x:v>Balance at retirement</x:v>
      </x:c>
      <x:c r="H20" s="247" t="str">
        <x:v>Balance at retirement</x:v>
      </x:c>
      <x:c r="I20" s="248" t="n">
        <x:f>INDEX('Retirement Plan'!B10:AP10,1,MATCH(TEXT('Assumptions'!$F$9,"0"),'Retirement Plan'!B5:AP5,0))</x:f>
        <x:v>2607.212430105264</x:v>
      </x:c>
      <x:c r="J20" s="248"/>
    </x:row>
    <x:row r="21">
      <x:c r="A21" s="245" t="str">
        <x:v>Domain</x:v>
      </x:c>
      <x:c r="B21" s="143" t="str">
        <x:v>Personal Finance</x:v>
      </x:c>
      <x:c r="C21" s="246" t="str">
        <x:v>Compatibility</x:v>
      </x:c>
      <x:c r="D21" s="143" t="str">
        <x:v>Excel 365</x:v>
      </x:c>
      <x:c r="E21" s="246" t="str">
        <x:v>Macros</x:v>
      </x:c>
      <x:c r="F21" s="144" t="str">
        <x:v>None</x:v>
      </x:c>
      <x:c r="G21" s="247" t="str">
        <x:v>Ending nominal balance</x:v>
      </x:c>
      <x:c r="H21" s="247" t="str">
        <x:v>Ending nominal balance</x:v>
      </x:c>
      <x:c r="I21" s="248" t="n">
        <x:f>'Retirement Plan'!AP$10</x:f>
        <x:v>4251.517926161746</x:v>
      </x:c>
      <x:c r="J21" s="248"/>
    </x:row>
    <x:row r="22">
      <x:c r="A22" s="245" t="str">
        <x:v>Horizon</x:v>
      </x:c>
      <x:c r="B22" s="143" t="str">
        <x:v>20–40 years</x:v>
      </x:c>
      <x:c r="C22" s="246" t="str">
        <x:v>Frequency</x:v>
      </x:c>
      <x:c r="D22" s="143" t="str">
        <x:v>Annual age-based</x:v>
      </x:c>
      <x:c r="E22" s="246" t="str">
        <x:v>External links</x:v>
      </x:c>
      <x:c r="F22" s="144" t="str">
        <x:v>None</x:v>
      </x:c>
      <x:c r="G22" s="247" t="str">
        <x:v>Ending real balance</x:v>
      </x:c>
      <x:c r="H22" s="247" t="str">
        <x:v>Ending real balance</x:v>
      </x:c>
      <x:c r="I22" s="248" t="n">
        <x:f>'Retirement Plan'!AP$11</x:f>
        <x:v>1544.7760711247056</x:v>
      </x:c>
      <x:c r="J22" s="248"/>
    </x:row>
    <x:row r="23">
      <x:c r="A23" s="245" t="str">
        <x:v>Currency</x:v>
      </x:c>
      <x:c r="B23" s="143" t="str">
        <x:v>LCY</x:v>
      </x:c>
      <x:c r="C23" s="246" t="str">
        <x:v>Units</x:v>
      </x:c>
      <x:c r="D23" s="143" t="str">
        <x:v>LCY</x:v>
      </x:c>
      <x:c r="E23" s="246" t="str">
        <x:v>Scenario</x:v>
      </x:c>
      <x:c r="F23" s="144" t="str">
        <x:v>Base / Upside / Downside</x:v>
      </x:c>
      <x:c r="G23" s="247" t="str">
        <x:v>Total contributions</x:v>
      </x:c>
      <x:c r="H23" s="247" t="str">
        <x:v>Total contributions</x:v>
      </x:c>
      <x:c r="I23" s="248" t="n">
        <x:f>SUM('Retirement Plan'!B8:AP8)</x:f>
        <x:v>658.5405474490739</x:v>
      </x:c>
      <x:c r="J23" s="248"/>
    </x:row>
    <x:row r="24">
      <x:c r="A24" s="199" t="str">
        <x:v>Owner</x:v>
      </x:c>
      <x:c r="B24" s="146" t="str">
        <x:v>Truong Dinh Anh Tu</x:v>
      </x:c>
      <x:c r="C24" s="201" t="str">
        <x:v>Standard</x:v>
      </x:c>
      <x:c r="D24" s="146" t="str">
        <x:v>TDAT Model Standard 1.0</x:v>
      </x:c>
      <x:c r="E24" s="201" t="str">
        <x:v>Evidence</x:v>
      </x:c>
      <x:c r="F24" s="147" t="str">
        <x:v>Synthetic worked template</x:v>
      </x:c>
      <x:c r="G24" s="247" t="str">
        <x:v>Total withdrawals</x:v>
      </x:c>
      <x:c r="H24" s="247" t="str">
        <x:v>Total withdrawals</x:v>
      </x:c>
      <x:c r="I24" s="248" t="n">
        <x:f>SUM('Retirement Plan'!B9:AP9)</x:f>
        <x:v>524.3055851061279</x:v>
      </x:c>
      <x:c r="J24" s="248"/>
    </x:row>
    <x:row r="26" ht="22" customHeight="1">
      <x:c r="A26" s="9" t="str">
        <x:v>CELL COLOR LEGEND</x:v>
      </x:c>
      <x:c r="B26" s="9" t="str">
        <x:v>CELL COLOR LEGEND</x:v>
      </x:c>
      <x:c r="C26" s="9" t="str">
        <x:v>CELL COLOR LEGEND</x:v>
      </x:c>
      <x:c r="D26" s="9" t="str">
        <x:v>CELL COLOR LEGEND</x:v>
      </x:c>
      <x:c r="E26" s="9" t="str">
        <x:v>CELL COLOR LEGEND</x:v>
      </x:c>
      <x:c r="F26" s="9" t="str">
        <x:v>CELL COLOR LEGEND</x:v>
      </x:c>
      <x:c r="G26" s="9" t="str">
        <x:v>CELL COLOR LEGEND</x:v>
      </x:c>
      <x:c r="H26" s="9" t="str">
        <x:v>CELL COLOR LEGEND</x:v>
      </x:c>
      <x:c r="I26" s="9" t="str">
        <x:v>CELL COLOR LEGEND</x:v>
      </x:c>
      <x:c r="J26" s="9" t="str">
        <x:v>CELL COLOR LEGEND</x:v>
      </x:c>
    </x:row>
    <x:row r="27">
      <x:c r="A27" s="268" t="str">
        <x:v>Blue font</x:v>
      </x:c>
      <x:c r="B27" s="260" t="str">
        <x:v>Editable hardcode</x:v>
      </x:c>
      <x:c r="C27" s="269" t="str">
        <x:v>Black font</x:v>
      </x:c>
      <x:c r="D27" s="260" t="str">
        <x:v>In-sheet formula</x:v>
      </x:c>
      <x:c r="E27" s="270" t="str">
        <x:v>Green font</x:v>
      </x:c>
      <x:c r="F27" s="260" t="str">
        <x:v>Cross-sheet formula</x:v>
      </x:c>
      <x:c r="G27" s="271" t="str">
        <x:v>Pale amber</x:v>
      </x:c>
      <x:c r="H27" s="271" t="str">
        <x:v>Scenario / review cue</x:v>
      </x:c>
      <x:c r="I27" s="272" t="str">
        <x:v>Teal</x:v>
      </x:c>
      <x:c r="J27" s="273" t="str">
        <x:v>PASS / trusted output</x:v>
      </x:c>
    </x:row>
    <x:row r="28">
      <x:c r="A28" s="262" t="str">
        <x:v>Actual</x:v>
      </x:c>
      <x:c r="B28" s="263" t="str">
        <x:v>Neutral period band</x:v>
      </x:c>
      <x:c r="C28" s="263" t="str">
        <x:v>Forecast</x:v>
      </x:c>
      <x:c r="D28" s="263" t="str">
        <x:v>Pale-blue period band</x:v>
      </x:c>
      <x:c r="E28" s="263" t="str">
        <x:v>Zero</x:v>
      </x:c>
      <x:c r="F28" s="263" t="str">
        <x:v>Displayed as an en dash</x:v>
      </x:c>
      <x:c r="G28" s="263" t="str">
        <x:v>Rule</x:v>
      </x:c>
      <x:c r="H28" s="263" t="str">
        <x:v>Keep formulas copy-across</x:v>
      </x:c>
      <x:c r="I28" s="263" t="str">
        <x:v>Rule</x:v>
      </x:c>
      <x:c r="J28" s="264" t="str">
        <x:v>Recheck after every change</x:v>
      </x:c>
    </x:row>
    <x:row r="29">
      <x:c r="A29" s="265" t="str">
        <x:v>Status</x:v>
      </x:c>
      <x:c r="B29" s="266" t="str">
        <x:v>PASS means controls tie</x:v>
      </x:c>
      <x:c r="C29" s="266" t="str">
        <x:v>Readiness</x:v>
      </x:c>
      <x:c r="D29" s="266" t="str">
        <x:v>Inputs still require review</x:v>
      </x:c>
      <x:c r="E29" s="266" t="str">
        <x:v>Privacy</x:v>
      </x:c>
      <x:c r="F29" s="266" t="str">
        <x:v>Public-safe example</x:v>
      </x:c>
      <x:c r="G29" s="266" t="str">
        <x:v>Use</x:v>
      </x:c>
      <x:c r="H29" s="266" t="str">
        <x:v>Adapt and validate</x:v>
      </x:c>
      <x:c r="I29" s="266" t="str">
        <x:v>Support</x:v>
      </x:c>
      <x:c r="J29" s="267" t="str">
        <x:v>Model notes + web guide</x:v>
      </x:c>
    </x:row>
    <x:row r="31">
      <x:c r="A31" s="42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B31" s="43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C31" s="43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D31" s="43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E31" s="43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F31" s="43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G31" s="43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H31" s="43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I31" s="43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J31" s="44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</x:row>
    <x:row r="32">
      <x:c r="A32" s="45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B32" s="46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C32" s="46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D32" s="46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E32" s="46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F32" s="46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G32" s="46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H32" s="46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I32" s="46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J32" s="47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</x:row>
    <x:row r="33">
      <x:c r="A33" s="48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B33" s="49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C33" s="49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D33" s="49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E33" s="49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F33" s="49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G33" s="49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H33" s="49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I33" s="49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J33" s="50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</x:row>
    <x:row r="35">
      <x:c r="A35" s="53" t="str">
        <x:v>TDAT Model Library  |  Trust builds the brand. Insight builds the decision.</x:v>
      </x:c>
      <x:c r="B35" s="53" t="str">
        <x:v>TDAT Model Library  |  Trust builds the brand. Insight builds the decision.</x:v>
      </x:c>
      <x:c r="C35" s="53" t="str">
        <x:v>TDAT Model Library  |  Trust builds the brand. Insight builds the decision.</x:v>
      </x:c>
      <x:c r="D35" s="53" t="str">
        <x:v>TDAT Model Library  |  Trust builds the brand. Insight builds the decision.</x:v>
      </x:c>
      <x:c r="E35" s="53" t="str">
        <x:v>TDAT Model Library  |  Trust builds the brand. Insight builds the decision.</x:v>
      </x:c>
      <x:c r="F35" s="53" t="str">
        <x:v>TDAT Model Library  |  Trust builds the brand. Insight builds the decision.</x:v>
      </x:c>
      <x:c r="G35" s="53" t="str">
        <x:v>TDAT Model Library  |  Trust builds the brand. Insight builds the decision.</x:v>
      </x:c>
      <x:c r="H35" s="53" t="str">
        <x:v>TDAT Model Library  |  Trust builds the brand. Insight builds the decision.</x:v>
      </x:c>
      <x:c r="I35" s="53" t="str">
        <x:v>TDAT Model Library  |  Trust builds the brand. Insight builds the decision.</x:v>
      </x:c>
      <x:c r="J35" s="53" t="str">
        <x:v>TDAT Model Library  |  Trust builds the brand. Insight builds the decision.</x:v>
      </x:c>
    </x:row>
  </x:sheetData>
  <x:mergeCells>
    <x:mergeCell ref="A1:J1"/>
    <x:mergeCell ref="A2:J2"/>
    <x:mergeCell ref="A5:F7"/>
    <x:mergeCell ref="G5:J5"/>
    <x:mergeCell ref="G6:J7"/>
    <x:mergeCell ref="A9:J9"/>
    <x:mergeCell ref="A10:J11"/>
    <x:mergeCell ref="A13:J13"/>
    <x:mergeCell ref="C14:E14"/>
    <x:mergeCell ref="F14:J14"/>
    <x:mergeCell ref="C15:E15"/>
    <x:mergeCell ref="F15:J15"/>
    <x:mergeCell ref="C16:E16"/>
    <x:mergeCell ref="F16:J16"/>
    <x:mergeCell ref="C17:E17"/>
    <x:mergeCell ref="F17:J17"/>
    <x:mergeCell ref="A19:J19"/>
    <x:mergeCell ref="G19:J19"/>
    <x:mergeCell ref="G20:H20"/>
    <x:mergeCell ref="I20:J20"/>
    <x:mergeCell ref="G21:H21"/>
    <x:mergeCell ref="I21:J21"/>
    <x:mergeCell ref="G22:H22"/>
    <x:mergeCell ref="I22:J22"/>
    <x:mergeCell ref="G23:H23"/>
    <x:mergeCell ref="I23:J23"/>
    <x:mergeCell ref="G24:H24"/>
    <x:mergeCell ref="I24:J24"/>
    <x:mergeCell ref="A26:J26"/>
    <x:mergeCell ref="A31:J33"/>
    <x:mergeCell ref="A35:J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4" customHeight="1">
      <x:c r="A1" s="3" t="str">
        <x:v>MODEL GUIDE</x:v>
      </x:c>
      <x:c r="B1" s="3" t="str">
        <x:v>MODEL GUIDE</x:v>
      </x:c>
      <x:c r="C1" s="3" t="str">
        <x:v>MODEL GUIDE</x:v>
      </x:c>
      <x:c r="D1" s="3" t="str">
        <x:v>MODEL GUIDE</x:v>
      </x:c>
      <x:c r="E1" s="3" t="str">
        <x:v>MODEL GUIDE</x:v>
      </x:c>
      <x:c r="F1" s="3" t="str">
        <x:v>MODEL GUIDE</x:v>
      </x:c>
      <x:c r="G1" s="3" t="str">
        <x:v>MODEL GUIDE</x:v>
      </x:c>
      <x:c r="H1" s="3" t="str">
        <x:v>MODEL GUIDE</x:v>
      </x:c>
      <x:c r="I1" s="3" t="str">
        <x:v>MODEL GUIDE</x:v>
      </x:c>
      <x:c r="J1" s="3" t="str">
        <x:v>MODEL GUIDE</x:v>
      </x:c>
    </x:row>
    <x:row r="2" ht="24" customHeight="1">
      <x:c r="A2" s="6" t="str">
        <x:v>Retirement Scenario Planner  |  Scope, setup, flexibility, and limitations</x:v>
      </x:c>
      <x:c r="B2" s="6" t="str">
        <x:v>Retirement Scenario Planner  |  Scope, setup, flexibility, and limitations</x:v>
      </x:c>
      <x:c r="C2" s="6" t="str">
        <x:v>Retirement Scenario Planner  |  Scope, setup, flexibility, and limitations</x:v>
      </x:c>
      <x:c r="D2" s="6" t="str">
        <x:v>Retirement Scenario Planner  |  Scope, setup, flexibility, and limitations</x:v>
      </x:c>
      <x:c r="E2" s="6" t="str">
        <x:v>Retirement Scenario Planner  |  Scope, setup, flexibility, and limitations</x:v>
      </x:c>
      <x:c r="F2" s="6" t="str">
        <x:v>Retirement Scenario Planner  |  Scope, setup, flexibility, and limitations</x:v>
      </x:c>
      <x:c r="G2" s="6" t="str">
        <x:v>Retirement Scenario Planner  |  Scope, setup, flexibility, and limitations</x:v>
      </x:c>
      <x:c r="H2" s="6" t="str">
        <x:v>Retirement Scenario Planner  |  Scope, setup, flexibility, and limitations</x:v>
      </x:c>
      <x:c r="I2" s="6" t="str">
        <x:v>Retirement Scenario Planner  |  Scope, setup, flexibility, and limitations</x:v>
      </x:c>
      <x:c r="J2" s="6" t="str">
        <x:v>Retirement Scenario Planner  |  Scope, setup, flexibility, and limitations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22" customHeight="1">
      <x:c r="A5" s="9" t="str">
        <x:v>PURPOSE AND USERS</x:v>
      </x:c>
      <x:c r="B5" s="9" t="str">
        <x:v>PURPOSE AND USERS</x:v>
      </x:c>
      <x:c r="C5" s="9" t="str">
        <x:v>PURPOSE AND USERS</x:v>
      </x:c>
      <x:c r="D5" s="9" t="str">
        <x:v>PURPOSE AND USERS</x:v>
      </x:c>
      <x:c r="E5" s="9" t="str">
        <x:v>PURPOSE AND USERS</x:v>
      </x:c>
      <x:c r="F5" s="9" t="str">
        <x:v>PURPOSE AND USERS</x:v>
      </x:c>
      <x:c r="G5" s="9" t="str">
        <x:v>PURPOSE AND USERS</x:v>
      </x:c>
      <x:c r="H5" s="9" t="str">
        <x:v>PURPOSE AND USERS</x:v>
      </x:c>
      <x:c r="I5" s="9" t="str">
        <x:v>PURPOSE AND USERS</x:v>
      </x:c>
      <x:c r="J5" s="9" t="str">
        <x:v>PURPOSE AND USERS</x:v>
      </x:c>
    </x:row>
    <x:row r="6">
      <x:c r="A6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B6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C6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D6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E6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F6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G6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H6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I6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J6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</x:row>
    <x:row r="7">
      <x:c r="A7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B7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C7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D7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E7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F7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G7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H7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I7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J7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</x:row>
    <x:row r="8">
      <x:c r="A8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B8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C8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D8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E8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F8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G8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H8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I8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  <x:c r="J8" s="12" t="str">
        <x:v>Educational contribution, accumulation, inflation, withdrawal, and sensitivity model with clear limitations.
Primary users: Individual / Household, Financial Education / Learner. Typical use: Retirement, Contributions, Drawdown.</x:v>
      </x:c>
    </x:row>
    <x:row r="10" ht="22" customHeight="1">
      <x:c r="A10" s="9" t="str">
        <x:v>QUICK START</x:v>
      </x:c>
      <x:c r="B10" s="9" t="str">
        <x:v>QUICK START</x:v>
      </x:c>
      <x:c r="C10" s="9" t="str">
        <x:v>QUICK START</x:v>
      </x:c>
      <x:c r="D10" s="9" t="str">
        <x:v>QUICK START</x:v>
      </x:c>
      <x:c r="E10" s="9" t="str">
        <x:v>QUICK START</x:v>
      </x:c>
      <x:c r="F10" s="9" t="str">
        <x:v>QUICK START</x:v>
      </x:c>
      <x:c r="G10" s="9" t="str">
        <x:v>QUICK START</x:v>
      </x:c>
      <x:c r="H10" s="9" t="str">
        <x:v>QUICK START</x:v>
      </x:c>
      <x:c r="I10" s="9" t="str">
        <x:v>QUICK START</x:v>
      </x:c>
      <x:c r="J10" s="9" t="str">
        <x:v>QUICK START</x:v>
      </x:c>
    </x:row>
    <x:row r="11" ht="30" customHeight="1">
      <x:c r="A11" s="14" t="str">
        <x:v>01</x:v>
      </x:c>
      <x:c r="B11" s="15" t="str">
        <x:v>Confirm the decision</x:v>
      </x:c>
      <x:c r="C11" s="17" t="str">
        <x:v>How do contributions, inflation, returns, timing, and drawdown assumptions affect retirement readiness?</x:v>
      </x:c>
      <x:c r="D11" s="17" t="str"/>
      <x:c r="E11" s="17" t="str"/>
      <x:c r="F11" s="17" t="str"/>
      <x:c r="G11" s="17" t="str"/>
      <x:c r="H11" s="17" t="str"/>
      <x:c r="I11" s="17" t="str"/>
      <x:c r="J11" s="17" t="str"/>
    </x:row>
    <x:row r="12" ht="30" customHeight="1">
      <x:c r="A12" s="14" t="str">
        <x:v>02</x:v>
      </x:c>
      <x:c r="B12" s="15" t="str">
        <x:v>Set model controls</x:v>
      </x:c>
      <x:c r="C12" s="17" t="str">
        <x:v>Select Base, Upside, or Downside; confirm currency, units, horizon, and calculation method.</x:v>
      </x:c>
      <x:c r="D12" s="17" t="str"/>
      <x:c r="E12" s="17" t="str"/>
      <x:c r="F12" s="17" t="str"/>
      <x:c r="G12" s="17" t="str"/>
      <x:c r="H12" s="17" t="str"/>
      <x:c r="I12" s="17" t="str"/>
      <x:c r="J12" s="17" t="str"/>
    </x:row>
    <x:row r="13" ht="30" customHeight="1">
      <x:c r="A13" s="14" t="str">
        <x:v>03</x:v>
      </x:c>
      <x:c r="B13" s="15" t="str">
        <x:v>Replace blue inputs</x:v>
      </x:c>
      <x:c r="C13" s="17" t="str">
        <x:v>Update the synthetic values on Annual Inputs and the scenario drivers on Assumptions.</x:v>
      </x:c>
      <x:c r="D13" s="17" t="str"/>
      <x:c r="E13" s="17" t="str"/>
      <x:c r="F13" s="17" t="str"/>
      <x:c r="G13" s="17" t="str"/>
      <x:c r="H13" s="17" t="str"/>
      <x:c r="I13" s="17" t="str"/>
      <x:c r="J13" s="17" t="str"/>
    </x:row>
    <x:row r="14" ht="30" customHeight="1">
      <x:c r="A14" s="14" t="str">
        <x:v>04</x:v>
      </x:c>
      <x:c r="B14" s="15" t="str">
        <x:v>Review the engine</x:v>
      </x:c>
      <x:c r="C14" s="17" t="str">
        <x:v>Trace the calculations on Retirement Plan; challenge definitions, signs, timing, and edge cases.</x:v>
      </x:c>
      <x:c r="D14" s="17" t="str"/>
      <x:c r="E14" s="17" t="str"/>
      <x:c r="F14" s="17" t="str"/>
      <x:c r="G14" s="17" t="str"/>
      <x:c r="H14" s="17" t="str"/>
      <x:c r="I14" s="17" t="str"/>
      <x:c r="J14" s="17" t="str"/>
    </x:row>
    <x:row r="15" ht="30" customHeight="1">
      <x:c r="A15" s="14" t="str">
        <x:v>05</x:v>
      </x:c>
      <x:c r="B15" s="15" t="str">
        <x:v>Use the summary</x:v>
      </x:c>
      <x:c r="C15" s="17" t="str">
        <x:v>Read headline outputs, sensitivities, breakpoints, and the owner/action prompts.</x:v>
      </x:c>
      <x:c r="D15" s="17" t="str"/>
      <x:c r="E15" s="17" t="str"/>
      <x:c r="F15" s="17" t="str"/>
      <x:c r="G15" s="17" t="str"/>
      <x:c r="H15" s="17" t="str"/>
      <x:c r="I15" s="17" t="str"/>
      <x:c r="J15" s="17" t="str"/>
    </x:row>
    <x:row r="16" ht="30" customHeight="1">
      <x:c r="A16" s="14" t="str">
        <x:v>06</x:v>
      </x:c>
      <x:c r="B16" s="15" t="str">
        <x:v>Resolve Checks</x:v>
      </x:c>
      <x:c r="C16" s="17" t="str">
        <x:v>Do not rely on the output until every published control passes and source readiness is reviewed.</x:v>
      </x:c>
      <x:c r="D16" s="17" t="str"/>
      <x:c r="E16" s="17" t="str"/>
      <x:c r="F16" s="17" t="str"/>
      <x:c r="G16" s="17" t="str"/>
      <x:c r="H16" s="17" t="str"/>
      <x:c r="I16" s="17" t="str"/>
      <x:c r="J16" s="17" t="str"/>
    </x:row>
    <x:row r="18" ht="22" customHeight="1">
      <x:c r="A18" s="9" t="str">
        <x:v>WORKBOOK MAP</x:v>
      </x:c>
      <x:c r="B18" s="9" t="str">
        <x:v>WORKBOOK MAP</x:v>
      </x:c>
      <x:c r="C18" s="9" t="str">
        <x:v>WORKBOOK MAP</x:v>
      </x:c>
      <x:c r="D18" s="9" t="str">
        <x:v>WORKBOOK MAP</x:v>
      </x:c>
      <x:c r="E18" s="9" t="str">
        <x:v>WORKBOOK MAP</x:v>
      </x:c>
      <x:c r="F18" s="9" t="str">
        <x:v>WORKBOOK MAP</x:v>
      </x:c>
      <x:c r="G18" s="9" t="str">
        <x:v>WORKBOOK MAP</x:v>
      </x:c>
      <x:c r="H18" s="9" t="str">
        <x:v>WORKBOOK MAP</x:v>
      </x:c>
      <x:c r="I18" s="9" t="str">
        <x:v>WORKBOOK MAP</x:v>
      </x:c>
      <x:c r="J18" s="9" t="str">
        <x:v>WORKBOOK MAP</x:v>
      </x:c>
    </x:row>
    <x:row r="19">
      <x:c r="A19" s="19" t="str">
        <x:v>Cover</x:v>
      </x:c>
      <x:c r="B19" s="17" t="str">
        <x:v>First-read status, model identity, key outputs, readiness, and cell-color legend.</x:v>
      </x:c>
      <x:c r="C19" s="17" t="str"/>
      <x:c r="D19" s="17" t="str"/>
      <x:c r="E19" s="17" t="str"/>
      <x:c r="F19" s="17" t="str"/>
      <x:c r="G19" s="17" t="str"/>
      <x:c r="H19" s="17" t="str"/>
      <x:c r="I19" s="17" t="str"/>
      <x:c r="J19" s="17" t="str"/>
    </x:row>
    <x:row r="20">
      <x:c r="A20" s="19" t="str">
        <x:v>Guide</x:v>
      </x:c>
      <x:c r="B20" s="17" t="str">
        <x:v>Purpose, quick start, workbook map, flexibility rules, Q&amp;A, and limitations.</x:v>
      </x:c>
      <x:c r="C20" s="17" t="str"/>
      <x:c r="D20" s="17" t="str"/>
      <x:c r="E20" s="17" t="str"/>
      <x:c r="F20" s="17" t="str"/>
      <x:c r="G20" s="17" t="str"/>
      <x:c r="H20" s="17" t="str"/>
      <x:c r="I20" s="17" t="str"/>
      <x:c r="J20" s="17" t="str"/>
    </x:row>
    <x:row r="21">
      <x:c r="A21" s="19" t="str">
        <x:v>Assumptions</x:v>
      </x:c>
      <x:c r="B21" s="17" t="str">
        <x:v>Base, Upside, Downside, selector, units, and selected driver values.</x:v>
      </x:c>
      <x:c r="C21" s="17" t="str"/>
      <x:c r="D21" s="17" t="str"/>
      <x:c r="E21" s="17" t="str"/>
      <x:c r="F21" s="17" t="str"/>
      <x:c r="G21" s="17" t="str"/>
      <x:c r="H21" s="17" t="str"/>
      <x:c r="I21" s="17" t="str"/>
      <x:c r="J21" s="17" t="str"/>
    </x:row>
    <x:row r="22">
      <x:c r="A22" s="19" t="str">
        <x:v>Annual Inputs</x:v>
      </x:c>
      <x:c r="B22" s="17" t="str">
        <x:v>Synthetic worked source inputs. Replace blue cells and keep the layout or extend it carefully.</x:v>
      </x:c>
      <x:c r="C22" s="17" t="str"/>
      <x:c r="D22" s="17" t="str"/>
      <x:c r="E22" s="17" t="str"/>
      <x:c r="F22" s="17" t="str"/>
      <x:c r="G22" s="17" t="str"/>
      <x:c r="H22" s="17" t="str"/>
      <x:c r="I22" s="17" t="str"/>
      <x:c r="J22" s="17" t="str"/>
    </x:row>
    <x:row r="23">
      <x:c r="A23" s="19" t="str">
        <x:v>Retirement Plan</x:v>
      </x:c>
      <x:c r="B23" s="17" t="str">
        <x:v>Formula-driven calculations and core finance mechanics.</x:v>
      </x:c>
      <x:c r="C23" s="17" t="str"/>
      <x:c r="D23" s="17" t="str"/>
      <x:c r="E23" s="17" t="str"/>
      <x:c r="F23" s="17" t="str"/>
      <x:c r="G23" s="17" t="str"/>
      <x:c r="H23" s="17" t="str"/>
      <x:c r="I23" s="17" t="str"/>
      <x:c r="J23" s="17" t="str"/>
    </x:row>
    <x:row r="24">
      <x:c r="A24" s="19" t="str">
        <x:v>Sensitivity</x:v>
      </x:c>
      <x:c r="B24" s="17" t="str">
        <x:v>Annual return × Retirement age recalculation of Ending balance at age 70.</x:v>
      </x:c>
      <x:c r="C24" s="17" t="str"/>
      <x:c r="D24" s="17" t="str"/>
      <x:c r="E24" s="17" t="str"/>
      <x:c r="F24" s="17" t="str"/>
      <x:c r="G24" s="17" t="str"/>
      <x:c r="H24" s="17" t="str"/>
      <x:c r="I24" s="17" t="str"/>
      <x:c r="J24" s="17" t="str"/>
    </x:row>
    <x:row r="25">
      <x:c r="A25" s="19" t="str">
        <x:v>Summary</x:v>
      </x:c>
      <x:c r="B25" s="17" t="str">
        <x:v>Decision KPIs, trend, scenario, status, management questions, and next actions.</x:v>
      </x:c>
      <x:c r="C25" s="17" t="str"/>
      <x:c r="D25" s="17" t="str"/>
      <x:c r="E25" s="17" t="str"/>
      <x:c r="F25" s="17" t="str"/>
      <x:c r="G25" s="17" t="str"/>
      <x:c r="H25" s="17" t="str"/>
      <x:c r="I25" s="17" t="str"/>
      <x:c r="J25" s="17" t="str"/>
    </x:row>
    <x:row r="26">
      <x:c r="A26" s="19" t="str">
        <x:v>Checks</x:v>
      </x:c>
      <x:c r="B26" s="17" t="str">
        <x:v>One assertion per row with actual, expected, difference, tolerance, status, and fix location.</x:v>
      </x:c>
      <x:c r="C26" s="17" t="str"/>
      <x:c r="D26" s="17" t="str"/>
      <x:c r="E26" s="17" t="str"/>
      <x:c r="F26" s="17" t="str"/>
      <x:c r="G26" s="17" t="str"/>
      <x:c r="H26" s="17" t="str"/>
      <x:c r="I26" s="17" t="str"/>
      <x:c r="J26" s="17" t="str"/>
    </x:row>
    <x:row r="27">
      <x:c r="A27" s="19" t="str">
        <x:v>Sources &amp; Version</x:v>
      </x:c>
      <x:c r="B27" s="17" t="str">
        <x:v>Source/assumption register, release facts, version history, distribution and privacy notes.</x:v>
      </x:c>
      <x:c r="C27" s="17" t="str"/>
      <x:c r="D27" s="17" t="str"/>
      <x:c r="E27" s="17" t="str"/>
      <x:c r="F27" s="17" t="str"/>
      <x:c r="G27" s="17" t="str"/>
      <x:c r="H27" s="17" t="str"/>
      <x:c r="I27" s="17" t="str"/>
      <x:c r="J27" s="17" t="str"/>
    </x:row>
    <x:row r="29" ht="22" customHeight="1">
      <x:c r="A29" s="9" t="str">
        <x:v>PRACTICAL Q&amp;A</x:v>
      </x:c>
      <x:c r="B29" s="9" t="str">
        <x:v>PRACTICAL Q&amp;A</x:v>
      </x:c>
      <x:c r="C29" s="9" t="str">
        <x:v>PRACTICAL Q&amp;A</x:v>
      </x:c>
      <x:c r="D29" s="9" t="str">
        <x:v>PRACTICAL Q&amp;A</x:v>
      </x:c>
      <x:c r="E29" s="9" t="str">
        <x:v>PRACTICAL Q&amp;A</x:v>
      </x:c>
      <x:c r="F29" s="9" t="str">
        <x:v>PRACTICAL Q&amp;A</x:v>
      </x:c>
      <x:c r="G29" s="9" t="str">
        <x:v>PRACTICAL Q&amp;A</x:v>
      </x:c>
      <x:c r="H29" s="9" t="str">
        <x:v>PRACTICAL Q&amp;A</x:v>
      </x:c>
      <x:c r="I29" s="9" t="str">
        <x:v>PRACTICAL Q&amp;A</x:v>
      </x:c>
      <x:c r="J29" s="9" t="str">
        <x:v>PRACTICAL Q&amp;A</x:v>
      </x:c>
    </x:row>
    <x:row r="30" ht="34" customHeight="1">
      <x:c r="A30" s="22" t="str">
        <x:v>What should I replace first?</x:v>
      </x:c>
      <x:c r="B30" s="17" t="str">
        <x:v>Replace blue cells on Annual Inputs, then review scenario drivers and selected values on Assumptions.</x:v>
      </x:c>
      <x:c r="C30" s="17" t="str"/>
      <x:c r="D30" s="17" t="str"/>
      <x:c r="E30" s="17" t="str"/>
      <x:c r="F30" s="17" t="str"/>
      <x:c r="G30" s="17" t="str"/>
      <x:c r="H30" s="17" t="str"/>
      <x:c r="I30" s="17" t="str"/>
      <x:c r="J30" s="17" t="str"/>
    </x:row>
    <x:row r="31" ht="34" customHeight="1">
      <x:c r="A31" s="22" t="str">
        <x:v>How do I flex the template?</x:v>
      </x:c>
      <x:c r="B31" s="17" t="str">
        <x:v>Add periods or input rows in the source layer, extend formulas and formats together, and reconcile the new dimension back to Retirement Plan and Checks.</x:v>
      </x:c>
      <x:c r="C31" s="17" t="str"/>
      <x:c r="D31" s="17" t="str"/>
      <x:c r="E31" s="17" t="str"/>
      <x:c r="F31" s="17" t="str"/>
      <x:c r="G31" s="17" t="str"/>
      <x:c r="H31" s="17" t="str"/>
      <x:c r="I31" s="17" t="str"/>
      <x:c r="J31" s="17" t="str"/>
    </x:row>
    <x:row r="32" ht="34" customHeight="1">
      <x:c r="A32" s="22" t="str">
        <x:v>What does PASS mean?</x:v>
      </x:c>
      <x:c r="B32" s="17" t="str">
        <x:v>The published calculations and tie-outs are within tolerance. PASS does not confirm source quality, policy, accounting, regulation, tax, legal treatment, or suitability.</x:v>
      </x:c>
      <x:c r="C32" s="17" t="str"/>
      <x:c r="D32" s="17" t="str"/>
      <x:c r="E32" s="17" t="str"/>
      <x:c r="F32" s="17" t="str"/>
      <x:c r="G32" s="17" t="str"/>
      <x:c r="H32" s="17" t="str"/>
      <x:c r="I32" s="17" t="str"/>
      <x:c r="J32" s="17" t="str"/>
    </x:row>
    <x:row r="33" ht="34" customHeight="1">
      <x:c r="A33" s="22" t="str">
        <x:v>Can I use real company data?</x:v>
      </x:c>
      <x:c r="B33" s="17" t="str">
        <x:v>Yes, in your private copy. Confirm permissions, source ownership, privacy requirements, and distribution restrictions before sharing.</x:v>
      </x:c>
      <x:c r="C33" s="17" t="str"/>
      <x:c r="D33" s="17" t="str"/>
      <x:c r="E33" s="17" t="str"/>
      <x:c r="F33" s="17" t="str"/>
      <x:c r="G33" s="17" t="str"/>
      <x:c r="H33" s="17" t="str"/>
      <x:c r="I33" s="17" t="str"/>
      <x:c r="J33" s="17" t="str"/>
    </x:row>
    <x:row r="34" ht="34" customHeight="1">
      <x:c r="A34" s="22" t="str">
        <x:v>Does it work in Google Sheets or LibreOffice?</x:v>
      </x:c>
      <x:c r="B34" s="17" t="str">
        <x:v>Not verified. Excel 365 is the supported target; test formulas, charts, validations, formats, and checks after conversion.</x:v>
      </x:c>
      <x:c r="C34" s="17" t="str"/>
      <x:c r="D34" s="17" t="str"/>
      <x:c r="E34" s="17" t="str"/>
      <x:c r="F34" s="17" t="str"/>
      <x:c r="G34" s="17" t="str"/>
      <x:c r="H34" s="17" t="str"/>
      <x:c r="I34" s="17" t="str"/>
      <x:c r="J34" s="17" t="str"/>
    </x:row>
    <x:row r="35" ht="34" customHeight="1">
      <x:c r="A35" s="22" t="str">
        <x:v>Can this replace professional review?</x:v>
      </x:c>
      <x:c r="B35" s="17" t="str">
        <x:v>Educational deterministic scenario only; it is not a probability-of-success analysis or financial, tax, legal, pension, or investment advice. Validate lifespan, inflation, returns, taxes, fees, benefits, liquidity, risk capacity, and suitability with qualified professionals.</x:v>
      </x:c>
      <x:c r="C35" s="17" t="str"/>
      <x:c r="D35" s="17" t="str"/>
      <x:c r="E35" s="17" t="str"/>
      <x:c r="F35" s="17" t="str"/>
      <x:c r="G35" s="17" t="str"/>
      <x:c r="H35" s="17" t="str"/>
      <x:c r="I35" s="17" t="str"/>
      <x:c r="J35" s="17" t="str"/>
    </x:row>
    <x:row r="37">
      <x:c r="A37" s="42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B37" s="43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C37" s="43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D37" s="43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E37" s="43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F37" s="43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G37" s="43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H37" s="43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I37" s="43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J37" s="44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</x:row>
    <x:row r="38">
      <x:c r="A38" s="45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B38" s="46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C38" s="46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D38" s="46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E38" s="46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F38" s="46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G38" s="46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H38" s="46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I38" s="46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J38" s="47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</x:row>
    <x:row r="39">
      <x:c r="A39" s="48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B39" s="49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C39" s="49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D39" s="49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E39" s="49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F39" s="49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G39" s="49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H39" s="49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I39" s="49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  <x:c r="J39" s="50" t="str">
        <x:v>Deliberately excluded in version 1.0.0: probability of success; sequence-of-returns simulation; tax and pension rules; social benefits; fees and product selection; financial advice. Extend only after the underlying method, source availability, checks, and review responsibility are defined.</x:v>
      </x:c>
    </x:row>
    <x:row r="41">
      <x:c r="A41" s="53" t="str">
        <x:v>TDAT Model Library  |  Trust builds the brand. Insight builds the decision.</x:v>
      </x:c>
      <x:c r="B41" s="53" t="str">
        <x:v>TDAT Model Library  |  Trust builds the brand. Insight builds the decision.</x:v>
      </x:c>
      <x:c r="C41" s="53" t="str">
        <x:v>TDAT Model Library  |  Trust builds the brand. Insight builds the decision.</x:v>
      </x:c>
      <x:c r="D41" s="53" t="str">
        <x:v>TDAT Model Library  |  Trust builds the brand. Insight builds the decision.</x:v>
      </x:c>
      <x:c r="E41" s="53" t="str">
        <x:v>TDAT Model Library  |  Trust builds the brand. Insight builds the decision.</x:v>
      </x:c>
      <x:c r="F41" s="53" t="str">
        <x:v>TDAT Model Library  |  Trust builds the brand. Insight builds the decision.</x:v>
      </x:c>
      <x:c r="G41" s="53" t="str">
        <x:v>TDAT Model Library  |  Trust builds the brand. Insight builds the decision.</x:v>
      </x:c>
      <x:c r="H41" s="53" t="str">
        <x:v>TDAT Model Library  |  Trust builds the brand. Insight builds the decision.</x:v>
      </x:c>
      <x:c r="I41" s="53" t="str">
        <x:v>TDAT Model Library  |  Trust builds the brand. Insight builds the decision.</x:v>
      </x:c>
      <x:c r="J41" s="53" t="str">
        <x:v>TDAT Model Library  |  Trust builds the brand. Insight builds the decision.</x:v>
      </x:c>
    </x:row>
  </x:sheetData>
  <x:mergeCells>
    <x:mergeCell ref="A1:J1"/>
    <x:mergeCell ref="A2:J2"/>
    <x:mergeCell ref="A5:J5"/>
    <x:mergeCell ref="A6:J8"/>
    <x:mergeCell ref="A10:J10"/>
    <x:mergeCell ref="C11:J11"/>
    <x:mergeCell ref="C12:J12"/>
    <x:mergeCell ref="C13:J13"/>
    <x:mergeCell ref="C14:J14"/>
    <x:mergeCell ref="C15:J15"/>
    <x:mergeCell ref="C16:J16"/>
    <x:mergeCell ref="A18:J18"/>
    <x:mergeCell ref="B19:J19"/>
    <x:mergeCell ref="B20:J20"/>
    <x:mergeCell ref="B21:J21"/>
    <x:mergeCell ref="B22:J22"/>
    <x:mergeCell ref="B23:J23"/>
    <x:mergeCell ref="B24:J24"/>
    <x:mergeCell ref="B25:J25"/>
    <x:mergeCell ref="B26:J26"/>
    <x:mergeCell ref="B27:J27"/>
    <x:mergeCell ref="A29:J29"/>
    <x:mergeCell ref="B30:J30"/>
    <x:mergeCell ref="B31:J31"/>
    <x:mergeCell ref="B32:J32"/>
    <x:mergeCell ref="B33:J33"/>
    <x:mergeCell ref="B34:J34"/>
    <x:mergeCell ref="B35:J35"/>
    <x:mergeCell ref="A37:J39"/>
    <x:mergeCell ref="A41:J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44" hidden="0" customWidth="1"/>
  </x:cols>
  <x:sheetData>
    <x:row r="1" ht="34" customHeight="1">
      <x:c r="A1" s="3" t="str">
        <x:v>ASSUMPTIONS &amp; SCENARIOS</x:v>
      </x:c>
      <x:c r="B1" s="3" t="str">
        <x:v>ASSUMPTIONS &amp; SCENARIOS</x:v>
      </x:c>
      <x:c r="C1" s="3" t="str">
        <x:v>ASSUMPTIONS &amp; SCENARIOS</x:v>
      </x:c>
      <x:c r="D1" s="3" t="str">
        <x:v>ASSUMPTIONS &amp; SCENARIOS</x:v>
      </x:c>
      <x:c r="E1" s="3" t="str">
        <x:v>ASSUMPTIONS &amp; SCENARIOS</x:v>
      </x:c>
      <x:c r="F1" s="3" t="str">
        <x:v>ASSUMPTIONS &amp; SCENARIOS</x:v>
      </x:c>
      <x:c r="G1" s="3" t="str">
        <x:v>ASSUMPTIONS &amp; SCENARIOS</x:v>
      </x:c>
    </x:row>
    <x:row r="2" ht="24" customHeight="1">
      <x:c r="A2" s="6" t="str">
        <x:v>Retirement Scenario Planner  |  One controlled selector and visible driver cases</x:v>
      </x:c>
      <x:c r="B2" s="6" t="str">
        <x:v>Retirement Scenario Planner  |  One controlled selector and visible driver cases</x:v>
      </x:c>
      <x:c r="C2" s="6" t="str">
        <x:v>Retirement Scenario Planner  |  One controlled selector and visible driver cases</x:v>
      </x:c>
      <x:c r="D2" s="6" t="str">
        <x:v>Retirement Scenario Planner  |  One controlled selector and visible driver cases</x:v>
      </x:c>
      <x:c r="E2" s="6" t="str">
        <x:v>Retirement Scenario Planner  |  One controlled selector and visible driver cases</x:v>
      </x:c>
      <x:c r="F2" s="6" t="str">
        <x:v>Retirement Scenario Planner  |  One controlled selector and visible driver cases</x:v>
      </x:c>
      <x:c r="G2" s="6" t="str">
        <x:v>Retirement Scenario Planner  |  One controlled selector and visible driver cases</x:v>
      </x:c>
    </x:row>
    <x:row r="3" ht="4" customHeight="1">
      <x:c r="A3" s="54" t="str">
        <x:v>Selected Scenario</x:v>
      </x:c>
      <x:c r="B3" s="56" t="str">
        <x:v>Base</x:v>
      </x:c>
      <x:c r="C3" s="7"/>
      <x:c r="D3" s="7"/>
      <x:c r="E3" s="7"/>
      <x:c r="F3" s="7"/>
      <x:c r="G3" s="7"/>
    </x:row>
    <x:row r="5" ht="24" customHeight="1">
      <x:c r="A5" s="66" t="str">
        <x:v>Driver</x:v>
      </x:c>
      <x:c r="B5" s="67" t="str">
        <x:v>Unit</x:v>
      </x:c>
      <x:c r="C5" s="67" t="str">
        <x:v>Base</x:v>
      </x:c>
      <x:c r="D5" s="67" t="str">
        <x:v>Upside</x:v>
      </x:c>
      <x:c r="E5" s="67" t="str">
        <x:v>Downside</x:v>
      </x:c>
      <x:c r="F5" s="67" t="str">
        <x:v>Selected</x:v>
      </x:c>
      <x:c r="G5" s="68" t="str">
        <x:v>Rationale / edit cue</x:v>
      </x:c>
    </x:row>
    <x:row r="6">
      <x:c r="A6" s="84" t="str">
        <x:v>Starting invested balance</x:v>
      </x:c>
      <x:c r="B6" s="85" t="str">
        <x:v>LCY</x:v>
      </x:c>
      <x:c r="C6" s="86" t="n">
        <x:v>120</x:v>
      </x:c>
      <x:c r="D6" s="86" t="n">
        <x:v>150</x:v>
      </x:c>
      <x:c r="E6" s="86" t="n">
        <x:v>90</x:v>
      </x:c>
      <x:c r="F6" s="87" t="n">
        <x:f>IF($B$3="Base",C6,IF($B$3="Upside",D6,E6))</x:f>
        <x:v>120</x:v>
      </x:c>
      <x:c r="G6" s="88" t="str">
        <x:v>Replace with an approved, sourced assumption.</x:v>
      </x:c>
    </x:row>
    <x:row r="7">
      <x:c r="A7" s="89" t="str">
        <x:v>Annual nominal return</x:v>
      </x:c>
      <x:c r="B7" s="90" t="str">
        <x:v>%</x:v>
      </x:c>
      <x:c r="C7" s="91" t="n">
        <x:v>0.065</x:v>
      </x:c>
      <x:c r="D7" s="91" t="n">
        <x:v>0.085</x:v>
      </x:c>
      <x:c r="E7" s="91" t="n">
        <x:v>0.035</x:v>
      </x:c>
      <x:c r="F7" s="92" t="n">
        <x:f>IF($B$3="Base",C7,IF($B$3="Upside",D7,E7))</x:f>
        <x:v>0.065</x:v>
      </x:c>
      <x:c r="G7" s="93" t="str">
        <x:v>Replace with an approved, sourced assumption.</x:v>
      </x:c>
    </x:row>
    <x:row r="8">
      <x:c r="A8" s="89" t="str">
        <x:v>Annual inflation</x:v>
      </x:c>
      <x:c r="B8" s="90" t="str">
        <x:v>%</x:v>
      </x:c>
      <x:c r="C8" s="91" t="n">
        <x:v>0.025</x:v>
      </x:c>
      <x:c r="D8" s="91" t="n">
        <x:v>0.02</x:v>
      </x:c>
      <x:c r="E8" s="91" t="n">
        <x:v>0.04</x:v>
      </x:c>
      <x:c r="F8" s="92" t="n">
        <x:f>IF($B$3="Base",C8,IF($B$3="Upside",D8,E8))</x:f>
        <x:v>0.025</x:v>
      </x:c>
      <x:c r="G8" s="93" t="str">
        <x:v>Replace with an approved, sourced assumption.</x:v>
      </x:c>
    </x:row>
    <x:row r="9">
      <x:c r="A9" s="89" t="str">
        <x:v>Retirement age</x:v>
      </x:c>
      <x:c r="B9" s="90" t="str">
        <x:v>age</x:v>
      </x:c>
      <x:c r="C9" s="94" t="n">
        <x:v>60</x:v>
      </x:c>
      <x:c r="D9" s="94" t="n">
        <x:v>63</x:v>
      </x:c>
      <x:c r="E9" s="94" t="n">
        <x:v>57</x:v>
      </x:c>
      <x:c r="F9" s="95" t="n">
        <x:f>IF($B$3="Base",C9,IF($B$3="Upside",D9,E9))</x:f>
        <x:v>60</x:v>
      </x:c>
      <x:c r="G9" s="93" t="str">
        <x:v>Replace with an approved, sourced assumption.</x:v>
      </x:c>
    </x:row>
    <x:row r="10">
      <x:c r="A10" s="96" t="str">
        <x:v>Minimum end balance</x:v>
      </x:c>
      <x:c r="B10" s="97" t="str">
        <x:v>LCY</x:v>
      </x:c>
      <x:c r="C10" s="98" t="n">
        <x:v>0</x:v>
      </x:c>
      <x:c r="D10" s="98" t="n">
        <x:v>50</x:v>
      </x:c>
      <x:c r="E10" s="98" t="n">
        <x:v>0</x:v>
      </x:c>
      <x:c r="F10" s="99" t="n">
        <x:f>IF($B$3="Base",C10,IF($B$3="Upside",D10,E10))</x:f>
        <x:v>0</x:v>
      </x:c>
      <x:c r="G10" s="100" t="str">
        <x:v>Replace with an approved, sourced assumption.</x:v>
      </x:c>
    </x:row>
    <x:row r="12">
      <x:c r="A12" s="42" t="str">
        <x:v>Scenario discipline: change a small number of decision-relevant drivers, preserve the core formula architecture, and document what changed, why, who owns it, and what action follows.</x:v>
      </x:c>
      <x:c r="B12" s="43" t="str">
        <x:v>Scenario discipline: change a small number of decision-relevant drivers, preserve the core formula architecture, and document what changed, why, who owns it, and what action follows.</x:v>
      </x:c>
      <x:c r="C12" s="43" t="str">
        <x:v>Scenario discipline: change a small number of decision-relevant drivers, preserve the core formula architecture, and document what changed, why, who owns it, and what action follows.</x:v>
      </x:c>
      <x:c r="D12" s="43" t="str">
        <x:v>Scenario discipline: change a small number of decision-relevant drivers, preserve the core formula architecture, and document what changed, why, who owns it, and what action follows.</x:v>
      </x:c>
      <x:c r="E12" s="43" t="str">
        <x:v>Scenario discipline: change a small number of decision-relevant drivers, preserve the core formula architecture, and document what changed, why, who owns it, and what action follows.</x:v>
      </x:c>
      <x:c r="F12" s="43" t="str">
        <x:v>Scenario discipline: change a small number of decision-relevant drivers, preserve the core formula architecture, and document what changed, why, who owns it, and what action follows.</x:v>
      </x:c>
      <x:c r="G12" s="44" t="str">
        <x:v>Scenario discipline: change a small number of decision-relevant drivers, preserve the core formula architecture, and document what changed, why, who owns it, and what action follows.</x:v>
      </x:c>
    </x:row>
    <x:row r="13">
      <x:c r="A13" s="45" t="str">
        <x:v>Scenario discipline: change a small number of decision-relevant drivers, preserve the core formula architecture, and document what changed, why, who owns it, and what action follows.</x:v>
      </x:c>
      <x:c r="B13" s="46" t="str">
        <x:v>Scenario discipline: change a small number of decision-relevant drivers, preserve the core formula architecture, and document what changed, why, who owns it, and what action follows.</x:v>
      </x:c>
      <x:c r="C13" s="46" t="str">
        <x:v>Scenario discipline: change a small number of decision-relevant drivers, preserve the core formula architecture, and document what changed, why, who owns it, and what action follows.</x:v>
      </x:c>
      <x:c r="D13" s="46" t="str">
        <x:v>Scenario discipline: change a small number of decision-relevant drivers, preserve the core formula architecture, and document what changed, why, who owns it, and what action follows.</x:v>
      </x:c>
      <x:c r="E13" s="46" t="str">
        <x:v>Scenario discipline: change a small number of decision-relevant drivers, preserve the core formula architecture, and document what changed, why, who owns it, and what action follows.</x:v>
      </x:c>
      <x:c r="F13" s="46" t="str">
        <x:v>Scenario discipline: change a small number of decision-relevant drivers, preserve the core formula architecture, and document what changed, why, who owns it, and what action follows.</x:v>
      </x:c>
      <x:c r="G13" s="47" t="str">
        <x:v>Scenario discipline: change a small number of decision-relevant drivers, preserve the core formula architecture, and document what changed, why, who owns it, and what action follows.</x:v>
      </x:c>
    </x:row>
    <x:row r="14">
      <x:c r="A14" s="48" t="str">
        <x:v>Scenario discipline: change a small number of decision-relevant drivers, preserve the core formula architecture, and document what changed, why, who owns it, and what action follows.</x:v>
      </x:c>
      <x:c r="B14" s="49" t="str">
        <x:v>Scenario discipline: change a small number of decision-relevant drivers, preserve the core formula architecture, and document what changed, why, who owns it, and what action follows.</x:v>
      </x:c>
      <x:c r="C14" s="49" t="str">
        <x:v>Scenario discipline: change a small number of decision-relevant drivers, preserve the core formula architecture, and document what changed, why, who owns it, and what action follows.</x:v>
      </x:c>
      <x:c r="D14" s="49" t="str">
        <x:v>Scenario discipline: change a small number of decision-relevant drivers, preserve the core formula architecture, and document what changed, why, who owns it, and what action follows.</x:v>
      </x:c>
      <x:c r="E14" s="49" t="str">
        <x:v>Scenario discipline: change a small number of decision-relevant drivers, preserve the core formula architecture, and document what changed, why, who owns it, and what action follows.</x:v>
      </x:c>
      <x:c r="F14" s="49" t="str">
        <x:v>Scenario discipline: change a small number of decision-relevant drivers, preserve the core formula architecture, and document what changed, why, who owns it, and what action follows.</x:v>
      </x:c>
      <x:c r="G14" s="50" t="str">
        <x:v>Scenario discipline: change a small number of decision-relevant drivers, preserve the core formula architecture, and document what changed, why, who owns it, and what action follows.</x:v>
      </x:c>
    </x:row>
    <x:row r="16">
      <x:c r="A16" s="53" t="str">
        <x:v>TDAT Model Library  |  Trust builds the brand. Insight builds the decision.</x:v>
      </x:c>
      <x:c r="B16" s="53" t="str">
        <x:v>TDAT Model Library  |  Trust builds the brand. Insight builds the decision.</x:v>
      </x:c>
      <x:c r="C16" s="53" t="str">
        <x:v>TDAT Model Library  |  Trust builds the brand. Insight builds the decision.</x:v>
      </x:c>
      <x:c r="D16" s="53" t="str">
        <x:v>TDAT Model Library  |  Trust builds the brand. Insight builds the decision.</x:v>
      </x:c>
      <x:c r="E16" s="53" t="str">
        <x:v>TDAT Model Library  |  Trust builds the brand. Insight builds the decision.</x:v>
      </x:c>
      <x:c r="F16" s="53" t="str">
        <x:v>TDAT Model Library  |  Trust builds the brand. Insight builds the decision.</x:v>
      </x:c>
      <x:c r="G16" s="53" t="str">
        <x:v>TDAT Model Library  |  Trust builds the brand. Insight builds the decision.</x:v>
      </x:c>
    </x:row>
  </x:sheetData>
  <x:mergeCells>
    <x:mergeCell ref="A1:G1"/>
    <x:mergeCell ref="A2:G2"/>
    <x:mergeCell ref="A12:G14"/>
    <x:mergeCell ref="A16:G16"/>
  </x:mergeCells>
  <x:dataValidations count="1">
    <x:dataValidation type="list" sqref="B3">
      <x:formula1>"Base,Upside,Downside"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</x:cols>
  <x:sheetData>
    <x:row r="1" ht="34" customHeight="1">
      <x:c r="A1" s="3" t="str">
        <x:v>ANNUAL INPUTS</x:v>
      </x:c>
      <x:c r="B1" s="3" t="str">
        <x:v>ANNUAL INPUTS</x:v>
      </x:c>
      <x:c r="C1" s="3" t="str">
        <x:v>ANNUAL INPUTS</x:v>
      </x:c>
      <x:c r="D1" s="3" t="str">
        <x:v>ANNUAL INPUTS</x:v>
      </x:c>
      <x:c r="E1" s="3" t="str">
        <x:v>ANNUAL INPUTS</x:v>
      </x:c>
      <x:c r="F1" s="3" t="str">
        <x:v>ANNUAL INPUTS</x:v>
      </x:c>
      <x:c r="G1" s="3" t="str">
        <x:v>ANNUAL INPUTS</x:v>
      </x:c>
      <x:c r="H1" s="3" t="str">
        <x:v>ANNUAL INPUTS</x:v>
      </x:c>
      <x:c r="I1" s="3" t="str">
        <x:v>ANNUAL INPUTS</x:v>
      </x:c>
      <x:c r="J1" s="3" t="str">
        <x:v>ANNUAL INPUTS</x:v>
      </x:c>
      <x:c r="K1" s="3" t="str">
        <x:v>ANNUAL INPUTS</x:v>
      </x:c>
      <x:c r="L1" s="3" t="str">
        <x:v>ANNUAL INPUTS</x:v>
      </x:c>
      <x:c r="M1" s="3" t="str">
        <x:v>ANNUAL INPUTS</x:v>
      </x:c>
      <x:c r="N1" s="3" t="str">
        <x:v>ANNUAL INPUTS</x:v>
      </x:c>
      <x:c r="O1" s="3" t="str">
        <x:v>ANNUAL INPUTS</x:v>
      </x:c>
      <x:c r="P1" s="3" t="str">
        <x:v>ANNUAL INPUTS</x:v>
      </x:c>
      <x:c r="Q1" s="3" t="str">
        <x:v>ANNUAL INPUTS</x:v>
      </x:c>
      <x:c r="R1" s="3" t="str">
        <x:v>ANNUAL INPUTS</x:v>
      </x:c>
      <x:c r="S1" s="3" t="str">
        <x:v>ANNUAL INPUTS</x:v>
      </x:c>
      <x:c r="T1" s="3" t="str">
        <x:v>ANNUAL INPUTS</x:v>
      </x:c>
      <x:c r="U1" s="3" t="str">
        <x:v>ANNUAL INPUTS</x:v>
      </x:c>
      <x:c r="V1" s="3" t="str">
        <x:v>ANNUAL INPUTS</x:v>
      </x:c>
      <x:c r="W1" s="3" t="str">
        <x:v>ANNUAL INPUTS</x:v>
      </x:c>
      <x:c r="X1" s="3" t="str">
        <x:v>ANNUAL INPUTS</x:v>
      </x:c>
      <x:c r="Y1" s="3" t="str">
        <x:v>ANNUAL INPUTS</x:v>
      </x:c>
      <x:c r="Z1" s="3" t="str">
        <x:v>ANNUAL INPUTS</x:v>
      </x:c>
      <x:c r="AA1" s="3" t="str">
        <x:v>ANNUAL INPUTS</x:v>
      </x:c>
      <x:c r="AB1" s="3" t="str">
        <x:v>ANNUAL INPUTS</x:v>
      </x:c>
      <x:c r="AC1" s="3" t="str">
        <x:v>ANNUAL INPUTS</x:v>
      </x:c>
      <x:c r="AD1" s="3" t="str">
        <x:v>ANNUAL INPUTS</x:v>
      </x:c>
      <x:c r="AE1" s="3" t="str">
        <x:v>ANNUAL INPUTS</x:v>
      </x:c>
      <x:c r="AF1" s="3" t="str">
        <x:v>ANNUAL INPUTS</x:v>
      </x:c>
      <x:c r="AG1" s="3" t="str">
        <x:v>ANNUAL INPUTS</x:v>
      </x:c>
      <x:c r="AH1" s="3" t="str">
        <x:v>ANNUAL INPUTS</x:v>
      </x:c>
      <x:c r="AI1" s="3" t="str">
        <x:v>ANNUAL INPUTS</x:v>
      </x:c>
      <x:c r="AJ1" s="3" t="str">
        <x:v>ANNUAL INPUTS</x:v>
      </x:c>
      <x:c r="AK1" s="3" t="str">
        <x:v>ANNUAL INPUTS</x:v>
      </x:c>
      <x:c r="AL1" s="3" t="str">
        <x:v>ANNUAL INPUTS</x:v>
      </x:c>
      <x:c r="AM1" s="3" t="str">
        <x:v>ANNUAL INPUTS</x:v>
      </x:c>
      <x:c r="AN1" s="3" t="str">
        <x:v>ANNUAL INPUTS</x:v>
      </x:c>
      <x:c r="AO1" s="3" t="str">
        <x:v>ANNUAL INPUTS</x:v>
      </x:c>
      <x:c r="AP1" s="3" t="str">
        <x:v>ANNUAL INPUTS</x:v>
      </x:c>
    </x:row>
    <x:row r="2" ht="24" customHeight="1">
      <x:c r="A2" s="6" t="str">
        <x:v>Retirement Scenario Planner  |  Synthetic worked inputs — replace blue cells</x:v>
      </x:c>
      <x:c r="B2" s="6" t="str">
        <x:v>Retirement Scenario Planner  |  Synthetic worked inputs — replace blue cells</x:v>
      </x:c>
      <x:c r="C2" s="6" t="str">
        <x:v>Retirement Scenario Planner  |  Synthetic worked inputs — replace blue cells</x:v>
      </x:c>
      <x:c r="D2" s="6" t="str">
        <x:v>Retirement Scenario Planner  |  Synthetic worked inputs — replace blue cells</x:v>
      </x:c>
      <x:c r="E2" s="6" t="str">
        <x:v>Retirement Scenario Planner  |  Synthetic worked inputs — replace blue cells</x:v>
      </x:c>
      <x:c r="F2" s="6" t="str">
        <x:v>Retirement Scenario Planner  |  Synthetic worked inputs — replace blue cells</x:v>
      </x:c>
      <x:c r="G2" s="6" t="str">
        <x:v>Retirement Scenario Planner  |  Synthetic worked inputs — replace blue cells</x:v>
      </x:c>
      <x:c r="H2" s="6" t="str">
        <x:v>Retirement Scenario Planner  |  Synthetic worked inputs — replace blue cells</x:v>
      </x:c>
      <x:c r="I2" s="6" t="str">
        <x:v>Retirement Scenario Planner  |  Synthetic worked inputs — replace blue cells</x:v>
      </x:c>
      <x:c r="J2" s="6" t="str">
        <x:v>Retirement Scenario Planner  |  Synthetic worked inputs — replace blue cells</x:v>
      </x:c>
      <x:c r="K2" s="6" t="str">
        <x:v>Retirement Scenario Planner  |  Synthetic worked inputs — replace blue cells</x:v>
      </x:c>
      <x:c r="L2" s="6" t="str">
        <x:v>Retirement Scenario Planner  |  Synthetic worked inputs — replace blue cells</x:v>
      </x:c>
      <x:c r="M2" s="6" t="str">
        <x:v>Retirement Scenario Planner  |  Synthetic worked inputs — replace blue cells</x:v>
      </x:c>
      <x:c r="N2" s="6" t="str">
        <x:v>Retirement Scenario Planner  |  Synthetic worked inputs — replace blue cells</x:v>
      </x:c>
      <x:c r="O2" s="6" t="str">
        <x:v>Retirement Scenario Planner  |  Synthetic worked inputs — replace blue cells</x:v>
      </x:c>
      <x:c r="P2" s="6" t="str">
        <x:v>Retirement Scenario Planner  |  Synthetic worked inputs — replace blue cells</x:v>
      </x:c>
      <x:c r="Q2" s="6" t="str">
        <x:v>Retirement Scenario Planner  |  Synthetic worked inputs — replace blue cells</x:v>
      </x:c>
      <x:c r="R2" s="6" t="str">
        <x:v>Retirement Scenario Planner  |  Synthetic worked inputs — replace blue cells</x:v>
      </x:c>
      <x:c r="S2" s="6" t="str">
        <x:v>Retirement Scenario Planner  |  Synthetic worked inputs — replace blue cells</x:v>
      </x:c>
      <x:c r="T2" s="6" t="str">
        <x:v>Retirement Scenario Planner  |  Synthetic worked inputs — replace blue cells</x:v>
      </x:c>
      <x:c r="U2" s="6" t="str">
        <x:v>Retirement Scenario Planner  |  Synthetic worked inputs — replace blue cells</x:v>
      </x:c>
      <x:c r="V2" s="6" t="str">
        <x:v>Retirement Scenario Planner  |  Synthetic worked inputs — replace blue cells</x:v>
      </x:c>
      <x:c r="W2" s="6" t="str">
        <x:v>Retirement Scenario Planner  |  Synthetic worked inputs — replace blue cells</x:v>
      </x:c>
      <x:c r="X2" s="6" t="str">
        <x:v>Retirement Scenario Planner  |  Synthetic worked inputs — replace blue cells</x:v>
      </x:c>
      <x:c r="Y2" s="6" t="str">
        <x:v>Retirement Scenario Planner  |  Synthetic worked inputs — replace blue cells</x:v>
      </x:c>
      <x:c r="Z2" s="6" t="str">
        <x:v>Retirement Scenario Planner  |  Synthetic worked inputs — replace blue cells</x:v>
      </x:c>
      <x:c r="AA2" s="6" t="str">
        <x:v>Retirement Scenario Planner  |  Synthetic worked inputs — replace blue cells</x:v>
      </x:c>
      <x:c r="AB2" s="6" t="str">
        <x:v>Retirement Scenario Planner  |  Synthetic worked inputs — replace blue cells</x:v>
      </x:c>
      <x:c r="AC2" s="6" t="str">
        <x:v>Retirement Scenario Planner  |  Synthetic worked inputs — replace blue cells</x:v>
      </x:c>
      <x:c r="AD2" s="6" t="str">
        <x:v>Retirement Scenario Planner  |  Synthetic worked inputs — replace blue cells</x:v>
      </x:c>
      <x:c r="AE2" s="6" t="str">
        <x:v>Retirement Scenario Planner  |  Synthetic worked inputs — replace blue cells</x:v>
      </x:c>
      <x:c r="AF2" s="6" t="str">
        <x:v>Retirement Scenario Planner  |  Synthetic worked inputs — replace blue cells</x:v>
      </x:c>
      <x:c r="AG2" s="6" t="str">
        <x:v>Retirement Scenario Planner  |  Synthetic worked inputs — replace blue cells</x:v>
      </x:c>
      <x:c r="AH2" s="6" t="str">
        <x:v>Retirement Scenario Planner  |  Synthetic worked inputs — replace blue cells</x:v>
      </x:c>
      <x:c r="AI2" s="6" t="str">
        <x:v>Retirement Scenario Planner  |  Synthetic worked inputs — replace blue cells</x:v>
      </x:c>
      <x:c r="AJ2" s="6" t="str">
        <x:v>Retirement Scenario Planner  |  Synthetic worked inputs — replace blue cells</x:v>
      </x:c>
      <x:c r="AK2" s="6" t="str">
        <x:v>Retirement Scenario Planner  |  Synthetic worked inputs — replace blue cells</x:v>
      </x:c>
      <x:c r="AL2" s="6" t="str">
        <x:v>Retirement Scenario Planner  |  Synthetic worked inputs — replace blue cells</x:v>
      </x:c>
      <x:c r="AM2" s="6" t="str">
        <x:v>Retirement Scenario Planner  |  Synthetic worked inputs — replace blue cells</x:v>
      </x:c>
      <x:c r="AN2" s="6" t="str">
        <x:v>Retirement Scenario Planner  |  Synthetic worked inputs — replace blue cells</x:v>
      </x:c>
      <x:c r="AO2" s="6" t="str">
        <x:v>Retirement Scenario Planner  |  Synthetic worked inputs — replace blue cells</x:v>
      </x:c>
      <x:c r="AP2" s="6" t="str">
        <x:v>Retirement Scenario Planner  |  Synthetic worked inputs — replace blue cells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</x:row>
    <x:row r="5" ht="24" customHeight="1">
      <x:c r="A5" s="66" t="str">
        <x:v>Input / Period</x:v>
      </x:c>
      <x:c r="B5" s="67" t="str">
        <x:v>30</x:v>
      </x:c>
      <x:c r="C5" s="67" t="str">
        <x:v>31</x:v>
      </x:c>
      <x:c r="D5" s="67" t="str">
        <x:v>32</x:v>
      </x:c>
      <x:c r="E5" s="67" t="str">
        <x:v>33</x:v>
      </x:c>
      <x:c r="F5" s="67" t="str">
        <x:v>34</x:v>
      </x:c>
      <x:c r="G5" s="67" t="str">
        <x:v>35</x:v>
      </x:c>
      <x:c r="H5" s="67" t="str">
        <x:v>36</x:v>
      </x:c>
      <x:c r="I5" s="67" t="str">
        <x:v>37</x:v>
      </x:c>
      <x:c r="J5" s="67" t="str">
        <x:v>38</x:v>
      </x:c>
      <x:c r="K5" s="67" t="str">
        <x:v>39</x:v>
      </x:c>
      <x:c r="L5" s="67" t="str">
        <x:v>40</x:v>
      </x:c>
      <x:c r="M5" s="67" t="str">
        <x:v>41</x:v>
      </x:c>
      <x:c r="N5" s="67" t="str">
        <x:v>42</x:v>
      </x:c>
      <x:c r="O5" s="67" t="str">
        <x:v>43</x:v>
      </x:c>
      <x:c r="P5" s="67" t="str">
        <x:v>44</x:v>
      </x:c>
      <x:c r="Q5" s="67" t="str">
        <x:v>45</x:v>
      </x:c>
      <x:c r="R5" s="67" t="str">
        <x:v>46</x:v>
      </x:c>
      <x:c r="S5" s="67" t="str">
        <x:v>47</x:v>
      </x:c>
      <x:c r="T5" s="67" t="str">
        <x:v>48</x:v>
      </x:c>
      <x:c r="U5" s="67" t="str">
        <x:v>49</x:v>
      </x:c>
      <x:c r="V5" s="67" t="str">
        <x:v>50</x:v>
      </x:c>
      <x:c r="W5" s="67" t="str">
        <x:v>51</x:v>
      </x:c>
      <x:c r="X5" s="67" t="str">
        <x:v>52</x:v>
      </x:c>
      <x:c r="Y5" s="67" t="str">
        <x:v>53</x:v>
      </x:c>
      <x:c r="Z5" s="67" t="str">
        <x:v>54</x:v>
      </x:c>
      <x:c r="AA5" s="67" t="str">
        <x:v>55</x:v>
      </x:c>
      <x:c r="AB5" s="67" t="str">
        <x:v>56</x:v>
      </x:c>
      <x:c r="AC5" s="67" t="str">
        <x:v>57</x:v>
      </x:c>
      <x:c r="AD5" s="67" t="str">
        <x:v>58</x:v>
      </x:c>
      <x:c r="AE5" s="67" t="str">
        <x:v>59</x:v>
      </x:c>
      <x:c r="AF5" s="67" t="str">
        <x:v>60</x:v>
      </x:c>
      <x:c r="AG5" s="67" t="str">
        <x:v>61</x:v>
      </x:c>
      <x:c r="AH5" s="67" t="str">
        <x:v>62</x:v>
      </x:c>
      <x:c r="AI5" s="67" t="str">
        <x:v>63</x:v>
      </x:c>
      <x:c r="AJ5" s="67" t="str">
        <x:v>64</x:v>
      </x:c>
      <x:c r="AK5" s="67" t="str">
        <x:v>65</x:v>
      </x:c>
      <x:c r="AL5" s="67" t="str">
        <x:v>66</x:v>
      </x:c>
      <x:c r="AM5" s="67" t="str">
        <x:v>67</x:v>
      </x:c>
      <x:c r="AN5" s="67" t="str">
        <x:v>68</x:v>
      </x:c>
      <x:c r="AO5" s="67" t="str">
        <x:v>69</x:v>
      </x:c>
      <x:c r="AP5" s="68" t="str">
        <x:v>70</x:v>
      </x:c>
    </x:row>
    <x:row r="6">
      <x:c r="A6" s="102" t="str">
        <x:v>Annual contribution before retirement</x:v>
      </x:c>
      <x:c r="B6" s="103" t="n">
        <x:v>15</x:v>
      </x:c>
      <x:c r="C6" s="103" t="n">
        <x:v>15.374999999999998</x:v>
      </x:c>
      <x:c r="D6" s="103" t="n">
        <x:v>15.759374999999999</x:v>
      </x:c>
      <x:c r="E6" s="103" t="n">
        <x:v>16.153359374999994</x:v>
      </x:c>
      <x:c r="F6" s="103" t="n">
        <x:v>16.557193359374992</x:v>
      </x:c>
      <x:c r="G6" s="103" t="n">
        <x:v>16.971123193359368</x:v>
      </x:c>
      <x:c r="H6" s="103" t="n">
        <x:v>17.39540127319335</x:v>
      </x:c>
      <x:c r="I6" s="103" t="n">
        <x:v>17.830286305023183</x:v>
      </x:c>
      <x:c r="J6" s="103" t="n">
        <x:v>18.276043462648758</x:v>
      </x:c>
      <x:c r="K6" s="103" t="n">
        <x:v>18.732944549214977</x:v>
      </x:c>
      <x:c r="L6" s="103" t="n">
        <x:v>19.20126816294535</x:v>
      </x:c>
      <x:c r="M6" s="103" t="n">
        <x:v>19.681299867018982</x:v>
      </x:c>
      <x:c r="N6" s="103" t="n">
        <x:v>20.173332363694456</x:v>
      </x:c>
      <x:c r="O6" s="103" t="n">
        <x:v>20.677665672786812</x:v>
      </x:c>
      <x:c r="P6" s="103" t="n">
        <x:v>21.194607314606486</x:v>
      </x:c>
      <x:c r="Q6" s="103" t="n">
        <x:v>21.724472497471645</x:v>
      </x:c>
      <x:c r="R6" s="103" t="n">
        <x:v>22.267584309908433</x:v>
      </x:c>
      <x:c r="S6" s="103" t="n">
        <x:v>22.824273917656143</x:v>
      </x:c>
      <x:c r="T6" s="103" t="n">
        <x:v>23.39488076559754</x:v>
      </x:c>
      <x:c r="U6" s="103" t="n">
        <x:v>23.979752784737478</x:v>
      </x:c>
      <x:c r="V6" s="103" t="n">
        <x:v>24.579246604355912</x:v>
      </x:c>
      <x:c r="W6" s="103" t="n">
        <x:v>25.19372776946481</x:v>
      </x:c>
      <x:c r="X6" s="103" t="n">
        <x:v>25.823570963701428</x:v>
      </x:c>
      <x:c r="Y6" s="103" t="n">
        <x:v>26.469160237793965</x:v>
      </x:c>
      <x:c r="Z6" s="103" t="n">
        <x:v>27.130889243738807</x:v>
      </x:c>
      <x:c r="AA6" s="103" t="n">
        <x:v>27.809161474832276</x:v>
      </x:c>
      <x:c r="AB6" s="103" t="n">
        <x:v>28.50439051170308</x:v>
      </x:c>
      <x:c r="AC6" s="103" t="n">
        <x:v>29.217000274495657</x:v>
      </x:c>
      <x:c r="AD6" s="103" t="n">
        <x:v>29.947425281358047</x:v>
      </x:c>
      <x:c r="AE6" s="103" t="n">
        <x:v>30.696110913391994</x:v>
      </x:c>
      <x:c r="AF6" s="103" t="n">
        <x:v>31.463513686226786</x:v>
      </x:c>
      <x:c r="AG6" s="103" t="n">
        <x:v>32.25010152838246</x:v>
      </x:c>
      <x:c r="AH6" s="103" t="n">
        <x:v>33.056354066592014</x:v>
      </x:c>
      <x:c r="AI6" s="103" t="n">
        <x:v>33.882762918256816</x:v>
      </x:c>
      <x:c r="AJ6" s="103" t="n">
        <x:v>34.72983199121323</x:v>
      </x:c>
      <x:c r="AK6" s="103" t="n">
        <x:v>35.59807779099356</x:v>
      </x:c>
      <x:c r="AL6" s="103" t="n">
        <x:v>36.48802973576839</x:v>
      </x:c>
      <x:c r="AM6" s="103" t="n">
        <x:v>37.4002304791626</x:v>
      </x:c>
      <x:c r="AN6" s="103" t="n">
        <x:v>38.335236241141665</x:v>
      </x:c>
      <x:c r="AO6" s="103" t="n">
        <x:v>39.293617147170195</x:v>
      </x:c>
      <x:c r="AP6" s="103" t="n">
        <x:v>40.275957575849446</x:v>
      </x:c>
    </x:row>
    <x:row r="7">
      <x:c r="A7" s="104" t="str">
        <x:v>Annual withdrawal after retirement</x:v>
      </x:c>
      <x:c r="B7" s="105" t="n">
        <x:v>0</x:v>
      </x:c>
      <x:c r="C7" s="105" t="n">
        <x:v>0</x:v>
      </x:c>
      <x:c r="D7" s="105" t="n">
        <x:v>0</x:v>
      </x:c>
      <x:c r="E7" s="105" t="n">
        <x:v>0</x:v>
      </x:c>
      <x:c r="F7" s="105" t="n">
        <x:v>0</x:v>
      </x:c>
      <x:c r="G7" s="105" t="n">
        <x:v>0</x:v>
      </x:c>
      <x:c r="H7" s="105" t="n">
        <x:v>0</x:v>
      </x:c>
      <x:c r="I7" s="105" t="n">
        <x:v>0</x:v>
      </x:c>
      <x:c r="J7" s="105" t="n">
        <x:v>0</x:v>
      </x:c>
      <x:c r="K7" s="105" t="n">
        <x:v>0</x:v>
      </x:c>
      <x:c r="L7" s="105" t="n">
        <x:v>0</x:v>
      </x:c>
      <x:c r="M7" s="105" t="n">
        <x:v>0</x:v>
      </x:c>
      <x:c r="N7" s="105" t="n">
        <x:v>0</x:v>
      </x:c>
      <x:c r="O7" s="105" t="n">
        <x:v>0</x:v>
      </x:c>
      <x:c r="P7" s="105" t="n">
        <x:v>0</x:v>
      </x:c>
      <x:c r="Q7" s="105" t="n">
        <x:v>0</x:v>
      </x:c>
      <x:c r="R7" s="105" t="n">
        <x:v>0</x:v>
      </x:c>
      <x:c r="S7" s="105" t="n">
        <x:v>0</x:v>
      </x:c>
      <x:c r="T7" s="105" t="n">
        <x:v>0</x:v>
      </x:c>
      <x:c r="U7" s="105" t="n">
        <x:v>0</x:v>
      </x:c>
      <x:c r="V7" s="105" t="n">
        <x:v>0</x:v>
      </x:c>
      <x:c r="W7" s="105" t="n">
        <x:v>0</x:v>
      </x:c>
      <x:c r="X7" s="105" t="n">
        <x:v>0</x:v>
      </x:c>
      <x:c r="Y7" s="105" t="n">
        <x:v>0</x:v>
      </x:c>
      <x:c r="Z7" s="105" t="n">
        <x:v>0</x:v>
      </x:c>
      <x:c r="AA7" s="105" t="n">
        <x:v>0</x:v>
      </x:c>
      <x:c r="AB7" s="105" t="n">
        <x:v>0</x:v>
      </x:c>
      <x:c r="AC7" s="105" t="n">
        <x:v>0</x:v>
      </x:c>
      <x:c r="AD7" s="105" t="n">
        <x:v>0</x:v>
      </x:c>
      <x:c r="AE7" s="105" t="n">
        <x:v>0</x:v>
      </x:c>
      <x:c r="AF7" s="105" t="n">
        <x:v>42</x:v>
      </x:c>
      <x:c r="AG7" s="105" t="n">
        <x:v>43.05</x:v>
      </x:c>
      <x:c r="AH7" s="105" t="n">
        <x:v>44.12625</x:v>
      </x:c>
      <x:c r="AI7" s="105" t="n">
        <x:v>45.22940624999998</x:v>
      </x:c>
      <x:c r="AJ7" s="105" t="n">
        <x:v>46.36014140624998</x:v>
      </x:c>
      <x:c r="AK7" s="105" t="n">
        <x:v>47.519144941406225</x:v>
      </x:c>
      <x:c r="AL7" s="105" t="n">
        <x:v>48.70712356494138</x:v>
      </x:c>
      <x:c r="AM7" s="105" t="n">
        <x:v>49.924801654064915</x:v>
      </x:c>
      <x:c r="AN7" s="105" t="n">
        <x:v>51.17292169541653</x:v>
      </x:c>
      <x:c r="AO7" s="105" t="n">
        <x:v>52.45224473780194</x:v>
      </x:c>
      <x:c r="AP7" s="105" t="n">
        <x:v>53.76355085624698</x:v>
      </x:c>
    </x:row>
    <x:row r="9">
      <x:c r="A9" s="42" t="str">
        <x:v>Synthetic input pack. Preserve source definitions, units, period basis, and sign convention when replacing values.</x:v>
      </x:c>
      <x:c r="B9" s="43" t="str">
        <x:v>Synthetic input pack. Preserve source definitions, units, period basis, and sign convention when replacing values.</x:v>
      </x:c>
      <x:c r="C9" s="43" t="str">
        <x:v>Synthetic input pack. Preserve source definitions, units, period basis, and sign convention when replacing values.</x:v>
      </x:c>
      <x:c r="D9" s="43" t="str">
        <x:v>Synthetic input pack. Preserve source definitions, units, period basis, and sign convention when replacing values.</x:v>
      </x:c>
      <x:c r="E9" s="43" t="str">
        <x:v>Synthetic input pack. Preserve source definitions, units, period basis, and sign convention when replacing values.</x:v>
      </x:c>
      <x:c r="F9" s="43" t="str">
        <x:v>Synthetic input pack. Preserve source definitions, units, period basis, and sign convention when replacing values.</x:v>
      </x:c>
      <x:c r="G9" s="43" t="str">
        <x:v>Synthetic input pack. Preserve source definitions, units, period basis, and sign convention when replacing values.</x:v>
      </x:c>
      <x:c r="H9" s="43" t="str">
        <x:v>Synthetic input pack. Preserve source definitions, units, period basis, and sign convention when replacing values.</x:v>
      </x:c>
      <x:c r="I9" s="43" t="str">
        <x:v>Synthetic input pack. Preserve source definitions, units, period basis, and sign convention when replacing values.</x:v>
      </x:c>
      <x:c r="J9" s="43" t="str">
        <x:v>Synthetic input pack. Preserve source definitions, units, period basis, and sign convention when replacing values.</x:v>
      </x:c>
      <x:c r="K9" s="43" t="str">
        <x:v>Synthetic input pack. Preserve source definitions, units, period basis, and sign convention when replacing values.</x:v>
      </x:c>
      <x:c r="L9" s="43" t="str">
        <x:v>Synthetic input pack. Preserve source definitions, units, period basis, and sign convention when replacing values.</x:v>
      </x:c>
      <x:c r="M9" s="43" t="str">
        <x:v>Synthetic input pack. Preserve source definitions, units, period basis, and sign convention when replacing values.</x:v>
      </x:c>
      <x:c r="N9" s="43" t="str">
        <x:v>Synthetic input pack. Preserve source definitions, units, period basis, and sign convention when replacing values.</x:v>
      </x:c>
      <x:c r="O9" s="43" t="str">
        <x:v>Synthetic input pack. Preserve source definitions, units, period basis, and sign convention when replacing values.</x:v>
      </x:c>
      <x:c r="P9" s="43" t="str">
        <x:v>Synthetic input pack. Preserve source definitions, units, period basis, and sign convention when replacing values.</x:v>
      </x:c>
      <x:c r="Q9" s="43" t="str">
        <x:v>Synthetic input pack. Preserve source definitions, units, period basis, and sign convention when replacing values.</x:v>
      </x:c>
      <x:c r="R9" s="43" t="str">
        <x:v>Synthetic input pack. Preserve source definitions, units, period basis, and sign convention when replacing values.</x:v>
      </x:c>
      <x:c r="S9" s="43" t="str">
        <x:v>Synthetic input pack. Preserve source definitions, units, period basis, and sign convention when replacing values.</x:v>
      </x:c>
      <x:c r="T9" s="43" t="str">
        <x:v>Synthetic input pack. Preserve source definitions, units, period basis, and sign convention when replacing values.</x:v>
      </x:c>
      <x:c r="U9" s="43" t="str">
        <x:v>Synthetic input pack. Preserve source definitions, units, period basis, and sign convention when replacing values.</x:v>
      </x:c>
      <x:c r="V9" s="43" t="str">
        <x:v>Synthetic input pack. Preserve source definitions, units, period basis, and sign convention when replacing values.</x:v>
      </x:c>
      <x:c r="W9" s="43" t="str">
        <x:v>Synthetic input pack. Preserve source definitions, units, period basis, and sign convention when replacing values.</x:v>
      </x:c>
      <x:c r="X9" s="43" t="str">
        <x:v>Synthetic input pack. Preserve source definitions, units, period basis, and sign convention when replacing values.</x:v>
      </x:c>
      <x:c r="Y9" s="43" t="str">
        <x:v>Synthetic input pack. Preserve source definitions, units, period basis, and sign convention when replacing values.</x:v>
      </x:c>
      <x:c r="Z9" s="43" t="str">
        <x:v>Synthetic input pack. Preserve source definitions, units, period basis, and sign convention when replacing values.</x:v>
      </x:c>
      <x:c r="AA9" s="43" t="str">
        <x:v>Synthetic input pack. Preserve source definitions, units, period basis, and sign convention when replacing values.</x:v>
      </x:c>
      <x:c r="AB9" s="43" t="str">
        <x:v>Synthetic input pack. Preserve source definitions, units, period basis, and sign convention when replacing values.</x:v>
      </x:c>
      <x:c r="AC9" s="43" t="str">
        <x:v>Synthetic input pack. Preserve source definitions, units, period basis, and sign convention when replacing values.</x:v>
      </x:c>
      <x:c r="AD9" s="43" t="str">
        <x:v>Synthetic input pack. Preserve source definitions, units, period basis, and sign convention when replacing values.</x:v>
      </x:c>
      <x:c r="AE9" s="43" t="str">
        <x:v>Synthetic input pack. Preserve source definitions, units, period basis, and sign convention when replacing values.</x:v>
      </x:c>
      <x:c r="AF9" s="43" t="str">
        <x:v>Synthetic input pack. Preserve source definitions, units, period basis, and sign convention when replacing values.</x:v>
      </x:c>
      <x:c r="AG9" s="43" t="str">
        <x:v>Synthetic input pack. Preserve source definitions, units, period basis, and sign convention when replacing values.</x:v>
      </x:c>
      <x:c r="AH9" s="43" t="str">
        <x:v>Synthetic input pack. Preserve source definitions, units, period basis, and sign convention when replacing values.</x:v>
      </x:c>
      <x:c r="AI9" s="43" t="str">
        <x:v>Synthetic input pack. Preserve source definitions, units, period basis, and sign convention when replacing values.</x:v>
      </x:c>
      <x:c r="AJ9" s="43" t="str">
        <x:v>Synthetic input pack. Preserve source definitions, units, period basis, and sign convention when replacing values.</x:v>
      </x:c>
      <x:c r="AK9" s="43" t="str">
        <x:v>Synthetic input pack. Preserve source definitions, units, period basis, and sign convention when replacing values.</x:v>
      </x:c>
      <x:c r="AL9" s="43" t="str">
        <x:v>Synthetic input pack. Preserve source definitions, units, period basis, and sign convention when replacing values.</x:v>
      </x:c>
      <x:c r="AM9" s="43" t="str">
        <x:v>Synthetic input pack. Preserve source definitions, units, period basis, and sign convention when replacing values.</x:v>
      </x:c>
      <x:c r="AN9" s="43" t="str">
        <x:v>Synthetic input pack. Preserve source definitions, units, period basis, and sign convention when replacing values.</x:v>
      </x:c>
      <x:c r="AO9" s="43" t="str">
        <x:v>Synthetic input pack. Preserve source definitions, units, period basis, and sign convention when replacing values.</x:v>
      </x:c>
      <x:c r="AP9" s="44" t="str">
        <x:v>Synthetic input pack. Preserve source definitions, units, period basis, and sign convention when replacing values.</x:v>
      </x:c>
    </x:row>
    <x:row r="10">
      <x:c r="A10" s="45" t="str">
        <x:v>Synthetic input pack. Preserve source definitions, units, period basis, and sign convention when replacing values.</x:v>
      </x:c>
      <x:c r="B10" s="46" t="str">
        <x:v>Synthetic input pack. Preserve source definitions, units, period basis, and sign convention when replacing values.</x:v>
      </x:c>
      <x:c r="C10" s="46" t="str">
        <x:v>Synthetic input pack. Preserve source definitions, units, period basis, and sign convention when replacing values.</x:v>
      </x:c>
      <x:c r="D10" s="46" t="str">
        <x:v>Synthetic input pack. Preserve source definitions, units, period basis, and sign convention when replacing values.</x:v>
      </x:c>
      <x:c r="E10" s="46" t="str">
        <x:v>Synthetic input pack. Preserve source definitions, units, period basis, and sign convention when replacing values.</x:v>
      </x:c>
      <x:c r="F10" s="46" t="str">
        <x:v>Synthetic input pack. Preserve source definitions, units, period basis, and sign convention when replacing values.</x:v>
      </x:c>
      <x:c r="G10" s="46" t="str">
        <x:v>Synthetic input pack. Preserve source definitions, units, period basis, and sign convention when replacing values.</x:v>
      </x:c>
      <x:c r="H10" s="46" t="str">
        <x:v>Synthetic input pack. Preserve source definitions, units, period basis, and sign convention when replacing values.</x:v>
      </x:c>
      <x:c r="I10" s="46" t="str">
        <x:v>Synthetic input pack. Preserve source definitions, units, period basis, and sign convention when replacing values.</x:v>
      </x:c>
      <x:c r="J10" s="46" t="str">
        <x:v>Synthetic input pack. Preserve source definitions, units, period basis, and sign convention when replacing values.</x:v>
      </x:c>
      <x:c r="K10" s="46" t="str">
        <x:v>Synthetic input pack. Preserve source definitions, units, period basis, and sign convention when replacing values.</x:v>
      </x:c>
      <x:c r="L10" s="46" t="str">
        <x:v>Synthetic input pack. Preserve source definitions, units, period basis, and sign convention when replacing values.</x:v>
      </x:c>
      <x:c r="M10" s="46" t="str">
        <x:v>Synthetic input pack. Preserve source definitions, units, period basis, and sign convention when replacing values.</x:v>
      </x:c>
      <x:c r="N10" s="46" t="str">
        <x:v>Synthetic input pack. Preserve source definitions, units, period basis, and sign convention when replacing values.</x:v>
      </x:c>
      <x:c r="O10" s="46" t="str">
        <x:v>Synthetic input pack. Preserve source definitions, units, period basis, and sign convention when replacing values.</x:v>
      </x:c>
      <x:c r="P10" s="46" t="str">
        <x:v>Synthetic input pack. Preserve source definitions, units, period basis, and sign convention when replacing values.</x:v>
      </x:c>
      <x:c r="Q10" s="46" t="str">
        <x:v>Synthetic input pack. Preserve source definitions, units, period basis, and sign convention when replacing values.</x:v>
      </x:c>
      <x:c r="R10" s="46" t="str">
        <x:v>Synthetic input pack. Preserve source definitions, units, period basis, and sign convention when replacing values.</x:v>
      </x:c>
      <x:c r="S10" s="46" t="str">
        <x:v>Synthetic input pack. Preserve source definitions, units, period basis, and sign convention when replacing values.</x:v>
      </x:c>
      <x:c r="T10" s="46" t="str">
        <x:v>Synthetic input pack. Preserve source definitions, units, period basis, and sign convention when replacing values.</x:v>
      </x:c>
      <x:c r="U10" s="46" t="str">
        <x:v>Synthetic input pack. Preserve source definitions, units, period basis, and sign convention when replacing values.</x:v>
      </x:c>
      <x:c r="V10" s="46" t="str">
        <x:v>Synthetic input pack. Preserve source definitions, units, period basis, and sign convention when replacing values.</x:v>
      </x:c>
      <x:c r="W10" s="46" t="str">
        <x:v>Synthetic input pack. Preserve source definitions, units, period basis, and sign convention when replacing values.</x:v>
      </x:c>
      <x:c r="X10" s="46" t="str">
        <x:v>Synthetic input pack. Preserve source definitions, units, period basis, and sign convention when replacing values.</x:v>
      </x:c>
      <x:c r="Y10" s="46" t="str">
        <x:v>Synthetic input pack. Preserve source definitions, units, period basis, and sign convention when replacing values.</x:v>
      </x:c>
      <x:c r="Z10" s="46" t="str">
        <x:v>Synthetic input pack. Preserve source definitions, units, period basis, and sign convention when replacing values.</x:v>
      </x:c>
      <x:c r="AA10" s="46" t="str">
        <x:v>Synthetic input pack. Preserve source definitions, units, period basis, and sign convention when replacing values.</x:v>
      </x:c>
      <x:c r="AB10" s="46" t="str">
        <x:v>Synthetic input pack. Preserve source definitions, units, period basis, and sign convention when replacing values.</x:v>
      </x:c>
      <x:c r="AC10" s="46" t="str">
        <x:v>Synthetic input pack. Preserve source definitions, units, period basis, and sign convention when replacing values.</x:v>
      </x:c>
      <x:c r="AD10" s="46" t="str">
        <x:v>Synthetic input pack. Preserve source definitions, units, period basis, and sign convention when replacing values.</x:v>
      </x:c>
      <x:c r="AE10" s="46" t="str">
        <x:v>Synthetic input pack. Preserve source definitions, units, period basis, and sign convention when replacing values.</x:v>
      </x:c>
      <x:c r="AF10" s="46" t="str">
        <x:v>Synthetic input pack. Preserve source definitions, units, period basis, and sign convention when replacing values.</x:v>
      </x:c>
      <x:c r="AG10" s="46" t="str">
        <x:v>Synthetic input pack. Preserve source definitions, units, period basis, and sign convention when replacing values.</x:v>
      </x:c>
      <x:c r="AH10" s="46" t="str">
        <x:v>Synthetic input pack. Preserve source definitions, units, period basis, and sign convention when replacing values.</x:v>
      </x:c>
      <x:c r="AI10" s="46" t="str">
        <x:v>Synthetic input pack. Preserve source definitions, units, period basis, and sign convention when replacing values.</x:v>
      </x:c>
      <x:c r="AJ10" s="46" t="str">
        <x:v>Synthetic input pack. Preserve source definitions, units, period basis, and sign convention when replacing values.</x:v>
      </x:c>
      <x:c r="AK10" s="46" t="str">
        <x:v>Synthetic input pack. Preserve source definitions, units, period basis, and sign convention when replacing values.</x:v>
      </x:c>
      <x:c r="AL10" s="46" t="str">
        <x:v>Synthetic input pack. Preserve source definitions, units, period basis, and sign convention when replacing values.</x:v>
      </x:c>
      <x:c r="AM10" s="46" t="str">
        <x:v>Synthetic input pack. Preserve source definitions, units, period basis, and sign convention when replacing values.</x:v>
      </x:c>
      <x:c r="AN10" s="46" t="str">
        <x:v>Synthetic input pack. Preserve source definitions, units, period basis, and sign convention when replacing values.</x:v>
      </x:c>
      <x:c r="AO10" s="46" t="str">
        <x:v>Synthetic input pack. Preserve source definitions, units, period basis, and sign convention when replacing values.</x:v>
      </x:c>
      <x:c r="AP10" s="47" t="str">
        <x:v>Synthetic input pack. Preserve source definitions, units, period basis, and sign convention when replacing values.</x:v>
      </x:c>
    </x:row>
    <x:row r="11">
      <x:c r="A11" s="48" t="str">
        <x:v>Synthetic input pack. Preserve source definitions, units, period basis, and sign convention when replacing values.</x:v>
      </x:c>
      <x:c r="B11" s="49" t="str">
        <x:v>Synthetic input pack. Preserve source definitions, units, period basis, and sign convention when replacing values.</x:v>
      </x:c>
      <x:c r="C11" s="49" t="str">
        <x:v>Synthetic input pack. Preserve source definitions, units, period basis, and sign convention when replacing values.</x:v>
      </x:c>
      <x:c r="D11" s="49" t="str">
        <x:v>Synthetic input pack. Preserve source definitions, units, period basis, and sign convention when replacing values.</x:v>
      </x:c>
      <x:c r="E11" s="49" t="str">
        <x:v>Synthetic input pack. Preserve source definitions, units, period basis, and sign convention when replacing values.</x:v>
      </x:c>
      <x:c r="F11" s="49" t="str">
        <x:v>Synthetic input pack. Preserve source definitions, units, period basis, and sign convention when replacing values.</x:v>
      </x:c>
      <x:c r="G11" s="49" t="str">
        <x:v>Synthetic input pack. Preserve source definitions, units, period basis, and sign convention when replacing values.</x:v>
      </x:c>
      <x:c r="H11" s="49" t="str">
        <x:v>Synthetic input pack. Preserve source definitions, units, period basis, and sign convention when replacing values.</x:v>
      </x:c>
      <x:c r="I11" s="49" t="str">
        <x:v>Synthetic input pack. Preserve source definitions, units, period basis, and sign convention when replacing values.</x:v>
      </x:c>
      <x:c r="J11" s="49" t="str">
        <x:v>Synthetic input pack. Preserve source definitions, units, period basis, and sign convention when replacing values.</x:v>
      </x:c>
      <x:c r="K11" s="49" t="str">
        <x:v>Synthetic input pack. Preserve source definitions, units, period basis, and sign convention when replacing values.</x:v>
      </x:c>
      <x:c r="L11" s="49" t="str">
        <x:v>Synthetic input pack. Preserve source definitions, units, period basis, and sign convention when replacing values.</x:v>
      </x:c>
      <x:c r="M11" s="49" t="str">
        <x:v>Synthetic input pack. Preserve source definitions, units, period basis, and sign convention when replacing values.</x:v>
      </x:c>
      <x:c r="N11" s="49" t="str">
        <x:v>Synthetic input pack. Preserve source definitions, units, period basis, and sign convention when replacing values.</x:v>
      </x:c>
      <x:c r="O11" s="49" t="str">
        <x:v>Synthetic input pack. Preserve source definitions, units, period basis, and sign convention when replacing values.</x:v>
      </x:c>
      <x:c r="P11" s="49" t="str">
        <x:v>Synthetic input pack. Preserve source definitions, units, period basis, and sign convention when replacing values.</x:v>
      </x:c>
      <x:c r="Q11" s="49" t="str">
        <x:v>Synthetic input pack. Preserve source definitions, units, period basis, and sign convention when replacing values.</x:v>
      </x:c>
      <x:c r="R11" s="49" t="str">
        <x:v>Synthetic input pack. Preserve source definitions, units, period basis, and sign convention when replacing values.</x:v>
      </x:c>
      <x:c r="S11" s="49" t="str">
        <x:v>Synthetic input pack. Preserve source definitions, units, period basis, and sign convention when replacing values.</x:v>
      </x:c>
      <x:c r="T11" s="49" t="str">
        <x:v>Synthetic input pack. Preserve source definitions, units, period basis, and sign convention when replacing values.</x:v>
      </x:c>
      <x:c r="U11" s="49" t="str">
        <x:v>Synthetic input pack. Preserve source definitions, units, period basis, and sign convention when replacing values.</x:v>
      </x:c>
      <x:c r="V11" s="49" t="str">
        <x:v>Synthetic input pack. Preserve source definitions, units, period basis, and sign convention when replacing values.</x:v>
      </x:c>
      <x:c r="W11" s="49" t="str">
        <x:v>Synthetic input pack. Preserve source definitions, units, period basis, and sign convention when replacing values.</x:v>
      </x:c>
      <x:c r="X11" s="49" t="str">
        <x:v>Synthetic input pack. Preserve source definitions, units, period basis, and sign convention when replacing values.</x:v>
      </x:c>
      <x:c r="Y11" s="49" t="str">
        <x:v>Synthetic input pack. Preserve source definitions, units, period basis, and sign convention when replacing values.</x:v>
      </x:c>
      <x:c r="Z11" s="49" t="str">
        <x:v>Synthetic input pack. Preserve source definitions, units, period basis, and sign convention when replacing values.</x:v>
      </x:c>
      <x:c r="AA11" s="49" t="str">
        <x:v>Synthetic input pack. Preserve source definitions, units, period basis, and sign convention when replacing values.</x:v>
      </x:c>
      <x:c r="AB11" s="49" t="str">
        <x:v>Synthetic input pack. Preserve source definitions, units, period basis, and sign convention when replacing values.</x:v>
      </x:c>
      <x:c r="AC11" s="49" t="str">
        <x:v>Synthetic input pack. Preserve source definitions, units, period basis, and sign convention when replacing values.</x:v>
      </x:c>
      <x:c r="AD11" s="49" t="str">
        <x:v>Synthetic input pack. Preserve source definitions, units, period basis, and sign convention when replacing values.</x:v>
      </x:c>
      <x:c r="AE11" s="49" t="str">
        <x:v>Synthetic input pack. Preserve source definitions, units, period basis, and sign convention when replacing values.</x:v>
      </x:c>
      <x:c r="AF11" s="49" t="str">
        <x:v>Synthetic input pack. Preserve source definitions, units, period basis, and sign convention when replacing values.</x:v>
      </x:c>
      <x:c r="AG11" s="49" t="str">
        <x:v>Synthetic input pack. Preserve source definitions, units, period basis, and sign convention when replacing values.</x:v>
      </x:c>
      <x:c r="AH11" s="49" t="str">
        <x:v>Synthetic input pack. Preserve source definitions, units, period basis, and sign convention when replacing values.</x:v>
      </x:c>
      <x:c r="AI11" s="49" t="str">
        <x:v>Synthetic input pack. Preserve source definitions, units, period basis, and sign convention when replacing values.</x:v>
      </x:c>
      <x:c r="AJ11" s="49" t="str">
        <x:v>Synthetic input pack. Preserve source definitions, units, period basis, and sign convention when replacing values.</x:v>
      </x:c>
      <x:c r="AK11" s="49" t="str">
        <x:v>Synthetic input pack. Preserve source definitions, units, period basis, and sign convention when replacing values.</x:v>
      </x:c>
      <x:c r="AL11" s="49" t="str">
        <x:v>Synthetic input pack. Preserve source definitions, units, period basis, and sign convention when replacing values.</x:v>
      </x:c>
      <x:c r="AM11" s="49" t="str">
        <x:v>Synthetic input pack. Preserve source definitions, units, period basis, and sign convention when replacing values.</x:v>
      </x:c>
      <x:c r="AN11" s="49" t="str">
        <x:v>Synthetic input pack. Preserve source definitions, units, period basis, and sign convention when replacing values.</x:v>
      </x:c>
      <x:c r="AO11" s="49" t="str">
        <x:v>Synthetic input pack. Preserve source definitions, units, period basis, and sign convention when replacing values.</x:v>
      </x:c>
      <x:c r="AP11" s="50" t="str">
        <x:v>Synthetic input pack. Preserve source definitions, units, period basis, and sign convention when replacing values.</x:v>
      </x:c>
    </x:row>
    <x:row r="13">
      <x:c r="A13" s="53" t="str">
        <x:v>TDAT Model Library  |  Trust builds the brand. Insight builds the decision.</x:v>
      </x:c>
      <x:c r="B13" s="53" t="str">
        <x:v>TDAT Model Library  |  Trust builds the brand. Insight builds the decision.</x:v>
      </x:c>
      <x:c r="C13" s="53" t="str">
        <x:v>TDAT Model Library  |  Trust builds the brand. Insight builds the decision.</x:v>
      </x:c>
      <x:c r="D13" s="53" t="str">
        <x:v>TDAT Model Library  |  Trust builds the brand. Insight builds the decision.</x:v>
      </x:c>
      <x:c r="E13" s="53" t="str">
        <x:v>TDAT Model Library  |  Trust builds the brand. Insight builds the decision.</x:v>
      </x:c>
      <x:c r="F13" s="53" t="str">
        <x:v>TDAT Model Library  |  Trust builds the brand. Insight builds the decision.</x:v>
      </x:c>
      <x:c r="G13" s="53" t="str">
        <x:v>TDAT Model Library  |  Trust builds the brand. Insight builds the decision.</x:v>
      </x:c>
      <x:c r="H13" s="53" t="str">
        <x:v>TDAT Model Library  |  Trust builds the brand. Insight builds the decision.</x:v>
      </x:c>
      <x:c r="I13" s="53" t="str">
        <x:v>TDAT Model Library  |  Trust builds the brand. Insight builds the decision.</x:v>
      </x:c>
      <x:c r="J13" s="53" t="str">
        <x:v>TDAT Model Library  |  Trust builds the brand. Insight builds the decision.</x:v>
      </x:c>
      <x:c r="K13" s="53" t="str">
        <x:v>TDAT Model Library  |  Trust builds the brand. Insight builds the decision.</x:v>
      </x:c>
      <x:c r="L13" s="53" t="str">
        <x:v>TDAT Model Library  |  Trust builds the brand. Insight builds the decision.</x:v>
      </x:c>
      <x:c r="M13" s="53" t="str">
        <x:v>TDAT Model Library  |  Trust builds the brand. Insight builds the decision.</x:v>
      </x:c>
      <x:c r="N13" s="53" t="str">
        <x:v>TDAT Model Library  |  Trust builds the brand. Insight builds the decision.</x:v>
      </x:c>
      <x:c r="O13" s="53" t="str">
        <x:v>TDAT Model Library  |  Trust builds the brand. Insight builds the decision.</x:v>
      </x:c>
      <x:c r="P13" s="53" t="str">
        <x:v>TDAT Model Library  |  Trust builds the brand. Insight builds the decision.</x:v>
      </x:c>
      <x:c r="Q13" s="53" t="str">
        <x:v>TDAT Model Library  |  Trust builds the brand. Insight builds the decision.</x:v>
      </x:c>
      <x:c r="R13" s="53" t="str">
        <x:v>TDAT Model Library  |  Trust builds the brand. Insight builds the decision.</x:v>
      </x:c>
      <x:c r="S13" s="53" t="str">
        <x:v>TDAT Model Library  |  Trust builds the brand. Insight builds the decision.</x:v>
      </x:c>
      <x:c r="T13" s="53" t="str">
        <x:v>TDAT Model Library  |  Trust builds the brand. Insight builds the decision.</x:v>
      </x:c>
      <x:c r="U13" s="53" t="str">
        <x:v>TDAT Model Library  |  Trust builds the brand. Insight builds the decision.</x:v>
      </x:c>
      <x:c r="V13" s="53" t="str">
        <x:v>TDAT Model Library  |  Trust builds the brand. Insight builds the decision.</x:v>
      </x:c>
      <x:c r="W13" s="53" t="str">
        <x:v>TDAT Model Library  |  Trust builds the brand. Insight builds the decision.</x:v>
      </x:c>
      <x:c r="X13" s="53" t="str">
        <x:v>TDAT Model Library  |  Trust builds the brand. Insight builds the decision.</x:v>
      </x:c>
      <x:c r="Y13" s="53" t="str">
        <x:v>TDAT Model Library  |  Trust builds the brand. Insight builds the decision.</x:v>
      </x:c>
      <x:c r="Z13" s="53" t="str">
        <x:v>TDAT Model Library  |  Trust builds the brand. Insight builds the decision.</x:v>
      </x:c>
      <x:c r="AA13" s="53" t="str">
        <x:v>TDAT Model Library  |  Trust builds the brand. Insight builds the decision.</x:v>
      </x:c>
      <x:c r="AB13" s="53" t="str">
        <x:v>TDAT Model Library  |  Trust builds the brand. Insight builds the decision.</x:v>
      </x:c>
      <x:c r="AC13" s="53" t="str">
        <x:v>TDAT Model Library  |  Trust builds the brand. Insight builds the decision.</x:v>
      </x:c>
      <x:c r="AD13" s="53" t="str">
        <x:v>TDAT Model Library  |  Trust builds the brand. Insight builds the decision.</x:v>
      </x:c>
      <x:c r="AE13" s="53" t="str">
        <x:v>TDAT Model Library  |  Trust builds the brand. Insight builds the decision.</x:v>
      </x:c>
      <x:c r="AF13" s="53" t="str">
        <x:v>TDAT Model Library  |  Trust builds the brand. Insight builds the decision.</x:v>
      </x:c>
      <x:c r="AG13" s="53" t="str">
        <x:v>TDAT Model Library  |  Trust builds the brand. Insight builds the decision.</x:v>
      </x:c>
      <x:c r="AH13" s="53" t="str">
        <x:v>TDAT Model Library  |  Trust builds the brand. Insight builds the decision.</x:v>
      </x:c>
      <x:c r="AI13" s="53" t="str">
        <x:v>TDAT Model Library  |  Trust builds the brand. Insight builds the decision.</x:v>
      </x:c>
      <x:c r="AJ13" s="53" t="str">
        <x:v>TDAT Model Library  |  Trust builds the brand. Insight builds the decision.</x:v>
      </x:c>
      <x:c r="AK13" s="53" t="str">
        <x:v>TDAT Model Library  |  Trust builds the brand. Insight builds the decision.</x:v>
      </x:c>
      <x:c r="AL13" s="53" t="str">
        <x:v>TDAT Model Library  |  Trust builds the brand. Insight builds the decision.</x:v>
      </x:c>
      <x:c r="AM13" s="53" t="str">
        <x:v>TDAT Model Library  |  Trust builds the brand. Insight builds the decision.</x:v>
      </x:c>
      <x:c r="AN13" s="53" t="str">
        <x:v>TDAT Model Library  |  Trust builds the brand. Insight builds the decision.</x:v>
      </x:c>
      <x:c r="AO13" s="53" t="str">
        <x:v>TDAT Model Library  |  Trust builds the brand. Insight builds the decision.</x:v>
      </x:c>
      <x:c r="AP13" s="53" t="str">
        <x:v>TDAT Model Library  |  Trust builds the brand. Insight builds the decision.</x:v>
      </x:c>
    </x:row>
  </x:sheetData>
  <x:mergeCells>
    <x:mergeCell ref="A1:AP1"/>
    <x:mergeCell ref="A2:AP2"/>
    <x:mergeCell ref="A9:AP11"/>
    <x:mergeCell ref="A13:AP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</x:cols>
  <x:sheetData>
    <x:row r="1" ht="34" customHeight="1">
      <x:c r="A1" s="3" t="str">
        <x:v>RETIREMENT PLAN</x:v>
      </x:c>
      <x:c r="B1" s="3" t="str">
        <x:v>RETIREMENT PLAN</x:v>
      </x:c>
      <x:c r="C1" s="3" t="str">
        <x:v>RETIREMENT PLAN</x:v>
      </x:c>
      <x:c r="D1" s="3" t="str">
        <x:v>RETIREMENT PLAN</x:v>
      </x:c>
      <x:c r="E1" s="3" t="str">
        <x:v>RETIREMENT PLAN</x:v>
      </x:c>
      <x:c r="F1" s="3" t="str">
        <x:v>RETIREMENT PLAN</x:v>
      </x:c>
      <x:c r="G1" s="3" t="str">
        <x:v>RETIREMENT PLAN</x:v>
      </x:c>
      <x:c r="H1" s="3" t="str">
        <x:v>RETIREMENT PLAN</x:v>
      </x:c>
      <x:c r="I1" s="3" t="str">
        <x:v>RETIREMENT PLAN</x:v>
      </x:c>
      <x:c r="J1" s="3" t="str">
        <x:v>RETIREMENT PLAN</x:v>
      </x:c>
      <x:c r="K1" s="3" t="str">
        <x:v>RETIREMENT PLAN</x:v>
      </x:c>
      <x:c r="L1" s="3" t="str">
        <x:v>RETIREMENT PLAN</x:v>
      </x:c>
      <x:c r="M1" s="3" t="str">
        <x:v>RETIREMENT PLAN</x:v>
      </x:c>
      <x:c r="N1" s="3" t="str">
        <x:v>RETIREMENT PLAN</x:v>
      </x:c>
      <x:c r="O1" s="3" t="str">
        <x:v>RETIREMENT PLAN</x:v>
      </x:c>
      <x:c r="P1" s="3" t="str">
        <x:v>RETIREMENT PLAN</x:v>
      </x:c>
      <x:c r="Q1" s="3" t="str">
        <x:v>RETIREMENT PLAN</x:v>
      </x:c>
      <x:c r="R1" s="3" t="str">
        <x:v>RETIREMENT PLAN</x:v>
      </x:c>
      <x:c r="S1" s="3" t="str">
        <x:v>RETIREMENT PLAN</x:v>
      </x:c>
      <x:c r="T1" s="3" t="str">
        <x:v>RETIREMENT PLAN</x:v>
      </x:c>
      <x:c r="U1" s="3" t="str">
        <x:v>RETIREMENT PLAN</x:v>
      </x:c>
      <x:c r="V1" s="3" t="str">
        <x:v>RETIREMENT PLAN</x:v>
      </x:c>
      <x:c r="W1" s="3" t="str">
        <x:v>RETIREMENT PLAN</x:v>
      </x:c>
      <x:c r="X1" s="3" t="str">
        <x:v>RETIREMENT PLAN</x:v>
      </x:c>
      <x:c r="Y1" s="3" t="str">
        <x:v>RETIREMENT PLAN</x:v>
      </x:c>
      <x:c r="Z1" s="3" t="str">
        <x:v>RETIREMENT PLAN</x:v>
      </x:c>
      <x:c r="AA1" s="3" t="str">
        <x:v>RETIREMENT PLAN</x:v>
      </x:c>
      <x:c r="AB1" s="3" t="str">
        <x:v>RETIREMENT PLAN</x:v>
      </x:c>
      <x:c r="AC1" s="3" t="str">
        <x:v>RETIREMENT PLAN</x:v>
      </x:c>
      <x:c r="AD1" s="3" t="str">
        <x:v>RETIREMENT PLAN</x:v>
      </x:c>
      <x:c r="AE1" s="3" t="str">
        <x:v>RETIREMENT PLAN</x:v>
      </x:c>
      <x:c r="AF1" s="3" t="str">
        <x:v>RETIREMENT PLAN</x:v>
      </x:c>
      <x:c r="AG1" s="3" t="str">
        <x:v>RETIREMENT PLAN</x:v>
      </x:c>
      <x:c r="AH1" s="3" t="str">
        <x:v>RETIREMENT PLAN</x:v>
      </x:c>
      <x:c r="AI1" s="3" t="str">
        <x:v>RETIREMENT PLAN</x:v>
      </x:c>
      <x:c r="AJ1" s="3" t="str">
        <x:v>RETIREMENT PLAN</x:v>
      </x:c>
      <x:c r="AK1" s="3" t="str">
        <x:v>RETIREMENT PLAN</x:v>
      </x:c>
      <x:c r="AL1" s="3" t="str">
        <x:v>RETIREMENT PLAN</x:v>
      </x:c>
      <x:c r="AM1" s="3" t="str">
        <x:v>RETIREMENT PLAN</x:v>
      </x:c>
      <x:c r="AN1" s="3" t="str">
        <x:v>RETIREMENT PLAN</x:v>
      </x:c>
      <x:c r="AO1" s="3" t="str">
        <x:v>RETIREMENT PLAN</x:v>
      </x:c>
      <x:c r="AP1" s="3" t="str">
        <x:v>RETIREMENT PLAN</x:v>
      </x:c>
    </x:row>
    <x:row r="2" ht="24" customHeight="1">
      <x:c r="A2" s="6" t="str">
        <x:v>Retirement Scenario Planner  |  Formula-driven core mechanics</x:v>
      </x:c>
      <x:c r="B2" s="6" t="str">
        <x:v>Retirement Scenario Planner  |  Formula-driven core mechanics</x:v>
      </x:c>
      <x:c r="C2" s="6" t="str">
        <x:v>Retirement Scenario Planner  |  Formula-driven core mechanics</x:v>
      </x:c>
      <x:c r="D2" s="6" t="str">
        <x:v>Retirement Scenario Planner  |  Formula-driven core mechanics</x:v>
      </x:c>
      <x:c r="E2" s="6" t="str">
        <x:v>Retirement Scenario Planner  |  Formula-driven core mechanics</x:v>
      </x:c>
      <x:c r="F2" s="6" t="str">
        <x:v>Retirement Scenario Planner  |  Formula-driven core mechanics</x:v>
      </x:c>
      <x:c r="G2" s="6" t="str">
        <x:v>Retirement Scenario Planner  |  Formula-driven core mechanics</x:v>
      </x:c>
      <x:c r="H2" s="6" t="str">
        <x:v>Retirement Scenario Planner  |  Formula-driven core mechanics</x:v>
      </x:c>
      <x:c r="I2" s="6" t="str">
        <x:v>Retirement Scenario Planner  |  Formula-driven core mechanics</x:v>
      </x:c>
      <x:c r="J2" s="6" t="str">
        <x:v>Retirement Scenario Planner  |  Formula-driven core mechanics</x:v>
      </x:c>
      <x:c r="K2" s="6" t="str">
        <x:v>Retirement Scenario Planner  |  Formula-driven core mechanics</x:v>
      </x:c>
      <x:c r="L2" s="6" t="str">
        <x:v>Retirement Scenario Planner  |  Formula-driven core mechanics</x:v>
      </x:c>
      <x:c r="M2" s="6" t="str">
        <x:v>Retirement Scenario Planner  |  Formula-driven core mechanics</x:v>
      </x:c>
      <x:c r="N2" s="6" t="str">
        <x:v>Retirement Scenario Planner  |  Formula-driven core mechanics</x:v>
      </x:c>
      <x:c r="O2" s="6" t="str">
        <x:v>Retirement Scenario Planner  |  Formula-driven core mechanics</x:v>
      </x:c>
      <x:c r="P2" s="6" t="str">
        <x:v>Retirement Scenario Planner  |  Formula-driven core mechanics</x:v>
      </x:c>
      <x:c r="Q2" s="6" t="str">
        <x:v>Retirement Scenario Planner  |  Formula-driven core mechanics</x:v>
      </x:c>
      <x:c r="R2" s="6" t="str">
        <x:v>Retirement Scenario Planner  |  Formula-driven core mechanics</x:v>
      </x:c>
      <x:c r="S2" s="6" t="str">
        <x:v>Retirement Scenario Planner  |  Formula-driven core mechanics</x:v>
      </x:c>
      <x:c r="T2" s="6" t="str">
        <x:v>Retirement Scenario Planner  |  Formula-driven core mechanics</x:v>
      </x:c>
      <x:c r="U2" s="6" t="str">
        <x:v>Retirement Scenario Planner  |  Formula-driven core mechanics</x:v>
      </x:c>
      <x:c r="V2" s="6" t="str">
        <x:v>Retirement Scenario Planner  |  Formula-driven core mechanics</x:v>
      </x:c>
      <x:c r="W2" s="6" t="str">
        <x:v>Retirement Scenario Planner  |  Formula-driven core mechanics</x:v>
      </x:c>
      <x:c r="X2" s="6" t="str">
        <x:v>Retirement Scenario Planner  |  Formula-driven core mechanics</x:v>
      </x:c>
      <x:c r="Y2" s="6" t="str">
        <x:v>Retirement Scenario Planner  |  Formula-driven core mechanics</x:v>
      </x:c>
      <x:c r="Z2" s="6" t="str">
        <x:v>Retirement Scenario Planner  |  Formula-driven core mechanics</x:v>
      </x:c>
      <x:c r="AA2" s="6" t="str">
        <x:v>Retirement Scenario Planner  |  Formula-driven core mechanics</x:v>
      </x:c>
      <x:c r="AB2" s="6" t="str">
        <x:v>Retirement Scenario Planner  |  Formula-driven core mechanics</x:v>
      </x:c>
      <x:c r="AC2" s="6" t="str">
        <x:v>Retirement Scenario Planner  |  Formula-driven core mechanics</x:v>
      </x:c>
      <x:c r="AD2" s="6" t="str">
        <x:v>Retirement Scenario Planner  |  Formula-driven core mechanics</x:v>
      </x:c>
      <x:c r="AE2" s="6" t="str">
        <x:v>Retirement Scenario Planner  |  Formula-driven core mechanics</x:v>
      </x:c>
      <x:c r="AF2" s="6" t="str">
        <x:v>Retirement Scenario Planner  |  Formula-driven core mechanics</x:v>
      </x:c>
      <x:c r="AG2" s="6" t="str">
        <x:v>Retirement Scenario Planner  |  Formula-driven core mechanics</x:v>
      </x:c>
      <x:c r="AH2" s="6" t="str">
        <x:v>Retirement Scenario Planner  |  Formula-driven core mechanics</x:v>
      </x:c>
      <x:c r="AI2" s="6" t="str">
        <x:v>Retirement Scenario Planner  |  Formula-driven core mechanics</x:v>
      </x:c>
      <x:c r="AJ2" s="6" t="str">
        <x:v>Retirement Scenario Planner  |  Formula-driven core mechanics</x:v>
      </x:c>
      <x:c r="AK2" s="6" t="str">
        <x:v>Retirement Scenario Planner  |  Formula-driven core mechanics</x:v>
      </x:c>
      <x:c r="AL2" s="6" t="str">
        <x:v>Retirement Scenario Planner  |  Formula-driven core mechanics</x:v>
      </x:c>
      <x:c r="AM2" s="6" t="str">
        <x:v>Retirement Scenario Planner  |  Formula-driven core mechanics</x:v>
      </x:c>
      <x:c r="AN2" s="6" t="str">
        <x:v>Retirement Scenario Planner  |  Formula-driven core mechanics</x:v>
      </x:c>
      <x:c r="AO2" s="6" t="str">
        <x:v>Retirement Scenario Planner  |  Formula-driven core mechanics</x:v>
      </x:c>
      <x:c r="AP2" s="6" t="str">
        <x:v>Retirement Scenario Planner  |  Formula-driven core mechanics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</x:row>
    <x:row r="5" ht="24" customHeight="1">
      <x:c r="A5" s="66" t="str">
        <x:v>Calculation / Period</x:v>
      </x:c>
      <x:c r="B5" s="67" t="str">
        <x:v>30</x:v>
      </x:c>
      <x:c r="C5" s="67" t="str">
        <x:v>31</x:v>
      </x:c>
      <x:c r="D5" s="67" t="str">
        <x:v>32</x:v>
      </x:c>
      <x:c r="E5" s="67" t="str">
        <x:v>33</x:v>
      </x:c>
      <x:c r="F5" s="67" t="str">
        <x:v>34</x:v>
      </x:c>
      <x:c r="G5" s="67" t="str">
        <x:v>35</x:v>
      </x:c>
      <x:c r="H5" s="67" t="str">
        <x:v>36</x:v>
      </x:c>
      <x:c r="I5" s="67" t="str">
        <x:v>37</x:v>
      </x:c>
      <x:c r="J5" s="67" t="str">
        <x:v>38</x:v>
      </x:c>
      <x:c r="K5" s="67" t="str">
        <x:v>39</x:v>
      </x:c>
      <x:c r="L5" s="67" t="str">
        <x:v>40</x:v>
      </x:c>
      <x:c r="M5" s="67" t="str">
        <x:v>41</x:v>
      </x:c>
      <x:c r="N5" s="67" t="str">
        <x:v>42</x:v>
      </x:c>
      <x:c r="O5" s="67" t="str">
        <x:v>43</x:v>
      </x:c>
      <x:c r="P5" s="67" t="str">
        <x:v>44</x:v>
      </x:c>
      <x:c r="Q5" s="67" t="str">
        <x:v>45</x:v>
      </x:c>
      <x:c r="R5" s="67" t="str">
        <x:v>46</x:v>
      </x:c>
      <x:c r="S5" s="67" t="str">
        <x:v>47</x:v>
      </x:c>
      <x:c r="T5" s="67" t="str">
        <x:v>48</x:v>
      </x:c>
      <x:c r="U5" s="67" t="str">
        <x:v>49</x:v>
      </x:c>
      <x:c r="V5" s="67" t="str">
        <x:v>50</x:v>
      </x:c>
      <x:c r="W5" s="67" t="str">
        <x:v>51</x:v>
      </x:c>
      <x:c r="X5" s="67" t="str">
        <x:v>52</x:v>
      </x:c>
      <x:c r="Y5" s="67" t="str">
        <x:v>53</x:v>
      </x:c>
      <x:c r="Z5" s="67" t="str">
        <x:v>54</x:v>
      </x:c>
      <x:c r="AA5" s="67" t="str">
        <x:v>55</x:v>
      </x:c>
      <x:c r="AB5" s="67" t="str">
        <x:v>56</x:v>
      </x:c>
      <x:c r="AC5" s="67" t="str">
        <x:v>57</x:v>
      </x:c>
      <x:c r="AD5" s="67" t="str">
        <x:v>58</x:v>
      </x:c>
      <x:c r="AE5" s="67" t="str">
        <x:v>59</x:v>
      </x:c>
      <x:c r="AF5" s="67" t="str">
        <x:v>60</x:v>
      </x:c>
      <x:c r="AG5" s="67" t="str">
        <x:v>61</x:v>
      </x:c>
      <x:c r="AH5" s="67" t="str">
        <x:v>62</x:v>
      </x:c>
      <x:c r="AI5" s="67" t="str">
        <x:v>63</x:v>
      </x:c>
      <x:c r="AJ5" s="67" t="str">
        <x:v>64</x:v>
      </x:c>
      <x:c r="AK5" s="67" t="str">
        <x:v>65</x:v>
      </x:c>
      <x:c r="AL5" s="67" t="str">
        <x:v>66</x:v>
      </x:c>
      <x:c r="AM5" s="67" t="str">
        <x:v>67</x:v>
      </x:c>
      <x:c r="AN5" s="67" t="str">
        <x:v>68</x:v>
      </x:c>
      <x:c r="AO5" s="67" t="str">
        <x:v>69</x:v>
      </x:c>
      <x:c r="AP5" s="68" t="str">
        <x:v>70</x:v>
      </x:c>
    </x:row>
    <x:row r="6">
      <x:c r="A6" s="117" t="str">
        <x:v>Opening balance</x:v>
      </x:c>
      <x:c r="B6" s="118" t="n">
        <x:f>'Assumptions'!$F$6</x:f>
        <x:v>120</x:v>
      </x:c>
      <x:c r="C6" s="118" t="n">
        <x:f>B$10</x:f>
        <x:v>142.8</x:v>
      </x:c>
      <x:c r="D6" s="118" t="n">
        <x:f>C$10</x:f>
        <x:v>167.45700000000002</x:v>
      </x:c>
      <x:c r="E6" s="118" t="n">
        <x:f>D$10</x:f>
        <x:v>194.10108000000002</x:v>
      </x:c>
      <x:c r="F6" s="118" t="n">
        <x:f>E$10</x:f>
        <x:v>222.87100957500002</x:v>
      </x:c>
      <x:c r="G6" s="118" t="n">
        <x:f>F$10</x:f>
        <x:v>253.91481855675002</x:v>
      </x:c>
      <x:c r="H6" s="118" t="n">
        <x:f>G$10</x:f>
        <x:v>287.39040495629814</x:v>
      </x:c>
      <x:c r="I6" s="118" t="n">
        <x:f>H$10</x:f>
        <x:v>323.46618255165083</x:v>
      </x:c>
      <x:c r="J6" s="118" t="n">
        <x:f>I$10</x:f>
        <x:v>362.32177072253137</x:v>
      </x:c>
      <x:c r="K6" s="118" t="n">
        <x:f>J$10</x:f>
        <x:v>404.1487292821447</x:v>
      </x:c>
      <x:c r="L6" s="118" t="n">
        <x:f>K$10</x:f>
        <x:v>449.1513412346991</x:v>
      </x:c>
      <x:c r="M6" s="118" t="n">
        <x:f>L$10</x:f>
        <x:v>497.54744657789985</x:v>
      </x:c>
      <x:c r="N6" s="118" t="n">
        <x:f>M$10</x:f>
        <x:v>549.5693304724823</x:v>
      </x:c>
      <x:c r="O6" s="118" t="n">
        <x:f>N$10</x:f>
        <x:v>605.4646693168881</x:v>
      </x:c>
      <x:c r="P6" s="118" t="n">
        <x:f>O$10</x:f>
        <x:v>665.4975384952727</x:v>
      </x:c>
      <x:c r="Q6" s="118" t="n">
        <x:f>P$10</x:f>
        <x:v>729.9494858120719</x:v>
      </x:c>
      <x:c r="R6" s="118" t="n">
        <x:f>Q$10</x:f>
        <x:v>799.1206748873282</x:v>
      </x:c>
      <x:c r="S6" s="118" t="n">
        <x:f>R$10</x:f>
        <x:v>873.3311030649129</x:v>
      </x:c>
      <x:c r="T6" s="118" t="n">
        <x:f>S$10</x:f>
        <x:v>952.9218986817883</x:v>
      </x:c>
      <x:c r="U6" s="118" t="n">
        <x:f>T$10</x:f>
        <x:v>1038.256702861702</x:v>
      </x:c>
      <x:c r="V6" s="118" t="n">
        <x:f>U$10</x:f>
        <x:v>1129.72314133245</x:v>
      </x:c>
      <x:c r="W6" s="118" t="n">
        <x:f>V$10</x:f>
        <x:v>1227.734392123415</x:v>
      </x:c>
      <x:c r="X6" s="118" t="n">
        <x:f>W$10</x:f>
        <x:v>1332.7308553809019</x:v>
      </x:c>
      <x:c r="Y6" s="118" t="n">
        <x:f>X$10</x:f>
        <x:v>1445.181931944362</x:v>
      </x:c>
      <x:c r="Z6" s="118" t="n">
        <x:f>Y$10</x:f>
        <x:v>1565.5879177585396</x:v>
      </x:c>
      <x:c r="AA6" s="118" t="n">
        <x:f>Z$10</x:f>
        <x:v>1694.4820216565836</x:v>
      </x:c>
      <x:c r="AB6" s="118" t="n">
        <x:f>AA$10</x:f>
        <x:v>1832.4325145390937</x:v>
      </x:c>
      <x:c r="AC6" s="118" t="n">
        <x:f>AB$10</x:f>
        <x:v>1980.045018495838</x:v>
      </x:c>
      <x:c r="AD6" s="118" t="n">
        <x:f>AC$10</x:f>
        <x:v>2137.964944972563</x:v>
      </x:c>
      <x:c r="AE6" s="118" t="n">
        <x:f>AD$10</x:f>
        <x:v>2306.8800916771374</x:v>
      </x:c>
      <x:c r="AF6" s="118" t="n">
        <x:f>AE$10</x:f>
        <x:v>2487.5234085495435</x:v>
      </x:c>
      <x:c r="AG6" s="118" t="n">
        <x:f>AF$10</x:f>
        <x:v>2607.212430105264</x:v>
      </x:c>
      <x:c r="AH6" s="118" t="n">
        <x:f>AG$10</x:f>
        <x:v>2733.631238062106</x:v>
      </x:c>
      <x:c r="AI6" s="118" t="n">
        <x:f>AH$10</x:f>
        <x:v>2867.1910185361435</x:v>
      </x:c>
      <x:c r="AJ6" s="118" t="n">
        <x:f>AI$10</x:f>
        <x:v>3008.3290284909926</x:v>
      </x:c>
      <x:c r="AK6" s="118" t="n">
        <x:f>AJ$10</x:f>
        <x:v>3157.510273936657</x:v>
      </x:c>
      <x:c r="AL6" s="118" t="n">
        <x:f>AK$10</x:f>
        <x:v>3315.229296801134</x:v>
      </x:c>
      <x:c r="AM6" s="118" t="n">
        <x:f>AL$10</x:f>
        <x:v>3482.012077528266</x:v>
      </x:c>
      <x:c r="AN6" s="118" t="n">
        <x:f>AM$10</x:f>
        <x:v>3658.4180609135383</x:v>
      </x:c>
      <x:c r="AO6" s="118" t="n">
        <x:f>AN$10</x:f>
        <x:v>3845.042313177502</x:v>
      </x:c>
      <x:c r="AP6" s="118" t="n">
        <x:f>AO$10</x:f>
        <x:v>4042.517818796238</x:v>
      </x:c>
    </x:row>
    <x:row r="7">
      <x:c r="A7" s="119" t="str">
        <x:v>Investment return</x:v>
      </x:c>
      <x:c r="B7" s="120" t="n">
        <x:f>B$6*'Assumptions'!$F$7</x:f>
        <x:v>7.800000000000001</x:v>
      </x:c>
      <x:c r="C7" s="120" t="n">
        <x:f>C$6*'Assumptions'!$F$7</x:f>
        <x:v>9.282000000000002</x:v>
      </x:c>
      <x:c r="D7" s="120" t="n">
        <x:f>D$6*'Assumptions'!$F$7</x:f>
        <x:v>10.884705000000002</x:v>
      </x:c>
      <x:c r="E7" s="120" t="n">
        <x:f>E$6*'Assumptions'!$F$7</x:f>
        <x:v>12.616570200000002</x:v>
      </x:c>
      <x:c r="F7" s="120" t="n">
        <x:f>F$6*'Assumptions'!$F$7</x:f>
        <x:v>14.486615622375002</x:v>
      </x:c>
      <x:c r="G7" s="120" t="n">
        <x:f>G$6*'Assumptions'!$F$7</x:f>
        <x:v>16.504463206188753</x:v>
      </x:c>
      <x:c r="H7" s="120" t="n">
        <x:f>H$6*'Assumptions'!$F$7</x:f>
        <x:v>18.68037632215938</x:v>
      </x:c>
      <x:c r="I7" s="120" t="n">
        <x:f>I$6*'Assumptions'!$F$7</x:f>
        <x:v>21.025301865857305</x:v>
      </x:c>
      <x:c r="J7" s="120" t="n">
        <x:f>J$6*'Assumptions'!$F$7</x:f>
        <x:v>23.55091509696454</x:v>
      </x:c>
      <x:c r="K7" s="120" t="n">
        <x:f>K$6*'Assumptions'!$F$7</x:f>
        <x:v>26.269667403339405</x:v>
      </x:c>
      <x:c r="L7" s="120" t="n">
        <x:f>L$6*'Assumptions'!$F$7</x:f>
        <x:v>29.19483718025544</x:v>
      </x:c>
      <x:c r="M7" s="120" t="n">
        <x:f>M$6*'Assumptions'!$F$7</x:f>
        <x:v>32.340584027563494</x:v>
      </x:c>
      <x:c r="N7" s="120" t="n">
        <x:f>N$6*'Assumptions'!$F$7</x:f>
        <x:v>35.72200648071135</x:v>
      </x:c>
      <x:c r="O7" s="120" t="n">
        <x:f>O$6*'Assumptions'!$F$7</x:f>
        <x:v>39.35520350559773</x:v>
      </x:c>
      <x:c r="P7" s="120" t="n">
        <x:f>P$6*'Assumptions'!$F$7</x:f>
        <x:v>43.25734000219273</x:v>
      </x:c>
      <x:c r="Q7" s="120" t="n">
        <x:f>Q$6*'Assumptions'!$F$7</x:f>
        <x:v>47.44671657778468</x:v>
      </x:c>
      <x:c r="R7" s="120" t="n">
        <x:f>R$6*'Assumptions'!$F$7</x:f>
        <x:v>51.94284386767633</x:v>
      </x:c>
      <x:c r="S7" s="120" t="n">
        <x:f>S$6*'Assumptions'!$F$7</x:f>
        <x:v>56.76652169921934</x:v>
      </x:c>
      <x:c r="T7" s="120" t="n">
        <x:f>T$6*'Assumptions'!$F$7</x:f>
        <x:v>61.93992341431624</x:v>
      </x:c>
      <x:c r="U7" s="120" t="n">
        <x:f>U$6*'Assumptions'!$F$7</x:f>
        <x:v>67.48668568601063</x:v>
      </x:c>
      <x:c r="V7" s="120" t="n">
        <x:f>V$6*'Assumptions'!$F$7</x:f>
        <x:v>73.43200418660925</x:v>
      </x:c>
      <x:c r="W7" s="120" t="n">
        <x:f>W$6*'Assumptions'!$F$7</x:f>
        <x:v>79.80273548802198</x:v>
      </x:c>
      <x:c r="X7" s="120" t="n">
        <x:f>X$6*'Assumptions'!$F$7</x:f>
        <x:v>86.62750559975862</x:v>
      </x:c>
      <x:c r="Y7" s="120" t="n">
        <x:f>Y$6*'Assumptions'!$F$7</x:f>
        <x:v>93.93682557638354</x:v>
      </x:c>
      <x:c r="Z7" s="120" t="n">
        <x:f>Z$6*'Assumptions'!$F$7</x:f>
        <x:v>101.76321465430507</x:v>
      </x:c>
      <x:c r="AA7" s="120" t="n">
        <x:f>AA$6*'Assumptions'!$F$7</x:f>
        <x:v>110.14133140767794</x:v>
      </x:c>
      <x:c r="AB7" s="120" t="n">
        <x:f>AB$6*'Assumptions'!$F$7</x:f>
        <x:v>119.1081134450411</x:v>
      </x:c>
      <x:c r="AC7" s="120" t="n">
        <x:f>AC$6*'Assumptions'!$F$7</x:f>
        <x:v>128.70292620222946</x:v>
      </x:c>
      <x:c r="AD7" s="120" t="n">
        <x:f>AD$6*'Assumptions'!$F$7</x:f>
        <x:v>138.9677214232166</x:v>
      </x:c>
      <x:c r="AE7" s="120" t="n">
        <x:f>AE$6*'Assumptions'!$F$7</x:f>
        <x:v>149.94720595901393</x:v>
      </x:c>
      <x:c r="AF7" s="120" t="n">
        <x:f>AF$6*'Assumptions'!$F$7</x:f>
        <x:v>161.68902155572033</x:v>
      </x:c>
      <x:c r="AG7" s="120" t="n">
        <x:f>AG$6*'Assumptions'!$F$7</x:f>
        <x:v>169.46880795684217</x:v>
      </x:c>
      <x:c r="AH7" s="120" t="n">
        <x:f>AH$6*'Assumptions'!$F$7</x:f>
        <x:v>177.6860304740369</x:v>
      </x:c>
      <x:c r="AI7" s="120" t="n">
        <x:f>AI$6*'Assumptions'!$F$7</x:f>
        <x:v>186.36741620484932</x:v>
      </x:c>
      <x:c r="AJ7" s="120" t="n">
        <x:f>AJ$6*'Assumptions'!$F$7</x:f>
        <x:v>195.54138685191452</x:v>
      </x:c>
      <x:c r="AK7" s="120" t="n">
        <x:f>AK$6*'Assumptions'!$F$7</x:f>
        <x:v>205.2381678058827</x:v>
      </x:c>
      <x:c r="AL7" s="120" t="n">
        <x:f>AL$6*'Assumptions'!$F$7</x:f>
        <x:v>215.4899042920737</x:v>
      </x:c>
      <x:c r="AM7" s="120" t="n">
        <x:f>AM$6*'Assumptions'!$F$7</x:f>
        <x:v>226.33078503933731</x:v>
      </x:c>
      <x:c r="AN7" s="120" t="n">
        <x:f>AN$6*'Assumptions'!$F$7</x:f>
        <x:v>237.79717395938</x:v>
      </x:c>
      <x:c r="AO7" s="120" t="n">
        <x:f>AO$6*'Assumptions'!$F$7</x:f>
        <x:v>249.92775035653764</x:v>
      </x:c>
      <x:c r="AP7" s="120" t="n">
        <x:f>AP$6*'Assumptions'!$F$7</x:f>
        <x:v>262.76365822175546</x:v>
      </x:c>
    </x:row>
    <x:row r="8">
      <x:c r="A8" s="119" t="str">
        <x:v>Contribution</x:v>
      </x:c>
      <x:c r="B8" s="120" t="n">
        <x:f>IF(30&lt;'Assumptions'!$F$9,'Annual Inputs'!B$6,0)</x:f>
        <x:v>15</x:v>
      </x:c>
      <x:c r="C8" s="120" t="n">
        <x:f>IF(31&lt;'Assumptions'!$F$9,'Annual Inputs'!C$6,0)</x:f>
        <x:v>15.374999999999998</x:v>
      </x:c>
      <x:c r="D8" s="120" t="n">
        <x:f>IF(32&lt;'Assumptions'!$F$9,'Annual Inputs'!D$6,0)</x:f>
        <x:v>15.759374999999999</x:v>
      </x:c>
      <x:c r="E8" s="120" t="n">
        <x:f>IF(33&lt;'Assumptions'!$F$9,'Annual Inputs'!E$6,0)</x:f>
        <x:v>16.153359374999994</x:v>
      </x:c>
      <x:c r="F8" s="120" t="n">
        <x:f>IF(34&lt;'Assumptions'!$F$9,'Annual Inputs'!F$6,0)</x:f>
        <x:v>16.557193359374992</x:v>
      </x:c>
      <x:c r="G8" s="120" t="n">
        <x:f>IF(35&lt;'Assumptions'!$F$9,'Annual Inputs'!G$6,0)</x:f>
        <x:v>16.971123193359368</x:v>
      </x:c>
      <x:c r="H8" s="120" t="n">
        <x:f>IF(36&lt;'Assumptions'!$F$9,'Annual Inputs'!H$6,0)</x:f>
        <x:v>17.39540127319335</x:v>
      </x:c>
      <x:c r="I8" s="120" t="n">
        <x:f>IF(37&lt;'Assumptions'!$F$9,'Annual Inputs'!I$6,0)</x:f>
        <x:v>17.830286305023183</x:v>
      </x:c>
      <x:c r="J8" s="120" t="n">
        <x:f>IF(38&lt;'Assumptions'!$F$9,'Annual Inputs'!J$6,0)</x:f>
        <x:v>18.276043462648758</x:v>
      </x:c>
      <x:c r="K8" s="120" t="n">
        <x:f>IF(39&lt;'Assumptions'!$F$9,'Annual Inputs'!K$6,0)</x:f>
        <x:v>18.732944549214977</x:v>
      </x:c>
      <x:c r="L8" s="120" t="n">
        <x:f>IF(40&lt;'Assumptions'!$F$9,'Annual Inputs'!L$6,0)</x:f>
        <x:v>19.20126816294535</x:v>
      </x:c>
      <x:c r="M8" s="120" t="n">
        <x:f>IF(41&lt;'Assumptions'!$F$9,'Annual Inputs'!M$6,0)</x:f>
        <x:v>19.681299867018982</x:v>
      </x:c>
      <x:c r="N8" s="120" t="n">
        <x:f>IF(42&lt;'Assumptions'!$F$9,'Annual Inputs'!N$6,0)</x:f>
        <x:v>20.173332363694456</x:v>
      </x:c>
      <x:c r="O8" s="120" t="n">
        <x:f>IF(43&lt;'Assumptions'!$F$9,'Annual Inputs'!O$6,0)</x:f>
        <x:v>20.677665672786812</x:v>
      </x:c>
      <x:c r="P8" s="120" t="n">
        <x:f>IF(44&lt;'Assumptions'!$F$9,'Annual Inputs'!P$6,0)</x:f>
        <x:v>21.194607314606486</x:v>
      </x:c>
      <x:c r="Q8" s="120" t="n">
        <x:f>IF(45&lt;'Assumptions'!$F$9,'Annual Inputs'!Q$6,0)</x:f>
        <x:v>21.724472497471645</x:v>
      </x:c>
      <x:c r="R8" s="120" t="n">
        <x:f>IF(46&lt;'Assumptions'!$F$9,'Annual Inputs'!R$6,0)</x:f>
        <x:v>22.267584309908433</x:v>
      </x:c>
      <x:c r="S8" s="120" t="n">
        <x:f>IF(47&lt;'Assumptions'!$F$9,'Annual Inputs'!S$6,0)</x:f>
        <x:v>22.824273917656143</x:v>
      </x:c>
      <x:c r="T8" s="120" t="n">
        <x:f>IF(48&lt;'Assumptions'!$F$9,'Annual Inputs'!T$6,0)</x:f>
        <x:v>23.39488076559754</x:v>
      </x:c>
      <x:c r="U8" s="120" t="n">
        <x:f>IF(49&lt;'Assumptions'!$F$9,'Annual Inputs'!U$6,0)</x:f>
        <x:v>23.979752784737478</x:v>
      </x:c>
      <x:c r="V8" s="120" t="n">
        <x:f>IF(50&lt;'Assumptions'!$F$9,'Annual Inputs'!V$6,0)</x:f>
        <x:v>24.579246604355912</x:v>
      </x:c>
      <x:c r="W8" s="120" t="n">
        <x:f>IF(51&lt;'Assumptions'!$F$9,'Annual Inputs'!W$6,0)</x:f>
        <x:v>25.19372776946481</x:v>
      </x:c>
      <x:c r="X8" s="120" t="n">
        <x:f>IF(52&lt;'Assumptions'!$F$9,'Annual Inputs'!X$6,0)</x:f>
        <x:v>25.823570963701428</x:v>
      </x:c>
      <x:c r="Y8" s="120" t="n">
        <x:f>IF(53&lt;'Assumptions'!$F$9,'Annual Inputs'!Y$6,0)</x:f>
        <x:v>26.469160237793965</x:v>
      </x:c>
      <x:c r="Z8" s="120" t="n">
        <x:f>IF(54&lt;'Assumptions'!$F$9,'Annual Inputs'!Z$6,0)</x:f>
        <x:v>27.130889243738807</x:v>
      </x:c>
      <x:c r="AA8" s="120" t="n">
        <x:f>IF(55&lt;'Assumptions'!$F$9,'Annual Inputs'!AA$6,0)</x:f>
        <x:v>27.809161474832276</x:v>
      </x:c>
      <x:c r="AB8" s="120" t="n">
        <x:f>IF(56&lt;'Assumptions'!$F$9,'Annual Inputs'!AB$6,0)</x:f>
        <x:v>28.50439051170308</x:v>
      </x:c>
      <x:c r="AC8" s="120" t="n">
        <x:f>IF(57&lt;'Assumptions'!$F$9,'Annual Inputs'!AC$6,0)</x:f>
        <x:v>29.217000274495657</x:v>
      </x:c>
      <x:c r="AD8" s="120" t="n">
        <x:f>IF(58&lt;'Assumptions'!$F$9,'Annual Inputs'!AD$6,0)</x:f>
        <x:v>29.947425281358047</x:v>
      </x:c>
      <x:c r="AE8" s="120" t="n">
        <x:f>IF(59&lt;'Assumptions'!$F$9,'Annual Inputs'!AE$6,0)</x:f>
        <x:v>30.696110913391994</x:v>
      </x:c>
      <x:c r="AF8" s="120" t="n">
        <x:f>IF(60&lt;'Assumptions'!$F$9,'Annual Inputs'!AF$6,0)</x:f>
        <x:v>0</x:v>
      </x:c>
      <x:c r="AG8" s="120" t="n">
        <x:f>IF(61&lt;'Assumptions'!$F$9,'Annual Inputs'!AG$6,0)</x:f>
        <x:v>0</x:v>
      </x:c>
      <x:c r="AH8" s="120" t="n">
        <x:f>IF(62&lt;'Assumptions'!$F$9,'Annual Inputs'!AH$6,0)</x:f>
        <x:v>0</x:v>
      </x:c>
      <x:c r="AI8" s="120" t="n">
        <x:f>IF(63&lt;'Assumptions'!$F$9,'Annual Inputs'!AI$6,0)</x:f>
        <x:v>0</x:v>
      </x:c>
      <x:c r="AJ8" s="120" t="n">
        <x:f>IF(64&lt;'Assumptions'!$F$9,'Annual Inputs'!AJ$6,0)</x:f>
        <x:v>0</x:v>
      </x:c>
      <x:c r="AK8" s="120" t="n">
        <x:f>IF(65&lt;'Assumptions'!$F$9,'Annual Inputs'!AK$6,0)</x:f>
        <x:v>0</x:v>
      </x:c>
      <x:c r="AL8" s="120" t="n">
        <x:f>IF(66&lt;'Assumptions'!$F$9,'Annual Inputs'!AL$6,0)</x:f>
        <x:v>0</x:v>
      </x:c>
      <x:c r="AM8" s="120" t="n">
        <x:f>IF(67&lt;'Assumptions'!$F$9,'Annual Inputs'!AM$6,0)</x:f>
        <x:v>0</x:v>
      </x:c>
      <x:c r="AN8" s="120" t="n">
        <x:f>IF(68&lt;'Assumptions'!$F$9,'Annual Inputs'!AN$6,0)</x:f>
        <x:v>0</x:v>
      </x:c>
      <x:c r="AO8" s="120" t="n">
        <x:f>IF(69&lt;'Assumptions'!$F$9,'Annual Inputs'!AO$6,0)</x:f>
        <x:v>0</x:v>
      </x:c>
      <x:c r="AP8" s="120" t="n">
        <x:f>IF(70&lt;'Assumptions'!$F$9,'Annual Inputs'!AP$6,0)</x:f>
        <x:v>0</x:v>
      </x:c>
    </x:row>
    <x:row r="9">
      <x:c r="A9" s="119" t="str">
        <x:v>Withdrawal</x:v>
      </x:c>
      <x:c r="B9" s="120" t="n">
        <x:f>IF(30&gt;='Assumptions'!$F$9,'Annual Inputs'!B$7,0)</x:f>
        <x:v>0</x:v>
      </x:c>
      <x:c r="C9" s="120" t="n">
        <x:f>IF(31&gt;='Assumptions'!$F$9,'Annual Inputs'!C$7,0)</x:f>
        <x:v>0</x:v>
      </x:c>
      <x:c r="D9" s="120" t="n">
        <x:f>IF(32&gt;='Assumptions'!$F$9,'Annual Inputs'!D$7,0)</x:f>
        <x:v>0</x:v>
      </x:c>
      <x:c r="E9" s="120" t="n">
        <x:f>IF(33&gt;='Assumptions'!$F$9,'Annual Inputs'!E$7,0)</x:f>
        <x:v>0</x:v>
      </x:c>
      <x:c r="F9" s="120" t="n">
        <x:f>IF(34&gt;='Assumptions'!$F$9,'Annual Inputs'!F$7,0)</x:f>
        <x:v>0</x:v>
      </x:c>
      <x:c r="G9" s="120" t="n">
        <x:f>IF(35&gt;='Assumptions'!$F$9,'Annual Inputs'!G$7,0)</x:f>
        <x:v>0</x:v>
      </x:c>
      <x:c r="H9" s="120" t="n">
        <x:f>IF(36&gt;='Assumptions'!$F$9,'Annual Inputs'!H$7,0)</x:f>
        <x:v>0</x:v>
      </x:c>
      <x:c r="I9" s="120" t="n">
        <x:f>IF(37&gt;='Assumptions'!$F$9,'Annual Inputs'!I$7,0)</x:f>
        <x:v>0</x:v>
      </x:c>
      <x:c r="J9" s="120" t="n">
        <x:f>IF(38&gt;='Assumptions'!$F$9,'Annual Inputs'!J$7,0)</x:f>
        <x:v>0</x:v>
      </x:c>
      <x:c r="K9" s="120" t="n">
        <x:f>IF(39&gt;='Assumptions'!$F$9,'Annual Inputs'!K$7,0)</x:f>
        <x:v>0</x:v>
      </x:c>
      <x:c r="L9" s="120" t="n">
        <x:f>IF(40&gt;='Assumptions'!$F$9,'Annual Inputs'!L$7,0)</x:f>
        <x:v>0</x:v>
      </x:c>
      <x:c r="M9" s="120" t="n">
        <x:f>IF(41&gt;='Assumptions'!$F$9,'Annual Inputs'!M$7,0)</x:f>
        <x:v>0</x:v>
      </x:c>
      <x:c r="N9" s="120" t="n">
        <x:f>IF(42&gt;='Assumptions'!$F$9,'Annual Inputs'!N$7,0)</x:f>
        <x:v>0</x:v>
      </x:c>
      <x:c r="O9" s="120" t="n">
        <x:f>IF(43&gt;='Assumptions'!$F$9,'Annual Inputs'!O$7,0)</x:f>
        <x:v>0</x:v>
      </x:c>
      <x:c r="P9" s="120" t="n">
        <x:f>IF(44&gt;='Assumptions'!$F$9,'Annual Inputs'!P$7,0)</x:f>
        <x:v>0</x:v>
      </x:c>
      <x:c r="Q9" s="120" t="n">
        <x:f>IF(45&gt;='Assumptions'!$F$9,'Annual Inputs'!Q$7,0)</x:f>
        <x:v>0</x:v>
      </x:c>
      <x:c r="R9" s="120" t="n">
        <x:f>IF(46&gt;='Assumptions'!$F$9,'Annual Inputs'!R$7,0)</x:f>
        <x:v>0</x:v>
      </x:c>
      <x:c r="S9" s="120" t="n">
        <x:f>IF(47&gt;='Assumptions'!$F$9,'Annual Inputs'!S$7,0)</x:f>
        <x:v>0</x:v>
      </x:c>
      <x:c r="T9" s="120" t="n">
        <x:f>IF(48&gt;='Assumptions'!$F$9,'Annual Inputs'!T$7,0)</x:f>
        <x:v>0</x:v>
      </x:c>
      <x:c r="U9" s="120" t="n">
        <x:f>IF(49&gt;='Assumptions'!$F$9,'Annual Inputs'!U$7,0)</x:f>
        <x:v>0</x:v>
      </x:c>
      <x:c r="V9" s="120" t="n">
        <x:f>IF(50&gt;='Assumptions'!$F$9,'Annual Inputs'!V$7,0)</x:f>
        <x:v>0</x:v>
      </x:c>
      <x:c r="W9" s="120" t="n">
        <x:f>IF(51&gt;='Assumptions'!$F$9,'Annual Inputs'!W$7,0)</x:f>
        <x:v>0</x:v>
      </x:c>
      <x:c r="X9" s="120" t="n">
        <x:f>IF(52&gt;='Assumptions'!$F$9,'Annual Inputs'!X$7,0)</x:f>
        <x:v>0</x:v>
      </x:c>
      <x:c r="Y9" s="120" t="n">
        <x:f>IF(53&gt;='Assumptions'!$F$9,'Annual Inputs'!Y$7,0)</x:f>
        <x:v>0</x:v>
      </x:c>
      <x:c r="Z9" s="120" t="n">
        <x:f>IF(54&gt;='Assumptions'!$F$9,'Annual Inputs'!Z$7,0)</x:f>
        <x:v>0</x:v>
      </x:c>
      <x:c r="AA9" s="120" t="n">
        <x:f>IF(55&gt;='Assumptions'!$F$9,'Annual Inputs'!AA$7,0)</x:f>
        <x:v>0</x:v>
      </x:c>
      <x:c r="AB9" s="120" t="n">
        <x:f>IF(56&gt;='Assumptions'!$F$9,'Annual Inputs'!AB$7,0)</x:f>
        <x:v>0</x:v>
      </x:c>
      <x:c r="AC9" s="120" t="n">
        <x:f>IF(57&gt;='Assumptions'!$F$9,'Annual Inputs'!AC$7,0)</x:f>
        <x:v>0</x:v>
      </x:c>
      <x:c r="AD9" s="120" t="n">
        <x:f>IF(58&gt;='Assumptions'!$F$9,'Annual Inputs'!AD$7,0)</x:f>
        <x:v>0</x:v>
      </x:c>
      <x:c r="AE9" s="120" t="n">
        <x:f>IF(59&gt;='Assumptions'!$F$9,'Annual Inputs'!AE$7,0)</x:f>
        <x:v>0</x:v>
      </x:c>
      <x:c r="AF9" s="120" t="n">
        <x:f>IF(60&gt;='Assumptions'!$F$9,'Annual Inputs'!AF$7,0)</x:f>
        <x:v>42</x:v>
      </x:c>
      <x:c r="AG9" s="120" t="n">
        <x:f>IF(61&gt;='Assumptions'!$F$9,'Annual Inputs'!AG$7,0)</x:f>
        <x:v>43.05</x:v>
      </x:c>
      <x:c r="AH9" s="120" t="n">
        <x:f>IF(62&gt;='Assumptions'!$F$9,'Annual Inputs'!AH$7,0)</x:f>
        <x:v>44.12625</x:v>
      </x:c>
      <x:c r="AI9" s="120" t="n">
        <x:f>IF(63&gt;='Assumptions'!$F$9,'Annual Inputs'!AI$7,0)</x:f>
        <x:v>45.22940624999998</x:v>
      </x:c>
      <x:c r="AJ9" s="120" t="n">
        <x:f>IF(64&gt;='Assumptions'!$F$9,'Annual Inputs'!AJ$7,0)</x:f>
        <x:v>46.36014140624998</x:v>
      </x:c>
      <x:c r="AK9" s="120" t="n">
        <x:f>IF(65&gt;='Assumptions'!$F$9,'Annual Inputs'!AK$7,0)</x:f>
        <x:v>47.519144941406225</x:v>
      </x:c>
      <x:c r="AL9" s="120" t="n">
        <x:f>IF(66&gt;='Assumptions'!$F$9,'Annual Inputs'!AL$7,0)</x:f>
        <x:v>48.70712356494138</x:v>
      </x:c>
      <x:c r="AM9" s="120" t="n">
        <x:f>IF(67&gt;='Assumptions'!$F$9,'Annual Inputs'!AM$7,0)</x:f>
        <x:v>49.924801654064915</x:v>
      </x:c>
      <x:c r="AN9" s="120" t="n">
        <x:f>IF(68&gt;='Assumptions'!$F$9,'Annual Inputs'!AN$7,0)</x:f>
        <x:v>51.17292169541653</x:v>
      </x:c>
      <x:c r="AO9" s="120" t="n">
        <x:f>IF(69&gt;='Assumptions'!$F$9,'Annual Inputs'!AO$7,0)</x:f>
        <x:v>52.45224473780194</x:v>
      </x:c>
      <x:c r="AP9" s="120" t="n">
        <x:f>IF(70&gt;='Assumptions'!$F$9,'Annual Inputs'!AP$7,0)</x:f>
        <x:v>53.76355085624698</x:v>
      </x:c>
    </x:row>
    <x:row r="10">
      <x:c r="A10" s="121" t="str">
        <x:v>Closing balance</x:v>
      </x:c>
      <x:c r="B10" s="122" t="n">
        <x:f>MAX(0,B$6+B$7+B$8-B$9)</x:f>
        <x:v>142.8</x:v>
      </x:c>
      <x:c r="C10" s="122" t="n">
        <x:f>MAX(0,C$6+C$7+C$8-C$9)</x:f>
        <x:v>167.45700000000002</x:v>
      </x:c>
      <x:c r="D10" s="122" t="n">
        <x:f>MAX(0,D$6+D$7+D$8-D$9)</x:f>
        <x:v>194.10108000000002</x:v>
      </x:c>
      <x:c r="E10" s="122" t="n">
        <x:f>MAX(0,E$6+E$7+E$8-E$9)</x:f>
        <x:v>222.87100957500002</x:v>
      </x:c>
      <x:c r="F10" s="122" t="n">
        <x:f>MAX(0,F$6+F$7+F$8-F$9)</x:f>
        <x:v>253.91481855675002</x:v>
      </x:c>
      <x:c r="G10" s="122" t="n">
        <x:f>MAX(0,G$6+G$7+G$8-G$9)</x:f>
        <x:v>287.39040495629814</x:v>
      </x:c>
      <x:c r="H10" s="122" t="n">
        <x:f>MAX(0,H$6+H$7+H$8-H$9)</x:f>
        <x:v>323.46618255165083</x:v>
      </x:c>
      <x:c r="I10" s="122" t="n">
        <x:f>MAX(0,I$6+I$7+I$8-I$9)</x:f>
        <x:v>362.32177072253137</x:v>
      </x:c>
      <x:c r="J10" s="122" t="n">
        <x:f>MAX(0,J$6+J$7+J$8-J$9)</x:f>
        <x:v>404.1487292821447</x:v>
      </x:c>
      <x:c r="K10" s="122" t="n">
        <x:f>MAX(0,K$6+K$7+K$8-K$9)</x:f>
        <x:v>449.1513412346991</x:v>
      </x:c>
      <x:c r="L10" s="122" t="n">
        <x:f>MAX(0,L$6+L$7+L$8-L$9)</x:f>
        <x:v>497.54744657789985</x:v>
      </x:c>
      <x:c r="M10" s="122" t="n">
        <x:f>MAX(0,M$6+M$7+M$8-M$9)</x:f>
        <x:v>549.5693304724823</x:v>
      </x:c>
      <x:c r="N10" s="122" t="n">
        <x:f>MAX(0,N$6+N$7+N$8-N$9)</x:f>
        <x:v>605.4646693168881</x:v>
      </x:c>
      <x:c r="O10" s="122" t="n">
        <x:f>MAX(0,O$6+O$7+O$8-O$9)</x:f>
        <x:v>665.4975384952727</x:v>
      </x:c>
      <x:c r="P10" s="122" t="n">
        <x:f>MAX(0,P$6+P$7+P$8-P$9)</x:f>
        <x:v>729.9494858120719</x:v>
      </x:c>
      <x:c r="Q10" s="122" t="n">
        <x:f>MAX(0,Q$6+Q$7+Q$8-Q$9)</x:f>
        <x:v>799.1206748873282</x:v>
      </x:c>
      <x:c r="R10" s="122" t="n">
        <x:f>MAX(0,R$6+R$7+R$8-R$9)</x:f>
        <x:v>873.3311030649129</x:v>
      </x:c>
      <x:c r="S10" s="122" t="n">
        <x:f>MAX(0,S$6+S$7+S$8-S$9)</x:f>
        <x:v>952.9218986817883</x:v>
      </x:c>
      <x:c r="T10" s="122" t="n">
        <x:f>MAX(0,T$6+T$7+T$8-T$9)</x:f>
        <x:v>1038.256702861702</x:v>
      </x:c>
      <x:c r="U10" s="122" t="n">
        <x:f>MAX(0,U$6+U$7+U$8-U$9)</x:f>
        <x:v>1129.72314133245</x:v>
      </x:c>
      <x:c r="V10" s="122" t="n">
        <x:f>MAX(0,V$6+V$7+V$8-V$9)</x:f>
        <x:v>1227.734392123415</x:v>
      </x:c>
      <x:c r="W10" s="122" t="n">
        <x:f>MAX(0,W$6+W$7+W$8-W$9)</x:f>
        <x:v>1332.7308553809019</x:v>
      </x:c>
      <x:c r="X10" s="122" t="n">
        <x:f>MAX(0,X$6+X$7+X$8-X$9)</x:f>
        <x:v>1445.181931944362</x:v>
      </x:c>
      <x:c r="Y10" s="122" t="n">
        <x:f>MAX(0,Y$6+Y$7+Y$8-Y$9)</x:f>
        <x:v>1565.5879177585396</x:v>
      </x:c>
      <x:c r="Z10" s="122" t="n">
        <x:f>MAX(0,Z$6+Z$7+Z$8-Z$9)</x:f>
        <x:v>1694.4820216565836</x:v>
      </x:c>
      <x:c r="AA10" s="122" t="n">
        <x:f>MAX(0,AA$6+AA$7+AA$8-AA$9)</x:f>
        <x:v>1832.4325145390937</x:v>
      </x:c>
      <x:c r="AB10" s="122" t="n">
        <x:f>MAX(0,AB$6+AB$7+AB$8-AB$9)</x:f>
        <x:v>1980.045018495838</x:v>
      </x:c>
      <x:c r="AC10" s="122" t="n">
        <x:f>MAX(0,AC$6+AC$7+AC$8-AC$9)</x:f>
        <x:v>2137.964944972563</x:v>
      </x:c>
      <x:c r="AD10" s="122" t="n">
        <x:f>MAX(0,AD$6+AD$7+AD$8-AD$9)</x:f>
        <x:v>2306.8800916771374</x:v>
      </x:c>
      <x:c r="AE10" s="122" t="n">
        <x:f>MAX(0,AE$6+AE$7+AE$8-AE$9)</x:f>
        <x:v>2487.5234085495435</x:v>
      </x:c>
      <x:c r="AF10" s="122" t="n">
        <x:f>MAX(0,AF$6+AF$7+AF$8-AF$9)</x:f>
        <x:v>2607.212430105264</x:v>
      </x:c>
      <x:c r="AG10" s="122" t="n">
        <x:f>MAX(0,AG$6+AG$7+AG$8-AG$9)</x:f>
        <x:v>2733.631238062106</x:v>
      </x:c>
      <x:c r="AH10" s="122" t="n">
        <x:f>MAX(0,AH$6+AH$7+AH$8-AH$9)</x:f>
        <x:v>2867.1910185361435</x:v>
      </x:c>
      <x:c r="AI10" s="122" t="n">
        <x:f>MAX(0,AI$6+AI$7+AI$8-AI$9)</x:f>
        <x:v>3008.3290284909926</x:v>
      </x:c>
      <x:c r="AJ10" s="122" t="n">
        <x:f>MAX(0,AJ$6+AJ$7+AJ$8-AJ$9)</x:f>
        <x:v>3157.510273936657</x:v>
      </x:c>
      <x:c r="AK10" s="122" t="n">
        <x:f>MAX(0,AK$6+AK$7+AK$8-AK$9)</x:f>
        <x:v>3315.229296801134</x:v>
      </x:c>
      <x:c r="AL10" s="122" t="n">
        <x:f>MAX(0,AL$6+AL$7+AL$8-AL$9)</x:f>
        <x:v>3482.012077528266</x:v>
      </x:c>
      <x:c r="AM10" s="122" t="n">
        <x:f>MAX(0,AM$6+AM$7+AM$8-AM$9)</x:f>
        <x:v>3658.4180609135383</x:v>
      </x:c>
      <x:c r="AN10" s="122" t="n">
        <x:f>MAX(0,AN$6+AN$7+AN$8-AN$9)</x:f>
        <x:v>3845.042313177502</x:v>
      </x:c>
      <x:c r="AO10" s="122" t="n">
        <x:f>MAX(0,AO$6+AO$7+AO$8-AO$9)</x:f>
        <x:v>4042.517818796238</x:v>
      </x:c>
      <x:c r="AP10" s="122" t="n">
        <x:f>MAX(0,AP$6+AP$7+AP$8-AP$9)</x:f>
        <x:v>4251.517926161746</x:v>
      </x:c>
    </x:row>
    <x:row r="11">
      <x:c r="A11" s="119" t="str">
        <x:v>Balance in today's money</x:v>
      </x:c>
      <x:c r="B11" s="120" t="n">
        <x:f>B$10/(1+'Assumptions'!$F$8)^1</x:f>
        <x:v>139.31707317073173</x:v>
      </x:c>
      <x:c r="C11" s="120" t="n">
        <x:f>C$10/(1+'Assumptions'!$F$8)^2</x:f>
        <x:v>159.3879833432481</x:v>
      </x:c>
      <x:c r="D11" s="120" t="n">
        <x:f>D$10/(1+'Assumptions'!$F$8)^3</x:f>
        <x:v>180.2421485468871</x:v>
      </x:c>
      <x:c r="E11" s="120" t="n">
        <x:f>E$10/(1+'Assumptions'!$F$8)^4</x:f>
        <x:v>201.9101348316437</x:v>
      </x:c>
      <x:c r="F11" s="120" t="n">
        <x:f>F$10/(1+'Assumptions'!$F$8)^5</x:f>
        <x:v>224.42370106897616</x:v>
      </x:c>
      <x:c r="G11" s="120" t="n">
        <x:f>G$10/(1+'Assumptions'!$F$8)^6</x:f>
        <x:v>247.8158455009362</x:v>
      </x:c>
      <x:c r="H11" s="120" t="n">
        <x:f>H$10/(1+'Assumptions'!$F$8)^7</x:f>
        <x:v>272.12085410585075</x:v>
      </x:c>
      <x:c r="I11" s="120" t="n">
        <x:f>I$10/(1+'Assumptions'!$F$8)^8</x:f>
        <x:v>297.37435085144506</x:v>
      </x:c>
      <x:c r="J11" s="120" t="n">
        <x:f>J$10/(1+'Assumptions'!$F$8)^9</x:f>
        <x:v>323.61334990906244</x:v>
      </x:c>
      <x:c r="K11" s="120" t="n">
        <x:f>K$10/(1+'Assumptions'!$F$8)^10</x:f>
        <x:v>350.8763099055137</x:v>
      </x:c>
      <x:c r="L11" s="120" t="n">
        <x:f>L$10/(1+'Assumptions'!$F$8)^11</x:f>
        <x:v>379.2031902920703</x:v>
      </x:c>
      <x:c r="M11" s="120" t="n">
        <x:f>M$10/(1+'Assumptions'!$F$8)^12</x:f>
        <x:v>408.6355099132243</x:v>
      </x:c>
      <x:c r="N11" s="120" t="n">
        <x:f>N$10/(1+'Assumptions'!$F$8)^13</x:f>
        <x:v>439.2164078610576</x:v>
      </x:c>
      <x:c r="O11" s="120" t="n">
        <x:f>O$10/(1+'Assumptions'!$F$8)^14</x:f>
        <x:v>470.99070670441586</x:v>
      </x:c>
      <x:c r="P11" s="120" t="n">
        <x:f>P$10/(1+'Assumptions'!$F$8)^15</x:f>
        <x:v>504.00497818556386</x:v>
      </x:c>
      <x:c r="Q11" s="120" t="n">
        <x:f>Q$10/(1+'Assumptions'!$F$8)^16</x:f>
        <x:v>538.3076114806103</x:v>
      </x:c>
      <x:c r="R11" s="120" t="n">
        <x:f>R$10/(1+'Assumptions'!$F$8)^17</x:f>
        <x:v>573.9488841237561</x:v>
      </x:c>
      <x:c r="S11" s="120" t="n">
        <x:f>S$10/(1+'Assumptions'!$F$8)^18</x:f>
        <x:v>610.9810356993173</x:v>
      </x:c>
      <x:c r="T11" s="120" t="n">
        <x:f>T$10/(1+'Assumptions'!$F$8)^19</x:f>
        <x:v>649.4583444095346</x:v>
      </x:c>
      <x:c r="U11" s="120" t="n">
        <x:f>U$10/(1+'Assumptions'!$F$8)^20</x:f>
        <x:v>689.4372066303945</x:v>
      </x:c>
      <x:c r="V11" s="120" t="n">
        <x:f>V$10/(1+'Assumptions'!$F$8)^21</x:f>
        <x:v>730.9762195720683</x:v>
      </x:c>
      <x:c r="W11" s="120" t="n">
        <x:f>W$10/(1+'Assumptions'!$F$8)^22</x:f>
        <x:v>774.1362671651248</x:v>
      </x:c>
      <x:c r="X11" s="120" t="n">
        <x:f>X$10/(1+'Assumptions'!$F$8)^23</x:f>
        <x:v>818.9806092983981</x:v>
      </x:c>
      <x:c r="Y11" s="120" t="n">
        <x:f>Y$10/(1+'Assumptions'!$F$8)^24</x:f>
        <x:v>865.5749745393114</x:v>
      </x:c>
      <x:c r="Z11" s="120" t="n">
        <x:f>Z$10/(1+'Assumptions'!$F$8)^25</x:f>
        <x:v>913.9876564725529</x:v>
      </x:c>
      <x:c r="AA11" s="120" t="n">
        <x:f>AA$10/(1+'Assumptions'!$F$8)^26</x:f>
        <x:v>964.2896137983112</x:v>
      </x:c>
      <x:c r="AB11" s="120" t="n">
        <x:f>AB$10/(1+'Assumptions'!$F$8)^27</x:f>
        <x:v>1016.5545743367818</x:v>
      </x:c>
      <x:c r="AC11" s="120" t="n">
        <x:f>AC$10/(1+'Assumptions'!$F$8)^28</x:f>
        <x:v>1070.859143091388</x:v>
      </x:c>
      <x:c r="AD11" s="120" t="n">
        <x:f>AD$10/(1+'Assumptions'!$F$8)^29</x:f>
        <x:v>1127.2829145291007</x:v>
      </x:c>
      <x:c r="AE11" s="120" t="n">
        <x:f>AE$10/(1+'Assumptions'!$F$8)^30</x:f>
        <x:v>1185.9085892424318</x:v>
      </x:c>
      <x:c r="AF11" s="120" t="n">
        <x:f>AF$10/(1+'Assumptions'!$F$8)^31</x:f>
        <x:v>1212.6531266005745</x:v>
      </x:c>
      <x:c r="AG11" s="120" t="n">
        <x:f>AG$10/(1+'Assumptions'!$F$8)^32</x:f>
        <x:v>1240.4413532214746</x:v>
      </x:c>
      <x:c r="AH11" s="120" t="n">
        <x:f>AH$10/(1+'Assumptions'!$F$8)^33</x:f>
        <x:v>1269.3139984422144</x:v>
      </x:c>
      <x:c r="AI11" s="120" t="n">
        <x:f>AI$10/(1+'Assumptions'!$F$8)^34</x:f>
        <x:v>1299.3133810374222</x:v>
      </x:c>
      <x:c r="AJ11" s="120" t="n">
        <x:f>AJ$10/(1+'Assumptions'!$F$8)^35</x:f>
        <x:v>1330.4834712461013</x:v>
      </x:c>
      <x:c r="AK11" s="120" t="n">
        <x:f>AK$10/(1+'Assumptions'!$F$8)^36</x:f>
        <x:v>1362.869955219022</x:v>
      </x:c>
      <x:c r="AL11" s="120" t="n">
        <x:f>AL$10/(1+'Assumptions'!$F$8)^37</x:f>
        <x:v>1396.5203019811295</x:v>
      </x:c>
      <x:c r="AM11" s="120" t="n">
        <x:f>AM$10/(1+'Assumptions'!$F$8)^38</x:f>
        <x:v>1431.4838330071238</x:v>
      </x:c>
      <x:c r="AN11" s="120" t="n">
        <x:f>AN$10/(1+'Assumptions'!$F$8)^39</x:f>
        <x:v>1467.811794512182</x:v>
      </x:c>
      <x:c r="AO11" s="120" t="n">
        <x:f>AO$10/(1+'Assumptions'!$F$8)^40</x:f>
        <x:v>1505.5574325637788</x:v>
      </x:c>
      <x:c r="AP11" s="120" t="n">
        <x:f>AP$10/(1+'Assumptions'!$F$8)^41</x:f>
        <x:v>1544.7760711247056</x:v>
      </x:c>
    </x:row>
    <x:row r="12">
      <x:c r="A12" s="119" t="str">
        <x:v>Net contribution / withdrawal</x:v>
      </x:c>
      <x:c r="B12" s="123" t="n">
        <x:f>B$8-B$9</x:f>
        <x:v>15</x:v>
      </x:c>
      <x:c r="C12" s="123" t="n">
        <x:f>C$8-C$9</x:f>
        <x:v>15.374999999999998</x:v>
      </x:c>
      <x:c r="D12" s="123" t="n">
        <x:f>D$8-D$9</x:f>
        <x:v>15.759374999999999</x:v>
      </x:c>
      <x:c r="E12" s="123" t="n">
        <x:f>E$8-E$9</x:f>
        <x:v>16.153359374999994</x:v>
      </x:c>
      <x:c r="F12" s="123" t="n">
        <x:f>F$8-F$9</x:f>
        <x:v>16.557193359374992</x:v>
      </x:c>
      <x:c r="G12" s="123" t="n">
        <x:f>G$8-G$9</x:f>
        <x:v>16.971123193359368</x:v>
      </x:c>
      <x:c r="H12" s="123" t="n">
        <x:f>H$8-H$9</x:f>
        <x:v>17.39540127319335</x:v>
      </x:c>
      <x:c r="I12" s="123" t="n">
        <x:f>I$8-I$9</x:f>
        <x:v>17.830286305023183</x:v>
      </x:c>
      <x:c r="J12" s="123" t="n">
        <x:f>J$8-J$9</x:f>
        <x:v>18.276043462648758</x:v>
      </x:c>
      <x:c r="K12" s="123" t="n">
        <x:f>K$8-K$9</x:f>
        <x:v>18.732944549214977</x:v>
      </x:c>
      <x:c r="L12" s="123" t="n">
        <x:f>L$8-L$9</x:f>
        <x:v>19.20126816294535</x:v>
      </x:c>
      <x:c r="M12" s="123" t="n">
        <x:f>M$8-M$9</x:f>
        <x:v>19.681299867018982</x:v>
      </x:c>
      <x:c r="N12" s="123" t="n">
        <x:f>N$8-N$9</x:f>
        <x:v>20.173332363694456</x:v>
      </x:c>
      <x:c r="O12" s="123" t="n">
        <x:f>O$8-O$9</x:f>
        <x:v>20.677665672786812</x:v>
      </x:c>
      <x:c r="P12" s="123" t="n">
        <x:f>P$8-P$9</x:f>
        <x:v>21.194607314606486</x:v>
      </x:c>
      <x:c r="Q12" s="123" t="n">
        <x:f>Q$8-Q$9</x:f>
        <x:v>21.724472497471645</x:v>
      </x:c>
      <x:c r="R12" s="123" t="n">
        <x:f>R$8-R$9</x:f>
        <x:v>22.267584309908433</x:v>
      </x:c>
      <x:c r="S12" s="123" t="n">
        <x:f>S$8-S$9</x:f>
        <x:v>22.824273917656143</x:v>
      </x:c>
      <x:c r="T12" s="123" t="n">
        <x:f>T$8-T$9</x:f>
        <x:v>23.39488076559754</x:v>
      </x:c>
      <x:c r="U12" s="123" t="n">
        <x:f>U$8-U$9</x:f>
        <x:v>23.979752784737478</x:v>
      </x:c>
      <x:c r="V12" s="123" t="n">
        <x:f>V$8-V$9</x:f>
        <x:v>24.579246604355912</x:v>
      </x:c>
      <x:c r="W12" s="123" t="n">
        <x:f>W$8-W$9</x:f>
        <x:v>25.19372776946481</x:v>
      </x:c>
      <x:c r="X12" s="123" t="n">
        <x:f>X$8-X$9</x:f>
        <x:v>25.823570963701428</x:v>
      </x:c>
      <x:c r="Y12" s="123" t="n">
        <x:f>Y$8-Y$9</x:f>
        <x:v>26.469160237793965</x:v>
      </x:c>
      <x:c r="Z12" s="123" t="n">
        <x:f>Z$8-Z$9</x:f>
        <x:v>27.130889243738807</x:v>
      </x:c>
      <x:c r="AA12" s="123" t="n">
        <x:f>AA$8-AA$9</x:f>
        <x:v>27.809161474832276</x:v>
      </x:c>
      <x:c r="AB12" s="123" t="n">
        <x:f>AB$8-AB$9</x:f>
        <x:v>28.50439051170308</x:v>
      </x:c>
      <x:c r="AC12" s="123" t="n">
        <x:f>AC$8-AC$9</x:f>
        <x:v>29.217000274495657</x:v>
      </x:c>
      <x:c r="AD12" s="123" t="n">
        <x:f>AD$8-AD$9</x:f>
        <x:v>29.947425281358047</x:v>
      </x:c>
      <x:c r="AE12" s="123" t="n">
        <x:f>AE$8-AE$9</x:f>
        <x:v>30.696110913391994</x:v>
      </x:c>
      <x:c r="AF12" s="123" t="n">
        <x:f>AF$8-AF$9</x:f>
        <x:v>-42</x:v>
      </x:c>
      <x:c r="AG12" s="123" t="n">
        <x:f>AG$8-AG$9</x:f>
        <x:v>-43.05</x:v>
      </x:c>
      <x:c r="AH12" s="123" t="n">
        <x:f>AH$8-AH$9</x:f>
        <x:v>-44.12625</x:v>
      </x:c>
      <x:c r="AI12" s="123" t="n">
        <x:f>AI$8-AI$9</x:f>
        <x:v>-45.22940624999998</x:v>
      </x:c>
      <x:c r="AJ12" s="123" t="n">
        <x:f>AJ$8-AJ$9</x:f>
        <x:v>-46.36014140624998</x:v>
      </x:c>
      <x:c r="AK12" s="123" t="n">
        <x:f>AK$8-AK$9</x:f>
        <x:v>-47.519144941406225</x:v>
      </x:c>
      <x:c r="AL12" s="123" t="n">
        <x:f>AL$8-AL$9</x:f>
        <x:v>-48.70712356494138</x:v>
      </x:c>
      <x:c r="AM12" s="123" t="n">
        <x:f>AM$8-AM$9</x:f>
        <x:v>-49.924801654064915</x:v>
      </x:c>
      <x:c r="AN12" s="123" t="n">
        <x:f>AN$8-AN$9</x:f>
        <x:v>-51.17292169541653</x:v>
      </x:c>
      <x:c r="AO12" s="123" t="n">
        <x:f>AO$8-AO$9</x:f>
        <x:v>-52.45224473780194</x:v>
      </x:c>
      <x:c r="AP12" s="123" t="n">
        <x:f>AP$8-AP$9</x:f>
        <x:v>-53.76355085624698</x:v>
      </x:c>
    </x:row>
    <x:row r="13">
      <x:c r="A13" s="119" t="str">
        <x:v>Balance above minimum flag</x:v>
      </x:c>
      <x:c r="B13" s="124" t="n">
        <x:f>IF(B$10&gt;='Assumptions'!$F$10,1,0)</x:f>
        <x:v>1</x:v>
      </x:c>
      <x:c r="C13" s="124" t="n">
        <x:f>IF(C$10&gt;='Assumptions'!$F$10,1,0)</x:f>
        <x:v>1</x:v>
      </x:c>
      <x:c r="D13" s="124" t="n">
        <x:f>IF(D$10&gt;='Assumptions'!$F$10,1,0)</x:f>
        <x:v>1</x:v>
      </x:c>
      <x:c r="E13" s="124" t="n">
        <x:f>IF(E$10&gt;='Assumptions'!$F$10,1,0)</x:f>
        <x:v>1</x:v>
      </x:c>
      <x:c r="F13" s="124" t="n">
        <x:f>IF(F$10&gt;='Assumptions'!$F$10,1,0)</x:f>
        <x:v>1</x:v>
      </x:c>
      <x:c r="G13" s="124" t="n">
        <x:f>IF(G$10&gt;='Assumptions'!$F$10,1,0)</x:f>
        <x:v>1</x:v>
      </x:c>
      <x:c r="H13" s="124" t="n">
        <x:f>IF(H$10&gt;='Assumptions'!$F$10,1,0)</x:f>
        <x:v>1</x:v>
      </x:c>
      <x:c r="I13" s="124" t="n">
        <x:f>IF(I$10&gt;='Assumptions'!$F$10,1,0)</x:f>
        <x:v>1</x:v>
      </x:c>
      <x:c r="J13" s="124" t="n">
        <x:f>IF(J$10&gt;='Assumptions'!$F$10,1,0)</x:f>
        <x:v>1</x:v>
      </x:c>
      <x:c r="K13" s="124" t="n">
        <x:f>IF(K$10&gt;='Assumptions'!$F$10,1,0)</x:f>
        <x:v>1</x:v>
      </x:c>
      <x:c r="L13" s="124" t="n">
        <x:f>IF(L$10&gt;='Assumptions'!$F$10,1,0)</x:f>
        <x:v>1</x:v>
      </x:c>
      <x:c r="M13" s="124" t="n">
        <x:f>IF(M$10&gt;='Assumptions'!$F$10,1,0)</x:f>
        <x:v>1</x:v>
      </x:c>
      <x:c r="N13" s="124" t="n">
        <x:f>IF(N$10&gt;='Assumptions'!$F$10,1,0)</x:f>
        <x:v>1</x:v>
      </x:c>
      <x:c r="O13" s="124" t="n">
        <x:f>IF(O$10&gt;='Assumptions'!$F$10,1,0)</x:f>
        <x:v>1</x:v>
      </x:c>
      <x:c r="P13" s="124" t="n">
        <x:f>IF(P$10&gt;='Assumptions'!$F$10,1,0)</x:f>
        <x:v>1</x:v>
      </x:c>
      <x:c r="Q13" s="124" t="n">
        <x:f>IF(Q$10&gt;='Assumptions'!$F$10,1,0)</x:f>
        <x:v>1</x:v>
      </x:c>
      <x:c r="R13" s="124" t="n">
        <x:f>IF(R$10&gt;='Assumptions'!$F$10,1,0)</x:f>
        <x:v>1</x:v>
      </x:c>
      <x:c r="S13" s="124" t="n">
        <x:f>IF(S$10&gt;='Assumptions'!$F$10,1,0)</x:f>
        <x:v>1</x:v>
      </x:c>
      <x:c r="T13" s="124" t="n">
        <x:f>IF(T$10&gt;='Assumptions'!$F$10,1,0)</x:f>
        <x:v>1</x:v>
      </x:c>
      <x:c r="U13" s="124" t="n">
        <x:f>IF(U$10&gt;='Assumptions'!$F$10,1,0)</x:f>
        <x:v>1</x:v>
      </x:c>
      <x:c r="V13" s="124" t="n">
        <x:f>IF(V$10&gt;='Assumptions'!$F$10,1,0)</x:f>
        <x:v>1</x:v>
      </x:c>
      <x:c r="W13" s="124" t="n">
        <x:f>IF(W$10&gt;='Assumptions'!$F$10,1,0)</x:f>
        <x:v>1</x:v>
      </x:c>
      <x:c r="X13" s="124" t="n">
        <x:f>IF(X$10&gt;='Assumptions'!$F$10,1,0)</x:f>
        <x:v>1</x:v>
      </x:c>
      <x:c r="Y13" s="124" t="n">
        <x:f>IF(Y$10&gt;='Assumptions'!$F$10,1,0)</x:f>
        <x:v>1</x:v>
      </x:c>
      <x:c r="Z13" s="124" t="n">
        <x:f>IF(Z$10&gt;='Assumptions'!$F$10,1,0)</x:f>
        <x:v>1</x:v>
      </x:c>
      <x:c r="AA13" s="124" t="n">
        <x:f>IF(AA$10&gt;='Assumptions'!$F$10,1,0)</x:f>
        <x:v>1</x:v>
      </x:c>
      <x:c r="AB13" s="124" t="n">
        <x:f>IF(AB$10&gt;='Assumptions'!$F$10,1,0)</x:f>
        <x:v>1</x:v>
      </x:c>
      <x:c r="AC13" s="124" t="n">
        <x:f>IF(AC$10&gt;='Assumptions'!$F$10,1,0)</x:f>
        <x:v>1</x:v>
      </x:c>
      <x:c r="AD13" s="124" t="n">
        <x:f>IF(AD$10&gt;='Assumptions'!$F$10,1,0)</x:f>
        <x:v>1</x:v>
      </x:c>
      <x:c r="AE13" s="124" t="n">
        <x:f>IF(AE$10&gt;='Assumptions'!$F$10,1,0)</x:f>
        <x:v>1</x:v>
      </x:c>
      <x:c r="AF13" s="124" t="n">
        <x:f>IF(AF$10&gt;='Assumptions'!$F$10,1,0)</x:f>
        <x:v>1</x:v>
      </x:c>
      <x:c r="AG13" s="124" t="n">
        <x:f>IF(AG$10&gt;='Assumptions'!$F$10,1,0)</x:f>
        <x:v>1</x:v>
      </x:c>
      <x:c r="AH13" s="124" t="n">
        <x:f>IF(AH$10&gt;='Assumptions'!$F$10,1,0)</x:f>
        <x:v>1</x:v>
      </x:c>
      <x:c r="AI13" s="124" t="n">
        <x:f>IF(AI$10&gt;='Assumptions'!$F$10,1,0)</x:f>
        <x:v>1</x:v>
      </x:c>
      <x:c r="AJ13" s="124" t="n">
        <x:f>IF(AJ$10&gt;='Assumptions'!$F$10,1,0)</x:f>
        <x:v>1</x:v>
      </x:c>
      <x:c r="AK13" s="124" t="n">
        <x:f>IF(AK$10&gt;='Assumptions'!$F$10,1,0)</x:f>
        <x:v>1</x:v>
      </x:c>
      <x:c r="AL13" s="124" t="n">
        <x:f>IF(AL$10&gt;='Assumptions'!$F$10,1,0)</x:f>
        <x:v>1</x:v>
      </x:c>
      <x:c r="AM13" s="124" t="n">
        <x:f>IF(AM$10&gt;='Assumptions'!$F$10,1,0)</x:f>
        <x:v>1</x:v>
      </x:c>
      <x:c r="AN13" s="124" t="n">
        <x:f>IF(AN$10&gt;='Assumptions'!$F$10,1,0)</x:f>
        <x:v>1</x:v>
      </x:c>
      <x:c r="AO13" s="124" t="n">
        <x:f>IF(AO$10&gt;='Assumptions'!$F$10,1,0)</x:f>
        <x:v>1</x:v>
      </x:c>
      <x:c r="AP13" s="124" t="n">
        <x:f>IF(AP$10&gt;='Assumptions'!$F$10,1,0)</x:f>
        <x:v>1</x:v>
      </x:c>
    </x:row>
    <x:row r="14">
      <x:c r="A14" s="125" t="str">
        <x:v>Balance roll-forward check</x:v>
      </x:c>
      <x:c r="B14" s="126" t="n">
        <x:f>B$10-MAX(0,B$6+B$7+B$8-B$9)</x:f>
        <x:v>0</x:v>
      </x:c>
      <x:c r="C14" s="126" t="n">
        <x:f>C$10-MAX(0,C$6+C$7+C$8-C$9)</x:f>
        <x:v>0</x:v>
      </x:c>
      <x:c r="D14" s="126" t="n">
        <x:f>D$10-MAX(0,D$6+D$7+D$8-D$9)</x:f>
        <x:v>0</x:v>
      </x:c>
      <x:c r="E14" s="126" t="n">
        <x:f>E$10-MAX(0,E$6+E$7+E$8-E$9)</x:f>
        <x:v>0</x:v>
      </x:c>
      <x:c r="F14" s="126" t="n">
        <x:f>F$10-MAX(0,F$6+F$7+F$8-F$9)</x:f>
        <x:v>0</x:v>
      </x:c>
      <x:c r="G14" s="126" t="n">
        <x:f>G$10-MAX(0,G$6+G$7+G$8-G$9)</x:f>
        <x:v>0</x:v>
      </x:c>
      <x:c r="H14" s="126" t="n">
        <x:f>H$10-MAX(0,H$6+H$7+H$8-H$9)</x:f>
        <x:v>0</x:v>
      </x:c>
      <x:c r="I14" s="126" t="n">
        <x:f>I$10-MAX(0,I$6+I$7+I$8-I$9)</x:f>
        <x:v>0</x:v>
      </x:c>
      <x:c r="J14" s="126" t="n">
        <x:f>J$10-MAX(0,J$6+J$7+J$8-J$9)</x:f>
        <x:v>0</x:v>
      </x:c>
      <x:c r="K14" s="126" t="n">
        <x:f>K$10-MAX(0,K$6+K$7+K$8-K$9)</x:f>
        <x:v>0</x:v>
      </x:c>
      <x:c r="L14" s="126" t="n">
        <x:f>L$10-MAX(0,L$6+L$7+L$8-L$9)</x:f>
        <x:v>0</x:v>
      </x:c>
      <x:c r="M14" s="126" t="n">
        <x:f>M$10-MAX(0,M$6+M$7+M$8-M$9)</x:f>
        <x:v>0</x:v>
      </x:c>
      <x:c r="N14" s="126" t="n">
        <x:f>N$10-MAX(0,N$6+N$7+N$8-N$9)</x:f>
        <x:v>0</x:v>
      </x:c>
      <x:c r="O14" s="126" t="n">
        <x:f>O$10-MAX(0,O$6+O$7+O$8-O$9)</x:f>
        <x:v>0</x:v>
      </x:c>
      <x:c r="P14" s="126" t="n">
        <x:f>P$10-MAX(0,P$6+P$7+P$8-P$9)</x:f>
        <x:v>0</x:v>
      </x:c>
      <x:c r="Q14" s="126" t="n">
        <x:f>Q$10-MAX(0,Q$6+Q$7+Q$8-Q$9)</x:f>
        <x:v>0</x:v>
      </x:c>
      <x:c r="R14" s="126" t="n">
        <x:f>R$10-MAX(0,R$6+R$7+R$8-R$9)</x:f>
        <x:v>0</x:v>
      </x:c>
      <x:c r="S14" s="126" t="n">
        <x:f>S$10-MAX(0,S$6+S$7+S$8-S$9)</x:f>
        <x:v>0</x:v>
      </x:c>
      <x:c r="T14" s="126" t="n">
        <x:f>T$10-MAX(0,T$6+T$7+T$8-T$9)</x:f>
        <x:v>0</x:v>
      </x:c>
      <x:c r="U14" s="126" t="n">
        <x:f>U$10-MAX(0,U$6+U$7+U$8-U$9)</x:f>
        <x:v>0</x:v>
      </x:c>
      <x:c r="V14" s="126" t="n">
        <x:f>V$10-MAX(0,V$6+V$7+V$8-V$9)</x:f>
        <x:v>0</x:v>
      </x:c>
      <x:c r="W14" s="126" t="n">
        <x:f>W$10-MAX(0,W$6+W$7+W$8-W$9)</x:f>
        <x:v>0</x:v>
      </x:c>
      <x:c r="X14" s="126" t="n">
        <x:f>X$10-MAX(0,X$6+X$7+X$8-X$9)</x:f>
        <x:v>0</x:v>
      </x:c>
      <x:c r="Y14" s="126" t="n">
        <x:f>Y$10-MAX(0,Y$6+Y$7+Y$8-Y$9)</x:f>
        <x:v>0</x:v>
      </x:c>
      <x:c r="Z14" s="126" t="n">
        <x:f>Z$10-MAX(0,Z$6+Z$7+Z$8-Z$9)</x:f>
        <x:v>0</x:v>
      </x:c>
      <x:c r="AA14" s="126" t="n">
        <x:f>AA$10-MAX(0,AA$6+AA$7+AA$8-AA$9)</x:f>
        <x:v>0</x:v>
      </x:c>
      <x:c r="AB14" s="126" t="n">
        <x:f>AB$10-MAX(0,AB$6+AB$7+AB$8-AB$9)</x:f>
        <x:v>0</x:v>
      </x:c>
      <x:c r="AC14" s="126" t="n">
        <x:f>AC$10-MAX(0,AC$6+AC$7+AC$8-AC$9)</x:f>
        <x:v>0</x:v>
      </x:c>
      <x:c r="AD14" s="126" t="n">
        <x:f>AD$10-MAX(0,AD$6+AD$7+AD$8-AD$9)</x:f>
        <x:v>0</x:v>
      </x:c>
      <x:c r="AE14" s="126" t="n">
        <x:f>AE$10-MAX(0,AE$6+AE$7+AE$8-AE$9)</x:f>
        <x:v>0</x:v>
      </x:c>
      <x:c r="AF14" s="126" t="n">
        <x:f>AF$10-MAX(0,AF$6+AF$7+AF$8-AF$9)</x:f>
        <x:v>0</x:v>
      </x:c>
      <x:c r="AG14" s="126" t="n">
        <x:f>AG$10-MAX(0,AG$6+AG$7+AG$8-AG$9)</x:f>
        <x:v>0</x:v>
      </x:c>
      <x:c r="AH14" s="126" t="n">
        <x:f>AH$10-MAX(0,AH$6+AH$7+AH$8-AH$9)</x:f>
        <x:v>0</x:v>
      </x:c>
      <x:c r="AI14" s="126" t="n">
        <x:f>AI$10-MAX(0,AI$6+AI$7+AI$8-AI$9)</x:f>
        <x:v>0</x:v>
      </x:c>
      <x:c r="AJ14" s="126" t="n">
        <x:f>AJ$10-MAX(0,AJ$6+AJ$7+AJ$8-AJ$9)</x:f>
        <x:v>0</x:v>
      </x:c>
      <x:c r="AK14" s="126" t="n">
        <x:f>AK$10-MAX(0,AK$6+AK$7+AK$8-AK$9)</x:f>
        <x:v>0</x:v>
      </x:c>
      <x:c r="AL14" s="126" t="n">
        <x:f>AL$10-MAX(0,AL$6+AL$7+AL$8-AL$9)</x:f>
        <x:v>0</x:v>
      </x:c>
      <x:c r="AM14" s="126" t="n">
        <x:f>AM$10-MAX(0,AM$6+AM$7+AM$8-AM$9)</x:f>
        <x:v>0</x:v>
      </x:c>
      <x:c r="AN14" s="126" t="n">
        <x:f>AN$10-MAX(0,AN$6+AN$7+AN$8-AN$9)</x:f>
        <x:v>0</x:v>
      </x:c>
      <x:c r="AO14" s="126" t="n">
        <x:f>AO$10-MAX(0,AO$6+AO$7+AO$8-AO$9)</x:f>
        <x:v>0</x:v>
      </x:c>
      <x:c r="AP14" s="126" t="n">
        <x:f>AP$10-MAX(0,AP$6+AP$7+AP$8-AP$9)</x:f>
        <x:v>0</x:v>
      </x:c>
    </x:row>
    <x:row r="16">
      <x:c r="A16" s="42" t="str">
        <x:v>Review row definitions, sign convention, period basis, scenario mechanics, and every breakpoint before relying on the output.</x:v>
      </x:c>
      <x:c r="B16" s="43" t="str">
        <x:v>Review row definitions, sign convention, period basis, scenario mechanics, and every breakpoint before relying on the output.</x:v>
      </x:c>
      <x:c r="C16" s="43" t="str">
        <x:v>Review row definitions, sign convention, period basis, scenario mechanics, and every breakpoint before relying on the output.</x:v>
      </x:c>
      <x:c r="D16" s="43" t="str">
        <x:v>Review row definitions, sign convention, period basis, scenario mechanics, and every breakpoint before relying on the output.</x:v>
      </x:c>
      <x:c r="E16" s="43" t="str">
        <x:v>Review row definitions, sign convention, period basis, scenario mechanics, and every breakpoint before relying on the output.</x:v>
      </x:c>
      <x:c r="F16" s="43" t="str">
        <x:v>Review row definitions, sign convention, period basis, scenario mechanics, and every breakpoint before relying on the output.</x:v>
      </x:c>
      <x:c r="G16" s="43" t="str">
        <x:v>Review row definitions, sign convention, period basis, scenario mechanics, and every breakpoint before relying on the output.</x:v>
      </x:c>
      <x:c r="H16" s="43" t="str">
        <x:v>Review row definitions, sign convention, period basis, scenario mechanics, and every breakpoint before relying on the output.</x:v>
      </x:c>
      <x:c r="I16" s="43" t="str">
        <x:v>Review row definitions, sign convention, period basis, scenario mechanics, and every breakpoint before relying on the output.</x:v>
      </x:c>
      <x:c r="J16" s="43" t="str">
        <x:v>Review row definitions, sign convention, period basis, scenario mechanics, and every breakpoint before relying on the output.</x:v>
      </x:c>
      <x:c r="K16" s="43" t="str">
        <x:v>Review row definitions, sign convention, period basis, scenario mechanics, and every breakpoint before relying on the output.</x:v>
      </x:c>
      <x:c r="L16" s="43" t="str">
        <x:v>Review row definitions, sign convention, period basis, scenario mechanics, and every breakpoint before relying on the output.</x:v>
      </x:c>
      <x:c r="M16" s="43" t="str">
        <x:v>Review row definitions, sign convention, period basis, scenario mechanics, and every breakpoint before relying on the output.</x:v>
      </x:c>
      <x:c r="N16" s="43" t="str">
        <x:v>Review row definitions, sign convention, period basis, scenario mechanics, and every breakpoint before relying on the output.</x:v>
      </x:c>
      <x:c r="O16" s="43" t="str">
        <x:v>Review row definitions, sign convention, period basis, scenario mechanics, and every breakpoint before relying on the output.</x:v>
      </x:c>
      <x:c r="P16" s="43" t="str">
        <x:v>Review row definitions, sign convention, period basis, scenario mechanics, and every breakpoint before relying on the output.</x:v>
      </x:c>
      <x:c r="Q16" s="43" t="str">
        <x:v>Review row definitions, sign convention, period basis, scenario mechanics, and every breakpoint before relying on the output.</x:v>
      </x:c>
      <x:c r="R16" s="43" t="str">
        <x:v>Review row definitions, sign convention, period basis, scenario mechanics, and every breakpoint before relying on the output.</x:v>
      </x:c>
      <x:c r="S16" s="43" t="str">
        <x:v>Review row definitions, sign convention, period basis, scenario mechanics, and every breakpoint before relying on the output.</x:v>
      </x:c>
      <x:c r="T16" s="43" t="str">
        <x:v>Review row definitions, sign convention, period basis, scenario mechanics, and every breakpoint before relying on the output.</x:v>
      </x:c>
      <x:c r="U16" s="43" t="str">
        <x:v>Review row definitions, sign convention, period basis, scenario mechanics, and every breakpoint before relying on the output.</x:v>
      </x:c>
      <x:c r="V16" s="43" t="str">
        <x:v>Review row definitions, sign convention, period basis, scenario mechanics, and every breakpoint before relying on the output.</x:v>
      </x:c>
      <x:c r="W16" s="43" t="str">
        <x:v>Review row definitions, sign convention, period basis, scenario mechanics, and every breakpoint before relying on the output.</x:v>
      </x:c>
      <x:c r="X16" s="43" t="str">
        <x:v>Review row definitions, sign convention, period basis, scenario mechanics, and every breakpoint before relying on the output.</x:v>
      </x:c>
      <x:c r="Y16" s="43" t="str">
        <x:v>Review row definitions, sign convention, period basis, scenario mechanics, and every breakpoint before relying on the output.</x:v>
      </x:c>
      <x:c r="Z16" s="43" t="str">
        <x:v>Review row definitions, sign convention, period basis, scenario mechanics, and every breakpoint before relying on the output.</x:v>
      </x:c>
      <x:c r="AA16" s="43" t="str">
        <x:v>Review row definitions, sign convention, period basis, scenario mechanics, and every breakpoint before relying on the output.</x:v>
      </x:c>
      <x:c r="AB16" s="43" t="str">
        <x:v>Review row definitions, sign convention, period basis, scenario mechanics, and every breakpoint before relying on the output.</x:v>
      </x:c>
      <x:c r="AC16" s="43" t="str">
        <x:v>Review row definitions, sign convention, period basis, scenario mechanics, and every breakpoint before relying on the output.</x:v>
      </x:c>
      <x:c r="AD16" s="43" t="str">
        <x:v>Review row definitions, sign convention, period basis, scenario mechanics, and every breakpoint before relying on the output.</x:v>
      </x:c>
      <x:c r="AE16" s="43" t="str">
        <x:v>Review row definitions, sign convention, period basis, scenario mechanics, and every breakpoint before relying on the output.</x:v>
      </x:c>
      <x:c r="AF16" s="43" t="str">
        <x:v>Review row definitions, sign convention, period basis, scenario mechanics, and every breakpoint before relying on the output.</x:v>
      </x:c>
      <x:c r="AG16" s="43" t="str">
        <x:v>Review row definitions, sign convention, period basis, scenario mechanics, and every breakpoint before relying on the output.</x:v>
      </x:c>
      <x:c r="AH16" s="43" t="str">
        <x:v>Review row definitions, sign convention, period basis, scenario mechanics, and every breakpoint before relying on the output.</x:v>
      </x:c>
      <x:c r="AI16" s="43" t="str">
        <x:v>Review row definitions, sign convention, period basis, scenario mechanics, and every breakpoint before relying on the output.</x:v>
      </x:c>
      <x:c r="AJ16" s="43" t="str">
        <x:v>Review row definitions, sign convention, period basis, scenario mechanics, and every breakpoint before relying on the output.</x:v>
      </x:c>
      <x:c r="AK16" s="43" t="str">
        <x:v>Review row definitions, sign convention, period basis, scenario mechanics, and every breakpoint before relying on the output.</x:v>
      </x:c>
      <x:c r="AL16" s="43" t="str">
        <x:v>Review row definitions, sign convention, period basis, scenario mechanics, and every breakpoint before relying on the output.</x:v>
      </x:c>
      <x:c r="AM16" s="43" t="str">
        <x:v>Review row definitions, sign convention, period basis, scenario mechanics, and every breakpoint before relying on the output.</x:v>
      </x:c>
      <x:c r="AN16" s="43" t="str">
        <x:v>Review row definitions, sign convention, period basis, scenario mechanics, and every breakpoint before relying on the output.</x:v>
      </x:c>
      <x:c r="AO16" s="43" t="str">
        <x:v>Review row definitions, sign convention, period basis, scenario mechanics, and every breakpoint before relying on the output.</x:v>
      </x:c>
      <x:c r="AP16" s="44" t="str">
        <x:v>Review row definitions, sign convention, period basis, scenario mechanics, and every breakpoint before relying on the output.</x:v>
      </x:c>
    </x:row>
    <x:row r="17">
      <x:c r="A17" s="45" t="str">
        <x:v>Review row definitions, sign convention, period basis, scenario mechanics, and every breakpoint before relying on the output.</x:v>
      </x:c>
      <x:c r="B17" s="46" t="str">
        <x:v>Review row definitions, sign convention, period basis, scenario mechanics, and every breakpoint before relying on the output.</x:v>
      </x:c>
      <x:c r="C17" s="46" t="str">
        <x:v>Review row definitions, sign convention, period basis, scenario mechanics, and every breakpoint before relying on the output.</x:v>
      </x:c>
      <x:c r="D17" s="46" t="str">
        <x:v>Review row definitions, sign convention, period basis, scenario mechanics, and every breakpoint before relying on the output.</x:v>
      </x:c>
      <x:c r="E17" s="46" t="str">
        <x:v>Review row definitions, sign convention, period basis, scenario mechanics, and every breakpoint before relying on the output.</x:v>
      </x:c>
      <x:c r="F17" s="46" t="str">
        <x:v>Review row definitions, sign convention, period basis, scenario mechanics, and every breakpoint before relying on the output.</x:v>
      </x:c>
      <x:c r="G17" s="46" t="str">
        <x:v>Review row definitions, sign convention, period basis, scenario mechanics, and every breakpoint before relying on the output.</x:v>
      </x:c>
      <x:c r="H17" s="46" t="str">
        <x:v>Review row definitions, sign convention, period basis, scenario mechanics, and every breakpoint before relying on the output.</x:v>
      </x:c>
      <x:c r="I17" s="46" t="str">
        <x:v>Review row definitions, sign convention, period basis, scenario mechanics, and every breakpoint before relying on the output.</x:v>
      </x:c>
      <x:c r="J17" s="46" t="str">
        <x:v>Review row definitions, sign convention, period basis, scenario mechanics, and every breakpoint before relying on the output.</x:v>
      </x:c>
      <x:c r="K17" s="46" t="str">
        <x:v>Review row definitions, sign convention, period basis, scenario mechanics, and every breakpoint before relying on the output.</x:v>
      </x:c>
      <x:c r="L17" s="46" t="str">
        <x:v>Review row definitions, sign convention, period basis, scenario mechanics, and every breakpoint before relying on the output.</x:v>
      </x:c>
      <x:c r="M17" s="46" t="str">
        <x:v>Review row definitions, sign convention, period basis, scenario mechanics, and every breakpoint before relying on the output.</x:v>
      </x:c>
      <x:c r="N17" s="46" t="str">
        <x:v>Review row definitions, sign convention, period basis, scenario mechanics, and every breakpoint before relying on the output.</x:v>
      </x:c>
      <x:c r="O17" s="46" t="str">
        <x:v>Review row definitions, sign convention, period basis, scenario mechanics, and every breakpoint before relying on the output.</x:v>
      </x:c>
      <x:c r="P17" s="46" t="str">
        <x:v>Review row definitions, sign convention, period basis, scenario mechanics, and every breakpoint before relying on the output.</x:v>
      </x:c>
      <x:c r="Q17" s="46" t="str">
        <x:v>Review row definitions, sign convention, period basis, scenario mechanics, and every breakpoint before relying on the output.</x:v>
      </x:c>
      <x:c r="R17" s="46" t="str">
        <x:v>Review row definitions, sign convention, period basis, scenario mechanics, and every breakpoint before relying on the output.</x:v>
      </x:c>
      <x:c r="S17" s="46" t="str">
        <x:v>Review row definitions, sign convention, period basis, scenario mechanics, and every breakpoint before relying on the output.</x:v>
      </x:c>
      <x:c r="T17" s="46" t="str">
        <x:v>Review row definitions, sign convention, period basis, scenario mechanics, and every breakpoint before relying on the output.</x:v>
      </x:c>
      <x:c r="U17" s="46" t="str">
        <x:v>Review row definitions, sign convention, period basis, scenario mechanics, and every breakpoint before relying on the output.</x:v>
      </x:c>
      <x:c r="V17" s="46" t="str">
        <x:v>Review row definitions, sign convention, period basis, scenario mechanics, and every breakpoint before relying on the output.</x:v>
      </x:c>
      <x:c r="W17" s="46" t="str">
        <x:v>Review row definitions, sign convention, period basis, scenario mechanics, and every breakpoint before relying on the output.</x:v>
      </x:c>
      <x:c r="X17" s="46" t="str">
        <x:v>Review row definitions, sign convention, period basis, scenario mechanics, and every breakpoint before relying on the output.</x:v>
      </x:c>
      <x:c r="Y17" s="46" t="str">
        <x:v>Review row definitions, sign convention, period basis, scenario mechanics, and every breakpoint before relying on the output.</x:v>
      </x:c>
      <x:c r="Z17" s="46" t="str">
        <x:v>Review row definitions, sign convention, period basis, scenario mechanics, and every breakpoint before relying on the output.</x:v>
      </x:c>
      <x:c r="AA17" s="46" t="str">
        <x:v>Review row definitions, sign convention, period basis, scenario mechanics, and every breakpoint before relying on the output.</x:v>
      </x:c>
      <x:c r="AB17" s="46" t="str">
        <x:v>Review row definitions, sign convention, period basis, scenario mechanics, and every breakpoint before relying on the output.</x:v>
      </x:c>
      <x:c r="AC17" s="46" t="str">
        <x:v>Review row definitions, sign convention, period basis, scenario mechanics, and every breakpoint before relying on the output.</x:v>
      </x:c>
      <x:c r="AD17" s="46" t="str">
        <x:v>Review row definitions, sign convention, period basis, scenario mechanics, and every breakpoint before relying on the output.</x:v>
      </x:c>
      <x:c r="AE17" s="46" t="str">
        <x:v>Review row definitions, sign convention, period basis, scenario mechanics, and every breakpoint before relying on the output.</x:v>
      </x:c>
      <x:c r="AF17" s="46" t="str">
        <x:v>Review row definitions, sign convention, period basis, scenario mechanics, and every breakpoint before relying on the output.</x:v>
      </x:c>
      <x:c r="AG17" s="46" t="str">
        <x:v>Review row definitions, sign convention, period basis, scenario mechanics, and every breakpoint before relying on the output.</x:v>
      </x:c>
      <x:c r="AH17" s="46" t="str">
        <x:v>Review row definitions, sign convention, period basis, scenario mechanics, and every breakpoint before relying on the output.</x:v>
      </x:c>
      <x:c r="AI17" s="46" t="str">
        <x:v>Review row definitions, sign convention, period basis, scenario mechanics, and every breakpoint before relying on the output.</x:v>
      </x:c>
      <x:c r="AJ17" s="46" t="str">
        <x:v>Review row definitions, sign convention, period basis, scenario mechanics, and every breakpoint before relying on the output.</x:v>
      </x:c>
      <x:c r="AK17" s="46" t="str">
        <x:v>Review row definitions, sign convention, period basis, scenario mechanics, and every breakpoint before relying on the output.</x:v>
      </x:c>
      <x:c r="AL17" s="46" t="str">
        <x:v>Review row definitions, sign convention, period basis, scenario mechanics, and every breakpoint before relying on the output.</x:v>
      </x:c>
      <x:c r="AM17" s="46" t="str">
        <x:v>Review row definitions, sign convention, period basis, scenario mechanics, and every breakpoint before relying on the output.</x:v>
      </x:c>
      <x:c r="AN17" s="46" t="str">
        <x:v>Review row definitions, sign convention, period basis, scenario mechanics, and every breakpoint before relying on the output.</x:v>
      </x:c>
      <x:c r="AO17" s="46" t="str">
        <x:v>Review row definitions, sign convention, period basis, scenario mechanics, and every breakpoint before relying on the output.</x:v>
      </x:c>
      <x:c r="AP17" s="47" t="str">
        <x:v>Review row definitions, sign convention, period basis, scenario mechanics, and every breakpoint before relying on the output.</x:v>
      </x:c>
    </x:row>
    <x:row r="18">
      <x:c r="A18" s="48" t="str">
        <x:v>Review row definitions, sign convention, period basis, scenario mechanics, and every breakpoint before relying on the output.</x:v>
      </x:c>
      <x:c r="B18" s="49" t="str">
        <x:v>Review row definitions, sign convention, period basis, scenario mechanics, and every breakpoint before relying on the output.</x:v>
      </x:c>
      <x:c r="C18" s="49" t="str">
        <x:v>Review row definitions, sign convention, period basis, scenario mechanics, and every breakpoint before relying on the output.</x:v>
      </x:c>
      <x:c r="D18" s="49" t="str">
        <x:v>Review row definitions, sign convention, period basis, scenario mechanics, and every breakpoint before relying on the output.</x:v>
      </x:c>
      <x:c r="E18" s="49" t="str">
        <x:v>Review row definitions, sign convention, period basis, scenario mechanics, and every breakpoint before relying on the output.</x:v>
      </x:c>
      <x:c r="F18" s="49" t="str">
        <x:v>Review row definitions, sign convention, period basis, scenario mechanics, and every breakpoint before relying on the output.</x:v>
      </x:c>
      <x:c r="G18" s="49" t="str">
        <x:v>Review row definitions, sign convention, period basis, scenario mechanics, and every breakpoint before relying on the output.</x:v>
      </x:c>
      <x:c r="H18" s="49" t="str">
        <x:v>Review row definitions, sign convention, period basis, scenario mechanics, and every breakpoint before relying on the output.</x:v>
      </x:c>
      <x:c r="I18" s="49" t="str">
        <x:v>Review row definitions, sign convention, period basis, scenario mechanics, and every breakpoint before relying on the output.</x:v>
      </x:c>
      <x:c r="J18" s="49" t="str">
        <x:v>Review row definitions, sign convention, period basis, scenario mechanics, and every breakpoint before relying on the output.</x:v>
      </x:c>
      <x:c r="K18" s="49" t="str">
        <x:v>Review row definitions, sign convention, period basis, scenario mechanics, and every breakpoint before relying on the output.</x:v>
      </x:c>
      <x:c r="L18" s="49" t="str">
        <x:v>Review row definitions, sign convention, period basis, scenario mechanics, and every breakpoint before relying on the output.</x:v>
      </x:c>
      <x:c r="M18" s="49" t="str">
        <x:v>Review row definitions, sign convention, period basis, scenario mechanics, and every breakpoint before relying on the output.</x:v>
      </x:c>
      <x:c r="N18" s="49" t="str">
        <x:v>Review row definitions, sign convention, period basis, scenario mechanics, and every breakpoint before relying on the output.</x:v>
      </x:c>
      <x:c r="O18" s="49" t="str">
        <x:v>Review row definitions, sign convention, period basis, scenario mechanics, and every breakpoint before relying on the output.</x:v>
      </x:c>
      <x:c r="P18" s="49" t="str">
        <x:v>Review row definitions, sign convention, period basis, scenario mechanics, and every breakpoint before relying on the output.</x:v>
      </x:c>
      <x:c r="Q18" s="49" t="str">
        <x:v>Review row definitions, sign convention, period basis, scenario mechanics, and every breakpoint before relying on the output.</x:v>
      </x:c>
      <x:c r="R18" s="49" t="str">
        <x:v>Review row definitions, sign convention, period basis, scenario mechanics, and every breakpoint before relying on the output.</x:v>
      </x:c>
      <x:c r="S18" s="49" t="str">
        <x:v>Review row definitions, sign convention, period basis, scenario mechanics, and every breakpoint before relying on the output.</x:v>
      </x:c>
      <x:c r="T18" s="49" t="str">
        <x:v>Review row definitions, sign convention, period basis, scenario mechanics, and every breakpoint before relying on the output.</x:v>
      </x:c>
      <x:c r="U18" s="49" t="str">
        <x:v>Review row definitions, sign convention, period basis, scenario mechanics, and every breakpoint before relying on the output.</x:v>
      </x:c>
      <x:c r="V18" s="49" t="str">
        <x:v>Review row definitions, sign convention, period basis, scenario mechanics, and every breakpoint before relying on the output.</x:v>
      </x:c>
      <x:c r="W18" s="49" t="str">
        <x:v>Review row definitions, sign convention, period basis, scenario mechanics, and every breakpoint before relying on the output.</x:v>
      </x:c>
      <x:c r="X18" s="49" t="str">
        <x:v>Review row definitions, sign convention, period basis, scenario mechanics, and every breakpoint before relying on the output.</x:v>
      </x:c>
      <x:c r="Y18" s="49" t="str">
        <x:v>Review row definitions, sign convention, period basis, scenario mechanics, and every breakpoint before relying on the output.</x:v>
      </x:c>
      <x:c r="Z18" s="49" t="str">
        <x:v>Review row definitions, sign convention, period basis, scenario mechanics, and every breakpoint before relying on the output.</x:v>
      </x:c>
      <x:c r="AA18" s="49" t="str">
        <x:v>Review row definitions, sign convention, period basis, scenario mechanics, and every breakpoint before relying on the output.</x:v>
      </x:c>
      <x:c r="AB18" s="49" t="str">
        <x:v>Review row definitions, sign convention, period basis, scenario mechanics, and every breakpoint before relying on the output.</x:v>
      </x:c>
      <x:c r="AC18" s="49" t="str">
        <x:v>Review row definitions, sign convention, period basis, scenario mechanics, and every breakpoint before relying on the output.</x:v>
      </x:c>
      <x:c r="AD18" s="49" t="str">
        <x:v>Review row definitions, sign convention, period basis, scenario mechanics, and every breakpoint before relying on the output.</x:v>
      </x:c>
      <x:c r="AE18" s="49" t="str">
        <x:v>Review row definitions, sign convention, period basis, scenario mechanics, and every breakpoint before relying on the output.</x:v>
      </x:c>
      <x:c r="AF18" s="49" t="str">
        <x:v>Review row definitions, sign convention, period basis, scenario mechanics, and every breakpoint before relying on the output.</x:v>
      </x:c>
      <x:c r="AG18" s="49" t="str">
        <x:v>Review row definitions, sign convention, period basis, scenario mechanics, and every breakpoint before relying on the output.</x:v>
      </x:c>
      <x:c r="AH18" s="49" t="str">
        <x:v>Review row definitions, sign convention, period basis, scenario mechanics, and every breakpoint before relying on the output.</x:v>
      </x:c>
      <x:c r="AI18" s="49" t="str">
        <x:v>Review row definitions, sign convention, period basis, scenario mechanics, and every breakpoint before relying on the output.</x:v>
      </x:c>
      <x:c r="AJ18" s="49" t="str">
        <x:v>Review row definitions, sign convention, period basis, scenario mechanics, and every breakpoint before relying on the output.</x:v>
      </x:c>
      <x:c r="AK18" s="49" t="str">
        <x:v>Review row definitions, sign convention, period basis, scenario mechanics, and every breakpoint before relying on the output.</x:v>
      </x:c>
      <x:c r="AL18" s="49" t="str">
        <x:v>Review row definitions, sign convention, period basis, scenario mechanics, and every breakpoint before relying on the output.</x:v>
      </x:c>
      <x:c r="AM18" s="49" t="str">
        <x:v>Review row definitions, sign convention, period basis, scenario mechanics, and every breakpoint before relying on the output.</x:v>
      </x:c>
      <x:c r="AN18" s="49" t="str">
        <x:v>Review row definitions, sign convention, period basis, scenario mechanics, and every breakpoint before relying on the output.</x:v>
      </x:c>
      <x:c r="AO18" s="49" t="str">
        <x:v>Review row definitions, sign convention, period basis, scenario mechanics, and every breakpoint before relying on the output.</x:v>
      </x:c>
      <x:c r="AP18" s="50" t="str">
        <x:v>Review row definitions, sign convention, period basis, scenario mechanics, and every breakpoint before relying on the output.</x:v>
      </x:c>
    </x:row>
    <x:row r="20">
      <x:c r="A20" s="53" t="str">
        <x:v>TDAT Model Library  |  Trust builds the brand. Insight builds the decision.</x:v>
      </x:c>
      <x:c r="B20" s="53" t="str">
        <x:v>TDAT Model Library  |  Trust builds the brand. Insight builds the decision.</x:v>
      </x:c>
      <x:c r="C20" s="53" t="str">
        <x:v>TDAT Model Library  |  Trust builds the brand. Insight builds the decision.</x:v>
      </x:c>
      <x:c r="D20" s="53" t="str">
        <x:v>TDAT Model Library  |  Trust builds the brand. Insight builds the decision.</x:v>
      </x:c>
      <x:c r="E20" s="53" t="str">
        <x:v>TDAT Model Library  |  Trust builds the brand. Insight builds the decision.</x:v>
      </x:c>
      <x:c r="F20" s="53" t="str">
        <x:v>TDAT Model Library  |  Trust builds the brand. Insight builds the decision.</x:v>
      </x:c>
      <x:c r="G20" s="53" t="str">
        <x:v>TDAT Model Library  |  Trust builds the brand. Insight builds the decision.</x:v>
      </x:c>
      <x:c r="H20" s="53" t="str">
        <x:v>TDAT Model Library  |  Trust builds the brand. Insight builds the decision.</x:v>
      </x:c>
      <x:c r="I20" s="53" t="str">
        <x:v>TDAT Model Library  |  Trust builds the brand. Insight builds the decision.</x:v>
      </x:c>
      <x:c r="J20" s="53" t="str">
        <x:v>TDAT Model Library  |  Trust builds the brand. Insight builds the decision.</x:v>
      </x:c>
      <x:c r="K20" s="53" t="str">
        <x:v>TDAT Model Library  |  Trust builds the brand. Insight builds the decision.</x:v>
      </x:c>
      <x:c r="L20" s="53" t="str">
        <x:v>TDAT Model Library  |  Trust builds the brand. Insight builds the decision.</x:v>
      </x:c>
      <x:c r="M20" s="53" t="str">
        <x:v>TDAT Model Library  |  Trust builds the brand. Insight builds the decision.</x:v>
      </x:c>
      <x:c r="N20" s="53" t="str">
        <x:v>TDAT Model Library  |  Trust builds the brand. Insight builds the decision.</x:v>
      </x:c>
      <x:c r="O20" s="53" t="str">
        <x:v>TDAT Model Library  |  Trust builds the brand. Insight builds the decision.</x:v>
      </x:c>
      <x:c r="P20" s="53" t="str">
        <x:v>TDAT Model Library  |  Trust builds the brand. Insight builds the decision.</x:v>
      </x:c>
      <x:c r="Q20" s="53" t="str">
        <x:v>TDAT Model Library  |  Trust builds the brand. Insight builds the decision.</x:v>
      </x:c>
      <x:c r="R20" s="53" t="str">
        <x:v>TDAT Model Library  |  Trust builds the brand. Insight builds the decision.</x:v>
      </x:c>
      <x:c r="S20" s="53" t="str">
        <x:v>TDAT Model Library  |  Trust builds the brand. Insight builds the decision.</x:v>
      </x:c>
      <x:c r="T20" s="53" t="str">
        <x:v>TDAT Model Library  |  Trust builds the brand. Insight builds the decision.</x:v>
      </x:c>
      <x:c r="U20" s="53" t="str">
        <x:v>TDAT Model Library  |  Trust builds the brand. Insight builds the decision.</x:v>
      </x:c>
      <x:c r="V20" s="53" t="str">
        <x:v>TDAT Model Library  |  Trust builds the brand. Insight builds the decision.</x:v>
      </x:c>
      <x:c r="W20" s="53" t="str">
        <x:v>TDAT Model Library  |  Trust builds the brand. Insight builds the decision.</x:v>
      </x:c>
      <x:c r="X20" s="53" t="str">
        <x:v>TDAT Model Library  |  Trust builds the brand. Insight builds the decision.</x:v>
      </x:c>
      <x:c r="Y20" s="53" t="str">
        <x:v>TDAT Model Library  |  Trust builds the brand. Insight builds the decision.</x:v>
      </x:c>
      <x:c r="Z20" s="53" t="str">
        <x:v>TDAT Model Library  |  Trust builds the brand. Insight builds the decision.</x:v>
      </x:c>
      <x:c r="AA20" s="53" t="str">
        <x:v>TDAT Model Library  |  Trust builds the brand. Insight builds the decision.</x:v>
      </x:c>
      <x:c r="AB20" s="53" t="str">
        <x:v>TDAT Model Library  |  Trust builds the brand. Insight builds the decision.</x:v>
      </x:c>
      <x:c r="AC20" s="53" t="str">
        <x:v>TDAT Model Library  |  Trust builds the brand. Insight builds the decision.</x:v>
      </x:c>
      <x:c r="AD20" s="53" t="str">
        <x:v>TDAT Model Library  |  Trust builds the brand. Insight builds the decision.</x:v>
      </x:c>
      <x:c r="AE20" s="53" t="str">
        <x:v>TDAT Model Library  |  Trust builds the brand. Insight builds the decision.</x:v>
      </x:c>
      <x:c r="AF20" s="53" t="str">
        <x:v>TDAT Model Library  |  Trust builds the brand. Insight builds the decision.</x:v>
      </x:c>
      <x:c r="AG20" s="53" t="str">
        <x:v>TDAT Model Library  |  Trust builds the brand. Insight builds the decision.</x:v>
      </x:c>
      <x:c r="AH20" s="53" t="str">
        <x:v>TDAT Model Library  |  Trust builds the brand. Insight builds the decision.</x:v>
      </x:c>
      <x:c r="AI20" s="53" t="str">
        <x:v>TDAT Model Library  |  Trust builds the brand. Insight builds the decision.</x:v>
      </x:c>
      <x:c r="AJ20" s="53" t="str">
        <x:v>TDAT Model Library  |  Trust builds the brand. Insight builds the decision.</x:v>
      </x:c>
      <x:c r="AK20" s="53" t="str">
        <x:v>TDAT Model Library  |  Trust builds the brand. Insight builds the decision.</x:v>
      </x:c>
      <x:c r="AL20" s="53" t="str">
        <x:v>TDAT Model Library  |  Trust builds the brand. Insight builds the decision.</x:v>
      </x:c>
      <x:c r="AM20" s="53" t="str">
        <x:v>TDAT Model Library  |  Trust builds the brand. Insight builds the decision.</x:v>
      </x:c>
      <x:c r="AN20" s="53" t="str">
        <x:v>TDAT Model Library  |  Trust builds the brand. Insight builds the decision.</x:v>
      </x:c>
      <x:c r="AO20" s="53" t="str">
        <x:v>TDAT Model Library  |  Trust builds the brand. Insight builds the decision.</x:v>
      </x:c>
      <x:c r="AP20" s="53" t="str">
        <x:v>TDAT Model Library  |  Trust builds the brand. Insight builds the decision.</x:v>
      </x:c>
    </x:row>
  </x:sheetData>
  <x:mergeCells>
    <x:mergeCell ref="A1:AP1"/>
    <x:mergeCell ref="A2:AP2"/>
    <x:mergeCell ref="A16:AP18"/>
    <x:mergeCell ref="A20:AP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SCENARIOS &amp; SENSITIVITY</x:v>
      </x:c>
      <x:c r="B1" s="3" t="str">
        <x:v>SCENARIOS &amp; SENSITIVITY</x:v>
      </x:c>
      <x:c r="C1" s="3" t="str">
        <x:v>SCENARIOS &amp; SENSITIVITY</x:v>
      </x:c>
      <x:c r="D1" s="3" t="str">
        <x:v>SCENARIOS &amp; SENSITIVITY</x:v>
      </x:c>
      <x:c r="E1" s="3" t="str">
        <x:v>SCENARIOS &amp; SENSITIVITY</x:v>
      </x:c>
      <x:c r="F1" s="3" t="str">
        <x:v>SCENARIOS &amp; SENSITIVITY</x:v>
      </x:c>
      <x:c r="G1" s="3" t="str">
        <x:v>SCENARIOS &amp; SENSITIVITY</x:v>
      </x:c>
      <x:c r="H1" s="3" t="str">
        <x:v>SCENARIOS &amp; SENSITIVITY</x:v>
      </x:c>
      <x:c r="I1" s="3" t="str">
        <x:v>SCENARIOS &amp; SENSITIVITY</x:v>
      </x:c>
      <x:c r="J1" s="3" t="str">
        <x:v>SCENARIOS &amp; SENSITIVITY</x:v>
      </x:c>
    </x:row>
    <x:row r="2" ht="24" customHeight="1">
      <x:c r="A2" s="6" t="str">
        <x:v>Retirement Scenario Planner  |  Formula-backed decision range</x:v>
      </x:c>
      <x:c r="B2" s="6" t="str">
        <x:v>Retirement Scenario Planner  |  Formula-backed decision range</x:v>
      </x:c>
      <x:c r="C2" s="6" t="str">
        <x:v>Retirement Scenario Planner  |  Formula-backed decision range</x:v>
      </x:c>
      <x:c r="D2" s="6" t="str">
        <x:v>Retirement Scenario Planner  |  Formula-backed decision range</x:v>
      </x:c>
      <x:c r="E2" s="6" t="str">
        <x:v>Retirement Scenario Planner  |  Formula-backed decision range</x:v>
      </x:c>
      <x:c r="F2" s="6" t="str">
        <x:v>Retirement Scenario Planner  |  Formula-backed decision range</x:v>
      </x:c>
      <x:c r="G2" s="6" t="str">
        <x:v>Retirement Scenario Planner  |  Formula-backed decision range</x:v>
      </x:c>
      <x:c r="H2" s="6" t="str">
        <x:v>Retirement Scenario Planner  |  Formula-backed decision range</x:v>
      </x:c>
      <x:c r="I2" s="6" t="str">
        <x:v>Retirement Scenario Planner  |  Formula-backed decision range</x:v>
      </x:c>
      <x:c r="J2" s="6" t="str">
        <x:v>Retirement Scenario Planner  |  Formula-backed decision range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127" t="str">
        <x:v>Ending balance at age 70 — Annual return by Retirement age</x:v>
      </x:c>
      <x:c r="B5" s="127" t="str">
        <x:v>Ending balance at age 70 — Annual return by Retirement age</x:v>
      </x:c>
      <x:c r="C5" s="127" t="str">
        <x:v>Ending balance at age 70 — Annual return by Retirement age</x:v>
      </x:c>
      <x:c r="D5" s="127" t="str">
        <x:v>Ending balance at age 70 — Annual return by Retirement age</x:v>
      </x:c>
      <x:c r="E5" s="127" t="str">
        <x:v>Ending balance at age 70 — Annual return by Retirement age</x:v>
      </x:c>
      <x:c r="F5" s="127" t="str">
        <x:v>Ending balance at age 70 — Annual return by Retirement age</x:v>
      </x:c>
      <x:c r="G5" s="127" t="str">
        <x:v>Ending balance at age 70 — Annual return by Retirement age</x:v>
      </x:c>
      <x:c r="H5" s="127" t="str">
        <x:v>Ending balance at age 70 — Annual return by Retirement age</x:v>
      </x:c>
      <x:c r="I5" s="127" t="str">
        <x:v>Ending balance at age 70 — Annual return by Retirement age</x:v>
      </x:c>
      <x:c r="J5" s="127" t="str">
        <x:v>Ending balance at age 70 — Annual return by Retirement age</x:v>
      </x:c>
    </x:row>
    <x:row r="6">
      <x:c r="A6" t="str">
        <x:v>Annual return</x:v>
      </x:c>
      <x:c r="B6" t="str">
        <x:v>Retirement age</x:v>
      </x:c>
    </x:row>
    <x:row r="7">
      <x:c r="B7" s="80" t="n">
        <x:v>56</x:v>
      </x:c>
      <x:c r="C7" s="80" t="n">
        <x:v>58</x:v>
      </x:c>
      <x:c r="D7" s="80" t="n">
        <x:v>60</x:v>
      </x:c>
      <x:c r="E7" s="80" t="n">
        <x:v>62</x:v>
      </x:c>
      <x:c r="F7" s="80" t="n">
        <x:v>64</x:v>
      </x:c>
    </x:row>
    <x:row r="8">
      <x:c r="A8" s="76" t="n">
        <x:v>0.025</x:v>
      </x:c>
      <x:c r="B8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8)+IF(30&lt;B$7,'Annual Inputs'!B$6,0)-IF(30&gt;=B$7,'Annual Inputs'!B$7,0)))*(1+$A8)+IF(31&lt;B$7,'Annual Inputs'!C$6,0)-IF(31&gt;=B$7,'Annual Inputs'!C$7,0)))*(1+$A8)+IF(32&lt;B$7,'Annual Inputs'!D$6,0)-IF(32&gt;=B$7,'Annual Inputs'!D$7,0)))*(1+$A8)+IF(33&lt;B$7,'Annual Inputs'!E$6,0)-IF(33&gt;=B$7,'Annual Inputs'!E$7,0)))*(1+$A8)+IF(34&lt;B$7,'Annual Inputs'!F$6,0)-IF(34&gt;=B$7,'Annual Inputs'!F$7,0)))*(1+$A8)+IF(35&lt;B$7,'Annual Inputs'!G$6,0)-IF(35&gt;=B$7,'Annual Inputs'!G$7,0)))*(1+$A8)+IF(36&lt;B$7,'Annual Inputs'!H$6,0)-IF(36&gt;=B$7,'Annual Inputs'!H$7,0)))*(1+$A8)+IF(37&lt;B$7,'Annual Inputs'!I$6,0)-IF(37&gt;=B$7,'Annual Inputs'!I$7,0)))*(1+$A8)+IF(38&lt;B$7,'Annual Inputs'!J$6,0)-IF(38&gt;=B$7,'Annual Inputs'!J$7,0)))*(1+$A8)+IF(39&lt;B$7,'Annual Inputs'!K$6,0)-IF(39&gt;=B$7,'Annual Inputs'!K$7,0)))*(1+$A8)+IF(40&lt;B$7,'Annual Inputs'!L$6,0)-IF(40&gt;=B$7,'Annual Inputs'!L$7,0)))*(1+$A8)+IF(41&lt;B$7,'Annual Inputs'!M$6,0)-IF(41&gt;=B$7,'Annual Inputs'!M$7,0)))*(1+$A8)+IF(42&lt;B$7,'Annual Inputs'!N$6,0)-IF(42&gt;=B$7,'Annual Inputs'!N$7,0)))*(1+$A8)+IF(43&lt;B$7,'Annual Inputs'!O$6,0)-IF(43&gt;=B$7,'Annual Inputs'!O$7,0)))*(1+$A8)+IF(44&lt;B$7,'Annual Inputs'!P$6,0)-IF(44&gt;=B$7,'Annual Inputs'!P$7,0)))*(1+$A8)+IF(45&lt;B$7,'Annual Inputs'!Q$6,0)-IF(45&gt;=B$7,'Annual Inputs'!Q$7,0)))*(1+$A8)+IF(46&lt;B$7,'Annual Inputs'!R$6,0)-IF(46&gt;=B$7,'Annual Inputs'!R$7,0)))*(1+$A8)+IF(47&lt;B$7,'Annual Inputs'!S$6,0)-IF(47&gt;=B$7,'Annual Inputs'!S$7,0)))*(1+$A8)+IF(48&lt;B$7,'Annual Inputs'!T$6,0)-IF(48&gt;=B$7,'Annual Inputs'!T$7,0)))*(1+$A8)+IF(49&lt;B$7,'Annual Inputs'!U$6,0)-IF(49&gt;=B$7,'Annual Inputs'!U$7,0)))*(1+$A8)+IF(50&lt;B$7,'Annual Inputs'!V$6,0)-IF(50&gt;=B$7,'Annual Inputs'!V$7,0)))*(1+$A8)+IF(51&lt;B$7,'Annual Inputs'!W$6,0)-IF(51&gt;=B$7,'Annual Inputs'!W$7,0)))*(1+$A8)+IF(52&lt;B$7,'Annual Inputs'!X$6,0)-IF(52&gt;=B$7,'Annual Inputs'!X$7,0)))*(1+$A8)+IF(53&lt;B$7,'Annual Inputs'!Y$6,0)-IF(53&gt;=B$7,'Annual Inputs'!Y$7,0)))*(1+$A8)+IF(54&lt;B$7,'Annual Inputs'!Z$6,0)-IF(54&gt;=B$7,'Annual Inputs'!Z$7,0)))*(1+$A8)+IF(55&lt;B$7,'Annual Inputs'!AA$6,0)-IF(55&gt;=B$7,'Annual Inputs'!AA$7,0)))*(1+$A8)+IF(56&lt;B$7,'Annual Inputs'!AB$6,0)-IF(56&gt;=B$7,'Annual Inputs'!AB$7,0)))*(1+$A8)+IF(57&lt;B$7,'Annual Inputs'!AC$6,0)-IF(57&gt;=B$7,'Annual Inputs'!AC$7,0)))*(1+$A8)+IF(58&lt;B$7,'Annual Inputs'!AD$6,0)-IF(58&gt;=B$7,'Annual Inputs'!AD$7,0)))*(1+$A8)+IF(59&lt;B$7,'Annual Inputs'!AE$6,0)-IF(59&gt;=B$7,'Annual Inputs'!AE$7,0)))*(1+$A8)+IF(60&lt;B$7,'Annual Inputs'!AF$6,0)-IF(60&gt;=B$7,'Annual Inputs'!AF$7,0)))*(1+$A8)+IF(61&lt;B$7,'Annual Inputs'!AG$6,0)-IF(61&gt;=B$7,'Annual Inputs'!AG$7,0)))*(1+$A8)+IF(62&lt;B$7,'Annual Inputs'!AH$6,0)-IF(62&gt;=B$7,'Annual Inputs'!AH$7,0)))*(1+$A8)+IF(63&lt;B$7,'Annual Inputs'!AI$6,0)-IF(63&gt;=B$7,'Annual Inputs'!AI$7,0)))*(1+$A8)+IF(64&lt;B$7,'Annual Inputs'!AJ$6,0)-IF(64&gt;=B$7,'Annual Inputs'!AJ$7,0)))*(1+$A8)+IF(65&lt;B$7,'Annual Inputs'!AK$6,0)-IF(65&gt;=B$7,'Annual Inputs'!AK$7,0)))*(1+$A8)+IF(66&lt;B$7,'Annual Inputs'!AL$6,0)-IF(66&gt;=B$7,'Annual Inputs'!AL$7,0)))*(1+$A8)+IF(67&lt;B$7,'Annual Inputs'!AM$6,0)-IF(67&gt;=B$7,'Annual Inputs'!AM$7,0)))*(1+$A8)+IF(68&lt;B$7,'Annual Inputs'!AN$6,0)-IF(68&gt;=B$7,'Annual Inputs'!AN$7,0)))*(1+$A8)+IF(69&lt;B$7,'Annual Inputs'!AO$6,0)-IF(69&gt;=B$7,'Annual Inputs'!AO$7,0)))*(1+$A8)+IF(70&lt;B$7,'Annual Inputs'!AP$6,0)-IF(70&gt;=B$7,'Annual Inputs'!AP$7,0))</x:f>
        <x:v>786.0386896753342</x:v>
      </x:c>
      <x:c r="C8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8)+IF(30&lt;C$7,'Annual Inputs'!B$6,0)-IF(30&gt;=C$7,'Annual Inputs'!B$7,0)))*(1+$A8)+IF(31&lt;C$7,'Annual Inputs'!C$6,0)-IF(31&gt;=C$7,'Annual Inputs'!C$7,0)))*(1+$A8)+IF(32&lt;C$7,'Annual Inputs'!D$6,0)-IF(32&gt;=C$7,'Annual Inputs'!D$7,0)))*(1+$A8)+IF(33&lt;C$7,'Annual Inputs'!E$6,0)-IF(33&gt;=C$7,'Annual Inputs'!E$7,0)))*(1+$A8)+IF(34&lt;C$7,'Annual Inputs'!F$6,0)-IF(34&gt;=C$7,'Annual Inputs'!F$7,0)))*(1+$A8)+IF(35&lt;C$7,'Annual Inputs'!G$6,0)-IF(35&gt;=C$7,'Annual Inputs'!G$7,0)))*(1+$A8)+IF(36&lt;C$7,'Annual Inputs'!H$6,0)-IF(36&gt;=C$7,'Annual Inputs'!H$7,0)))*(1+$A8)+IF(37&lt;C$7,'Annual Inputs'!I$6,0)-IF(37&gt;=C$7,'Annual Inputs'!I$7,0)))*(1+$A8)+IF(38&lt;C$7,'Annual Inputs'!J$6,0)-IF(38&gt;=C$7,'Annual Inputs'!J$7,0)))*(1+$A8)+IF(39&lt;C$7,'Annual Inputs'!K$6,0)-IF(39&gt;=C$7,'Annual Inputs'!K$7,0)))*(1+$A8)+IF(40&lt;C$7,'Annual Inputs'!L$6,0)-IF(40&gt;=C$7,'Annual Inputs'!L$7,0)))*(1+$A8)+IF(41&lt;C$7,'Annual Inputs'!M$6,0)-IF(41&gt;=C$7,'Annual Inputs'!M$7,0)))*(1+$A8)+IF(42&lt;C$7,'Annual Inputs'!N$6,0)-IF(42&gt;=C$7,'Annual Inputs'!N$7,0)))*(1+$A8)+IF(43&lt;C$7,'Annual Inputs'!O$6,0)-IF(43&gt;=C$7,'Annual Inputs'!O$7,0)))*(1+$A8)+IF(44&lt;C$7,'Annual Inputs'!P$6,0)-IF(44&gt;=C$7,'Annual Inputs'!P$7,0)))*(1+$A8)+IF(45&lt;C$7,'Annual Inputs'!Q$6,0)-IF(45&gt;=C$7,'Annual Inputs'!Q$7,0)))*(1+$A8)+IF(46&lt;C$7,'Annual Inputs'!R$6,0)-IF(46&gt;=C$7,'Annual Inputs'!R$7,0)))*(1+$A8)+IF(47&lt;C$7,'Annual Inputs'!S$6,0)-IF(47&gt;=C$7,'Annual Inputs'!S$7,0)))*(1+$A8)+IF(48&lt;C$7,'Annual Inputs'!T$6,0)-IF(48&gt;=C$7,'Annual Inputs'!T$7,0)))*(1+$A8)+IF(49&lt;C$7,'Annual Inputs'!U$6,0)-IF(49&gt;=C$7,'Annual Inputs'!U$7,0)))*(1+$A8)+IF(50&lt;C$7,'Annual Inputs'!V$6,0)-IF(50&gt;=C$7,'Annual Inputs'!V$7,0)))*(1+$A8)+IF(51&lt;C$7,'Annual Inputs'!W$6,0)-IF(51&gt;=C$7,'Annual Inputs'!W$7,0)))*(1+$A8)+IF(52&lt;C$7,'Annual Inputs'!X$6,0)-IF(52&gt;=C$7,'Annual Inputs'!X$7,0)))*(1+$A8)+IF(53&lt;C$7,'Annual Inputs'!Y$6,0)-IF(53&gt;=C$7,'Annual Inputs'!Y$7,0)))*(1+$A8)+IF(54&lt;C$7,'Annual Inputs'!Z$6,0)-IF(54&gt;=C$7,'Annual Inputs'!Z$7,0)))*(1+$A8)+IF(55&lt;C$7,'Annual Inputs'!AA$6,0)-IF(55&gt;=C$7,'Annual Inputs'!AA$7,0)))*(1+$A8)+IF(56&lt;C$7,'Annual Inputs'!AB$6,0)-IF(56&gt;=C$7,'Annual Inputs'!AB$7,0)))*(1+$A8)+IF(57&lt;C$7,'Annual Inputs'!AC$6,0)-IF(57&gt;=C$7,'Annual Inputs'!AC$7,0)))*(1+$A8)+IF(58&lt;C$7,'Annual Inputs'!AD$6,0)-IF(58&gt;=C$7,'Annual Inputs'!AD$7,0)))*(1+$A8)+IF(59&lt;C$7,'Annual Inputs'!AE$6,0)-IF(59&gt;=C$7,'Annual Inputs'!AE$7,0)))*(1+$A8)+IF(60&lt;C$7,'Annual Inputs'!AF$6,0)-IF(60&gt;=C$7,'Annual Inputs'!AF$7,0)))*(1+$A8)+IF(61&lt;C$7,'Annual Inputs'!AG$6,0)-IF(61&gt;=C$7,'Annual Inputs'!AG$7,0)))*(1+$A8)+IF(62&lt;C$7,'Annual Inputs'!AH$6,0)-IF(62&gt;=C$7,'Annual Inputs'!AH$7,0)))*(1+$A8)+IF(63&lt;C$7,'Annual Inputs'!AI$6,0)-IF(63&gt;=C$7,'Annual Inputs'!AI$7,0)))*(1+$A8)+IF(64&lt;C$7,'Annual Inputs'!AJ$6,0)-IF(64&gt;=C$7,'Annual Inputs'!AJ$7,0)))*(1+$A8)+IF(65&lt;C$7,'Annual Inputs'!AK$6,0)-IF(65&gt;=C$7,'Annual Inputs'!AK$7,0)))*(1+$A8)+IF(66&lt;C$7,'Annual Inputs'!AL$6,0)-IF(66&gt;=C$7,'Annual Inputs'!AL$7,0)))*(1+$A8)+IF(67&lt;C$7,'Annual Inputs'!AM$6,0)-IF(67&gt;=C$7,'Annual Inputs'!AM$7,0)))*(1+$A8)+IF(68&lt;C$7,'Annual Inputs'!AN$6,0)-IF(68&gt;=C$7,'Annual Inputs'!AN$7,0)))*(1+$A8)+IF(69&lt;C$7,'Annual Inputs'!AO$6,0)-IF(69&gt;=C$7,'Annual Inputs'!AO$7,0)))*(1+$A8)+IF(70&lt;C$7,'Annual Inputs'!AP$6,0)-IF(70&gt;=C$7,'Annual Inputs'!AP$7,0))</x:f>
        <x:v>866.5906048270338</x:v>
      </x:c>
      <x:c r="D8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8)+IF(30&lt;D$7,'Annual Inputs'!B$6,0)-IF(30&gt;=D$7,'Annual Inputs'!B$7,0)))*(1+$A8)+IF(31&lt;D$7,'Annual Inputs'!C$6,0)-IF(31&gt;=D$7,'Annual Inputs'!C$7,0)))*(1+$A8)+IF(32&lt;D$7,'Annual Inputs'!D$6,0)-IF(32&gt;=D$7,'Annual Inputs'!D$7,0)))*(1+$A8)+IF(33&lt;D$7,'Annual Inputs'!E$6,0)-IF(33&gt;=D$7,'Annual Inputs'!E$7,0)))*(1+$A8)+IF(34&lt;D$7,'Annual Inputs'!F$6,0)-IF(34&gt;=D$7,'Annual Inputs'!F$7,0)))*(1+$A8)+IF(35&lt;D$7,'Annual Inputs'!G$6,0)-IF(35&gt;=D$7,'Annual Inputs'!G$7,0)))*(1+$A8)+IF(36&lt;D$7,'Annual Inputs'!H$6,0)-IF(36&gt;=D$7,'Annual Inputs'!H$7,0)))*(1+$A8)+IF(37&lt;D$7,'Annual Inputs'!I$6,0)-IF(37&gt;=D$7,'Annual Inputs'!I$7,0)))*(1+$A8)+IF(38&lt;D$7,'Annual Inputs'!J$6,0)-IF(38&gt;=D$7,'Annual Inputs'!J$7,0)))*(1+$A8)+IF(39&lt;D$7,'Annual Inputs'!K$6,0)-IF(39&gt;=D$7,'Annual Inputs'!K$7,0)))*(1+$A8)+IF(40&lt;D$7,'Annual Inputs'!L$6,0)-IF(40&gt;=D$7,'Annual Inputs'!L$7,0)))*(1+$A8)+IF(41&lt;D$7,'Annual Inputs'!M$6,0)-IF(41&gt;=D$7,'Annual Inputs'!M$7,0)))*(1+$A8)+IF(42&lt;D$7,'Annual Inputs'!N$6,0)-IF(42&gt;=D$7,'Annual Inputs'!N$7,0)))*(1+$A8)+IF(43&lt;D$7,'Annual Inputs'!O$6,0)-IF(43&gt;=D$7,'Annual Inputs'!O$7,0)))*(1+$A8)+IF(44&lt;D$7,'Annual Inputs'!P$6,0)-IF(44&gt;=D$7,'Annual Inputs'!P$7,0)))*(1+$A8)+IF(45&lt;D$7,'Annual Inputs'!Q$6,0)-IF(45&gt;=D$7,'Annual Inputs'!Q$7,0)))*(1+$A8)+IF(46&lt;D$7,'Annual Inputs'!R$6,0)-IF(46&gt;=D$7,'Annual Inputs'!R$7,0)))*(1+$A8)+IF(47&lt;D$7,'Annual Inputs'!S$6,0)-IF(47&gt;=D$7,'Annual Inputs'!S$7,0)))*(1+$A8)+IF(48&lt;D$7,'Annual Inputs'!T$6,0)-IF(48&gt;=D$7,'Annual Inputs'!T$7,0)))*(1+$A8)+IF(49&lt;D$7,'Annual Inputs'!U$6,0)-IF(49&gt;=D$7,'Annual Inputs'!U$7,0)))*(1+$A8)+IF(50&lt;D$7,'Annual Inputs'!V$6,0)-IF(50&gt;=D$7,'Annual Inputs'!V$7,0)))*(1+$A8)+IF(51&lt;D$7,'Annual Inputs'!W$6,0)-IF(51&gt;=D$7,'Annual Inputs'!W$7,0)))*(1+$A8)+IF(52&lt;D$7,'Annual Inputs'!X$6,0)-IF(52&gt;=D$7,'Annual Inputs'!X$7,0)))*(1+$A8)+IF(53&lt;D$7,'Annual Inputs'!Y$6,0)-IF(53&gt;=D$7,'Annual Inputs'!Y$7,0)))*(1+$A8)+IF(54&lt;D$7,'Annual Inputs'!Z$6,0)-IF(54&gt;=D$7,'Annual Inputs'!Z$7,0)))*(1+$A8)+IF(55&lt;D$7,'Annual Inputs'!AA$6,0)-IF(55&gt;=D$7,'Annual Inputs'!AA$7,0)))*(1+$A8)+IF(56&lt;D$7,'Annual Inputs'!AB$6,0)-IF(56&gt;=D$7,'Annual Inputs'!AB$7,0)))*(1+$A8)+IF(57&lt;D$7,'Annual Inputs'!AC$6,0)-IF(57&gt;=D$7,'Annual Inputs'!AC$7,0)))*(1+$A8)+IF(58&lt;D$7,'Annual Inputs'!AD$6,0)-IF(58&gt;=D$7,'Annual Inputs'!AD$7,0)))*(1+$A8)+IF(59&lt;D$7,'Annual Inputs'!AE$6,0)-IF(59&gt;=D$7,'Annual Inputs'!AE$7,0)))*(1+$A8)+IF(60&lt;D$7,'Annual Inputs'!AF$6,0)-IF(60&gt;=D$7,'Annual Inputs'!AF$7,0)))*(1+$A8)+IF(61&lt;D$7,'Annual Inputs'!AG$6,0)-IF(61&gt;=D$7,'Annual Inputs'!AG$7,0)))*(1+$A8)+IF(62&lt;D$7,'Annual Inputs'!AH$6,0)-IF(62&gt;=D$7,'Annual Inputs'!AH$7,0)))*(1+$A8)+IF(63&lt;D$7,'Annual Inputs'!AI$6,0)-IF(63&gt;=D$7,'Annual Inputs'!AI$7,0)))*(1+$A8)+IF(64&lt;D$7,'Annual Inputs'!AJ$6,0)-IF(64&gt;=D$7,'Annual Inputs'!AJ$7,0)))*(1+$A8)+IF(65&lt;D$7,'Annual Inputs'!AK$6,0)-IF(65&gt;=D$7,'Annual Inputs'!AK$7,0)))*(1+$A8)+IF(66&lt;D$7,'Annual Inputs'!AL$6,0)-IF(66&gt;=D$7,'Annual Inputs'!AL$7,0)))*(1+$A8)+IF(67&lt;D$7,'Annual Inputs'!AM$6,0)-IF(67&gt;=D$7,'Annual Inputs'!AM$7,0)))*(1+$A8)+IF(68&lt;D$7,'Annual Inputs'!AN$6,0)-IF(68&gt;=D$7,'Annual Inputs'!AN$7,0)))*(1+$A8)+IF(69&lt;D$7,'Annual Inputs'!AO$6,0)-IF(69&gt;=D$7,'Annual Inputs'!AO$7,0)))*(1+$A8)+IF(70&lt;D$7,'Annual Inputs'!AP$6,0)-IF(70&gt;=D$7,'Annual Inputs'!AP$7,0))</x:f>
        <x:v>947.142519978732</x:v>
      </x:c>
      <x:c r="E8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8)+IF(30&lt;E$7,'Annual Inputs'!B$6,0)-IF(30&gt;=E$7,'Annual Inputs'!B$7,0)))*(1+$A8)+IF(31&lt;E$7,'Annual Inputs'!C$6,0)-IF(31&gt;=E$7,'Annual Inputs'!C$7,0)))*(1+$A8)+IF(32&lt;E$7,'Annual Inputs'!D$6,0)-IF(32&gt;=E$7,'Annual Inputs'!D$7,0)))*(1+$A8)+IF(33&lt;E$7,'Annual Inputs'!E$6,0)-IF(33&gt;=E$7,'Annual Inputs'!E$7,0)))*(1+$A8)+IF(34&lt;E$7,'Annual Inputs'!F$6,0)-IF(34&gt;=E$7,'Annual Inputs'!F$7,0)))*(1+$A8)+IF(35&lt;E$7,'Annual Inputs'!G$6,0)-IF(35&gt;=E$7,'Annual Inputs'!G$7,0)))*(1+$A8)+IF(36&lt;E$7,'Annual Inputs'!H$6,0)-IF(36&gt;=E$7,'Annual Inputs'!H$7,0)))*(1+$A8)+IF(37&lt;E$7,'Annual Inputs'!I$6,0)-IF(37&gt;=E$7,'Annual Inputs'!I$7,0)))*(1+$A8)+IF(38&lt;E$7,'Annual Inputs'!J$6,0)-IF(38&gt;=E$7,'Annual Inputs'!J$7,0)))*(1+$A8)+IF(39&lt;E$7,'Annual Inputs'!K$6,0)-IF(39&gt;=E$7,'Annual Inputs'!K$7,0)))*(1+$A8)+IF(40&lt;E$7,'Annual Inputs'!L$6,0)-IF(40&gt;=E$7,'Annual Inputs'!L$7,0)))*(1+$A8)+IF(41&lt;E$7,'Annual Inputs'!M$6,0)-IF(41&gt;=E$7,'Annual Inputs'!M$7,0)))*(1+$A8)+IF(42&lt;E$7,'Annual Inputs'!N$6,0)-IF(42&gt;=E$7,'Annual Inputs'!N$7,0)))*(1+$A8)+IF(43&lt;E$7,'Annual Inputs'!O$6,0)-IF(43&gt;=E$7,'Annual Inputs'!O$7,0)))*(1+$A8)+IF(44&lt;E$7,'Annual Inputs'!P$6,0)-IF(44&gt;=E$7,'Annual Inputs'!P$7,0)))*(1+$A8)+IF(45&lt;E$7,'Annual Inputs'!Q$6,0)-IF(45&gt;=E$7,'Annual Inputs'!Q$7,0)))*(1+$A8)+IF(46&lt;E$7,'Annual Inputs'!R$6,0)-IF(46&gt;=E$7,'Annual Inputs'!R$7,0)))*(1+$A8)+IF(47&lt;E$7,'Annual Inputs'!S$6,0)-IF(47&gt;=E$7,'Annual Inputs'!S$7,0)))*(1+$A8)+IF(48&lt;E$7,'Annual Inputs'!T$6,0)-IF(48&gt;=E$7,'Annual Inputs'!T$7,0)))*(1+$A8)+IF(49&lt;E$7,'Annual Inputs'!U$6,0)-IF(49&gt;=E$7,'Annual Inputs'!U$7,0)))*(1+$A8)+IF(50&lt;E$7,'Annual Inputs'!V$6,0)-IF(50&gt;=E$7,'Annual Inputs'!V$7,0)))*(1+$A8)+IF(51&lt;E$7,'Annual Inputs'!W$6,0)-IF(51&gt;=E$7,'Annual Inputs'!W$7,0)))*(1+$A8)+IF(52&lt;E$7,'Annual Inputs'!X$6,0)-IF(52&gt;=E$7,'Annual Inputs'!X$7,0)))*(1+$A8)+IF(53&lt;E$7,'Annual Inputs'!Y$6,0)-IF(53&gt;=E$7,'Annual Inputs'!Y$7,0)))*(1+$A8)+IF(54&lt;E$7,'Annual Inputs'!Z$6,0)-IF(54&gt;=E$7,'Annual Inputs'!Z$7,0)))*(1+$A8)+IF(55&lt;E$7,'Annual Inputs'!AA$6,0)-IF(55&gt;=E$7,'Annual Inputs'!AA$7,0)))*(1+$A8)+IF(56&lt;E$7,'Annual Inputs'!AB$6,0)-IF(56&gt;=E$7,'Annual Inputs'!AB$7,0)))*(1+$A8)+IF(57&lt;E$7,'Annual Inputs'!AC$6,0)-IF(57&gt;=E$7,'Annual Inputs'!AC$7,0)))*(1+$A8)+IF(58&lt;E$7,'Annual Inputs'!AD$6,0)-IF(58&gt;=E$7,'Annual Inputs'!AD$7,0)))*(1+$A8)+IF(59&lt;E$7,'Annual Inputs'!AE$6,0)-IF(59&gt;=E$7,'Annual Inputs'!AE$7,0)))*(1+$A8)+IF(60&lt;E$7,'Annual Inputs'!AF$6,0)-IF(60&gt;=E$7,'Annual Inputs'!AF$7,0)))*(1+$A8)+IF(61&lt;E$7,'Annual Inputs'!AG$6,0)-IF(61&gt;=E$7,'Annual Inputs'!AG$7,0)))*(1+$A8)+IF(62&lt;E$7,'Annual Inputs'!AH$6,0)-IF(62&gt;=E$7,'Annual Inputs'!AH$7,0)))*(1+$A8)+IF(63&lt;E$7,'Annual Inputs'!AI$6,0)-IF(63&gt;=E$7,'Annual Inputs'!AI$7,0)))*(1+$A8)+IF(64&lt;E$7,'Annual Inputs'!AJ$6,0)-IF(64&gt;=E$7,'Annual Inputs'!AJ$7,0)))*(1+$A8)+IF(65&lt;E$7,'Annual Inputs'!AK$6,0)-IF(65&gt;=E$7,'Annual Inputs'!AK$7,0)))*(1+$A8)+IF(66&lt;E$7,'Annual Inputs'!AL$6,0)-IF(66&gt;=E$7,'Annual Inputs'!AL$7,0)))*(1+$A8)+IF(67&lt;E$7,'Annual Inputs'!AM$6,0)-IF(67&gt;=E$7,'Annual Inputs'!AM$7,0)))*(1+$A8)+IF(68&lt;E$7,'Annual Inputs'!AN$6,0)-IF(68&gt;=E$7,'Annual Inputs'!AN$7,0)))*(1+$A8)+IF(69&lt;E$7,'Annual Inputs'!AO$6,0)-IF(69&gt;=E$7,'Annual Inputs'!AO$7,0)))*(1+$A8)+IF(70&lt;E$7,'Annual Inputs'!AP$6,0)-IF(70&gt;=E$7,'Annual Inputs'!AP$7,0))</x:f>
        <x:v>1135.2215368429247</x:v>
      </x:c>
      <x:c r="F8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8)+IF(30&lt;F$7,'Annual Inputs'!B$6,0)-IF(30&gt;=F$7,'Annual Inputs'!B$7,0)))*(1+$A8)+IF(31&lt;F$7,'Annual Inputs'!C$6,0)-IF(31&gt;=F$7,'Annual Inputs'!C$7,0)))*(1+$A8)+IF(32&lt;F$7,'Annual Inputs'!D$6,0)-IF(32&gt;=F$7,'Annual Inputs'!D$7,0)))*(1+$A8)+IF(33&lt;F$7,'Annual Inputs'!E$6,0)-IF(33&gt;=F$7,'Annual Inputs'!E$7,0)))*(1+$A8)+IF(34&lt;F$7,'Annual Inputs'!F$6,0)-IF(34&gt;=F$7,'Annual Inputs'!F$7,0)))*(1+$A8)+IF(35&lt;F$7,'Annual Inputs'!G$6,0)-IF(35&gt;=F$7,'Annual Inputs'!G$7,0)))*(1+$A8)+IF(36&lt;F$7,'Annual Inputs'!H$6,0)-IF(36&gt;=F$7,'Annual Inputs'!H$7,0)))*(1+$A8)+IF(37&lt;F$7,'Annual Inputs'!I$6,0)-IF(37&gt;=F$7,'Annual Inputs'!I$7,0)))*(1+$A8)+IF(38&lt;F$7,'Annual Inputs'!J$6,0)-IF(38&gt;=F$7,'Annual Inputs'!J$7,0)))*(1+$A8)+IF(39&lt;F$7,'Annual Inputs'!K$6,0)-IF(39&gt;=F$7,'Annual Inputs'!K$7,0)))*(1+$A8)+IF(40&lt;F$7,'Annual Inputs'!L$6,0)-IF(40&gt;=F$7,'Annual Inputs'!L$7,0)))*(1+$A8)+IF(41&lt;F$7,'Annual Inputs'!M$6,0)-IF(41&gt;=F$7,'Annual Inputs'!M$7,0)))*(1+$A8)+IF(42&lt;F$7,'Annual Inputs'!N$6,0)-IF(42&gt;=F$7,'Annual Inputs'!N$7,0)))*(1+$A8)+IF(43&lt;F$7,'Annual Inputs'!O$6,0)-IF(43&gt;=F$7,'Annual Inputs'!O$7,0)))*(1+$A8)+IF(44&lt;F$7,'Annual Inputs'!P$6,0)-IF(44&gt;=F$7,'Annual Inputs'!P$7,0)))*(1+$A8)+IF(45&lt;F$7,'Annual Inputs'!Q$6,0)-IF(45&gt;=F$7,'Annual Inputs'!Q$7,0)))*(1+$A8)+IF(46&lt;F$7,'Annual Inputs'!R$6,0)-IF(46&gt;=F$7,'Annual Inputs'!R$7,0)))*(1+$A8)+IF(47&lt;F$7,'Annual Inputs'!S$6,0)-IF(47&gt;=F$7,'Annual Inputs'!S$7,0)))*(1+$A8)+IF(48&lt;F$7,'Annual Inputs'!T$6,0)-IF(48&gt;=F$7,'Annual Inputs'!T$7,0)))*(1+$A8)+IF(49&lt;F$7,'Annual Inputs'!U$6,0)-IF(49&gt;=F$7,'Annual Inputs'!U$7,0)))*(1+$A8)+IF(50&lt;F$7,'Annual Inputs'!V$6,0)-IF(50&gt;=F$7,'Annual Inputs'!V$7,0)))*(1+$A8)+IF(51&lt;F$7,'Annual Inputs'!W$6,0)-IF(51&gt;=F$7,'Annual Inputs'!W$7,0)))*(1+$A8)+IF(52&lt;F$7,'Annual Inputs'!X$6,0)-IF(52&gt;=F$7,'Annual Inputs'!X$7,0)))*(1+$A8)+IF(53&lt;F$7,'Annual Inputs'!Y$6,0)-IF(53&gt;=F$7,'Annual Inputs'!Y$7,0)))*(1+$A8)+IF(54&lt;F$7,'Annual Inputs'!Z$6,0)-IF(54&gt;=F$7,'Annual Inputs'!Z$7,0)))*(1+$A8)+IF(55&lt;F$7,'Annual Inputs'!AA$6,0)-IF(55&gt;=F$7,'Annual Inputs'!AA$7,0)))*(1+$A8)+IF(56&lt;F$7,'Annual Inputs'!AB$6,0)-IF(56&gt;=F$7,'Annual Inputs'!AB$7,0)))*(1+$A8)+IF(57&lt;F$7,'Annual Inputs'!AC$6,0)-IF(57&gt;=F$7,'Annual Inputs'!AC$7,0)))*(1+$A8)+IF(58&lt;F$7,'Annual Inputs'!AD$6,0)-IF(58&gt;=F$7,'Annual Inputs'!AD$7,0)))*(1+$A8)+IF(59&lt;F$7,'Annual Inputs'!AE$6,0)-IF(59&gt;=F$7,'Annual Inputs'!AE$7,0)))*(1+$A8)+IF(60&lt;F$7,'Annual Inputs'!AF$6,0)-IF(60&gt;=F$7,'Annual Inputs'!AF$7,0)))*(1+$A8)+IF(61&lt;F$7,'Annual Inputs'!AG$6,0)-IF(61&gt;=F$7,'Annual Inputs'!AG$7,0)))*(1+$A8)+IF(62&lt;F$7,'Annual Inputs'!AH$6,0)-IF(62&gt;=F$7,'Annual Inputs'!AH$7,0)))*(1+$A8)+IF(63&lt;F$7,'Annual Inputs'!AI$6,0)-IF(63&gt;=F$7,'Annual Inputs'!AI$7,0)))*(1+$A8)+IF(64&lt;F$7,'Annual Inputs'!AJ$6,0)-IF(64&gt;=F$7,'Annual Inputs'!AJ$7,0)))*(1+$A8)+IF(65&lt;F$7,'Annual Inputs'!AK$6,0)-IF(65&gt;=F$7,'Annual Inputs'!AK$7,0)))*(1+$A8)+IF(66&lt;F$7,'Annual Inputs'!AL$6,0)-IF(66&gt;=F$7,'Annual Inputs'!AL$7,0)))*(1+$A8)+IF(67&lt;F$7,'Annual Inputs'!AM$6,0)-IF(67&gt;=F$7,'Annual Inputs'!AM$7,0)))*(1+$A8)+IF(68&lt;F$7,'Annual Inputs'!AN$6,0)-IF(68&gt;=F$7,'Annual Inputs'!AN$7,0)))*(1+$A8)+IF(69&lt;F$7,'Annual Inputs'!AO$6,0)-IF(69&gt;=F$7,'Annual Inputs'!AO$7,0)))*(1+$A8)+IF(70&lt;F$7,'Annual Inputs'!AP$6,0)-IF(70&gt;=F$7,'Annual Inputs'!AP$7,0))</x:f>
        <x:v>1323.3005537071176</x:v>
      </x:c>
    </x:row>
    <x:row r="9">
      <x:c r="A9" s="76" t="n">
        <x:v>0.045</x:v>
      </x:c>
      <x:c r="B9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9)+IF(30&lt;B$7,'Annual Inputs'!B$6,0)-IF(30&gt;=B$7,'Annual Inputs'!B$7,0)))*(1+$A9)+IF(31&lt;B$7,'Annual Inputs'!C$6,0)-IF(31&gt;=B$7,'Annual Inputs'!C$7,0)))*(1+$A9)+IF(32&lt;B$7,'Annual Inputs'!D$6,0)-IF(32&gt;=B$7,'Annual Inputs'!D$7,0)))*(1+$A9)+IF(33&lt;B$7,'Annual Inputs'!E$6,0)-IF(33&gt;=B$7,'Annual Inputs'!E$7,0)))*(1+$A9)+IF(34&lt;B$7,'Annual Inputs'!F$6,0)-IF(34&gt;=B$7,'Annual Inputs'!F$7,0)))*(1+$A9)+IF(35&lt;B$7,'Annual Inputs'!G$6,0)-IF(35&gt;=B$7,'Annual Inputs'!G$7,0)))*(1+$A9)+IF(36&lt;B$7,'Annual Inputs'!H$6,0)-IF(36&gt;=B$7,'Annual Inputs'!H$7,0)))*(1+$A9)+IF(37&lt;B$7,'Annual Inputs'!I$6,0)-IF(37&gt;=B$7,'Annual Inputs'!I$7,0)))*(1+$A9)+IF(38&lt;B$7,'Annual Inputs'!J$6,0)-IF(38&gt;=B$7,'Annual Inputs'!J$7,0)))*(1+$A9)+IF(39&lt;B$7,'Annual Inputs'!K$6,0)-IF(39&gt;=B$7,'Annual Inputs'!K$7,0)))*(1+$A9)+IF(40&lt;B$7,'Annual Inputs'!L$6,0)-IF(40&gt;=B$7,'Annual Inputs'!L$7,0)))*(1+$A9)+IF(41&lt;B$7,'Annual Inputs'!M$6,0)-IF(41&gt;=B$7,'Annual Inputs'!M$7,0)))*(1+$A9)+IF(42&lt;B$7,'Annual Inputs'!N$6,0)-IF(42&gt;=B$7,'Annual Inputs'!N$7,0)))*(1+$A9)+IF(43&lt;B$7,'Annual Inputs'!O$6,0)-IF(43&gt;=B$7,'Annual Inputs'!O$7,0)))*(1+$A9)+IF(44&lt;B$7,'Annual Inputs'!P$6,0)-IF(44&gt;=B$7,'Annual Inputs'!P$7,0)))*(1+$A9)+IF(45&lt;B$7,'Annual Inputs'!Q$6,0)-IF(45&gt;=B$7,'Annual Inputs'!Q$7,0)))*(1+$A9)+IF(46&lt;B$7,'Annual Inputs'!R$6,0)-IF(46&gt;=B$7,'Annual Inputs'!R$7,0)))*(1+$A9)+IF(47&lt;B$7,'Annual Inputs'!S$6,0)-IF(47&gt;=B$7,'Annual Inputs'!S$7,0)))*(1+$A9)+IF(48&lt;B$7,'Annual Inputs'!T$6,0)-IF(48&gt;=B$7,'Annual Inputs'!T$7,0)))*(1+$A9)+IF(49&lt;B$7,'Annual Inputs'!U$6,0)-IF(49&gt;=B$7,'Annual Inputs'!U$7,0)))*(1+$A9)+IF(50&lt;B$7,'Annual Inputs'!V$6,0)-IF(50&gt;=B$7,'Annual Inputs'!V$7,0)))*(1+$A9)+IF(51&lt;B$7,'Annual Inputs'!W$6,0)-IF(51&gt;=B$7,'Annual Inputs'!W$7,0)))*(1+$A9)+IF(52&lt;B$7,'Annual Inputs'!X$6,0)-IF(52&gt;=B$7,'Annual Inputs'!X$7,0)))*(1+$A9)+IF(53&lt;B$7,'Annual Inputs'!Y$6,0)-IF(53&gt;=B$7,'Annual Inputs'!Y$7,0)))*(1+$A9)+IF(54&lt;B$7,'Annual Inputs'!Z$6,0)-IF(54&gt;=B$7,'Annual Inputs'!Z$7,0)))*(1+$A9)+IF(55&lt;B$7,'Annual Inputs'!AA$6,0)-IF(55&gt;=B$7,'Annual Inputs'!AA$7,0)))*(1+$A9)+IF(56&lt;B$7,'Annual Inputs'!AB$6,0)-IF(56&gt;=B$7,'Annual Inputs'!AB$7,0)))*(1+$A9)+IF(57&lt;B$7,'Annual Inputs'!AC$6,0)-IF(57&gt;=B$7,'Annual Inputs'!AC$7,0)))*(1+$A9)+IF(58&lt;B$7,'Annual Inputs'!AD$6,0)-IF(58&gt;=B$7,'Annual Inputs'!AD$7,0)))*(1+$A9)+IF(59&lt;B$7,'Annual Inputs'!AE$6,0)-IF(59&gt;=B$7,'Annual Inputs'!AE$7,0)))*(1+$A9)+IF(60&lt;B$7,'Annual Inputs'!AF$6,0)-IF(60&gt;=B$7,'Annual Inputs'!AF$7,0)))*(1+$A9)+IF(61&lt;B$7,'Annual Inputs'!AG$6,0)-IF(61&gt;=B$7,'Annual Inputs'!AG$7,0)))*(1+$A9)+IF(62&lt;B$7,'Annual Inputs'!AH$6,0)-IF(62&gt;=B$7,'Annual Inputs'!AH$7,0)))*(1+$A9)+IF(63&lt;B$7,'Annual Inputs'!AI$6,0)-IF(63&gt;=B$7,'Annual Inputs'!AI$7,0)))*(1+$A9)+IF(64&lt;B$7,'Annual Inputs'!AJ$6,0)-IF(64&gt;=B$7,'Annual Inputs'!AJ$7,0)))*(1+$A9)+IF(65&lt;B$7,'Annual Inputs'!AK$6,0)-IF(65&gt;=B$7,'Annual Inputs'!AK$7,0)))*(1+$A9)+IF(66&lt;B$7,'Annual Inputs'!AL$6,0)-IF(66&gt;=B$7,'Annual Inputs'!AL$7,0)))*(1+$A9)+IF(67&lt;B$7,'Annual Inputs'!AM$6,0)-IF(67&gt;=B$7,'Annual Inputs'!AM$7,0)))*(1+$A9)+IF(68&lt;B$7,'Annual Inputs'!AN$6,0)-IF(68&gt;=B$7,'Annual Inputs'!AN$7,0)))*(1+$A9)+IF(69&lt;B$7,'Annual Inputs'!AO$6,0)-IF(69&gt;=B$7,'Annual Inputs'!AO$7,0)))*(1+$A9)+IF(70&lt;B$7,'Annual Inputs'!AP$6,0)-IF(70&gt;=B$7,'Annual Inputs'!AP$7,0))</x:f>
        <x:v>1877.1360793308754</x:v>
      </x:c>
      <x:c r="C9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9)+IF(30&lt;C$7,'Annual Inputs'!B$6,0)-IF(30&gt;=C$7,'Annual Inputs'!B$7,0)))*(1+$A9)+IF(31&lt;C$7,'Annual Inputs'!C$6,0)-IF(31&gt;=C$7,'Annual Inputs'!C$7,0)))*(1+$A9)+IF(32&lt;C$7,'Annual Inputs'!D$6,0)-IF(32&gt;=C$7,'Annual Inputs'!D$7,0)))*(1+$A9)+IF(33&lt;C$7,'Annual Inputs'!E$6,0)-IF(33&gt;=C$7,'Annual Inputs'!E$7,0)))*(1+$A9)+IF(34&lt;C$7,'Annual Inputs'!F$6,0)-IF(34&gt;=C$7,'Annual Inputs'!F$7,0)))*(1+$A9)+IF(35&lt;C$7,'Annual Inputs'!G$6,0)-IF(35&gt;=C$7,'Annual Inputs'!G$7,0)))*(1+$A9)+IF(36&lt;C$7,'Annual Inputs'!H$6,0)-IF(36&gt;=C$7,'Annual Inputs'!H$7,0)))*(1+$A9)+IF(37&lt;C$7,'Annual Inputs'!I$6,0)-IF(37&gt;=C$7,'Annual Inputs'!I$7,0)))*(1+$A9)+IF(38&lt;C$7,'Annual Inputs'!J$6,0)-IF(38&gt;=C$7,'Annual Inputs'!J$7,0)))*(1+$A9)+IF(39&lt;C$7,'Annual Inputs'!K$6,0)-IF(39&gt;=C$7,'Annual Inputs'!K$7,0)))*(1+$A9)+IF(40&lt;C$7,'Annual Inputs'!L$6,0)-IF(40&gt;=C$7,'Annual Inputs'!L$7,0)))*(1+$A9)+IF(41&lt;C$7,'Annual Inputs'!M$6,0)-IF(41&gt;=C$7,'Annual Inputs'!M$7,0)))*(1+$A9)+IF(42&lt;C$7,'Annual Inputs'!N$6,0)-IF(42&gt;=C$7,'Annual Inputs'!N$7,0)))*(1+$A9)+IF(43&lt;C$7,'Annual Inputs'!O$6,0)-IF(43&gt;=C$7,'Annual Inputs'!O$7,0)))*(1+$A9)+IF(44&lt;C$7,'Annual Inputs'!P$6,0)-IF(44&gt;=C$7,'Annual Inputs'!P$7,0)))*(1+$A9)+IF(45&lt;C$7,'Annual Inputs'!Q$6,0)-IF(45&gt;=C$7,'Annual Inputs'!Q$7,0)))*(1+$A9)+IF(46&lt;C$7,'Annual Inputs'!R$6,0)-IF(46&gt;=C$7,'Annual Inputs'!R$7,0)))*(1+$A9)+IF(47&lt;C$7,'Annual Inputs'!S$6,0)-IF(47&gt;=C$7,'Annual Inputs'!S$7,0)))*(1+$A9)+IF(48&lt;C$7,'Annual Inputs'!T$6,0)-IF(48&gt;=C$7,'Annual Inputs'!T$7,0)))*(1+$A9)+IF(49&lt;C$7,'Annual Inputs'!U$6,0)-IF(49&gt;=C$7,'Annual Inputs'!U$7,0)))*(1+$A9)+IF(50&lt;C$7,'Annual Inputs'!V$6,0)-IF(50&gt;=C$7,'Annual Inputs'!V$7,0)))*(1+$A9)+IF(51&lt;C$7,'Annual Inputs'!W$6,0)-IF(51&gt;=C$7,'Annual Inputs'!W$7,0)))*(1+$A9)+IF(52&lt;C$7,'Annual Inputs'!X$6,0)-IF(52&gt;=C$7,'Annual Inputs'!X$7,0)))*(1+$A9)+IF(53&lt;C$7,'Annual Inputs'!Y$6,0)-IF(53&gt;=C$7,'Annual Inputs'!Y$7,0)))*(1+$A9)+IF(54&lt;C$7,'Annual Inputs'!Z$6,0)-IF(54&gt;=C$7,'Annual Inputs'!Z$7,0)))*(1+$A9)+IF(55&lt;C$7,'Annual Inputs'!AA$6,0)-IF(55&gt;=C$7,'Annual Inputs'!AA$7,0)))*(1+$A9)+IF(56&lt;C$7,'Annual Inputs'!AB$6,0)-IF(56&gt;=C$7,'Annual Inputs'!AB$7,0)))*(1+$A9)+IF(57&lt;C$7,'Annual Inputs'!AC$6,0)-IF(57&gt;=C$7,'Annual Inputs'!AC$7,0)))*(1+$A9)+IF(58&lt;C$7,'Annual Inputs'!AD$6,0)-IF(58&gt;=C$7,'Annual Inputs'!AD$7,0)))*(1+$A9)+IF(59&lt;C$7,'Annual Inputs'!AE$6,0)-IF(59&gt;=C$7,'Annual Inputs'!AE$7,0)))*(1+$A9)+IF(60&lt;C$7,'Annual Inputs'!AF$6,0)-IF(60&gt;=C$7,'Annual Inputs'!AF$7,0)))*(1+$A9)+IF(61&lt;C$7,'Annual Inputs'!AG$6,0)-IF(61&gt;=C$7,'Annual Inputs'!AG$7,0)))*(1+$A9)+IF(62&lt;C$7,'Annual Inputs'!AH$6,0)-IF(62&gt;=C$7,'Annual Inputs'!AH$7,0)))*(1+$A9)+IF(63&lt;C$7,'Annual Inputs'!AI$6,0)-IF(63&gt;=C$7,'Annual Inputs'!AI$7,0)))*(1+$A9)+IF(64&lt;C$7,'Annual Inputs'!AJ$6,0)-IF(64&gt;=C$7,'Annual Inputs'!AJ$7,0)))*(1+$A9)+IF(65&lt;C$7,'Annual Inputs'!AK$6,0)-IF(65&gt;=C$7,'Annual Inputs'!AK$7,0)))*(1+$A9)+IF(66&lt;C$7,'Annual Inputs'!AL$6,0)-IF(66&gt;=C$7,'Annual Inputs'!AL$7,0)))*(1+$A9)+IF(67&lt;C$7,'Annual Inputs'!AM$6,0)-IF(67&gt;=C$7,'Annual Inputs'!AM$7,0)))*(1+$A9)+IF(68&lt;C$7,'Annual Inputs'!AN$6,0)-IF(68&gt;=C$7,'Annual Inputs'!AN$7,0)))*(1+$A9)+IF(69&lt;C$7,'Annual Inputs'!AO$6,0)-IF(69&gt;=C$7,'Annual Inputs'!AO$7,0)))*(1+$A9)+IF(70&lt;C$7,'Annual Inputs'!AP$6,0)-IF(70&gt;=C$7,'Annual Inputs'!AP$7,0))</x:f>
        <x:v>1981.702894442442</x:v>
      </x:c>
      <x:c r="D9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9)+IF(30&lt;D$7,'Annual Inputs'!B$6,0)-IF(30&gt;=D$7,'Annual Inputs'!B$7,0)))*(1+$A9)+IF(31&lt;D$7,'Annual Inputs'!C$6,0)-IF(31&gt;=D$7,'Annual Inputs'!C$7,0)))*(1+$A9)+IF(32&lt;D$7,'Annual Inputs'!D$6,0)-IF(32&gt;=D$7,'Annual Inputs'!D$7,0)))*(1+$A9)+IF(33&lt;D$7,'Annual Inputs'!E$6,0)-IF(33&gt;=D$7,'Annual Inputs'!E$7,0)))*(1+$A9)+IF(34&lt;D$7,'Annual Inputs'!F$6,0)-IF(34&gt;=D$7,'Annual Inputs'!F$7,0)))*(1+$A9)+IF(35&lt;D$7,'Annual Inputs'!G$6,0)-IF(35&gt;=D$7,'Annual Inputs'!G$7,0)))*(1+$A9)+IF(36&lt;D$7,'Annual Inputs'!H$6,0)-IF(36&gt;=D$7,'Annual Inputs'!H$7,0)))*(1+$A9)+IF(37&lt;D$7,'Annual Inputs'!I$6,0)-IF(37&gt;=D$7,'Annual Inputs'!I$7,0)))*(1+$A9)+IF(38&lt;D$7,'Annual Inputs'!J$6,0)-IF(38&gt;=D$7,'Annual Inputs'!J$7,0)))*(1+$A9)+IF(39&lt;D$7,'Annual Inputs'!K$6,0)-IF(39&gt;=D$7,'Annual Inputs'!K$7,0)))*(1+$A9)+IF(40&lt;D$7,'Annual Inputs'!L$6,0)-IF(40&gt;=D$7,'Annual Inputs'!L$7,0)))*(1+$A9)+IF(41&lt;D$7,'Annual Inputs'!M$6,0)-IF(41&gt;=D$7,'Annual Inputs'!M$7,0)))*(1+$A9)+IF(42&lt;D$7,'Annual Inputs'!N$6,0)-IF(42&gt;=D$7,'Annual Inputs'!N$7,0)))*(1+$A9)+IF(43&lt;D$7,'Annual Inputs'!O$6,0)-IF(43&gt;=D$7,'Annual Inputs'!O$7,0)))*(1+$A9)+IF(44&lt;D$7,'Annual Inputs'!P$6,0)-IF(44&gt;=D$7,'Annual Inputs'!P$7,0)))*(1+$A9)+IF(45&lt;D$7,'Annual Inputs'!Q$6,0)-IF(45&gt;=D$7,'Annual Inputs'!Q$7,0)))*(1+$A9)+IF(46&lt;D$7,'Annual Inputs'!R$6,0)-IF(46&gt;=D$7,'Annual Inputs'!R$7,0)))*(1+$A9)+IF(47&lt;D$7,'Annual Inputs'!S$6,0)-IF(47&gt;=D$7,'Annual Inputs'!S$7,0)))*(1+$A9)+IF(48&lt;D$7,'Annual Inputs'!T$6,0)-IF(48&gt;=D$7,'Annual Inputs'!T$7,0)))*(1+$A9)+IF(49&lt;D$7,'Annual Inputs'!U$6,0)-IF(49&gt;=D$7,'Annual Inputs'!U$7,0)))*(1+$A9)+IF(50&lt;D$7,'Annual Inputs'!V$6,0)-IF(50&gt;=D$7,'Annual Inputs'!V$7,0)))*(1+$A9)+IF(51&lt;D$7,'Annual Inputs'!W$6,0)-IF(51&gt;=D$7,'Annual Inputs'!W$7,0)))*(1+$A9)+IF(52&lt;D$7,'Annual Inputs'!X$6,0)-IF(52&gt;=D$7,'Annual Inputs'!X$7,0)))*(1+$A9)+IF(53&lt;D$7,'Annual Inputs'!Y$6,0)-IF(53&gt;=D$7,'Annual Inputs'!Y$7,0)))*(1+$A9)+IF(54&lt;D$7,'Annual Inputs'!Z$6,0)-IF(54&gt;=D$7,'Annual Inputs'!Z$7,0)))*(1+$A9)+IF(55&lt;D$7,'Annual Inputs'!AA$6,0)-IF(55&gt;=D$7,'Annual Inputs'!AA$7,0)))*(1+$A9)+IF(56&lt;D$7,'Annual Inputs'!AB$6,0)-IF(56&gt;=D$7,'Annual Inputs'!AB$7,0)))*(1+$A9)+IF(57&lt;D$7,'Annual Inputs'!AC$6,0)-IF(57&gt;=D$7,'Annual Inputs'!AC$7,0)))*(1+$A9)+IF(58&lt;D$7,'Annual Inputs'!AD$6,0)-IF(58&gt;=D$7,'Annual Inputs'!AD$7,0)))*(1+$A9)+IF(59&lt;D$7,'Annual Inputs'!AE$6,0)-IF(59&gt;=D$7,'Annual Inputs'!AE$7,0)))*(1+$A9)+IF(60&lt;D$7,'Annual Inputs'!AF$6,0)-IF(60&gt;=D$7,'Annual Inputs'!AF$7,0)))*(1+$A9)+IF(61&lt;D$7,'Annual Inputs'!AG$6,0)-IF(61&gt;=D$7,'Annual Inputs'!AG$7,0)))*(1+$A9)+IF(62&lt;D$7,'Annual Inputs'!AH$6,0)-IF(62&gt;=D$7,'Annual Inputs'!AH$7,0)))*(1+$A9)+IF(63&lt;D$7,'Annual Inputs'!AI$6,0)-IF(63&gt;=D$7,'Annual Inputs'!AI$7,0)))*(1+$A9)+IF(64&lt;D$7,'Annual Inputs'!AJ$6,0)-IF(64&gt;=D$7,'Annual Inputs'!AJ$7,0)))*(1+$A9)+IF(65&lt;D$7,'Annual Inputs'!AK$6,0)-IF(65&gt;=D$7,'Annual Inputs'!AK$7,0)))*(1+$A9)+IF(66&lt;D$7,'Annual Inputs'!AL$6,0)-IF(66&gt;=D$7,'Annual Inputs'!AL$7,0)))*(1+$A9)+IF(67&lt;D$7,'Annual Inputs'!AM$6,0)-IF(67&gt;=D$7,'Annual Inputs'!AM$7,0)))*(1+$A9)+IF(68&lt;D$7,'Annual Inputs'!AN$6,0)-IF(68&gt;=D$7,'Annual Inputs'!AN$7,0)))*(1+$A9)+IF(69&lt;D$7,'Annual Inputs'!AO$6,0)-IF(69&gt;=D$7,'Annual Inputs'!AO$7,0)))*(1+$A9)+IF(70&lt;D$7,'Annual Inputs'!AP$6,0)-IF(70&gt;=D$7,'Annual Inputs'!AP$7,0))</x:f>
        <x:v>2082.3054540235767</x:v>
      </x:c>
      <x:c r="E9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9)+IF(30&lt;E$7,'Annual Inputs'!B$6,0)-IF(30&gt;=E$7,'Annual Inputs'!B$7,0)))*(1+$A9)+IF(31&lt;E$7,'Annual Inputs'!C$6,0)-IF(31&gt;=E$7,'Annual Inputs'!C$7,0)))*(1+$A9)+IF(32&lt;E$7,'Annual Inputs'!D$6,0)-IF(32&gt;=E$7,'Annual Inputs'!D$7,0)))*(1+$A9)+IF(33&lt;E$7,'Annual Inputs'!E$6,0)-IF(33&gt;=E$7,'Annual Inputs'!E$7,0)))*(1+$A9)+IF(34&lt;E$7,'Annual Inputs'!F$6,0)-IF(34&gt;=E$7,'Annual Inputs'!F$7,0)))*(1+$A9)+IF(35&lt;E$7,'Annual Inputs'!G$6,0)-IF(35&gt;=E$7,'Annual Inputs'!G$7,0)))*(1+$A9)+IF(36&lt;E$7,'Annual Inputs'!H$6,0)-IF(36&gt;=E$7,'Annual Inputs'!H$7,0)))*(1+$A9)+IF(37&lt;E$7,'Annual Inputs'!I$6,0)-IF(37&gt;=E$7,'Annual Inputs'!I$7,0)))*(1+$A9)+IF(38&lt;E$7,'Annual Inputs'!J$6,0)-IF(38&gt;=E$7,'Annual Inputs'!J$7,0)))*(1+$A9)+IF(39&lt;E$7,'Annual Inputs'!K$6,0)-IF(39&gt;=E$7,'Annual Inputs'!K$7,0)))*(1+$A9)+IF(40&lt;E$7,'Annual Inputs'!L$6,0)-IF(40&gt;=E$7,'Annual Inputs'!L$7,0)))*(1+$A9)+IF(41&lt;E$7,'Annual Inputs'!M$6,0)-IF(41&gt;=E$7,'Annual Inputs'!M$7,0)))*(1+$A9)+IF(42&lt;E$7,'Annual Inputs'!N$6,0)-IF(42&gt;=E$7,'Annual Inputs'!N$7,0)))*(1+$A9)+IF(43&lt;E$7,'Annual Inputs'!O$6,0)-IF(43&gt;=E$7,'Annual Inputs'!O$7,0)))*(1+$A9)+IF(44&lt;E$7,'Annual Inputs'!P$6,0)-IF(44&gt;=E$7,'Annual Inputs'!P$7,0)))*(1+$A9)+IF(45&lt;E$7,'Annual Inputs'!Q$6,0)-IF(45&gt;=E$7,'Annual Inputs'!Q$7,0)))*(1+$A9)+IF(46&lt;E$7,'Annual Inputs'!R$6,0)-IF(46&gt;=E$7,'Annual Inputs'!R$7,0)))*(1+$A9)+IF(47&lt;E$7,'Annual Inputs'!S$6,0)-IF(47&gt;=E$7,'Annual Inputs'!S$7,0)))*(1+$A9)+IF(48&lt;E$7,'Annual Inputs'!T$6,0)-IF(48&gt;=E$7,'Annual Inputs'!T$7,0)))*(1+$A9)+IF(49&lt;E$7,'Annual Inputs'!U$6,0)-IF(49&gt;=E$7,'Annual Inputs'!U$7,0)))*(1+$A9)+IF(50&lt;E$7,'Annual Inputs'!V$6,0)-IF(50&gt;=E$7,'Annual Inputs'!V$7,0)))*(1+$A9)+IF(51&lt;E$7,'Annual Inputs'!W$6,0)-IF(51&gt;=E$7,'Annual Inputs'!W$7,0)))*(1+$A9)+IF(52&lt;E$7,'Annual Inputs'!X$6,0)-IF(52&gt;=E$7,'Annual Inputs'!X$7,0)))*(1+$A9)+IF(53&lt;E$7,'Annual Inputs'!Y$6,0)-IF(53&gt;=E$7,'Annual Inputs'!Y$7,0)))*(1+$A9)+IF(54&lt;E$7,'Annual Inputs'!Z$6,0)-IF(54&gt;=E$7,'Annual Inputs'!Z$7,0)))*(1+$A9)+IF(55&lt;E$7,'Annual Inputs'!AA$6,0)-IF(55&gt;=E$7,'Annual Inputs'!AA$7,0)))*(1+$A9)+IF(56&lt;E$7,'Annual Inputs'!AB$6,0)-IF(56&gt;=E$7,'Annual Inputs'!AB$7,0)))*(1+$A9)+IF(57&lt;E$7,'Annual Inputs'!AC$6,0)-IF(57&gt;=E$7,'Annual Inputs'!AC$7,0)))*(1+$A9)+IF(58&lt;E$7,'Annual Inputs'!AD$6,0)-IF(58&gt;=E$7,'Annual Inputs'!AD$7,0)))*(1+$A9)+IF(59&lt;E$7,'Annual Inputs'!AE$6,0)-IF(59&gt;=E$7,'Annual Inputs'!AE$7,0)))*(1+$A9)+IF(60&lt;E$7,'Annual Inputs'!AF$6,0)-IF(60&gt;=E$7,'Annual Inputs'!AF$7,0)))*(1+$A9)+IF(61&lt;E$7,'Annual Inputs'!AG$6,0)-IF(61&gt;=E$7,'Annual Inputs'!AG$7,0)))*(1+$A9)+IF(62&lt;E$7,'Annual Inputs'!AH$6,0)-IF(62&gt;=E$7,'Annual Inputs'!AH$7,0)))*(1+$A9)+IF(63&lt;E$7,'Annual Inputs'!AI$6,0)-IF(63&gt;=E$7,'Annual Inputs'!AI$7,0)))*(1+$A9)+IF(64&lt;E$7,'Annual Inputs'!AJ$6,0)-IF(64&gt;=E$7,'Annual Inputs'!AJ$7,0)))*(1+$A9)+IF(65&lt;E$7,'Annual Inputs'!AK$6,0)-IF(65&gt;=E$7,'Annual Inputs'!AK$7,0)))*(1+$A9)+IF(66&lt;E$7,'Annual Inputs'!AL$6,0)-IF(66&gt;=E$7,'Annual Inputs'!AL$7,0)))*(1+$A9)+IF(67&lt;E$7,'Annual Inputs'!AM$6,0)-IF(67&gt;=E$7,'Annual Inputs'!AM$7,0)))*(1+$A9)+IF(68&lt;E$7,'Annual Inputs'!AN$6,0)-IF(68&gt;=E$7,'Annual Inputs'!AN$7,0)))*(1+$A9)+IF(69&lt;E$7,'Annual Inputs'!AO$6,0)-IF(69&gt;=E$7,'Annual Inputs'!AO$7,0)))*(1+$A9)+IF(70&lt;E$7,'Annual Inputs'!AP$6,0)-IF(70&gt;=E$7,'Annual Inputs'!AP$7,0))</x:f>
        <x:v>2308.295159345373</x:v>
      </x:c>
      <x:c r="F9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9)+IF(30&lt;F$7,'Annual Inputs'!B$6,0)-IF(30&gt;=F$7,'Annual Inputs'!B$7,0)))*(1+$A9)+IF(31&lt;F$7,'Annual Inputs'!C$6,0)-IF(31&gt;=F$7,'Annual Inputs'!C$7,0)))*(1+$A9)+IF(32&lt;F$7,'Annual Inputs'!D$6,0)-IF(32&gt;=F$7,'Annual Inputs'!D$7,0)))*(1+$A9)+IF(33&lt;F$7,'Annual Inputs'!E$6,0)-IF(33&gt;=F$7,'Annual Inputs'!E$7,0)))*(1+$A9)+IF(34&lt;F$7,'Annual Inputs'!F$6,0)-IF(34&gt;=F$7,'Annual Inputs'!F$7,0)))*(1+$A9)+IF(35&lt;F$7,'Annual Inputs'!G$6,0)-IF(35&gt;=F$7,'Annual Inputs'!G$7,0)))*(1+$A9)+IF(36&lt;F$7,'Annual Inputs'!H$6,0)-IF(36&gt;=F$7,'Annual Inputs'!H$7,0)))*(1+$A9)+IF(37&lt;F$7,'Annual Inputs'!I$6,0)-IF(37&gt;=F$7,'Annual Inputs'!I$7,0)))*(1+$A9)+IF(38&lt;F$7,'Annual Inputs'!J$6,0)-IF(38&gt;=F$7,'Annual Inputs'!J$7,0)))*(1+$A9)+IF(39&lt;F$7,'Annual Inputs'!K$6,0)-IF(39&gt;=F$7,'Annual Inputs'!K$7,0)))*(1+$A9)+IF(40&lt;F$7,'Annual Inputs'!L$6,0)-IF(40&gt;=F$7,'Annual Inputs'!L$7,0)))*(1+$A9)+IF(41&lt;F$7,'Annual Inputs'!M$6,0)-IF(41&gt;=F$7,'Annual Inputs'!M$7,0)))*(1+$A9)+IF(42&lt;F$7,'Annual Inputs'!N$6,0)-IF(42&gt;=F$7,'Annual Inputs'!N$7,0)))*(1+$A9)+IF(43&lt;F$7,'Annual Inputs'!O$6,0)-IF(43&gt;=F$7,'Annual Inputs'!O$7,0)))*(1+$A9)+IF(44&lt;F$7,'Annual Inputs'!P$6,0)-IF(44&gt;=F$7,'Annual Inputs'!P$7,0)))*(1+$A9)+IF(45&lt;F$7,'Annual Inputs'!Q$6,0)-IF(45&gt;=F$7,'Annual Inputs'!Q$7,0)))*(1+$A9)+IF(46&lt;F$7,'Annual Inputs'!R$6,0)-IF(46&gt;=F$7,'Annual Inputs'!R$7,0)))*(1+$A9)+IF(47&lt;F$7,'Annual Inputs'!S$6,0)-IF(47&gt;=F$7,'Annual Inputs'!S$7,0)))*(1+$A9)+IF(48&lt;F$7,'Annual Inputs'!T$6,0)-IF(48&gt;=F$7,'Annual Inputs'!T$7,0)))*(1+$A9)+IF(49&lt;F$7,'Annual Inputs'!U$6,0)-IF(49&gt;=F$7,'Annual Inputs'!U$7,0)))*(1+$A9)+IF(50&lt;F$7,'Annual Inputs'!V$6,0)-IF(50&gt;=F$7,'Annual Inputs'!V$7,0)))*(1+$A9)+IF(51&lt;F$7,'Annual Inputs'!W$6,0)-IF(51&gt;=F$7,'Annual Inputs'!W$7,0)))*(1+$A9)+IF(52&lt;F$7,'Annual Inputs'!X$6,0)-IF(52&gt;=F$7,'Annual Inputs'!X$7,0)))*(1+$A9)+IF(53&lt;F$7,'Annual Inputs'!Y$6,0)-IF(53&gt;=F$7,'Annual Inputs'!Y$7,0)))*(1+$A9)+IF(54&lt;F$7,'Annual Inputs'!Z$6,0)-IF(54&gt;=F$7,'Annual Inputs'!Z$7,0)))*(1+$A9)+IF(55&lt;F$7,'Annual Inputs'!AA$6,0)-IF(55&gt;=F$7,'Annual Inputs'!AA$7,0)))*(1+$A9)+IF(56&lt;F$7,'Annual Inputs'!AB$6,0)-IF(56&gt;=F$7,'Annual Inputs'!AB$7,0)))*(1+$A9)+IF(57&lt;F$7,'Annual Inputs'!AC$6,0)-IF(57&gt;=F$7,'Annual Inputs'!AC$7,0)))*(1+$A9)+IF(58&lt;F$7,'Annual Inputs'!AD$6,0)-IF(58&gt;=F$7,'Annual Inputs'!AD$7,0)))*(1+$A9)+IF(59&lt;F$7,'Annual Inputs'!AE$6,0)-IF(59&gt;=F$7,'Annual Inputs'!AE$7,0)))*(1+$A9)+IF(60&lt;F$7,'Annual Inputs'!AF$6,0)-IF(60&gt;=F$7,'Annual Inputs'!AF$7,0)))*(1+$A9)+IF(61&lt;F$7,'Annual Inputs'!AG$6,0)-IF(61&gt;=F$7,'Annual Inputs'!AG$7,0)))*(1+$A9)+IF(62&lt;F$7,'Annual Inputs'!AH$6,0)-IF(62&gt;=F$7,'Annual Inputs'!AH$7,0)))*(1+$A9)+IF(63&lt;F$7,'Annual Inputs'!AI$6,0)-IF(63&gt;=F$7,'Annual Inputs'!AI$7,0)))*(1+$A9)+IF(64&lt;F$7,'Annual Inputs'!AJ$6,0)-IF(64&gt;=F$7,'Annual Inputs'!AJ$7,0)))*(1+$A9)+IF(65&lt;F$7,'Annual Inputs'!AK$6,0)-IF(65&gt;=F$7,'Annual Inputs'!AK$7,0)))*(1+$A9)+IF(66&lt;F$7,'Annual Inputs'!AL$6,0)-IF(66&gt;=F$7,'Annual Inputs'!AL$7,0)))*(1+$A9)+IF(67&lt;F$7,'Annual Inputs'!AM$6,0)-IF(67&gt;=F$7,'Annual Inputs'!AM$7,0)))*(1+$A9)+IF(68&lt;F$7,'Annual Inputs'!AN$6,0)-IF(68&gt;=F$7,'Annual Inputs'!AN$7,0)))*(1+$A9)+IF(69&lt;F$7,'Annual Inputs'!AO$6,0)-IF(69&gt;=F$7,'Annual Inputs'!AO$7,0)))*(1+$A9)+IF(70&lt;F$7,'Annual Inputs'!AP$6,0)-IF(70&gt;=F$7,'Annual Inputs'!AP$7,0))</x:f>
        <x:v>2525.717319235222</x:v>
      </x:c>
    </x:row>
    <x:row r="10">
      <x:c r="A10" s="76" t="n">
        <x:v>0.065</x:v>
      </x:c>
      <x:c r="B10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10)+IF(30&lt;B$7,'Annual Inputs'!B$6,0)-IF(30&gt;=B$7,'Annual Inputs'!B$7,0)))*(1+$A10)+IF(31&lt;B$7,'Annual Inputs'!C$6,0)-IF(31&gt;=B$7,'Annual Inputs'!C$7,0)))*(1+$A10)+IF(32&lt;B$7,'Annual Inputs'!D$6,0)-IF(32&gt;=B$7,'Annual Inputs'!D$7,0)))*(1+$A10)+IF(33&lt;B$7,'Annual Inputs'!E$6,0)-IF(33&gt;=B$7,'Annual Inputs'!E$7,0)))*(1+$A10)+IF(34&lt;B$7,'Annual Inputs'!F$6,0)-IF(34&gt;=B$7,'Annual Inputs'!F$7,0)))*(1+$A10)+IF(35&lt;B$7,'Annual Inputs'!G$6,0)-IF(35&gt;=B$7,'Annual Inputs'!G$7,0)))*(1+$A10)+IF(36&lt;B$7,'Annual Inputs'!H$6,0)-IF(36&gt;=B$7,'Annual Inputs'!H$7,0)))*(1+$A10)+IF(37&lt;B$7,'Annual Inputs'!I$6,0)-IF(37&gt;=B$7,'Annual Inputs'!I$7,0)))*(1+$A10)+IF(38&lt;B$7,'Annual Inputs'!J$6,0)-IF(38&gt;=B$7,'Annual Inputs'!J$7,0)))*(1+$A10)+IF(39&lt;B$7,'Annual Inputs'!K$6,0)-IF(39&gt;=B$7,'Annual Inputs'!K$7,0)))*(1+$A10)+IF(40&lt;B$7,'Annual Inputs'!L$6,0)-IF(40&gt;=B$7,'Annual Inputs'!L$7,0)))*(1+$A10)+IF(41&lt;B$7,'Annual Inputs'!M$6,0)-IF(41&gt;=B$7,'Annual Inputs'!M$7,0)))*(1+$A10)+IF(42&lt;B$7,'Annual Inputs'!N$6,0)-IF(42&gt;=B$7,'Annual Inputs'!N$7,0)))*(1+$A10)+IF(43&lt;B$7,'Annual Inputs'!O$6,0)-IF(43&gt;=B$7,'Annual Inputs'!O$7,0)))*(1+$A10)+IF(44&lt;B$7,'Annual Inputs'!P$6,0)-IF(44&gt;=B$7,'Annual Inputs'!P$7,0)))*(1+$A10)+IF(45&lt;B$7,'Annual Inputs'!Q$6,0)-IF(45&gt;=B$7,'Annual Inputs'!Q$7,0)))*(1+$A10)+IF(46&lt;B$7,'Annual Inputs'!R$6,0)-IF(46&gt;=B$7,'Annual Inputs'!R$7,0)))*(1+$A10)+IF(47&lt;B$7,'Annual Inputs'!S$6,0)-IF(47&gt;=B$7,'Annual Inputs'!S$7,0)))*(1+$A10)+IF(48&lt;B$7,'Annual Inputs'!T$6,0)-IF(48&gt;=B$7,'Annual Inputs'!T$7,0)))*(1+$A10)+IF(49&lt;B$7,'Annual Inputs'!U$6,0)-IF(49&gt;=B$7,'Annual Inputs'!U$7,0)))*(1+$A10)+IF(50&lt;B$7,'Annual Inputs'!V$6,0)-IF(50&gt;=B$7,'Annual Inputs'!V$7,0)))*(1+$A10)+IF(51&lt;B$7,'Annual Inputs'!W$6,0)-IF(51&gt;=B$7,'Annual Inputs'!W$7,0)))*(1+$A10)+IF(52&lt;B$7,'Annual Inputs'!X$6,0)-IF(52&gt;=B$7,'Annual Inputs'!X$7,0)))*(1+$A10)+IF(53&lt;B$7,'Annual Inputs'!Y$6,0)-IF(53&gt;=B$7,'Annual Inputs'!Y$7,0)))*(1+$A10)+IF(54&lt;B$7,'Annual Inputs'!Z$6,0)-IF(54&gt;=B$7,'Annual Inputs'!Z$7,0)))*(1+$A10)+IF(55&lt;B$7,'Annual Inputs'!AA$6,0)-IF(55&gt;=B$7,'Annual Inputs'!AA$7,0)))*(1+$A10)+IF(56&lt;B$7,'Annual Inputs'!AB$6,0)-IF(56&gt;=B$7,'Annual Inputs'!AB$7,0)))*(1+$A10)+IF(57&lt;B$7,'Annual Inputs'!AC$6,0)-IF(57&gt;=B$7,'Annual Inputs'!AC$7,0)))*(1+$A10)+IF(58&lt;B$7,'Annual Inputs'!AD$6,0)-IF(58&gt;=B$7,'Annual Inputs'!AD$7,0)))*(1+$A10)+IF(59&lt;B$7,'Annual Inputs'!AE$6,0)-IF(59&gt;=B$7,'Annual Inputs'!AE$7,0)))*(1+$A10)+IF(60&lt;B$7,'Annual Inputs'!AF$6,0)-IF(60&gt;=B$7,'Annual Inputs'!AF$7,0)))*(1+$A10)+IF(61&lt;B$7,'Annual Inputs'!AG$6,0)-IF(61&gt;=B$7,'Annual Inputs'!AG$7,0)))*(1+$A10)+IF(62&lt;B$7,'Annual Inputs'!AH$6,0)-IF(62&gt;=B$7,'Annual Inputs'!AH$7,0)))*(1+$A10)+IF(63&lt;B$7,'Annual Inputs'!AI$6,0)-IF(63&gt;=B$7,'Annual Inputs'!AI$7,0)))*(1+$A10)+IF(64&lt;B$7,'Annual Inputs'!AJ$6,0)-IF(64&gt;=B$7,'Annual Inputs'!AJ$7,0)))*(1+$A10)+IF(65&lt;B$7,'Annual Inputs'!AK$6,0)-IF(65&gt;=B$7,'Annual Inputs'!AK$7,0)))*(1+$A10)+IF(66&lt;B$7,'Annual Inputs'!AL$6,0)-IF(66&gt;=B$7,'Annual Inputs'!AL$7,0)))*(1+$A10)+IF(67&lt;B$7,'Annual Inputs'!AM$6,0)-IF(67&gt;=B$7,'Annual Inputs'!AM$7,0)))*(1+$A10)+IF(68&lt;B$7,'Annual Inputs'!AN$6,0)-IF(68&gt;=B$7,'Annual Inputs'!AN$7,0)))*(1+$A10)+IF(69&lt;B$7,'Annual Inputs'!AO$6,0)-IF(69&gt;=B$7,'Annual Inputs'!AO$7,0)))*(1+$A10)+IF(70&lt;B$7,'Annual Inputs'!AP$6,0)-IF(70&gt;=B$7,'Annual Inputs'!AP$7,0))</x:f>
        <x:v>3991.3071028055156</x:v>
      </x:c>
      <x:c r="C10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10)+IF(30&lt;C$7,'Annual Inputs'!B$6,0)-IF(30&gt;=C$7,'Annual Inputs'!B$7,0)))*(1+$A10)+IF(31&lt;C$7,'Annual Inputs'!C$6,0)-IF(31&gt;=C$7,'Annual Inputs'!C$7,0)))*(1+$A10)+IF(32&lt;C$7,'Annual Inputs'!D$6,0)-IF(32&gt;=C$7,'Annual Inputs'!D$7,0)))*(1+$A10)+IF(33&lt;C$7,'Annual Inputs'!E$6,0)-IF(33&gt;=C$7,'Annual Inputs'!E$7,0)))*(1+$A10)+IF(34&lt;C$7,'Annual Inputs'!F$6,0)-IF(34&gt;=C$7,'Annual Inputs'!F$7,0)))*(1+$A10)+IF(35&lt;C$7,'Annual Inputs'!G$6,0)-IF(35&gt;=C$7,'Annual Inputs'!G$7,0)))*(1+$A10)+IF(36&lt;C$7,'Annual Inputs'!H$6,0)-IF(36&gt;=C$7,'Annual Inputs'!H$7,0)))*(1+$A10)+IF(37&lt;C$7,'Annual Inputs'!I$6,0)-IF(37&gt;=C$7,'Annual Inputs'!I$7,0)))*(1+$A10)+IF(38&lt;C$7,'Annual Inputs'!J$6,0)-IF(38&gt;=C$7,'Annual Inputs'!J$7,0)))*(1+$A10)+IF(39&lt;C$7,'Annual Inputs'!K$6,0)-IF(39&gt;=C$7,'Annual Inputs'!K$7,0)))*(1+$A10)+IF(40&lt;C$7,'Annual Inputs'!L$6,0)-IF(40&gt;=C$7,'Annual Inputs'!L$7,0)))*(1+$A10)+IF(41&lt;C$7,'Annual Inputs'!M$6,0)-IF(41&gt;=C$7,'Annual Inputs'!M$7,0)))*(1+$A10)+IF(42&lt;C$7,'Annual Inputs'!N$6,0)-IF(42&gt;=C$7,'Annual Inputs'!N$7,0)))*(1+$A10)+IF(43&lt;C$7,'Annual Inputs'!O$6,0)-IF(43&gt;=C$7,'Annual Inputs'!O$7,0)))*(1+$A10)+IF(44&lt;C$7,'Annual Inputs'!P$6,0)-IF(44&gt;=C$7,'Annual Inputs'!P$7,0)))*(1+$A10)+IF(45&lt;C$7,'Annual Inputs'!Q$6,0)-IF(45&gt;=C$7,'Annual Inputs'!Q$7,0)))*(1+$A10)+IF(46&lt;C$7,'Annual Inputs'!R$6,0)-IF(46&gt;=C$7,'Annual Inputs'!R$7,0)))*(1+$A10)+IF(47&lt;C$7,'Annual Inputs'!S$6,0)-IF(47&gt;=C$7,'Annual Inputs'!S$7,0)))*(1+$A10)+IF(48&lt;C$7,'Annual Inputs'!T$6,0)-IF(48&gt;=C$7,'Annual Inputs'!T$7,0)))*(1+$A10)+IF(49&lt;C$7,'Annual Inputs'!U$6,0)-IF(49&gt;=C$7,'Annual Inputs'!U$7,0)))*(1+$A10)+IF(50&lt;C$7,'Annual Inputs'!V$6,0)-IF(50&gt;=C$7,'Annual Inputs'!V$7,0)))*(1+$A10)+IF(51&lt;C$7,'Annual Inputs'!W$6,0)-IF(51&gt;=C$7,'Annual Inputs'!W$7,0)))*(1+$A10)+IF(52&lt;C$7,'Annual Inputs'!X$6,0)-IF(52&gt;=C$7,'Annual Inputs'!X$7,0)))*(1+$A10)+IF(53&lt;C$7,'Annual Inputs'!Y$6,0)-IF(53&gt;=C$7,'Annual Inputs'!Y$7,0)))*(1+$A10)+IF(54&lt;C$7,'Annual Inputs'!Z$6,0)-IF(54&gt;=C$7,'Annual Inputs'!Z$7,0)))*(1+$A10)+IF(55&lt;C$7,'Annual Inputs'!AA$6,0)-IF(55&gt;=C$7,'Annual Inputs'!AA$7,0)))*(1+$A10)+IF(56&lt;C$7,'Annual Inputs'!AB$6,0)-IF(56&gt;=C$7,'Annual Inputs'!AB$7,0)))*(1+$A10)+IF(57&lt;C$7,'Annual Inputs'!AC$6,0)-IF(57&gt;=C$7,'Annual Inputs'!AC$7,0)))*(1+$A10)+IF(58&lt;C$7,'Annual Inputs'!AD$6,0)-IF(58&gt;=C$7,'Annual Inputs'!AD$7,0)))*(1+$A10)+IF(59&lt;C$7,'Annual Inputs'!AE$6,0)-IF(59&gt;=C$7,'Annual Inputs'!AE$7,0)))*(1+$A10)+IF(60&lt;C$7,'Annual Inputs'!AF$6,0)-IF(60&gt;=C$7,'Annual Inputs'!AF$7,0)))*(1+$A10)+IF(61&lt;C$7,'Annual Inputs'!AG$6,0)-IF(61&gt;=C$7,'Annual Inputs'!AG$7,0)))*(1+$A10)+IF(62&lt;C$7,'Annual Inputs'!AH$6,0)-IF(62&gt;=C$7,'Annual Inputs'!AH$7,0)))*(1+$A10)+IF(63&lt;C$7,'Annual Inputs'!AI$6,0)-IF(63&gt;=C$7,'Annual Inputs'!AI$7,0)))*(1+$A10)+IF(64&lt;C$7,'Annual Inputs'!AJ$6,0)-IF(64&gt;=C$7,'Annual Inputs'!AJ$7,0)))*(1+$A10)+IF(65&lt;C$7,'Annual Inputs'!AK$6,0)-IF(65&gt;=C$7,'Annual Inputs'!AK$7,0)))*(1+$A10)+IF(66&lt;C$7,'Annual Inputs'!AL$6,0)-IF(66&gt;=C$7,'Annual Inputs'!AL$7,0)))*(1+$A10)+IF(67&lt;C$7,'Annual Inputs'!AM$6,0)-IF(67&gt;=C$7,'Annual Inputs'!AM$7,0)))*(1+$A10)+IF(68&lt;C$7,'Annual Inputs'!AN$6,0)-IF(68&gt;=C$7,'Annual Inputs'!AN$7,0)))*(1+$A10)+IF(69&lt;C$7,'Annual Inputs'!AO$6,0)-IF(69&gt;=C$7,'Annual Inputs'!AO$7,0)))*(1+$A10)+IF(70&lt;C$7,'Annual Inputs'!AP$6,0)-IF(70&gt;=C$7,'Annual Inputs'!AP$7,0))</x:f>
        <x:v>4126.39080242847</x:v>
      </x:c>
      <x:c r="D10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10)+IF(30&lt;D$7,'Annual Inputs'!B$6,0)-IF(30&gt;=D$7,'Annual Inputs'!B$7,0)))*(1+$A10)+IF(31&lt;D$7,'Annual Inputs'!C$6,0)-IF(31&gt;=D$7,'Annual Inputs'!C$7,0)))*(1+$A10)+IF(32&lt;D$7,'Annual Inputs'!D$6,0)-IF(32&gt;=D$7,'Annual Inputs'!D$7,0)))*(1+$A10)+IF(33&lt;D$7,'Annual Inputs'!E$6,0)-IF(33&gt;=D$7,'Annual Inputs'!E$7,0)))*(1+$A10)+IF(34&lt;D$7,'Annual Inputs'!F$6,0)-IF(34&gt;=D$7,'Annual Inputs'!F$7,0)))*(1+$A10)+IF(35&lt;D$7,'Annual Inputs'!G$6,0)-IF(35&gt;=D$7,'Annual Inputs'!G$7,0)))*(1+$A10)+IF(36&lt;D$7,'Annual Inputs'!H$6,0)-IF(36&gt;=D$7,'Annual Inputs'!H$7,0)))*(1+$A10)+IF(37&lt;D$7,'Annual Inputs'!I$6,0)-IF(37&gt;=D$7,'Annual Inputs'!I$7,0)))*(1+$A10)+IF(38&lt;D$7,'Annual Inputs'!J$6,0)-IF(38&gt;=D$7,'Annual Inputs'!J$7,0)))*(1+$A10)+IF(39&lt;D$7,'Annual Inputs'!K$6,0)-IF(39&gt;=D$7,'Annual Inputs'!K$7,0)))*(1+$A10)+IF(40&lt;D$7,'Annual Inputs'!L$6,0)-IF(40&gt;=D$7,'Annual Inputs'!L$7,0)))*(1+$A10)+IF(41&lt;D$7,'Annual Inputs'!M$6,0)-IF(41&gt;=D$7,'Annual Inputs'!M$7,0)))*(1+$A10)+IF(42&lt;D$7,'Annual Inputs'!N$6,0)-IF(42&gt;=D$7,'Annual Inputs'!N$7,0)))*(1+$A10)+IF(43&lt;D$7,'Annual Inputs'!O$6,0)-IF(43&gt;=D$7,'Annual Inputs'!O$7,0)))*(1+$A10)+IF(44&lt;D$7,'Annual Inputs'!P$6,0)-IF(44&gt;=D$7,'Annual Inputs'!P$7,0)))*(1+$A10)+IF(45&lt;D$7,'Annual Inputs'!Q$6,0)-IF(45&gt;=D$7,'Annual Inputs'!Q$7,0)))*(1+$A10)+IF(46&lt;D$7,'Annual Inputs'!R$6,0)-IF(46&gt;=D$7,'Annual Inputs'!R$7,0)))*(1+$A10)+IF(47&lt;D$7,'Annual Inputs'!S$6,0)-IF(47&gt;=D$7,'Annual Inputs'!S$7,0)))*(1+$A10)+IF(48&lt;D$7,'Annual Inputs'!T$6,0)-IF(48&gt;=D$7,'Annual Inputs'!T$7,0)))*(1+$A10)+IF(49&lt;D$7,'Annual Inputs'!U$6,0)-IF(49&gt;=D$7,'Annual Inputs'!U$7,0)))*(1+$A10)+IF(50&lt;D$7,'Annual Inputs'!V$6,0)-IF(50&gt;=D$7,'Annual Inputs'!V$7,0)))*(1+$A10)+IF(51&lt;D$7,'Annual Inputs'!W$6,0)-IF(51&gt;=D$7,'Annual Inputs'!W$7,0)))*(1+$A10)+IF(52&lt;D$7,'Annual Inputs'!X$6,0)-IF(52&gt;=D$7,'Annual Inputs'!X$7,0)))*(1+$A10)+IF(53&lt;D$7,'Annual Inputs'!Y$6,0)-IF(53&gt;=D$7,'Annual Inputs'!Y$7,0)))*(1+$A10)+IF(54&lt;D$7,'Annual Inputs'!Z$6,0)-IF(54&gt;=D$7,'Annual Inputs'!Z$7,0)))*(1+$A10)+IF(55&lt;D$7,'Annual Inputs'!AA$6,0)-IF(55&gt;=D$7,'Annual Inputs'!AA$7,0)))*(1+$A10)+IF(56&lt;D$7,'Annual Inputs'!AB$6,0)-IF(56&gt;=D$7,'Annual Inputs'!AB$7,0)))*(1+$A10)+IF(57&lt;D$7,'Annual Inputs'!AC$6,0)-IF(57&gt;=D$7,'Annual Inputs'!AC$7,0)))*(1+$A10)+IF(58&lt;D$7,'Annual Inputs'!AD$6,0)-IF(58&gt;=D$7,'Annual Inputs'!AD$7,0)))*(1+$A10)+IF(59&lt;D$7,'Annual Inputs'!AE$6,0)-IF(59&gt;=D$7,'Annual Inputs'!AE$7,0)))*(1+$A10)+IF(60&lt;D$7,'Annual Inputs'!AF$6,0)-IF(60&gt;=D$7,'Annual Inputs'!AF$7,0)))*(1+$A10)+IF(61&lt;D$7,'Annual Inputs'!AG$6,0)-IF(61&gt;=D$7,'Annual Inputs'!AG$7,0)))*(1+$A10)+IF(62&lt;D$7,'Annual Inputs'!AH$6,0)-IF(62&gt;=D$7,'Annual Inputs'!AH$7,0)))*(1+$A10)+IF(63&lt;D$7,'Annual Inputs'!AI$6,0)-IF(63&gt;=D$7,'Annual Inputs'!AI$7,0)))*(1+$A10)+IF(64&lt;D$7,'Annual Inputs'!AJ$6,0)-IF(64&gt;=D$7,'Annual Inputs'!AJ$7,0)))*(1+$A10)+IF(65&lt;D$7,'Annual Inputs'!AK$6,0)-IF(65&gt;=D$7,'Annual Inputs'!AK$7,0)))*(1+$A10)+IF(66&lt;D$7,'Annual Inputs'!AL$6,0)-IF(66&gt;=D$7,'Annual Inputs'!AL$7,0)))*(1+$A10)+IF(67&lt;D$7,'Annual Inputs'!AM$6,0)-IF(67&gt;=D$7,'Annual Inputs'!AM$7,0)))*(1+$A10)+IF(68&lt;D$7,'Annual Inputs'!AN$6,0)-IF(68&gt;=D$7,'Annual Inputs'!AN$7,0)))*(1+$A10)+IF(69&lt;D$7,'Annual Inputs'!AO$6,0)-IF(69&gt;=D$7,'Annual Inputs'!AO$7,0)))*(1+$A10)+IF(70&lt;D$7,'Annual Inputs'!AP$6,0)-IF(70&gt;=D$7,'Annual Inputs'!AP$7,0))</x:f>
        <x:v>4251.51792616174</x:v>
      </x:c>
      <x:c r="E10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10)+IF(30&lt;E$7,'Annual Inputs'!B$6,0)-IF(30&gt;=E$7,'Annual Inputs'!B$7,0)))*(1+$A10)+IF(31&lt;E$7,'Annual Inputs'!C$6,0)-IF(31&gt;=E$7,'Annual Inputs'!C$7,0)))*(1+$A10)+IF(32&lt;E$7,'Annual Inputs'!D$6,0)-IF(32&gt;=E$7,'Annual Inputs'!D$7,0)))*(1+$A10)+IF(33&lt;E$7,'Annual Inputs'!E$6,0)-IF(33&gt;=E$7,'Annual Inputs'!E$7,0)))*(1+$A10)+IF(34&lt;E$7,'Annual Inputs'!F$6,0)-IF(34&gt;=E$7,'Annual Inputs'!F$7,0)))*(1+$A10)+IF(35&lt;E$7,'Annual Inputs'!G$6,0)-IF(35&gt;=E$7,'Annual Inputs'!G$7,0)))*(1+$A10)+IF(36&lt;E$7,'Annual Inputs'!H$6,0)-IF(36&gt;=E$7,'Annual Inputs'!H$7,0)))*(1+$A10)+IF(37&lt;E$7,'Annual Inputs'!I$6,0)-IF(37&gt;=E$7,'Annual Inputs'!I$7,0)))*(1+$A10)+IF(38&lt;E$7,'Annual Inputs'!J$6,0)-IF(38&gt;=E$7,'Annual Inputs'!J$7,0)))*(1+$A10)+IF(39&lt;E$7,'Annual Inputs'!K$6,0)-IF(39&gt;=E$7,'Annual Inputs'!K$7,0)))*(1+$A10)+IF(40&lt;E$7,'Annual Inputs'!L$6,0)-IF(40&gt;=E$7,'Annual Inputs'!L$7,0)))*(1+$A10)+IF(41&lt;E$7,'Annual Inputs'!M$6,0)-IF(41&gt;=E$7,'Annual Inputs'!M$7,0)))*(1+$A10)+IF(42&lt;E$7,'Annual Inputs'!N$6,0)-IF(42&gt;=E$7,'Annual Inputs'!N$7,0)))*(1+$A10)+IF(43&lt;E$7,'Annual Inputs'!O$6,0)-IF(43&gt;=E$7,'Annual Inputs'!O$7,0)))*(1+$A10)+IF(44&lt;E$7,'Annual Inputs'!P$6,0)-IF(44&gt;=E$7,'Annual Inputs'!P$7,0)))*(1+$A10)+IF(45&lt;E$7,'Annual Inputs'!Q$6,0)-IF(45&gt;=E$7,'Annual Inputs'!Q$7,0)))*(1+$A10)+IF(46&lt;E$7,'Annual Inputs'!R$6,0)-IF(46&gt;=E$7,'Annual Inputs'!R$7,0)))*(1+$A10)+IF(47&lt;E$7,'Annual Inputs'!S$6,0)-IF(47&gt;=E$7,'Annual Inputs'!S$7,0)))*(1+$A10)+IF(48&lt;E$7,'Annual Inputs'!T$6,0)-IF(48&gt;=E$7,'Annual Inputs'!T$7,0)))*(1+$A10)+IF(49&lt;E$7,'Annual Inputs'!U$6,0)-IF(49&gt;=E$7,'Annual Inputs'!U$7,0)))*(1+$A10)+IF(50&lt;E$7,'Annual Inputs'!V$6,0)-IF(50&gt;=E$7,'Annual Inputs'!V$7,0)))*(1+$A10)+IF(51&lt;E$7,'Annual Inputs'!W$6,0)-IF(51&gt;=E$7,'Annual Inputs'!W$7,0)))*(1+$A10)+IF(52&lt;E$7,'Annual Inputs'!X$6,0)-IF(52&gt;=E$7,'Annual Inputs'!X$7,0)))*(1+$A10)+IF(53&lt;E$7,'Annual Inputs'!Y$6,0)-IF(53&gt;=E$7,'Annual Inputs'!Y$7,0)))*(1+$A10)+IF(54&lt;E$7,'Annual Inputs'!Z$6,0)-IF(54&gt;=E$7,'Annual Inputs'!Z$7,0)))*(1+$A10)+IF(55&lt;E$7,'Annual Inputs'!AA$6,0)-IF(55&gt;=E$7,'Annual Inputs'!AA$7,0)))*(1+$A10)+IF(56&lt;E$7,'Annual Inputs'!AB$6,0)-IF(56&gt;=E$7,'Annual Inputs'!AB$7,0)))*(1+$A10)+IF(57&lt;E$7,'Annual Inputs'!AC$6,0)-IF(57&gt;=E$7,'Annual Inputs'!AC$7,0)))*(1+$A10)+IF(58&lt;E$7,'Annual Inputs'!AD$6,0)-IF(58&gt;=E$7,'Annual Inputs'!AD$7,0)))*(1+$A10)+IF(59&lt;E$7,'Annual Inputs'!AE$6,0)-IF(59&gt;=E$7,'Annual Inputs'!AE$7,0)))*(1+$A10)+IF(60&lt;E$7,'Annual Inputs'!AF$6,0)-IF(60&gt;=E$7,'Annual Inputs'!AF$7,0)))*(1+$A10)+IF(61&lt;E$7,'Annual Inputs'!AG$6,0)-IF(61&gt;=E$7,'Annual Inputs'!AG$7,0)))*(1+$A10)+IF(62&lt;E$7,'Annual Inputs'!AH$6,0)-IF(62&gt;=E$7,'Annual Inputs'!AH$7,0)))*(1+$A10)+IF(63&lt;E$7,'Annual Inputs'!AI$6,0)-IF(63&gt;=E$7,'Annual Inputs'!AI$7,0)))*(1+$A10)+IF(64&lt;E$7,'Annual Inputs'!AJ$6,0)-IF(64&gt;=E$7,'Annual Inputs'!AJ$7,0)))*(1+$A10)+IF(65&lt;E$7,'Annual Inputs'!AK$6,0)-IF(65&gt;=E$7,'Annual Inputs'!AK$7,0)))*(1+$A10)+IF(66&lt;E$7,'Annual Inputs'!AL$6,0)-IF(66&gt;=E$7,'Annual Inputs'!AL$7,0)))*(1+$A10)+IF(67&lt;E$7,'Annual Inputs'!AM$6,0)-IF(67&gt;=E$7,'Annual Inputs'!AM$7,0)))*(1+$A10)+IF(68&lt;E$7,'Annual Inputs'!AN$6,0)-IF(68&gt;=E$7,'Annual Inputs'!AN$7,0)))*(1+$A10)+IF(69&lt;E$7,'Annual Inputs'!AO$6,0)-IF(69&gt;=E$7,'Annual Inputs'!AO$7,0)))*(1+$A10)+IF(70&lt;E$7,'Annual Inputs'!AP$6,0)-IF(70&gt;=E$7,'Annual Inputs'!AP$7,0))</x:f>
        <x:v>4522.1407693447045</x:v>
      </x:c>
      <x:c r="F10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10)+IF(30&lt;F$7,'Annual Inputs'!B$6,0)-IF(30&gt;=F$7,'Annual Inputs'!B$7,0)))*(1+$A10)+IF(31&lt;F$7,'Annual Inputs'!C$6,0)-IF(31&gt;=F$7,'Annual Inputs'!C$7,0)))*(1+$A10)+IF(32&lt;F$7,'Annual Inputs'!D$6,0)-IF(32&gt;=F$7,'Annual Inputs'!D$7,0)))*(1+$A10)+IF(33&lt;F$7,'Annual Inputs'!E$6,0)-IF(33&gt;=F$7,'Annual Inputs'!E$7,0)))*(1+$A10)+IF(34&lt;F$7,'Annual Inputs'!F$6,0)-IF(34&gt;=F$7,'Annual Inputs'!F$7,0)))*(1+$A10)+IF(35&lt;F$7,'Annual Inputs'!G$6,0)-IF(35&gt;=F$7,'Annual Inputs'!G$7,0)))*(1+$A10)+IF(36&lt;F$7,'Annual Inputs'!H$6,0)-IF(36&gt;=F$7,'Annual Inputs'!H$7,0)))*(1+$A10)+IF(37&lt;F$7,'Annual Inputs'!I$6,0)-IF(37&gt;=F$7,'Annual Inputs'!I$7,0)))*(1+$A10)+IF(38&lt;F$7,'Annual Inputs'!J$6,0)-IF(38&gt;=F$7,'Annual Inputs'!J$7,0)))*(1+$A10)+IF(39&lt;F$7,'Annual Inputs'!K$6,0)-IF(39&gt;=F$7,'Annual Inputs'!K$7,0)))*(1+$A10)+IF(40&lt;F$7,'Annual Inputs'!L$6,0)-IF(40&gt;=F$7,'Annual Inputs'!L$7,0)))*(1+$A10)+IF(41&lt;F$7,'Annual Inputs'!M$6,0)-IF(41&gt;=F$7,'Annual Inputs'!M$7,0)))*(1+$A10)+IF(42&lt;F$7,'Annual Inputs'!N$6,0)-IF(42&gt;=F$7,'Annual Inputs'!N$7,0)))*(1+$A10)+IF(43&lt;F$7,'Annual Inputs'!O$6,0)-IF(43&gt;=F$7,'Annual Inputs'!O$7,0)))*(1+$A10)+IF(44&lt;F$7,'Annual Inputs'!P$6,0)-IF(44&gt;=F$7,'Annual Inputs'!P$7,0)))*(1+$A10)+IF(45&lt;F$7,'Annual Inputs'!Q$6,0)-IF(45&gt;=F$7,'Annual Inputs'!Q$7,0)))*(1+$A10)+IF(46&lt;F$7,'Annual Inputs'!R$6,0)-IF(46&gt;=F$7,'Annual Inputs'!R$7,0)))*(1+$A10)+IF(47&lt;F$7,'Annual Inputs'!S$6,0)-IF(47&gt;=F$7,'Annual Inputs'!S$7,0)))*(1+$A10)+IF(48&lt;F$7,'Annual Inputs'!T$6,0)-IF(48&gt;=F$7,'Annual Inputs'!T$7,0)))*(1+$A10)+IF(49&lt;F$7,'Annual Inputs'!U$6,0)-IF(49&gt;=F$7,'Annual Inputs'!U$7,0)))*(1+$A10)+IF(50&lt;F$7,'Annual Inputs'!V$6,0)-IF(50&gt;=F$7,'Annual Inputs'!V$7,0)))*(1+$A10)+IF(51&lt;F$7,'Annual Inputs'!W$6,0)-IF(51&gt;=F$7,'Annual Inputs'!W$7,0)))*(1+$A10)+IF(52&lt;F$7,'Annual Inputs'!X$6,0)-IF(52&gt;=F$7,'Annual Inputs'!X$7,0)))*(1+$A10)+IF(53&lt;F$7,'Annual Inputs'!Y$6,0)-IF(53&gt;=F$7,'Annual Inputs'!Y$7,0)))*(1+$A10)+IF(54&lt;F$7,'Annual Inputs'!Z$6,0)-IF(54&gt;=F$7,'Annual Inputs'!Z$7,0)))*(1+$A10)+IF(55&lt;F$7,'Annual Inputs'!AA$6,0)-IF(55&gt;=F$7,'Annual Inputs'!AA$7,0)))*(1+$A10)+IF(56&lt;F$7,'Annual Inputs'!AB$6,0)-IF(56&gt;=F$7,'Annual Inputs'!AB$7,0)))*(1+$A10)+IF(57&lt;F$7,'Annual Inputs'!AC$6,0)-IF(57&gt;=F$7,'Annual Inputs'!AC$7,0)))*(1+$A10)+IF(58&lt;F$7,'Annual Inputs'!AD$6,0)-IF(58&gt;=F$7,'Annual Inputs'!AD$7,0)))*(1+$A10)+IF(59&lt;F$7,'Annual Inputs'!AE$6,0)-IF(59&gt;=F$7,'Annual Inputs'!AE$7,0)))*(1+$A10)+IF(60&lt;F$7,'Annual Inputs'!AF$6,0)-IF(60&gt;=F$7,'Annual Inputs'!AF$7,0)))*(1+$A10)+IF(61&lt;F$7,'Annual Inputs'!AG$6,0)-IF(61&gt;=F$7,'Annual Inputs'!AG$7,0)))*(1+$A10)+IF(62&lt;F$7,'Annual Inputs'!AH$6,0)-IF(62&gt;=F$7,'Annual Inputs'!AH$7,0)))*(1+$A10)+IF(63&lt;F$7,'Annual Inputs'!AI$6,0)-IF(63&gt;=F$7,'Annual Inputs'!AI$7,0)))*(1+$A10)+IF(64&lt;F$7,'Annual Inputs'!AJ$6,0)-IF(64&gt;=F$7,'Annual Inputs'!AJ$7,0)))*(1+$A10)+IF(65&lt;F$7,'Annual Inputs'!AK$6,0)-IF(65&gt;=F$7,'Annual Inputs'!AK$7,0)))*(1+$A10)+IF(66&lt;F$7,'Annual Inputs'!AL$6,0)-IF(66&gt;=F$7,'Annual Inputs'!AL$7,0)))*(1+$A10)+IF(67&lt;F$7,'Annual Inputs'!AM$6,0)-IF(67&gt;=F$7,'Annual Inputs'!AM$7,0)))*(1+$A10)+IF(68&lt;F$7,'Annual Inputs'!AN$6,0)-IF(68&gt;=F$7,'Annual Inputs'!AN$7,0)))*(1+$A10)+IF(69&lt;F$7,'Annual Inputs'!AO$6,0)-IF(69&gt;=F$7,'Annual Inputs'!AO$7,0)))*(1+$A10)+IF(70&lt;F$7,'Annual Inputs'!AP$6,0)-IF(70&gt;=F$7,'Annual Inputs'!AP$7,0))</x:f>
        <x:v>4772.816891471357</x:v>
      </x:c>
    </x:row>
    <x:row r="11">
      <x:c r="A11" s="76" t="n">
        <x:v>0.085</x:v>
      </x:c>
      <x:c r="B11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11)+IF(30&lt;B$7,'Annual Inputs'!B$6,0)-IF(30&gt;=B$7,'Annual Inputs'!B$7,0)))*(1+$A11)+IF(31&lt;B$7,'Annual Inputs'!C$6,0)-IF(31&gt;=B$7,'Annual Inputs'!C$7,0)))*(1+$A11)+IF(32&lt;B$7,'Annual Inputs'!D$6,0)-IF(32&gt;=B$7,'Annual Inputs'!D$7,0)))*(1+$A11)+IF(33&lt;B$7,'Annual Inputs'!E$6,0)-IF(33&gt;=B$7,'Annual Inputs'!E$7,0)))*(1+$A11)+IF(34&lt;B$7,'Annual Inputs'!F$6,0)-IF(34&gt;=B$7,'Annual Inputs'!F$7,0)))*(1+$A11)+IF(35&lt;B$7,'Annual Inputs'!G$6,0)-IF(35&gt;=B$7,'Annual Inputs'!G$7,0)))*(1+$A11)+IF(36&lt;B$7,'Annual Inputs'!H$6,0)-IF(36&gt;=B$7,'Annual Inputs'!H$7,0)))*(1+$A11)+IF(37&lt;B$7,'Annual Inputs'!I$6,0)-IF(37&gt;=B$7,'Annual Inputs'!I$7,0)))*(1+$A11)+IF(38&lt;B$7,'Annual Inputs'!J$6,0)-IF(38&gt;=B$7,'Annual Inputs'!J$7,0)))*(1+$A11)+IF(39&lt;B$7,'Annual Inputs'!K$6,0)-IF(39&gt;=B$7,'Annual Inputs'!K$7,0)))*(1+$A11)+IF(40&lt;B$7,'Annual Inputs'!L$6,0)-IF(40&gt;=B$7,'Annual Inputs'!L$7,0)))*(1+$A11)+IF(41&lt;B$7,'Annual Inputs'!M$6,0)-IF(41&gt;=B$7,'Annual Inputs'!M$7,0)))*(1+$A11)+IF(42&lt;B$7,'Annual Inputs'!N$6,0)-IF(42&gt;=B$7,'Annual Inputs'!N$7,0)))*(1+$A11)+IF(43&lt;B$7,'Annual Inputs'!O$6,0)-IF(43&gt;=B$7,'Annual Inputs'!O$7,0)))*(1+$A11)+IF(44&lt;B$7,'Annual Inputs'!P$6,0)-IF(44&gt;=B$7,'Annual Inputs'!P$7,0)))*(1+$A11)+IF(45&lt;B$7,'Annual Inputs'!Q$6,0)-IF(45&gt;=B$7,'Annual Inputs'!Q$7,0)))*(1+$A11)+IF(46&lt;B$7,'Annual Inputs'!R$6,0)-IF(46&gt;=B$7,'Annual Inputs'!R$7,0)))*(1+$A11)+IF(47&lt;B$7,'Annual Inputs'!S$6,0)-IF(47&gt;=B$7,'Annual Inputs'!S$7,0)))*(1+$A11)+IF(48&lt;B$7,'Annual Inputs'!T$6,0)-IF(48&gt;=B$7,'Annual Inputs'!T$7,0)))*(1+$A11)+IF(49&lt;B$7,'Annual Inputs'!U$6,0)-IF(49&gt;=B$7,'Annual Inputs'!U$7,0)))*(1+$A11)+IF(50&lt;B$7,'Annual Inputs'!V$6,0)-IF(50&gt;=B$7,'Annual Inputs'!V$7,0)))*(1+$A11)+IF(51&lt;B$7,'Annual Inputs'!W$6,0)-IF(51&gt;=B$7,'Annual Inputs'!W$7,0)))*(1+$A11)+IF(52&lt;B$7,'Annual Inputs'!X$6,0)-IF(52&gt;=B$7,'Annual Inputs'!X$7,0)))*(1+$A11)+IF(53&lt;B$7,'Annual Inputs'!Y$6,0)-IF(53&gt;=B$7,'Annual Inputs'!Y$7,0)))*(1+$A11)+IF(54&lt;B$7,'Annual Inputs'!Z$6,0)-IF(54&gt;=B$7,'Annual Inputs'!Z$7,0)))*(1+$A11)+IF(55&lt;B$7,'Annual Inputs'!AA$6,0)-IF(55&gt;=B$7,'Annual Inputs'!AA$7,0)))*(1+$A11)+IF(56&lt;B$7,'Annual Inputs'!AB$6,0)-IF(56&gt;=B$7,'Annual Inputs'!AB$7,0)))*(1+$A11)+IF(57&lt;B$7,'Annual Inputs'!AC$6,0)-IF(57&gt;=B$7,'Annual Inputs'!AC$7,0)))*(1+$A11)+IF(58&lt;B$7,'Annual Inputs'!AD$6,0)-IF(58&gt;=B$7,'Annual Inputs'!AD$7,0)))*(1+$A11)+IF(59&lt;B$7,'Annual Inputs'!AE$6,0)-IF(59&gt;=B$7,'Annual Inputs'!AE$7,0)))*(1+$A11)+IF(60&lt;B$7,'Annual Inputs'!AF$6,0)-IF(60&gt;=B$7,'Annual Inputs'!AF$7,0)))*(1+$A11)+IF(61&lt;B$7,'Annual Inputs'!AG$6,0)-IF(61&gt;=B$7,'Annual Inputs'!AG$7,0)))*(1+$A11)+IF(62&lt;B$7,'Annual Inputs'!AH$6,0)-IF(62&gt;=B$7,'Annual Inputs'!AH$7,0)))*(1+$A11)+IF(63&lt;B$7,'Annual Inputs'!AI$6,0)-IF(63&gt;=B$7,'Annual Inputs'!AI$7,0)))*(1+$A11)+IF(64&lt;B$7,'Annual Inputs'!AJ$6,0)-IF(64&gt;=B$7,'Annual Inputs'!AJ$7,0)))*(1+$A11)+IF(65&lt;B$7,'Annual Inputs'!AK$6,0)-IF(65&gt;=B$7,'Annual Inputs'!AK$7,0)))*(1+$A11)+IF(66&lt;B$7,'Annual Inputs'!AL$6,0)-IF(66&gt;=B$7,'Annual Inputs'!AL$7,0)))*(1+$A11)+IF(67&lt;B$7,'Annual Inputs'!AM$6,0)-IF(67&gt;=B$7,'Annual Inputs'!AM$7,0)))*(1+$A11)+IF(68&lt;B$7,'Annual Inputs'!AN$6,0)-IF(68&gt;=B$7,'Annual Inputs'!AN$7,0)))*(1+$A11)+IF(69&lt;B$7,'Annual Inputs'!AO$6,0)-IF(69&gt;=B$7,'Annual Inputs'!AO$7,0)))*(1+$A11)+IF(70&lt;B$7,'Annual Inputs'!AP$6,0)-IF(70&gt;=B$7,'Annual Inputs'!AP$7,0))</x:f>
        <x:v>8077.216196744288</x:v>
      </x:c>
      <x:c r="C11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11)+IF(30&lt;C$7,'Annual Inputs'!B$6,0)-IF(30&gt;=C$7,'Annual Inputs'!B$7,0)))*(1+$A11)+IF(31&lt;C$7,'Annual Inputs'!C$6,0)-IF(31&gt;=C$7,'Annual Inputs'!C$7,0)))*(1+$A11)+IF(32&lt;C$7,'Annual Inputs'!D$6,0)-IF(32&gt;=C$7,'Annual Inputs'!D$7,0)))*(1+$A11)+IF(33&lt;C$7,'Annual Inputs'!E$6,0)-IF(33&gt;=C$7,'Annual Inputs'!E$7,0)))*(1+$A11)+IF(34&lt;C$7,'Annual Inputs'!F$6,0)-IF(34&gt;=C$7,'Annual Inputs'!F$7,0)))*(1+$A11)+IF(35&lt;C$7,'Annual Inputs'!G$6,0)-IF(35&gt;=C$7,'Annual Inputs'!G$7,0)))*(1+$A11)+IF(36&lt;C$7,'Annual Inputs'!H$6,0)-IF(36&gt;=C$7,'Annual Inputs'!H$7,0)))*(1+$A11)+IF(37&lt;C$7,'Annual Inputs'!I$6,0)-IF(37&gt;=C$7,'Annual Inputs'!I$7,0)))*(1+$A11)+IF(38&lt;C$7,'Annual Inputs'!J$6,0)-IF(38&gt;=C$7,'Annual Inputs'!J$7,0)))*(1+$A11)+IF(39&lt;C$7,'Annual Inputs'!K$6,0)-IF(39&gt;=C$7,'Annual Inputs'!K$7,0)))*(1+$A11)+IF(40&lt;C$7,'Annual Inputs'!L$6,0)-IF(40&gt;=C$7,'Annual Inputs'!L$7,0)))*(1+$A11)+IF(41&lt;C$7,'Annual Inputs'!M$6,0)-IF(41&gt;=C$7,'Annual Inputs'!M$7,0)))*(1+$A11)+IF(42&lt;C$7,'Annual Inputs'!N$6,0)-IF(42&gt;=C$7,'Annual Inputs'!N$7,0)))*(1+$A11)+IF(43&lt;C$7,'Annual Inputs'!O$6,0)-IF(43&gt;=C$7,'Annual Inputs'!O$7,0)))*(1+$A11)+IF(44&lt;C$7,'Annual Inputs'!P$6,0)-IF(44&gt;=C$7,'Annual Inputs'!P$7,0)))*(1+$A11)+IF(45&lt;C$7,'Annual Inputs'!Q$6,0)-IF(45&gt;=C$7,'Annual Inputs'!Q$7,0)))*(1+$A11)+IF(46&lt;C$7,'Annual Inputs'!R$6,0)-IF(46&gt;=C$7,'Annual Inputs'!R$7,0)))*(1+$A11)+IF(47&lt;C$7,'Annual Inputs'!S$6,0)-IF(47&gt;=C$7,'Annual Inputs'!S$7,0)))*(1+$A11)+IF(48&lt;C$7,'Annual Inputs'!T$6,0)-IF(48&gt;=C$7,'Annual Inputs'!T$7,0)))*(1+$A11)+IF(49&lt;C$7,'Annual Inputs'!U$6,0)-IF(49&gt;=C$7,'Annual Inputs'!U$7,0)))*(1+$A11)+IF(50&lt;C$7,'Annual Inputs'!V$6,0)-IF(50&gt;=C$7,'Annual Inputs'!V$7,0)))*(1+$A11)+IF(51&lt;C$7,'Annual Inputs'!W$6,0)-IF(51&gt;=C$7,'Annual Inputs'!W$7,0)))*(1+$A11)+IF(52&lt;C$7,'Annual Inputs'!X$6,0)-IF(52&gt;=C$7,'Annual Inputs'!X$7,0)))*(1+$A11)+IF(53&lt;C$7,'Annual Inputs'!Y$6,0)-IF(53&gt;=C$7,'Annual Inputs'!Y$7,0)))*(1+$A11)+IF(54&lt;C$7,'Annual Inputs'!Z$6,0)-IF(54&gt;=C$7,'Annual Inputs'!Z$7,0)))*(1+$A11)+IF(55&lt;C$7,'Annual Inputs'!AA$6,0)-IF(55&gt;=C$7,'Annual Inputs'!AA$7,0)))*(1+$A11)+IF(56&lt;C$7,'Annual Inputs'!AB$6,0)-IF(56&gt;=C$7,'Annual Inputs'!AB$7,0)))*(1+$A11)+IF(57&lt;C$7,'Annual Inputs'!AC$6,0)-IF(57&gt;=C$7,'Annual Inputs'!AC$7,0)))*(1+$A11)+IF(58&lt;C$7,'Annual Inputs'!AD$6,0)-IF(58&gt;=C$7,'Annual Inputs'!AD$7,0)))*(1+$A11)+IF(59&lt;C$7,'Annual Inputs'!AE$6,0)-IF(59&gt;=C$7,'Annual Inputs'!AE$7,0)))*(1+$A11)+IF(60&lt;C$7,'Annual Inputs'!AF$6,0)-IF(60&gt;=C$7,'Annual Inputs'!AF$7,0)))*(1+$A11)+IF(61&lt;C$7,'Annual Inputs'!AG$6,0)-IF(61&gt;=C$7,'Annual Inputs'!AG$7,0)))*(1+$A11)+IF(62&lt;C$7,'Annual Inputs'!AH$6,0)-IF(62&gt;=C$7,'Annual Inputs'!AH$7,0)))*(1+$A11)+IF(63&lt;C$7,'Annual Inputs'!AI$6,0)-IF(63&gt;=C$7,'Annual Inputs'!AI$7,0)))*(1+$A11)+IF(64&lt;C$7,'Annual Inputs'!AJ$6,0)-IF(64&gt;=C$7,'Annual Inputs'!AJ$7,0)))*(1+$A11)+IF(65&lt;C$7,'Annual Inputs'!AK$6,0)-IF(65&gt;=C$7,'Annual Inputs'!AK$7,0)))*(1+$A11)+IF(66&lt;C$7,'Annual Inputs'!AL$6,0)-IF(66&gt;=C$7,'Annual Inputs'!AL$7,0)))*(1+$A11)+IF(67&lt;C$7,'Annual Inputs'!AM$6,0)-IF(67&gt;=C$7,'Annual Inputs'!AM$7,0)))*(1+$A11)+IF(68&lt;C$7,'Annual Inputs'!AN$6,0)-IF(68&gt;=C$7,'Annual Inputs'!AN$7,0)))*(1+$A11)+IF(69&lt;C$7,'Annual Inputs'!AO$6,0)-IF(69&gt;=C$7,'Annual Inputs'!AO$7,0)))*(1+$A11)+IF(70&lt;C$7,'Annual Inputs'!AP$6,0)-IF(70&gt;=C$7,'Annual Inputs'!AP$7,0))</x:f>
        <x:v>8250.908594685974</x:v>
      </x:c>
      <x:c r="D11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11)+IF(30&lt;D$7,'Annual Inputs'!B$6,0)-IF(30&gt;=D$7,'Annual Inputs'!B$7,0)))*(1+$A11)+IF(31&lt;D$7,'Annual Inputs'!C$6,0)-IF(31&gt;=D$7,'Annual Inputs'!C$7,0)))*(1+$A11)+IF(32&lt;D$7,'Annual Inputs'!D$6,0)-IF(32&gt;=D$7,'Annual Inputs'!D$7,0)))*(1+$A11)+IF(33&lt;D$7,'Annual Inputs'!E$6,0)-IF(33&gt;=D$7,'Annual Inputs'!E$7,0)))*(1+$A11)+IF(34&lt;D$7,'Annual Inputs'!F$6,0)-IF(34&gt;=D$7,'Annual Inputs'!F$7,0)))*(1+$A11)+IF(35&lt;D$7,'Annual Inputs'!G$6,0)-IF(35&gt;=D$7,'Annual Inputs'!G$7,0)))*(1+$A11)+IF(36&lt;D$7,'Annual Inputs'!H$6,0)-IF(36&gt;=D$7,'Annual Inputs'!H$7,0)))*(1+$A11)+IF(37&lt;D$7,'Annual Inputs'!I$6,0)-IF(37&gt;=D$7,'Annual Inputs'!I$7,0)))*(1+$A11)+IF(38&lt;D$7,'Annual Inputs'!J$6,0)-IF(38&gt;=D$7,'Annual Inputs'!J$7,0)))*(1+$A11)+IF(39&lt;D$7,'Annual Inputs'!K$6,0)-IF(39&gt;=D$7,'Annual Inputs'!K$7,0)))*(1+$A11)+IF(40&lt;D$7,'Annual Inputs'!L$6,0)-IF(40&gt;=D$7,'Annual Inputs'!L$7,0)))*(1+$A11)+IF(41&lt;D$7,'Annual Inputs'!M$6,0)-IF(41&gt;=D$7,'Annual Inputs'!M$7,0)))*(1+$A11)+IF(42&lt;D$7,'Annual Inputs'!N$6,0)-IF(42&gt;=D$7,'Annual Inputs'!N$7,0)))*(1+$A11)+IF(43&lt;D$7,'Annual Inputs'!O$6,0)-IF(43&gt;=D$7,'Annual Inputs'!O$7,0)))*(1+$A11)+IF(44&lt;D$7,'Annual Inputs'!P$6,0)-IF(44&gt;=D$7,'Annual Inputs'!P$7,0)))*(1+$A11)+IF(45&lt;D$7,'Annual Inputs'!Q$6,0)-IF(45&gt;=D$7,'Annual Inputs'!Q$7,0)))*(1+$A11)+IF(46&lt;D$7,'Annual Inputs'!R$6,0)-IF(46&gt;=D$7,'Annual Inputs'!R$7,0)))*(1+$A11)+IF(47&lt;D$7,'Annual Inputs'!S$6,0)-IF(47&gt;=D$7,'Annual Inputs'!S$7,0)))*(1+$A11)+IF(48&lt;D$7,'Annual Inputs'!T$6,0)-IF(48&gt;=D$7,'Annual Inputs'!T$7,0)))*(1+$A11)+IF(49&lt;D$7,'Annual Inputs'!U$6,0)-IF(49&gt;=D$7,'Annual Inputs'!U$7,0)))*(1+$A11)+IF(50&lt;D$7,'Annual Inputs'!V$6,0)-IF(50&gt;=D$7,'Annual Inputs'!V$7,0)))*(1+$A11)+IF(51&lt;D$7,'Annual Inputs'!W$6,0)-IF(51&gt;=D$7,'Annual Inputs'!W$7,0)))*(1+$A11)+IF(52&lt;D$7,'Annual Inputs'!X$6,0)-IF(52&gt;=D$7,'Annual Inputs'!X$7,0)))*(1+$A11)+IF(53&lt;D$7,'Annual Inputs'!Y$6,0)-IF(53&gt;=D$7,'Annual Inputs'!Y$7,0)))*(1+$A11)+IF(54&lt;D$7,'Annual Inputs'!Z$6,0)-IF(54&gt;=D$7,'Annual Inputs'!Z$7,0)))*(1+$A11)+IF(55&lt;D$7,'Annual Inputs'!AA$6,0)-IF(55&gt;=D$7,'Annual Inputs'!AA$7,0)))*(1+$A11)+IF(56&lt;D$7,'Annual Inputs'!AB$6,0)-IF(56&gt;=D$7,'Annual Inputs'!AB$7,0)))*(1+$A11)+IF(57&lt;D$7,'Annual Inputs'!AC$6,0)-IF(57&gt;=D$7,'Annual Inputs'!AC$7,0)))*(1+$A11)+IF(58&lt;D$7,'Annual Inputs'!AD$6,0)-IF(58&gt;=D$7,'Annual Inputs'!AD$7,0)))*(1+$A11)+IF(59&lt;D$7,'Annual Inputs'!AE$6,0)-IF(59&gt;=D$7,'Annual Inputs'!AE$7,0)))*(1+$A11)+IF(60&lt;D$7,'Annual Inputs'!AF$6,0)-IF(60&gt;=D$7,'Annual Inputs'!AF$7,0)))*(1+$A11)+IF(61&lt;D$7,'Annual Inputs'!AG$6,0)-IF(61&gt;=D$7,'Annual Inputs'!AG$7,0)))*(1+$A11)+IF(62&lt;D$7,'Annual Inputs'!AH$6,0)-IF(62&gt;=D$7,'Annual Inputs'!AH$7,0)))*(1+$A11)+IF(63&lt;D$7,'Annual Inputs'!AI$6,0)-IF(63&gt;=D$7,'Annual Inputs'!AI$7,0)))*(1+$A11)+IF(64&lt;D$7,'Annual Inputs'!AJ$6,0)-IF(64&gt;=D$7,'Annual Inputs'!AJ$7,0)))*(1+$A11)+IF(65&lt;D$7,'Annual Inputs'!AK$6,0)-IF(65&gt;=D$7,'Annual Inputs'!AK$7,0)))*(1+$A11)+IF(66&lt;D$7,'Annual Inputs'!AL$6,0)-IF(66&gt;=D$7,'Annual Inputs'!AL$7,0)))*(1+$A11)+IF(67&lt;D$7,'Annual Inputs'!AM$6,0)-IF(67&gt;=D$7,'Annual Inputs'!AM$7,0)))*(1+$A11)+IF(68&lt;D$7,'Annual Inputs'!AN$6,0)-IF(68&gt;=D$7,'Annual Inputs'!AN$7,0)))*(1+$A11)+IF(69&lt;D$7,'Annual Inputs'!AO$6,0)-IF(69&gt;=D$7,'Annual Inputs'!AO$7,0)))*(1+$A11)+IF(70&lt;D$7,'Annual Inputs'!AP$6,0)-IF(70&gt;=D$7,'Annual Inputs'!AP$7,0))</x:f>
        <x:v>8405.921931633016</x:v>
      </x:c>
      <x:c r="E11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11)+IF(30&lt;E$7,'Annual Inputs'!B$6,0)-IF(30&gt;=E$7,'Annual Inputs'!B$7,0)))*(1+$A11)+IF(31&lt;E$7,'Annual Inputs'!C$6,0)-IF(31&gt;=E$7,'Annual Inputs'!C$7,0)))*(1+$A11)+IF(32&lt;E$7,'Annual Inputs'!D$6,0)-IF(32&gt;=E$7,'Annual Inputs'!D$7,0)))*(1+$A11)+IF(33&lt;E$7,'Annual Inputs'!E$6,0)-IF(33&gt;=E$7,'Annual Inputs'!E$7,0)))*(1+$A11)+IF(34&lt;E$7,'Annual Inputs'!F$6,0)-IF(34&gt;=E$7,'Annual Inputs'!F$7,0)))*(1+$A11)+IF(35&lt;E$7,'Annual Inputs'!G$6,0)-IF(35&gt;=E$7,'Annual Inputs'!G$7,0)))*(1+$A11)+IF(36&lt;E$7,'Annual Inputs'!H$6,0)-IF(36&gt;=E$7,'Annual Inputs'!H$7,0)))*(1+$A11)+IF(37&lt;E$7,'Annual Inputs'!I$6,0)-IF(37&gt;=E$7,'Annual Inputs'!I$7,0)))*(1+$A11)+IF(38&lt;E$7,'Annual Inputs'!J$6,0)-IF(38&gt;=E$7,'Annual Inputs'!J$7,0)))*(1+$A11)+IF(39&lt;E$7,'Annual Inputs'!K$6,0)-IF(39&gt;=E$7,'Annual Inputs'!K$7,0)))*(1+$A11)+IF(40&lt;E$7,'Annual Inputs'!L$6,0)-IF(40&gt;=E$7,'Annual Inputs'!L$7,0)))*(1+$A11)+IF(41&lt;E$7,'Annual Inputs'!M$6,0)-IF(41&gt;=E$7,'Annual Inputs'!M$7,0)))*(1+$A11)+IF(42&lt;E$7,'Annual Inputs'!N$6,0)-IF(42&gt;=E$7,'Annual Inputs'!N$7,0)))*(1+$A11)+IF(43&lt;E$7,'Annual Inputs'!O$6,0)-IF(43&gt;=E$7,'Annual Inputs'!O$7,0)))*(1+$A11)+IF(44&lt;E$7,'Annual Inputs'!P$6,0)-IF(44&gt;=E$7,'Annual Inputs'!P$7,0)))*(1+$A11)+IF(45&lt;E$7,'Annual Inputs'!Q$6,0)-IF(45&gt;=E$7,'Annual Inputs'!Q$7,0)))*(1+$A11)+IF(46&lt;E$7,'Annual Inputs'!R$6,0)-IF(46&gt;=E$7,'Annual Inputs'!R$7,0)))*(1+$A11)+IF(47&lt;E$7,'Annual Inputs'!S$6,0)-IF(47&gt;=E$7,'Annual Inputs'!S$7,0)))*(1+$A11)+IF(48&lt;E$7,'Annual Inputs'!T$6,0)-IF(48&gt;=E$7,'Annual Inputs'!T$7,0)))*(1+$A11)+IF(49&lt;E$7,'Annual Inputs'!U$6,0)-IF(49&gt;=E$7,'Annual Inputs'!U$7,0)))*(1+$A11)+IF(50&lt;E$7,'Annual Inputs'!V$6,0)-IF(50&gt;=E$7,'Annual Inputs'!V$7,0)))*(1+$A11)+IF(51&lt;E$7,'Annual Inputs'!W$6,0)-IF(51&gt;=E$7,'Annual Inputs'!W$7,0)))*(1+$A11)+IF(52&lt;E$7,'Annual Inputs'!X$6,0)-IF(52&gt;=E$7,'Annual Inputs'!X$7,0)))*(1+$A11)+IF(53&lt;E$7,'Annual Inputs'!Y$6,0)-IF(53&gt;=E$7,'Annual Inputs'!Y$7,0)))*(1+$A11)+IF(54&lt;E$7,'Annual Inputs'!Z$6,0)-IF(54&gt;=E$7,'Annual Inputs'!Z$7,0)))*(1+$A11)+IF(55&lt;E$7,'Annual Inputs'!AA$6,0)-IF(55&gt;=E$7,'Annual Inputs'!AA$7,0)))*(1+$A11)+IF(56&lt;E$7,'Annual Inputs'!AB$6,0)-IF(56&gt;=E$7,'Annual Inputs'!AB$7,0)))*(1+$A11)+IF(57&lt;E$7,'Annual Inputs'!AC$6,0)-IF(57&gt;=E$7,'Annual Inputs'!AC$7,0)))*(1+$A11)+IF(58&lt;E$7,'Annual Inputs'!AD$6,0)-IF(58&gt;=E$7,'Annual Inputs'!AD$7,0)))*(1+$A11)+IF(59&lt;E$7,'Annual Inputs'!AE$6,0)-IF(59&gt;=E$7,'Annual Inputs'!AE$7,0)))*(1+$A11)+IF(60&lt;E$7,'Annual Inputs'!AF$6,0)-IF(60&gt;=E$7,'Annual Inputs'!AF$7,0)))*(1+$A11)+IF(61&lt;E$7,'Annual Inputs'!AG$6,0)-IF(61&gt;=E$7,'Annual Inputs'!AG$7,0)))*(1+$A11)+IF(62&lt;E$7,'Annual Inputs'!AH$6,0)-IF(62&gt;=E$7,'Annual Inputs'!AH$7,0)))*(1+$A11)+IF(63&lt;E$7,'Annual Inputs'!AI$6,0)-IF(63&gt;=E$7,'Annual Inputs'!AI$7,0)))*(1+$A11)+IF(64&lt;E$7,'Annual Inputs'!AJ$6,0)-IF(64&gt;=E$7,'Annual Inputs'!AJ$7,0)))*(1+$A11)+IF(65&lt;E$7,'Annual Inputs'!AK$6,0)-IF(65&gt;=E$7,'Annual Inputs'!AK$7,0)))*(1+$A11)+IF(66&lt;E$7,'Annual Inputs'!AL$6,0)-IF(66&gt;=E$7,'Annual Inputs'!AL$7,0)))*(1+$A11)+IF(67&lt;E$7,'Annual Inputs'!AM$6,0)-IF(67&gt;=E$7,'Annual Inputs'!AM$7,0)))*(1+$A11)+IF(68&lt;E$7,'Annual Inputs'!AN$6,0)-IF(68&gt;=E$7,'Annual Inputs'!AN$7,0)))*(1+$A11)+IF(69&lt;E$7,'Annual Inputs'!AO$6,0)-IF(69&gt;=E$7,'Annual Inputs'!AO$7,0)))*(1+$A11)+IF(70&lt;E$7,'Annual Inputs'!AP$6,0)-IF(70&gt;=E$7,'Annual Inputs'!AP$7,0))</x:f>
        <x:v>8728.936265957931</x:v>
      </x:c>
      <x:c r="F11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11)+IF(30&lt;F$7,'Annual Inputs'!B$6,0)-IF(30&gt;=F$7,'Annual Inputs'!B$7,0)))*(1+$A11)+IF(31&lt;F$7,'Annual Inputs'!C$6,0)-IF(31&gt;=F$7,'Annual Inputs'!C$7,0)))*(1+$A11)+IF(32&lt;F$7,'Annual Inputs'!D$6,0)-IF(32&gt;=F$7,'Annual Inputs'!D$7,0)))*(1+$A11)+IF(33&lt;F$7,'Annual Inputs'!E$6,0)-IF(33&gt;=F$7,'Annual Inputs'!E$7,0)))*(1+$A11)+IF(34&lt;F$7,'Annual Inputs'!F$6,0)-IF(34&gt;=F$7,'Annual Inputs'!F$7,0)))*(1+$A11)+IF(35&lt;F$7,'Annual Inputs'!G$6,0)-IF(35&gt;=F$7,'Annual Inputs'!G$7,0)))*(1+$A11)+IF(36&lt;F$7,'Annual Inputs'!H$6,0)-IF(36&gt;=F$7,'Annual Inputs'!H$7,0)))*(1+$A11)+IF(37&lt;F$7,'Annual Inputs'!I$6,0)-IF(37&gt;=F$7,'Annual Inputs'!I$7,0)))*(1+$A11)+IF(38&lt;F$7,'Annual Inputs'!J$6,0)-IF(38&gt;=F$7,'Annual Inputs'!J$7,0)))*(1+$A11)+IF(39&lt;F$7,'Annual Inputs'!K$6,0)-IF(39&gt;=F$7,'Annual Inputs'!K$7,0)))*(1+$A11)+IF(40&lt;F$7,'Annual Inputs'!L$6,0)-IF(40&gt;=F$7,'Annual Inputs'!L$7,0)))*(1+$A11)+IF(41&lt;F$7,'Annual Inputs'!M$6,0)-IF(41&gt;=F$7,'Annual Inputs'!M$7,0)))*(1+$A11)+IF(42&lt;F$7,'Annual Inputs'!N$6,0)-IF(42&gt;=F$7,'Annual Inputs'!N$7,0)))*(1+$A11)+IF(43&lt;F$7,'Annual Inputs'!O$6,0)-IF(43&gt;=F$7,'Annual Inputs'!O$7,0)))*(1+$A11)+IF(44&lt;F$7,'Annual Inputs'!P$6,0)-IF(44&gt;=F$7,'Annual Inputs'!P$7,0)))*(1+$A11)+IF(45&lt;F$7,'Annual Inputs'!Q$6,0)-IF(45&gt;=F$7,'Annual Inputs'!Q$7,0)))*(1+$A11)+IF(46&lt;F$7,'Annual Inputs'!R$6,0)-IF(46&gt;=F$7,'Annual Inputs'!R$7,0)))*(1+$A11)+IF(47&lt;F$7,'Annual Inputs'!S$6,0)-IF(47&gt;=F$7,'Annual Inputs'!S$7,0)))*(1+$A11)+IF(48&lt;F$7,'Annual Inputs'!T$6,0)-IF(48&gt;=F$7,'Annual Inputs'!T$7,0)))*(1+$A11)+IF(49&lt;F$7,'Annual Inputs'!U$6,0)-IF(49&gt;=F$7,'Annual Inputs'!U$7,0)))*(1+$A11)+IF(50&lt;F$7,'Annual Inputs'!V$6,0)-IF(50&gt;=F$7,'Annual Inputs'!V$7,0)))*(1+$A11)+IF(51&lt;F$7,'Annual Inputs'!W$6,0)-IF(51&gt;=F$7,'Annual Inputs'!W$7,0)))*(1+$A11)+IF(52&lt;F$7,'Annual Inputs'!X$6,0)-IF(52&gt;=F$7,'Annual Inputs'!X$7,0)))*(1+$A11)+IF(53&lt;F$7,'Annual Inputs'!Y$6,0)-IF(53&gt;=F$7,'Annual Inputs'!Y$7,0)))*(1+$A11)+IF(54&lt;F$7,'Annual Inputs'!Z$6,0)-IF(54&gt;=F$7,'Annual Inputs'!Z$7,0)))*(1+$A11)+IF(55&lt;F$7,'Annual Inputs'!AA$6,0)-IF(55&gt;=F$7,'Annual Inputs'!AA$7,0)))*(1+$A11)+IF(56&lt;F$7,'Annual Inputs'!AB$6,0)-IF(56&gt;=F$7,'Annual Inputs'!AB$7,0)))*(1+$A11)+IF(57&lt;F$7,'Annual Inputs'!AC$6,0)-IF(57&gt;=F$7,'Annual Inputs'!AC$7,0)))*(1+$A11)+IF(58&lt;F$7,'Annual Inputs'!AD$6,0)-IF(58&gt;=F$7,'Annual Inputs'!AD$7,0)))*(1+$A11)+IF(59&lt;F$7,'Annual Inputs'!AE$6,0)-IF(59&gt;=F$7,'Annual Inputs'!AE$7,0)))*(1+$A11)+IF(60&lt;F$7,'Annual Inputs'!AF$6,0)-IF(60&gt;=F$7,'Annual Inputs'!AF$7,0)))*(1+$A11)+IF(61&lt;F$7,'Annual Inputs'!AG$6,0)-IF(61&gt;=F$7,'Annual Inputs'!AG$7,0)))*(1+$A11)+IF(62&lt;F$7,'Annual Inputs'!AH$6,0)-IF(62&gt;=F$7,'Annual Inputs'!AH$7,0)))*(1+$A11)+IF(63&lt;F$7,'Annual Inputs'!AI$6,0)-IF(63&gt;=F$7,'Annual Inputs'!AI$7,0)))*(1+$A11)+IF(64&lt;F$7,'Annual Inputs'!AJ$6,0)-IF(64&gt;=F$7,'Annual Inputs'!AJ$7,0)))*(1+$A11)+IF(65&lt;F$7,'Annual Inputs'!AK$6,0)-IF(65&gt;=F$7,'Annual Inputs'!AK$7,0)))*(1+$A11)+IF(66&lt;F$7,'Annual Inputs'!AL$6,0)-IF(66&gt;=F$7,'Annual Inputs'!AL$7,0)))*(1+$A11)+IF(67&lt;F$7,'Annual Inputs'!AM$6,0)-IF(67&gt;=F$7,'Annual Inputs'!AM$7,0)))*(1+$A11)+IF(68&lt;F$7,'Annual Inputs'!AN$6,0)-IF(68&gt;=F$7,'Annual Inputs'!AN$7,0)))*(1+$A11)+IF(69&lt;F$7,'Annual Inputs'!AO$6,0)-IF(69&gt;=F$7,'Annual Inputs'!AO$7,0)))*(1+$A11)+IF(70&lt;F$7,'Annual Inputs'!AP$6,0)-IF(70&gt;=F$7,'Annual Inputs'!AP$7,0))</x:f>
        <x:v>9017.213303057979</x:v>
      </x:c>
    </x:row>
    <x:row r="12">
      <x:c r="A12" s="76" t="n">
        <x:v>0.105</x:v>
      </x:c>
      <x:c r="B12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12)+IF(30&lt;B$7,'Annual Inputs'!B$6,0)-IF(30&gt;=B$7,'Annual Inputs'!B$7,0)))*(1+$A12)+IF(31&lt;B$7,'Annual Inputs'!C$6,0)-IF(31&gt;=B$7,'Annual Inputs'!C$7,0)))*(1+$A12)+IF(32&lt;B$7,'Annual Inputs'!D$6,0)-IF(32&gt;=B$7,'Annual Inputs'!D$7,0)))*(1+$A12)+IF(33&lt;B$7,'Annual Inputs'!E$6,0)-IF(33&gt;=B$7,'Annual Inputs'!E$7,0)))*(1+$A12)+IF(34&lt;B$7,'Annual Inputs'!F$6,0)-IF(34&gt;=B$7,'Annual Inputs'!F$7,0)))*(1+$A12)+IF(35&lt;B$7,'Annual Inputs'!G$6,0)-IF(35&gt;=B$7,'Annual Inputs'!G$7,0)))*(1+$A12)+IF(36&lt;B$7,'Annual Inputs'!H$6,0)-IF(36&gt;=B$7,'Annual Inputs'!H$7,0)))*(1+$A12)+IF(37&lt;B$7,'Annual Inputs'!I$6,0)-IF(37&gt;=B$7,'Annual Inputs'!I$7,0)))*(1+$A12)+IF(38&lt;B$7,'Annual Inputs'!J$6,0)-IF(38&gt;=B$7,'Annual Inputs'!J$7,0)))*(1+$A12)+IF(39&lt;B$7,'Annual Inputs'!K$6,0)-IF(39&gt;=B$7,'Annual Inputs'!K$7,0)))*(1+$A12)+IF(40&lt;B$7,'Annual Inputs'!L$6,0)-IF(40&gt;=B$7,'Annual Inputs'!L$7,0)))*(1+$A12)+IF(41&lt;B$7,'Annual Inputs'!M$6,0)-IF(41&gt;=B$7,'Annual Inputs'!M$7,0)))*(1+$A12)+IF(42&lt;B$7,'Annual Inputs'!N$6,0)-IF(42&gt;=B$7,'Annual Inputs'!N$7,0)))*(1+$A12)+IF(43&lt;B$7,'Annual Inputs'!O$6,0)-IF(43&gt;=B$7,'Annual Inputs'!O$7,0)))*(1+$A12)+IF(44&lt;B$7,'Annual Inputs'!P$6,0)-IF(44&gt;=B$7,'Annual Inputs'!P$7,0)))*(1+$A12)+IF(45&lt;B$7,'Annual Inputs'!Q$6,0)-IF(45&gt;=B$7,'Annual Inputs'!Q$7,0)))*(1+$A12)+IF(46&lt;B$7,'Annual Inputs'!R$6,0)-IF(46&gt;=B$7,'Annual Inputs'!R$7,0)))*(1+$A12)+IF(47&lt;B$7,'Annual Inputs'!S$6,0)-IF(47&gt;=B$7,'Annual Inputs'!S$7,0)))*(1+$A12)+IF(48&lt;B$7,'Annual Inputs'!T$6,0)-IF(48&gt;=B$7,'Annual Inputs'!T$7,0)))*(1+$A12)+IF(49&lt;B$7,'Annual Inputs'!U$6,0)-IF(49&gt;=B$7,'Annual Inputs'!U$7,0)))*(1+$A12)+IF(50&lt;B$7,'Annual Inputs'!V$6,0)-IF(50&gt;=B$7,'Annual Inputs'!V$7,0)))*(1+$A12)+IF(51&lt;B$7,'Annual Inputs'!W$6,0)-IF(51&gt;=B$7,'Annual Inputs'!W$7,0)))*(1+$A12)+IF(52&lt;B$7,'Annual Inputs'!X$6,0)-IF(52&gt;=B$7,'Annual Inputs'!X$7,0)))*(1+$A12)+IF(53&lt;B$7,'Annual Inputs'!Y$6,0)-IF(53&gt;=B$7,'Annual Inputs'!Y$7,0)))*(1+$A12)+IF(54&lt;B$7,'Annual Inputs'!Z$6,0)-IF(54&gt;=B$7,'Annual Inputs'!Z$7,0)))*(1+$A12)+IF(55&lt;B$7,'Annual Inputs'!AA$6,0)-IF(55&gt;=B$7,'Annual Inputs'!AA$7,0)))*(1+$A12)+IF(56&lt;B$7,'Annual Inputs'!AB$6,0)-IF(56&gt;=B$7,'Annual Inputs'!AB$7,0)))*(1+$A12)+IF(57&lt;B$7,'Annual Inputs'!AC$6,0)-IF(57&gt;=B$7,'Annual Inputs'!AC$7,0)))*(1+$A12)+IF(58&lt;B$7,'Annual Inputs'!AD$6,0)-IF(58&gt;=B$7,'Annual Inputs'!AD$7,0)))*(1+$A12)+IF(59&lt;B$7,'Annual Inputs'!AE$6,0)-IF(59&gt;=B$7,'Annual Inputs'!AE$7,0)))*(1+$A12)+IF(60&lt;B$7,'Annual Inputs'!AF$6,0)-IF(60&gt;=B$7,'Annual Inputs'!AF$7,0)))*(1+$A12)+IF(61&lt;B$7,'Annual Inputs'!AG$6,0)-IF(61&gt;=B$7,'Annual Inputs'!AG$7,0)))*(1+$A12)+IF(62&lt;B$7,'Annual Inputs'!AH$6,0)-IF(62&gt;=B$7,'Annual Inputs'!AH$7,0)))*(1+$A12)+IF(63&lt;B$7,'Annual Inputs'!AI$6,0)-IF(63&gt;=B$7,'Annual Inputs'!AI$7,0)))*(1+$A12)+IF(64&lt;B$7,'Annual Inputs'!AJ$6,0)-IF(64&gt;=B$7,'Annual Inputs'!AJ$7,0)))*(1+$A12)+IF(65&lt;B$7,'Annual Inputs'!AK$6,0)-IF(65&gt;=B$7,'Annual Inputs'!AK$7,0)))*(1+$A12)+IF(66&lt;B$7,'Annual Inputs'!AL$6,0)-IF(66&gt;=B$7,'Annual Inputs'!AL$7,0)))*(1+$A12)+IF(67&lt;B$7,'Annual Inputs'!AM$6,0)-IF(67&gt;=B$7,'Annual Inputs'!AM$7,0)))*(1+$A12)+IF(68&lt;B$7,'Annual Inputs'!AN$6,0)-IF(68&gt;=B$7,'Annual Inputs'!AN$7,0)))*(1+$A12)+IF(69&lt;B$7,'Annual Inputs'!AO$6,0)-IF(69&gt;=B$7,'Annual Inputs'!AO$7,0)))*(1+$A12)+IF(70&lt;B$7,'Annual Inputs'!AP$6,0)-IF(70&gt;=B$7,'Annual Inputs'!AP$7,0))</x:f>
        <x:v>15958.54280790163</x:v>
      </x:c>
      <x:c r="C12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12)+IF(30&lt;C$7,'Annual Inputs'!B$6,0)-IF(30&gt;=C$7,'Annual Inputs'!B$7,0)))*(1+$A12)+IF(31&lt;C$7,'Annual Inputs'!C$6,0)-IF(31&gt;=C$7,'Annual Inputs'!C$7,0)))*(1+$A12)+IF(32&lt;C$7,'Annual Inputs'!D$6,0)-IF(32&gt;=C$7,'Annual Inputs'!D$7,0)))*(1+$A12)+IF(33&lt;C$7,'Annual Inputs'!E$6,0)-IF(33&gt;=C$7,'Annual Inputs'!E$7,0)))*(1+$A12)+IF(34&lt;C$7,'Annual Inputs'!F$6,0)-IF(34&gt;=C$7,'Annual Inputs'!F$7,0)))*(1+$A12)+IF(35&lt;C$7,'Annual Inputs'!G$6,0)-IF(35&gt;=C$7,'Annual Inputs'!G$7,0)))*(1+$A12)+IF(36&lt;C$7,'Annual Inputs'!H$6,0)-IF(36&gt;=C$7,'Annual Inputs'!H$7,0)))*(1+$A12)+IF(37&lt;C$7,'Annual Inputs'!I$6,0)-IF(37&gt;=C$7,'Annual Inputs'!I$7,0)))*(1+$A12)+IF(38&lt;C$7,'Annual Inputs'!J$6,0)-IF(38&gt;=C$7,'Annual Inputs'!J$7,0)))*(1+$A12)+IF(39&lt;C$7,'Annual Inputs'!K$6,0)-IF(39&gt;=C$7,'Annual Inputs'!K$7,0)))*(1+$A12)+IF(40&lt;C$7,'Annual Inputs'!L$6,0)-IF(40&gt;=C$7,'Annual Inputs'!L$7,0)))*(1+$A12)+IF(41&lt;C$7,'Annual Inputs'!M$6,0)-IF(41&gt;=C$7,'Annual Inputs'!M$7,0)))*(1+$A12)+IF(42&lt;C$7,'Annual Inputs'!N$6,0)-IF(42&gt;=C$7,'Annual Inputs'!N$7,0)))*(1+$A12)+IF(43&lt;C$7,'Annual Inputs'!O$6,0)-IF(43&gt;=C$7,'Annual Inputs'!O$7,0)))*(1+$A12)+IF(44&lt;C$7,'Annual Inputs'!P$6,0)-IF(44&gt;=C$7,'Annual Inputs'!P$7,0)))*(1+$A12)+IF(45&lt;C$7,'Annual Inputs'!Q$6,0)-IF(45&gt;=C$7,'Annual Inputs'!Q$7,0)))*(1+$A12)+IF(46&lt;C$7,'Annual Inputs'!R$6,0)-IF(46&gt;=C$7,'Annual Inputs'!R$7,0)))*(1+$A12)+IF(47&lt;C$7,'Annual Inputs'!S$6,0)-IF(47&gt;=C$7,'Annual Inputs'!S$7,0)))*(1+$A12)+IF(48&lt;C$7,'Annual Inputs'!T$6,0)-IF(48&gt;=C$7,'Annual Inputs'!T$7,0)))*(1+$A12)+IF(49&lt;C$7,'Annual Inputs'!U$6,0)-IF(49&gt;=C$7,'Annual Inputs'!U$7,0)))*(1+$A12)+IF(50&lt;C$7,'Annual Inputs'!V$6,0)-IF(50&gt;=C$7,'Annual Inputs'!V$7,0)))*(1+$A12)+IF(51&lt;C$7,'Annual Inputs'!W$6,0)-IF(51&gt;=C$7,'Annual Inputs'!W$7,0)))*(1+$A12)+IF(52&lt;C$7,'Annual Inputs'!X$6,0)-IF(52&gt;=C$7,'Annual Inputs'!X$7,0)))*(1+$A12)+IF(53&lt;C$7,'Annual Inputs'!Y$6,0)-IF(53&gt;=C$7,'Annual Inputs'!Y$7,0)))*(1+$A12)+IF(54&lt;C$7,'Annual Inputs'!Z$6,0)-IF(54&gt;=C$7,'Annual Inputs'!Z$7,0)))*(1+$A12)+IF(55&lt;C$7,'Annual Inputs'!AA$6,0)-IF(55&gt;=C$7,'Annual Inputs'!AA$7,0)))*(1+$A12)+IF(56&lt;C$7,'Annual Inputs'!AB$6,0)-IF(56&gt;=C$7,'Annual Inputs'!AB$7,0)))*(1+$A12)+IF(57&lt;C$7,'Annual Inputs'!AC$6,0)-IF(57&gt;=C$7,'Annual Inputs'!AC$7,0)))*(1+$A12)+IF(58&lt;C$7,'Annual Inputs'!AD$6,0)-IF(58&gt;=C$7,'Annual Inputs'!AD$7,0)))*(1+$A12)+IF(59&lt;C$7,'Annual Inputs'!AE$6,0)-IF(59&gt;=C$7,'Annual Inputs'!AE$7,0)))*(1+$A12)+IF(60&lt;C$7,'Annual Inputs'!AF$6,0)-IF(60&gt;=C$7,'Annual Inputs'!AF$7,0)))*(1+$A12)+IF(61&lt;C$7,'Annual Inputs'!AG$6,0)-IF(61&gt;=C$7,'Annual Inputs'!AG$7,0)))*(1+$A12)+IF(62&lt;C$7,'Annual Inputs'!AH$6,0)-IF(62&gt;=C$7,'Annual Inputs'!AH$7,0)))*(1+$A12)+IF(63&lt;C$7,'Annual Inputs'!AI$6,0)-IF(63&gt;=C$7,'Annual Inputs'!AI$7,0)))*(1+$A12)+IF(64&lt;C$7,'Annual Inputs'!AJ$6,0)-IF(64&gt;=C$7,'Annual Inputs'!AJ$7,0)))*(1+$A12)+IF(65&lt;C$7,'Annual Inputs'!AK$6,0)-IF(65&gt;=C$7,'Annual Inputs'!AK$7,0)))*(1+$A12)+IF(66&lt;C$7,'Annual Inputs'!AL$6,0)-IF(66&gt;=C$7,'Annual Inputs'!AL$7,0)))*(1+$A12)+IF(67&lt;C$7,'Annual Inputs'!AM$6,0)-IF(67&gt;=C$7,'Annual Inputs'!AM$7,0)))*(1+$A12)+IF(68&lt;C$7,'Annual Inputs'!AN$6,0)-IF(68&gt;=C$7,'Annual Inputs'!AN$7,0)))*(1+$A12)+IF(69&lt;C$7,'Annual Inputs'!AO$6,0)-IF(69&gt;=C$7,'Annual Inputs'!AO$7,0)))*(1+$A12)+IF(70&lt;C$7,'Annual Inputs'!AP$6,0)-IF(70&gt;=C$7,'Annual Inputs'!AP$7,0))</x:f>
        <x:v>16180.87429710589</x:v>
      </x:c>
      <x:c r="D12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12)+IF(30&lt;D$7,'Annual Inputs'!B$6,0)-IF(30&gt;=D$7,'Annual Inputs'!B$7,0)))*(1+$A12)+IF(31&lt;D$7,'Annual Inputs'!C$6,0)-IF(31&gt;=D$7,'Annual Inputs'!C$7,0)))*(1+$A12)+IF(32&lt;D$7,'Annual Inputs'!D$6,0)-IF(32&gt;=D$7,'Annual Inputs'!D$7,0)))*(1+$A12)+IF(33&lt;D$7,'Annual Inputs'!E$6,0)-IF(33&gt;=D$7,'Annual Inputs'!E$7,0)))*(1+$A12)+IF(34&lt;D$7,'Annual Inputs'!F$6,0)-IF(34&gt;=D$7,'Annual Inputs'!F$7,0)))*(1+$A12)+IF(35&lt;D$7,'Annual Inputs'!G$6,0)-IF(35&gt;=D$7,'Annual Inputs'!G$7,0)))*(1+$A12)+IF(36&lt;D$7,'Annual Inputs'!H$6,0)-IF(36&gt;=D$7,'Annual Inputs'!H$7,0)))*(1+$A12)+IF(37&lt;D$7,'Annual Inputs'!I$6,0)-IF(37&gt;=D$7,'Annual Inputs'!I$7,0)))*(1+$A12)+IF(38&lt;D$7,'Annual Inputs'!J$6,0)-IF(38&gt;=D$7,'Annual Inputs'!J$7,0)))*(1+$A12)+IF(39&lt;D$7,'Annual Inputs'!K$6,0)-IF(39&gt;=D$7,'Annual Inputs'!K$7,0)))*(1+$A12)+IF(40&lt;D$7,'Annual Inputs'!L$6,0)-IF(40&gt;=D$7,'Annual Inputs'!L$7,0)))*(1+$A12)+IF(41&lt;D$7,'Annual Inputs'!M$6,0)-IF(41&gt;=D$7,'Annual Inputs'!M$7,0)))*(1+$A12)+IF(42&lt;D$7,'Annual Inputs'!N$6,0)-IF(42&gt;=D$7,'Annual Inputs'!N$7,0)))*(1+$A12)+IF(43&lt;D$7,'Annual Inputs'!O$6,0)-IF(43&gt;=D$7,'Annual Inputs'!O$7,0)))*(1+$A12)+IF(44&lt;D$7,'Annual Inputs'!P$6,0)-IF(44&gt;=D$7,'Annual Inputs'!P$7,0)))*(1+$A12)+IF(45&lt;D$7,'Annual Inputs'!Q$6,0)-IF(45&gt;=D$7,'Annual Inputs'!Q$7,0)))*(1+$A12)+IF(46&lt;D$7,'Annual Inputs'!R$6,0)-IF(46&gt;=D$7,'Annual Inputs'!R$7,0)))*(1+$A12)+IF(47&lt;D$7,'Annual Inputs'!S$6,0)-IF(47&gt;=D$7,'Annual Inputs'!S$7,0)))*(1+$A12)+IF(48&lt;D$7,'Annual Inputs'!T$6,0)-IF(48&gt;=D$7,'Annual Inputs'!T$7,0)))*(1+$A12)+IF(49&lt;D$7,'Annual Inputs'!U$6,0)-IF(49&gt;=D$7,'Annual Inputs'!U$7,0)))*(1+$A12)+IF(50&lt;D$7,'Annual Inputs'!V$6,0)-IF(50&gt;=D$7,'Annual Inputs'!V$7,0)))*(1+$A12)+IF(51&lt;D$7,'Annual Inputs'!W$6,0)-IF(51&gt;=D$7,'Annual Inputs'!W$7,0)))*(1+$A12)+IF(52&lt;D$7,'Annual Inputs'!X$6,0)-IF(52&gt;=D$7,'Annual Inputs'!X$7,0)))*(1+$A12)+IF(53&lt;D$7,'Annual Inputs'!Y$6,0)-IF(53&gt;=D$7,'Annual Inputs'!Y$7,0)))*(1+$A12)+IF(54&lt;D$7,'Annual Inputs'!Z$6,0)-IF(54&gt;=D$7,'Annual Inputs'!Z$7,0)))*(1+$A12)+IF(55&lt;D$7,'Annual Inputs'!AA$6,0)-IF(55&gt;=D$7,'Annual Inputs'!AA$7,0)))*(1+$A12)+IF(56&lt;D$7,'Annual Inputs'!AB$6,0)-IF(56&gt;=D$7,'Annual Inputs'!AB$7,0)))*(1+$A12)+IF(57&lt;D$7,'Annual Inputs'!AC$6,0)-IF(57&gt;=D$7,'Annual Inputs'!AC$7,0)))*(1+$A12)+IF(58&lt;D$7,'Annual Inputs'!AD$6,0)-IF(58&gt;=D$7,'Annual Inputs'!AD$7,0)))*(1+$A12)+IF(59&lt;D$7,'Annual Inputs'!AE$6,0)-IF(59&gt;=D$7,'Annual Inputs'!AE$7,0)))*(1+$A12)+IF(60&lt;D$7,'Annual Inputs'!AF$6,0)-IF(60&gt;=D$7,'Annual Inputs'!AF$7,0)))*(1+$A12)+IF(61&lt;D$7,'Annual Inputs'!AG$6,0)-IF(61&gt;=D$7,'Annual Inputs'!AG$7,0)))*(1+$A12)+IF(62&lt;D$7,'Annual Inputs'!AH$6,0)-IF(62&gt;=D$7,'Annual Inputs'!AH$7,0)))*(1+$A12)+IF(63&lt;D$7,'Annual Inputs'!AI$6,0)-IF(63&gt;=D$7,'Annual Inputs'!AI$7,0)))*(1+$A12)+IF(64&lt;D$7,'Annual Inputs'!AJ$6,0)-IF(64&gt;=D$7,'Annual Inputs'!AJ$7,0)))*(1+$A12)+IF(65&lt;D$7,'Annual Inputs'!AK$6,0)-IF(65&gt;=D$7,'Annual Inputs'!AK$7,0)))*(1+$A12)+IF(66&lt;D$7,'Annual Inputs'!AL$6,0)-IF(66&gt;=D$7,'Annual Inputs'!AL$7,0)))*(1+$A12)+IF(67&lt;D$7,'Annual Inputs'!AM$6,0)-IF(67&gt;=D$7,'Annual Inputs'!AM$7,0)))*(1+$A12)+IF(68&lt;D$7,'Annual Inputs'!AN$6,0)-IF(68&gt;=D$7,'Annual Inputs'!AN$7,0)))*(1+$A12)+IF(69&lt;D$7,'Annual Inputs'!AO$6,0)-IF(69&gt;=D$7,'Annual Inputs'!AO$7,0)))*(1+$A12)+IF(70&lt;D$7,'Annual Inputs'!AP$6,0)-IF(70&gt;=D$7,'Annual Inputs'!AP$7,0))</x:f>
        <x:v>16372.178341531855</x:v>
      </x:c>
      <x:c r="E12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12)+IF(30&lt;E$7,'Annual Inputs'!B$6,0)-IF(30&gt;=E$7,'Annual Inputs'!B$7,0)))*(1+$A12)+IF(31&lt;E$7,'Annual Inputs'!C$6,0)-IF(31&gt;=E$7,'Annual Inputs'!C$7,0)))*(1+$A12)+IF(32&lt;E$7,'Annual Inputs'!D$6,0)-IF(32&gt;=E$7,'Annual Inputs'!D$7,0)))*(1+$A12)+IF(33&lt;E$7,'Annual Inputs'!E$6,0)-IF(33&gt;=E$7,'Annual Inputs'!E$7,0)))*(1+$A12)+IF(34&lt;E$7,'Annual Inputs'!F$6,0)-IF(34&gt;=E$7,'Annual Inputs'!F$7,0)))*(1+$A12)+IF(35&lt;E$7,'Annual Inputs'!G$6,0)-IF(35&gt;=E$7,'Annual Inputs'!G$7,0)))*(1+$A12)+IF(36&lt;E$7,'Annual Inputs'!H$6,0)-IF(36&gt;=E$7,'Annual Inputs'!H$7,0)))*(1+$A12)+IF(37&lt;E$7,'Annual Inputs'!I$6,0)-IF(37&gt;=E$7,'Annual Inputs'!I$7,0)))*(1+$A12)+IF(38&lt;E$7,'Annual Inputs'!J$6,0)-IF(38&gt;=E$7,'Annual Inputs'!J$7,0)))*(1+$A12)+IF(39&lt;E$7,'Annual Inputs'!K$6,0)-IF(39&gt;=E$7,'Annual Inputs'!K$7,0)))*(1+$A12)+IF(40&lt;E$7,'Annual Inputs'!L$6,0)-IF(40&gt;=E$7,'Annual Inputs'!L$7,0)))*(1+$A12)+IF(41&lt;E$7,'Annual Inputs'!M$6,0)-IF(41&gt;=E$7,'Annual Inputs'!M$7,0)))*(1+$A12)+IF(42&lt;E$7,'Annual Inputs'!N$6,0)-IF(42&gt;=E$7,'Annual Inputs'!N$7,0)))*(1+$A12)+IF(43&lt;E$7,'Annual Inputs'!O$6,0)-IF(43&gt;=E$7,'Annual Inputs'!O$7,0)))*(1+$A12)+IF(44&lt;E$7,'Annual Inputs'!P$6,0)-IF(44&gt;=E$7,'Annual Inputs'!P$7,0)))*(1+$A12)+IF(45&lt;E$7,'Annual Inputs'!Q$6,0)-IF(45&gt;=E$7,'Annual Inputs'!Q$7,0)))*(1+$A12)+IF(46&lt;E$7,'Annual Inputs'!R$6,0)-IF(46&gt;=E$7,'Annual Inputs'!R$7,0)))*(1+$A12)+IF(47&lt;E$7,'Annual Inputs'!S$6,0)-IF(47&gt;=E$7,'Annual Inputs'!S$7,0)))*(1+$A12)+IF(48&lt;E$7,'Annual Inputs'!T$6,0)-IF(48&gt;=E$7,'Annual Inputs'!T$7,0)))*(1+$A12)+IF(49&lt;E$7,'Annual Inputs'!U$6,0)-IF(49&gt;=E$7,'Annual Inputs'!U$7,0)))*(1+$A12)+IF(50&lt;E$7,'Annual Inputs'!V$6,0)-IF(50&gt;=E$7,'Annual Inputs'!V$7,0)))*(1+$A12)+IF(51&lt;E$7,'Annual Inputs'!W$6,0)-IF(51&gt;=E$7,'Annual Inputs'!W$7,0)))*(1+$A12)+IF(52&lt;E$7,'Annual Inputs'!X$6,0)-IF(52&gt;=E$7,'Annual Inputs'!X$7,0)))*(1+$A12)+IF(53&lt;E$7,'Annual Inputs'!Y$6,0)-IF(53&gt;=E$7,'Annual Inputs'!Y$7,0)))*(1+$A12)+IF(54&lt;E$7,'Annual Inputs'!Z$6,0)-IF(54&gt;=E$7,'Annual Inputs'!Z$7,0)))*(1+$A12)+IF(55&lt;E$7,'Annual Inputs'!AA$6,0)-IF(55&gt;=E$7,'Annual Inputs'!AA$7,0)))*(1+$A12)+IF(56&lt;E$7,'Annual Inputs'!AB$6,0)-IF(56&gt;=E$7,'Annual Inputs'!AB$7,0)))*(1+$A12)+IF(57&lt;E$7,'Annual Inputs'!AC$6,0)-IF(57&gt;=E$7,'Annual Inputs'!AC$7,0)))*(1+$A12)+IF(58&lt;E$7,'Annual Inputs'!AD$6,0)-IF(58&gt;=E$7,'Annual Inputs'!AD$7,0)))*(1+$A12)+IF(59&lt;E$7,'Annual Inputs'!AE$6,0)-IF(59&gt;=E$7,'Annual Inputs'!AE$7,0)))*(1+$A12)+IF(60&lt;E$7,'Annual Inputs'!AF$6,0)-IF(60&gt;=E$7,'Annual Inputs'!AF$7,0)))*(1+$A12)+IF(61&lt;E$7,'Annual Inputs'!AG$6,0)-IF(61&gt;=E$7,'Annual Inputs'!AG$7,0)))*(1+$A12)+IF(62&lt;E$7,'Annual Inputs'!AH$6,0)-IF(62&gt;=E$7,'Annual Inputs'!AH$7,0)))*(1+$A12)+IF(63&lt;E$7,'Annual Inputs'!AI$6,0)-IF(63&gt;=E$7,'Annual Inputs'!AI$7,0)))*(1+$A12)+IF(64&lt;E$7,'Annual Inputs'!AJ$6,0)-IF(64&gt;=E$7,'Annual Inputs'!AJ$7,0)))*(1+$A12)+IF(65&lt;E$7,'Annual Inputs'!AK$6,0)-IF(65&gt;=E$7,'Annual Inputs'!AK$7,0)))*(1+$A12)+IF(66&lt;E$7,'Annual Inputs'!AL$6,0)-IF(66&gt;=E$7,'Annual Inputs'!AL$7,0)))*(1+$A12)+IF(67&lt;E$7,'Annual Inputs'!AM$6,0)-IF(67&gt;=E$7,'Annual Inputs'!AM$7,0)))*(1+$A12)+IF(68&lt;E$7,'Annual Inputs'!AN$6,0)-IF(68&gt;=E$7,'Annual Inputs'!AN$7,0)))*(1+$A12)+IF(69&lt;E$7,'Annual Inputs'!AO$6,0)-IF(69&gt;=E$7,'Annual Inputs'!AO$7,0)))*(1+$A12)+IF(70&lt;E$7,'Annual Inputs'!AP$6,0)-IF(70&gt;=E$7,'Annual Inputs'!AP$7,0))</x:f>
        <x:v>16756.514992975575</x:v>
      </x:c>
      <x:c r="F12" s="129" t="n">
        <x:f>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MAX(0,('Assumptions'!$F$6)*(1+$A12)+IF(30&lt;F$7,'Annual Inputs'!B$6,0)-IF(30&gt;=F$7,'Annual Inputs'!B$7,0)))*(1+$A12)+IF(31&lt;F$7,'Annual Inputs'!C$6,0)-IF(31&gt;=F$7,'Annual Inputs'!C$7,0)))*(1+$A12)+IF(32&lt;F$7,'Annual Inputs'!D$6,0)-IF(32&gt;=F$7,'Annual Inputs'!D$7,0)))*(1+$A12)+IF(33&lt;F$7,'Annual Inputs'!E$6,0)-IF(33&gt;=F$7,'Annual Inputs'!E$7,0)))*(1+$A12)+IF(34&lt;F$7,'Annual Inputs'!F$6,0)-IF(34&gt;=F$7,'Annual Inputs'!F$7,0)))*(1+$A12)+IF(35&lt;F$7,'Annual Inputs'!G$6,0)-IF(35&gt;=F$7,'Annual Inputs'!G$7,0)))*(1+$A12)+IF(36&lt;F$7,'Annual Inputs'!H$6,0)-IF(36&gt;=F$7,'Annual Inputs'!H$7,0)))*(1+$A12)+IF(37&lt;F$7,'Annual Inputs'!I$6,0)-IF(37&gt;=F$7,'Annual Inputs'!I$7,0)))*(1+$A12)+IF(38&lt;F$7,'Annual Inputs'!J$6,0)-IF(38&gt;=F$7,'Annual Inputs'!J$7,0)))*(1+$A12)+IF(39&lt;F$7,'Annual Inputs'!K$6,0)-IF(39&gt;=F$7,'Annual Inputs'!K$7,0)))*(1+$A12)+IF(40&lt;F$7,'Annual Inputs'!L$6,0)-IF(40&gt;=F$7,'Annual Inputs'!L$7,0)))*(1+$A12)+IF(41&lt;F$7,'Annual Inputs'!M$6,0)-IF(41&gt;=F$7,'Annual Inputs'!M$7,0)))*(1+$A12)+IF(42&lt;F$7,'Annual Inputs'!N$6,0)-IF(42&gt;=F$7,'Annual Inputs'!N$7,0)))*(1+$A12)+IF(43&lt;F$7,'Annual Inputs'!O$6,0)-IF(43&gt;=F$7,'Annual Inputs'!O$7,0)))*(1+$A12)+IF(44&lt;F$7,'Annual Inputs'!P$6,0)-IF(44&gt;=F$7,'Annual Inputs'!P$7,0)))*(1+$A12)+IF(45&lt;F$7,'Annual Inputs'!Q$6,0)-IF(45&gt;=F$7,'Annual Inputs'!Q$7,0)))*(1+$A12)+IF(46&lt;F$7,'Annual Inputs'!R$6,0)-IF(46&gt;=F$7,'Annual Inputs'!R$7,0)))*(1+$A12)+IF(47&lt;F$7,'Annual Inputs'!S$6,0)-IF(47&gt;=F$7,'Annual Inputs'!S$7,0)))*(1+$A12)+IF(48&lt;F$7,'Annual Inputs'!T$6,0)-IF(48&gt;=F$7,'Annual Inputs'!T$7,0)))*(1+$A12)+IF(49&lt;F$7,'Annual Inputs'!U$6,0)-IF(49&gt;=F$7,'Annual Inputs'!U$7,0)))*(1+$A12)+IF(50&lt;F$7,'Annual Inputs'!V$6,0)-IF(50&gt;=F$7,'Annual Inputs'!V$7,0)))*(1+$A12)+IF(51&lt;F$7,'Annual Inputs'!W$6,0)-IF(51&gt;=F$7,'Annual Inputs'!W$7,0)))*(1+$A12)+IF(52&lt;F$7,'Annual Inputs'!X$6,0)-IF(52&gt;=F$7,'Annual Inputs'!X$7,0)))*(1+$A12)+IF(53&lt;F$7,'Annual Inputs'!Y$6,0)-IF(53&gt;=F$7,'Annual Inputs'!Y$7,0)))*(1+$A12)+IF(54&lt;F$7,'Annual Inputs'!Z$6,0)-IF(54&gt;=F$7,'Annual Inputs'!Z$7,0)))*(1+$A12)+IF(55&lt;F$7,'Annual Inputs'!AA$6,0)-IF(55&gt;=F$7,'Annual Inputs'!AA$7,0)))*(1+$A12)+IF(56&lt;F$7,'Annual Inputs'!AB$6,0)-IF(56&gt;=F$7,'Annual Inputs'!AB$7,0)))*(1+$A12)+IF(57&lt;F$7,'Annual Inputs'!AC$6,0)-IF(57&gt;=F$7,'Annual Inputs'!AC$7,0)))*(1+$A12)+IF(58&lt;F$7,'Annual Inputs'!AD$6,0)-IF(58&gt;=F$7,'Annual Inputs'!AD$7,0)))*(1+$A12)+IF(59&lt;F$7,'Annual Inputs'!AE$6,0)-IF(59&gt;=F$7,'Annual Inputs'!AE$7,0)))*(1+$A12)+IF(60&lt;F$7,'Annual Inputs'!AF$6,0)-IF(60&gt;=F$7,'Annual Inputs'!AF$7,0)))*(1+$A12)+IF(61&lt;F$7,'Annual Inputs'!AG$6,0)-IF(61&gt;=F$7,'Annual Inputs'!AG$7,0)))*(1+$A12)+IF(62&lt;F$7,'Annual Inputs'!AH$6,0)-IF(62&gt;=F$7,'Annual Inputs'!AH$7,0)))*(1+$A12)+IF(63&lt;F$7,'Annual Inputs'!AI$6,0)-IF(63&gt;=F$7,'Annual Inputs'!AI$7,0)))*(1+$A12)+IF(64&lt;F$7,'Annual Inputs'!AJ$6,0)-IF(64&gt;=F$7,'Annual Inputs'!AJ$7,0)))*(1+$A12)+IF(65&lt;F$7,'Annual Inputs'!AK$6,0)-IF(65&gt;=F$7,'Annual Inputs'!AK$7,0)))*(1+$A12)+IF(66&lt;F$7,'Annual Inputs'!AL$6,0)-IF(66&gt;=F$7,'Annual Inputs'!AL$7,0)))*(1+$A12)+IF(67&lt;F$7,'Annual Inputs'!AM$6,0)-IF(67&gt;=F$7,'Annual Inputs'!AM$7,0)))*(1+$A12)+IF(68&lt;F$7,'Annual Inputs'!AN$6,0)-IF(68&gt;=F$7,'Annual Inputs'!AN$7,0)))*(1+$A12)+IF(69&lt;F$7,'Annual Inputs'!AO$6,0)-IF(69&gt;=F$7,'Annual Inputs'!AO$7,0)))*(1+$A12)+IF(70&lt;F$7,'Annual Inputs'!AP$6,0)-IF(70&gt;=F$7,'Annual Inputs'!AP$7,0))</x:f>
        <x:v>17087.215588313953</x:v>
      </x:c>
    </x:row>
    <x:row r="16" ht="22" customHeight="1">
      <x:c r="A16" s="9" t="str">
        <x:v>SCENARIO OUTPUTS</x:v>
      </x:c>
      <x:c r="B16" s="9" t="str">
        <x:v>SCENARIO OUTPUTS</x:v>
      </x:c>
      <x:c r="C16" s="9" t="str">
        <x:v>SCENARIO OUTPUTS</x:v>
      </x:c>
      <x:c r="D16" s="9" t="str">
        <x:v>SCENARIO OUTPUTS</x:v>
      </x:c>
      <x:c r="E16" s="9" t="str">
        <x:v>SCENARIO OUTPUTS</x:v>
      </x:c>
      <x:c r="F16" s="9" t="str">
        <x:v>SCENARIO OUTPUTS</x:v>
      </x:c>
      <x:c r="G16" s="9" t="str">
        <x:v>SCENARIO OUTPUTS</x:v>
      </x:c>
      <x:c r="H16" s="9" t="str">
        <x:v>SCENARIO OUTPUTS</x:v>
      </x:c>
      <x:c r="I16" s="9" t="str">
        <x:v>SCENARIO OUTPUTS</x:v>
      </x:c>
      <x:c r="J16" s="9" t="str">
        <x:v>SCENARIO OUTPUTS</x:v>
      </x:c>
    </x:row>
    <x:row r="17" ht="24" customHeight="1">
      <x:c r="A17" s="66" t="str">
        <x:v>Case</x:v>
      </x:c>
      <x:c r="B17" s="67" t="str">
        <x:v>Narrative</x:v>
      </x:c>
      <x:c r="C17" s="67" t="str">
        <x:v>Selected driver set</x:v>
      </x:c>
      <x:c r="D17" s="68" t="str">
        <x:v>Review question</x:v>
      </x:c>
    </x:row>
    <x:row r="18">
      <x:c r="A18" s="139" t="str">
        <x:v>Base</x:v>
      </x:c>
      <x:c r="B18" s="140" t="str">
        <x:v>Most likely operating and finance assumptions.</x:v>
      </x:c>
      <x:c r="C18" s="140" t="str">
        <x:v>Base</x:v>
      </x:c>
      <x:c r="D18" s="141" t="str">
        <x:v>What must be true for the base case to hold?</x:v>
      </x:c>
    </x:row>
    <x:row r="19">
      <x:c r="A19" s="142" t="str">
        <x:v>Upside</x:v>
      </x:c>
      <x:c r="B19" s="143" t="str">
        <x:v>Stronger performance, faster conversion, or lower risk/cost.</x:v>
      </x:c>
      <x:c r="C19" s="143" t="str">
        <x:v>Upside</x:v>
      </x:c>
      <x:c r="D19" s="144" t="str">
        <x:v>Which actions unlock the upside?</x:v>
      </x:c>
    </x:row>
    <x:row r="20">
      <x:c r="A20" s="145" t="str">
        <x:v>Downside</x:v>
      </x:c>
      <x:c r="B20" s="146" t="str">
        <x:v>Slower activity, weaker conversion, or higher risk/cost.</x:v>
      </x:c>
      <x:c r="C20" s="146" t="str">
        <x:v>Downside</x:v>
      </x:c>
      <x:c r="D20" s="147" t="str">
        <x:v>What breaks first and who acts?</x:v>
      </x:c>
    </x:row>
    <x:row r="22">
      <x:c r="A22" s="42" t="str">
        <x:v>Sensitivity outputs are analytical ranges, not forecasts or guarantees. Recheck directionality, boundaries, source quality, and the business narrative behind each driver before decision use.</x:v>
      </x:c>
      <x:c r="B22" s="43" t="str">
        <x:v>Sensitivity outputs are analytical ranges, not forecasts or guarantees. Recheck directionality, boundaries, source quality, and the business narrative behind each driver before decision use.</x:v>
      </x:c>
      <x:c r="C22" s="43" t="str">
        <x:v>Sensitivity outputs are analytical ranges, not forecasts or guarantees. Recheck directionality, boundaries, source quality, and the business narrative behind each driver before decision use.</x:v>
      </x:c>
      <x:c r="D22" s="43" t="str">
        <x:v>Sensitivity outputs are analytical ranges, not forecasts or guarantees. Recheck directionality, boundaries, source quality, and the business narrative behind each driver before decision use.</x:v>
      </x:c>
      <x:c r="E22" s="43" t="str">
        <x:v>Sensitivity outputs are analytical ranges, not forecasts or guarantees. Recheck directionality, boundaries, source quality, and the business narrative behind each driver before decision use.</x:v>
      </x:c>
      <x:c r="F22" s="43" t="str">
        <x:v>Sensitivity outputs are analytical ranges, not forecasts or guarantees. Recheck directionality, boundaries, source quality, and the business narrative behind each driver before decision use.</x:v>
      </x:c>
      <x:c r="G22" s="43" t="str">
        <x:v>Sensitivity outputs are analytical ranges, not forecasts or guarantees. Recheck directionality, boundaries, source quality, and the business narrative behind each driver before decision use.</x:v>
      </x:c>
      <x:c r="H22" s="43" t="str">
        <x:v>Sensitivity outputs are analytical ranges, not forecasts or guarantees. Recheck directionality, boundaries, source quality, and the business narrative behind each driver before decision use.</x:v>
      </x:c>
      <x:c r="I22" s="43" t="str">
        <x:v>Sensitivity outputs are analytical ranges, not forecasts or guarantees. Recheck directionality, boundaries, source quality, and the business narrative behind each driver before decision use.</x:v>
      </x:c>
      <x:c r="J22" s="44" t="str">
        <x:v>Sensitivity outputs are analytical ranges, not forecasts or guarantees. Recheck directionality, boundaries, source quality, and the business narrative behind each driver before decision use.</x:v>
      </x:c>
    </x:row>
    <x:row r="23">
      <x:c r="A23" s="45" t="str">
        <x:v>Sensitivity outputs are analytical ranges, not forecasts or guarantees. Recheck directionality, boundaries, source quality, and the business narrative behind each driver before decision use.</x:v>
      </x:c>
      <x:c r="B23" s="46" t="str">
        <x:v>Sensitivity outputs are analytical ranges, not forecasts or guarantees. Recheck directionality, boundaries, source quality, and the business narrative behind each driver before decision use.</x:v>
      </x:c>
      <x:c r="C23" s="46" t="str">
        <x:v>Sensitivity outputs are analytical ranges, not forecasts or guarantees. Recheck directionality, boundaries, source quality, and the business narrative behind each driver before decision use.</x:v>
      </x:c>
      <x:c r="D23" s="46" t="str">
        <x:v>Sensitivity outputs are analytical ranges, not forecasts or guarantees. Recheck directionality, boundaries, source quality, and the business narrative behind each driver before decision use.</x:v>
      </x:c>
      <x:c r="E23" s="46" t="str">
        <x:v>Sensitivity outputs are analytical ranges, not forecasts or guarantees. Recheck directionality, boundaries, source quality, and the business narrative behind each driver before decision use.</x:v>
      </x:c>
      <x:c r="F23" s="46" t="str">
        <x:v>Sensitivity outputs are analytical ranges, not forecasts or guarantees. Recheck directionality, boundaries, source quality, and the business narrative behind each driver before decision use.</x:v>
      </x:c>
      <x:c r="G23" s="46" t="str">
        <x:v>Sensitivity outputs are analytical ranges, not forecasts or guarantees. Recheck directionality, boundaries, source quality, and the business narrative behind each driver before decision use.</x:v>
      </x:c>
      <x:c r="H23" s="46" t="str">
        <x:v>Sensitivity outputs are analytical ranges, not forecasts or guarantees. Recheck directionality, boundaries, source quality, and the business narrative behind each driver before decision use.</x:v>
      </x:c>
      <x:c r="I23" s="46" t="str">
        <x:v>Sensitivity outputs are analytical ranges, not forecasts or guarantees. Recheck directionality, boundaries, source quality, and the business narrative behind each driver before decision use.</x:v>
      </x:c>
      <x:c r="J23" s="47" t="str">
        <x:v>Sensitivity outputs are analytical ranges, not forecasts or guarantees. Recheck directionality, boundaries, source quality, and the business narrative behind each driver before decision use.</x:v>
      </x:c>
    </x:row>
    <x:row r="24">
      <x:c r="A24" s="48" t="str">
        <x:v>Sensitivity outputs are analytical ranges, not forecasts or guarantees. Recheck directionality, boundaries, source quality, and the business narrative behind each driver before decision use.</x:v>
      </x:c>
      <x:c r="B24" s="49" t="str">
        <x:v>Sensitivity outputs are analytical ranges, not forecasts or guarantees. Recheck directionality, boundaries, source quality, and the business narrative behind each driver before decision use.</x:v>
      </x:c>
      <x:c r="C24" s="49" t="str">
        <x:v>Sensitivity outputs are analytical ranges, not forecasts or guarantees. Recheck directionality, boundaries, source quality, and the business narrative behind each driver before decision use.</x:v>
      </x:c>
      <x:c r="D24" s="49" t="str">
        <x:v>Sensitivity outputs are analytical ranges, not forecasts or guarantees. Recheck directionality, boundaries, source quality, and the business narrative behind each driver before decision use.</x:v>
      </x:c>
      <x:c r="E24" s="49" t="str">
        <x:v>Sensitivity outputs are analytical ranges, not forecasts or guarantees. Recheck directionality, boundaries, source quality, and the business narrative behind each driver before decision use.</x:v>
      </x:c>
      <x:c r="F24" s="49" t="str">
        <x:v>Sensitivity outputs are analytical ranges, not forecasts or guarantees. Recheck directionality, boundaries, source quality, and the business narrative behind each driver before decision use.</x:v>
      </x:c>
      <x:c r="G24" s="49" t="str">
        <x:v>Sensitivity outputs are analytical ranges, not forecasts or guarantees. Recheck directionality, boundaries, source quality, and the business narrative behind each driver before decision use.</x:v>
      </x:c>
      <x:c r="H24" s="49" t="str">
        <x:v>Sensitivity outputs are analytical ranges, not forecasts or guarantees. Recheck directionality, boundaries, source quality, and the business narrative behind each driver before decision use.</x:v>
      </x:c>
      <x:c r="I24" s="49" t="str">
        <x:v>Sensitivity outputs are analytical ranges, not forecasts or guarantees. Recheck directionality, boundaries, source quality, and the business narrative behind each driver before decision use.</x:v>
      </x:c>
      <x:c r="J24" s="50" t="str">
        <x:v>Sensitivity outputs are analytical ranges, not forecasts or guarantees. Recheck directionality, boundaries, source quality, and the business narrative behind each driver before decision use.</x:v>
      </x:c>
    </x:row>
    <x:row r="26">
      <x:c r="A26" s="53" t="str">
        <x:v>TDAT Model Library  |  Trust builds the brand. Insight builds the decision.</x:v>
      </x:c>
      <x:c r="B26" s="53" t="str">
        <x:v>TDAT Model Library  |  Trust builds the brand. Insight builds the decision.</x:v>
      </x:c>
      <x:c r="C26" s="53" t="str">
        <x:v>TDAT Model Library  |  Trust builds the brand. Insight builds the decision.</x:v>
      </x:c>
      <x:c r="D26" s="53" t="str">
        <x:v>TDAT Model Library  |  Trust builds the brand. Insight builds the decision.</x:v>
      </x:c>
      <x:c r="E26" s="53" t="str">
        <x:v>TDAT Model Library  |  Trust builds the brand. Insight builds the decision.</x:v>
      </x:c>
      <x:c r="F26" s="53" t="str">
        <x:v>TDAT Model Library  |  Trust builds the brand. Insight builds the decision.</x:v>
      </x:c>
      <x:c r="G26" s="53" t="str">
        <x:v>TDAT Model Library  |  Trust builds the brand. Insight builds the decision.</x:v>
      </x:c>
      <x:c r="H26" s="53" t="str">
        <x:v>TDAT Model Library  |  Trust builds the brand. Insight builds the decision.</x:v>
      </x:c>
      <x:c r="I26" s="53" t="str">
        <x:v>TDAT Model Library  |  Trust builds the brand. Insight builds the decision.</x:v>
      </x:c>
      <x:c r="J26" s="53" t="str">
        <x:v>TDAT Model Library  |  Trust builds the brand. Insight builds the decision.</x:v>
      </x:c>
    </x:row>
  </x:sheetData>
  <x:mergeCells>
    <x:mergeCell ref="A1:J1"/>
    <x:mergeCell ref="A2:J2"/>
    <x:mergeCell ref="A5:J5"/>
    <x:mergeCell ref="A16:J16"/>
    <x:mergeCell ref="A22:J24"/>
    <x:mergeCell ref="A26:J26"/>
  </x:mergeCells>
  <x:conditionalFormatting sqref="B8:F12">
    <x:cfRule type="colorScale" priority="1">
      <x:colorScale>
        <x:cfvo type="min"/>
        <x:cfvo type="percentile" val="50"/>
        <x:cfvo type="max"/>
        <x:color rgb="FFFCE8E6"/>
        <x:color rgb="FFFFF4DB"/>
        <x:color rgb="FFE5F6F3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EXECUTIVE SUMMARY</x:v>
      </x:c>
      <x:c r="B1" s="3" t="str">
        <x:v>EXECUTIVE SUMMARY</x:v>
      </x:c>
      <x:c r="C1" s="3" t="str">
        <x:v>EXECUTIVE SUMMARY</x:v>
      </x:c>
      <x:c r="D1" s="3" t="str">
        <x:v>EXECUTIVE SUMMARY</x:v>
      </x:c>
      <x:c r="E1" s="3" t="str">
        <x:v>EXECUTIVE SUMMARY</x:v>
      </x:c>
      <x:c r="F1" s="3" t="str">
        <x:v>EXECUTIVE SUMMARY</x:v>
      </x:c>
      <x:c r="G1" s="3" t="str">
        <x:v>EXECUTIVE SUMMARY</x:v>
      </x:c>
      <x:c r="H1" s="3" t="str">
        <x:v>EXECUTIVE SUMMARY</x:v>
      </x:c>
      <x:c r="I1" s="3" t="str">
        <x:v>EXECUTIVE SUMMARY</x:v>
      </x:c>
      <x:c r="J1" s="3" t="str">
        <x:v>EXECUTIVE SUMMARY</x:v>
      </x:c>
    </x:row>
    <x:row r="2" ht="24" customHeight="1">
      <x:c r="A2" s="6" t="str">
        <x:v>Retirement Scenario Planner  |  Decision outputs, trend, breakpoints, and action prompts</x:v>
      </x:c>
      <x:c r="B2" s="6" t="str">
        <x:v>Retirement Scenario Planner  |  Decision outputs, trend, breakpoints, and action prompts</x:v>
      </x:c>
      <x:c r="C2" s="6" t="str">
        <x:v>Retirement Scenario Planner  |  Decision outputs, trend, breakpoints, and action prompts</x:v>
      </x:c>
      <x:c r="D2" s="6" t="str">
        <x:v>Retirement Scenario Planner  |  Decision outputs, trend, breakpoints, and action prompts</x:v>
      </x:c>
      <x:c r="E2" s="6" t="str">
        <x:v>Retirement Scenario Planner  |  Decision outputs, trend, breakpoints, and action prompts</x:v>
      </x:c>
      <x:c r="F2" s="6" t="str">
        <x:v>Retirement Scenario Planner  |  Decision outputs, trend, breakpoints, and action prompts</x:v>
      </x:c>
      <x:c r="G2" s="6" t="str">
        <x:v>Retirement Scenario Planner  |  Decision outputs, trend, breakpoints, and action prompts</x:v>
      </x:c>
      <x:c r="H2" s="6" t="str">
        <x:v>Retirement Scenario Planner  |  Decision outputs, trend, breakpoints, and action prompts</x:v>
      </x:c>
      <x:c r="I2" s="6" t="str">
        <x:v>Retirement Scenario Planner  |  Decision outputs, trend, breakpoints, and action prompts</x:v>
      </x:c>
      <x:c r="J2" s="6" t="str">
        <x:v>Retirement Scenario Planner  |  Decision outputs, trend, breakpoints, and action prompts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149" t="str">
        <x:v>BALANCE AT RETIREMENT</x:v>
      </x:c>
      <x:c r="B5" s="149" t="str">
        <x:v>BALANCE AT RETIREMENT</x:v>
      </x:c>
      <x:c r="C5" s="149" t="str">
        <x:v>BALANCE AT RETIREMENT</x:v>
      </x:c>
      <x:c r="D5" s="149" t="str">
        <x:v>ENDING NOMINAL BALANCE</x:v>
      </x:c>
      <x:c r="E5" s="149" t="str">
        <x:v>ENDING NOMINAL BALANCE</x:v>
      </x:c>
      <x:c r="F5" s="149" t="str">
        <x:v>ENDING NOMINAL BALANCE</x:v>
      </x:c>
      <x:c r="G5" s="149" t="str">
        <x:v>ENDING REAL BALANCE</x:v>
      </x:c>
      <x:c r="H5" s="149" t="str">
        <x:v>ENDING REAL BALANCE</x:v>
      </x:c>
      <x:c r="I5" s="149" t="str">
        <x:v>ENDING REAL BALANCE</x:v>
      </x:c>
      <x:c r="J5" s="163" t="str">
        <x:v>MODEL STATUS</x:v>
      </x:c>
    </x:row>
    <x:row r="6">
      <x:c r="A6" s="153" t="n">
        <x:f>INDEX('Retirement Plan'!B10:AP10,1,MATCH(TEXT('Assumptions'!$F$9,"0"),'Retirement Plan'!B5:AP5,0))</x:f>
        <x:v>2607.212430105264</x:v>
      </x:c>
      <x:c r="B6" s="153"/>
      <x:c r="C6" s="153"/>
      <x:c r="D6" s="157" t="n">
        <x:f>'Retirement Plan'!AP$10</x:f>
        <x:v>4251.517926161746</x:v>
      </x:c>
      <x:c r="E6" s="157"/>
      <x:c r="F6" s="157"/>
      <x:c r="G6" s="153" t="n">
        <x:f>'Retirement Plan'!AP$11</x:f>
        <x:v>1544.7760711247056</x:v>
      </x:c>
      <x:c r="H6" s="153"/>
      <x:c r="I6" s="153"/>
      <x:c r="J6" s="167" t="str">
        <x:f>'Checks'!$B$5</x:f>
        <x:v>PASS</x:v>
      </x:c>
    </x:row>
    <x:row r="7">
      <x:c r="A7" s="153"/>
      <x:c r="B7" s="153"/>
      <x:c r="C7" s="153"/>
      <x:c r="D7" s="157"/>
      <x:c r="E7" s="157"/>
      <x:c r="F7" s="157"/>
      <x:c r="G7" s="153"/>
      <x:c r="H7" s="153"/>
      <x:c r="I7" s="153"/>
      <x:c r="J7" s="167"/>
    </x:row>
    <x:row r="9">
      <x:c r="A9" s="149" t="str">
        <x:v>TOTAL CONTRIBUTIONS</x:v>
      </x:c>
      <x:c r="B9" s="149" t="str">
        <x:v>TOTAL CONTRIBUTIONS</x:v>
      </x:c>
      <x:c r="C9" s="149" t="str">
        <x:v>TOTAL CONTRIBUTIONS</x:v>
      </x:c>
      <x:c r="D9" s="149" t="str">
        <x:v>TOTAL WITHDRAWALS</x:v>
      </x:c>
      <x:c r="E9" s="149" t="str">
        <x:v>TOTAL WITHDRAWALS</x:v>
      </x:c>
      <x:c r="F9" s="149" t="str">
        <x:v>TOTAL WITHDRAWALS</x:v>
      </x:c>
      <x:c r="G9" s="149" t="str">
        <x:v>RETIREMENT AGE</x:v>
      </x:c>
      <x:c r="H9" s="149" t="str">
        <x:v>RETIREMENT AGE</x:v>
      </x:c>
      <x:c r="I9" s="149" t="str">
        <x:v>RETIREMENT AGE</x:v>
      </x:c>
      <x:c r="J9" s="163" t="str">
        <x:v>SCENARIO</x:v>
      </x:c>
    </x:row>
    <x:row r="10">
      <x:c r="A10" s="153" t="n">
        <x:f>SUM('Retirement Plan'!B8:AP8)</x:f>
        <x:v>658.5405474490739</x:v>
      </x:c>
      <x:c r="B10" s="153"/>
      <x:c r="C10" s="153"/>
      <x:c r="D10" s="153" t="n">
        <x:f>SUM('Retirement Plan'!B9:AP9)</x:f>
        <x:v>524.3055851061279</x:v>
      </x:c>
      <x:c r="E10" s="153"/>
      <x:c r="F10" s="153"/>
      <x:c r="G10" s="161" t="n">
        <x:f>'Assumptions'!$F$9</x:f>
        <x:v>60</x:v>
      </x:c>
      <x:c r="H10" s="161"/>
      <x:c r="I10" s="161"/>
      <x:c r="J10" s="170" t="str">
        <x:f>'Assumptions'!$B$3</x:f>
        <x:v>Base</x:v>
      </x:c>
    </x:row>
    <x:row r="11">
      <x:c r="A11" s="153"/>
      <x:c r="B11" s="153"/>
      <x:c r="C11" s="153"/>
      <x:c r="D11" s="153"/>
      <x:c r="E11" s="153"/>
      <x:c r="F11" s="153"/>
      <x:c r="G11" s="161"/>
      <x:c r="H11" s="161"/>
      <x:c r="I11" s="161"/>
      <x:c r="J11" s="170"/>
    </x:row>
    <x:row r="14" ht="22" customHeight="1">
      <x:c r="A14" s="9" t="str">
        <x:v>TREND</x:v>
      </x:c>
      <x:c r="B14" s="9" t="str">
        <x:v>TREND</x:v>
      </x:c>
      <x:c r="C14" s="9" t="str">
        <x:v>TREND</x:v>
      </x:c>
      <x:c r="D14" s="9" t="str">
        <x:v>TREND</x:v>
      </x:c>
      <x:c r="E14" s="9" t="str">
        <x:v>TREND</x:v>
      </x:c>
    </x:row>
    <x:row r="15" ht="24" customHeight="1">
      <x:c r="A15" s="66" t="str">
        <x:v>Period</x:v>
      </x:c>
      <x:c r="B15" s="67" t="str">
        <x:v>Closing balance</x:v>
      </x:c>
      <x:c r="C15" s="68" t="str">
        <x:v>Balance in today's money</x:v>
      </x:c>
    </x:row>
    <x:row r="16">
      <x:c r="A16" t="str">
        <x:v>30</x:v>
      </x:c>
      <x:c r="B16" s="172" t="n">
        <x:f>'Retirement Plan'!B$10</x:f>
        <x:v>142.8</x:v>
      </x:c>
      <x:c r="C16" s="172" t="n">
        <x:f>'Retirement Plan'!B$11</x:f>
        <x:v>139.31707317073173</x:v>
      </x:c>
    </x:row>
    <x:row r="17">
      <x:c r="A17" t="str">
        <x:v>31</x:v>
      </x:c>
      <x:c r="B17" s="172" t="n">
        <x:f>'Retirement Plan'!C$10</x:f>
        <x:v>167.45700000000002</x:v>
      </x:c>
      <x:c r="C17" s="172" t="n">
        <x:f>'Retirement Plan'!C$11</x:f>
        <x:v>159.3879833432481</x:v>
      </x:c>
    </x:row>
    <x:row r="18">
      <x:c r="A18" t="str">
        <x:v>32</x:v>
      </x:c>
      <x:c r="B18" s="172" t="n">
        <x:f>'Retirement Plan'!D$10</x:f>
        <x:v>194.10108000000002</x:v>
      </x:c>
      <x:c r="C18" s="172" t="n">
        <x:f>'Retirement Plan'!D$11</x:f>
        <x:v>180.2421485468871</x:v>
      </x:c>
    </x:row>
    <x:row r="19">
      <x:c r="A19" t="str">
        <x:v>33</x:v>
      </x:c>
      <x:c r="B19" s="172" t="n">
        <x:f>'Retirement Plan'!E$10</x:f>
        <x:v>222.87100957500002</x:v>
      </x:c>
      <x:c r="C19" s="172" t="n">
        <x:f>'Retirement Plan'!E$11</x:f>
        <x:v>201.9101348316437</x:v>
      </x:c>
    </x:row>
    <x:row r="20">
      <x:c r="A20" t="str">
        <x:v>34</x:v>
      </x:c>
      <x:c r="B20" s="172" t="n">
        <x:f>'Retirement Plan'!F$10</x:f>
        <x:v>253.91481855675002</x:v>
      </x:c>
      <x:c r="C20" s="172" t="n">
        <x:f>'Retirement Plan'!F$11</x:f>
        <x:v>224.42370106897616</x:v>
      </x:c>
    </x:row>
    <x:row r="21">
      <x:c r="A21" t="str">
        <x:v>35</x:v>
      </x:c>
      <x:c r="B21" s="172" t="n">
        <x:f>'Retirement Plan'!G$10</x:f>
        <x:v>287.39040495629814</x:v>
      </x:c>
      <x:c r="C21" s="172" t="n">
        <x:f>'Retirement Plan'!G$11</x:f>
        <x:v>247.8158455009362</x:v>
      </x:c>
    </x:row>
    <x:row r="22">
      <x:c r="A22" t="str">
        <x:v>36</x:v>
      </x:c>
      <x:c r="B22" s="172" t="n">
        <x:f>'Retirement Plan'!H$10</x:f>
        <x:v>323.46618255165083</x:v>
      </x:c>
      <x:c r="C22" s="172" t="n">
        <x:f>'Retirement Plan'!H$11</x:f>
        <x:v>272.12085410585075</x:v>
      </x:c>
    </x:row>
    <x:row r="23">
      <x:c r="A23" t="str">
        <x:v>37</x:v>
      </x:c>
      <x:c r="B23" s="172" t="n">
        <x:f>'Retirement Plan'!I$10</x:f>
        <x:v>362.32177072253137</x:v>
      </x:c>
      <x:c r="C23" s="172" t="n">
        <x:f>'Retirement Plan'!I$11</x:f>
        <x:v>297.37435085144506</x:v>
      </x:c>
    </x:row>
    <x:row r="24">
      <x:c r="A24" t="str">
        <x:v>38</x:v>
      </x:c>
      <x:c r="B24" s="172" t="n">
        <x:f>'Retirement Plan'!J$10</x:f>
        <x:v>404.1487292821447</x:v>
      </x:c>
      <x:c r="C24" s="172" t="n">
        <x:f>'Retirement Plan'!J$11</x:f>
        <x:v>323.61334990906244</x:v>
      </x:c>
    </x:row>
    <x:row r="25">
      <x:c r="A25" t="str">
        <x:v>39</x:v>
      </x:c>
      <x:c r="B25" s="172" t="n">
        <x:f>'Retirement Plan'!K$10</x:f>
        <x:v>449.1513412346991</x:v>
      </x:c>
      <x:c r="C25" s="172" t="n">
        <x:f>'Retirement Plan'!K$11</x:f>
        <x:v>350.8763099055137</x:v>
      </x:c>
    </x:row>
    <x:row r="26">
      <x:c r="A26" t="str">
        <x:v>40</x:v>
      </x:c>
      <x:c r="B26" s="172" t="n">
        <x:f>'Retirement Plan'!L$10</x:f>
        <x:v>497.54744657789985</x:v>
      </x:c>
      <x:c r="C26" s="172" t="n">
        <x:f>'Retirement Plan'!L$11</x:f>
        <x:v>379.2031902920703</x:v>
      </x:c>
    </x:row>
    <x:row r="27">
      <x:c r="A27" t="str">
        <x:v>41</x:v>
      </x:c>
      <x:c r="B27" s="172" t="n">
        <x:f>'Retirement Plan'!M$10</x:f>
        <x:v>549.5693304724823</x:v>
      </x:c>
      <x:c r="C27" s="172" t="n">
        <x:f>'Retirement Plan'!M$11</x:f>
        <x:v>408.6355099132243</x:v>
      </x:c>
    </x:row>
    <x:row r="31" ht="22" customHeight="1">
      <x:c r="A31" s="9" t="str">
        <x:v>DECISION PROMPTS &amp; NEXT ACTIONS</x:v>
      </x:c>
      <x:c r="B31" s="9" t="str">
        <x:v>DECISION PROMPTS &amp; NEXT ACTIONS</x:v>
      </x:c>
      <x:c r="C31" s="9" t="str">
        <x:v>DECISION PROMPTS &amp; NEXT ACTIONS</x:v>
      </x:c>
      <x:c r="D31" s="9" t="str">
        <x:v>DECISION PROMPTS &amp; NEXT ACTIONS</x:v>
      </x:c>
      <x:c r="E31" s="9" t="str">
        <x:v>DECISION PROMPTS &amp; NEXT ACTIONS</x:v>
      </x:c>
      <x:c r="F31" s="9" t="str">
        <x:v>DECISION PROMPTS &amp; NEXT ACTIONS</x:v>
      </x:c>
      <x:c r="G31" s="9" t="str">
        <x:v>DECISION PROMPTS &amp; NEXT ACTIONS</x:v>
      </x:c>
      <x:c r="H31" s="9" t="str">
        <x:v>DECISION PROMPTS &amp; NEXT ACTIONS</x:v>
      </x:c>
      <x:c r="I31" s="9" t="str">
        <x:v>DECISION PROMPTS &amp; NEXT ACTIONS</x:v>
      </x:c>
      <x:c r="J31" s="9" t="str">
        <x:v>DECISION PROMPTS &amp; NEXT ACTIONS</x:v>
      </x:c>
    </x:row>
    <x:row r="32" ht="28" customHeight="1">
      <x:c r="A32" s="15" t="str">
        <x:v>Decision</x:v>
      </x:c>
      <x:c r="B32" s="17" t="str">
        <x:v>How do contributions, inflation, returns, timing, and drawdown assumptions affect retirement readiness?</x:v>
      </x:c>
      <x:c r="C32" s="17" t="str"/>
      <x:c r="D32" s="17" t="str"/>
      <x:c r="E32" s="17" t="str"/>
      <x:c r="F32" s="17" t="str"/>
      <x:c r="G32" s="17" t="str"/>
      <x:c r="H32" s="174" t="str">
        <x:v>Decision owner</x:v>
      </x:c>
      <x:c r="I32" s="174" t="str"/>
      <x:c r="J32" s="174" t="str"/>
    </x:row>
    <x:row r="33" ht="28" customHeight="1">
      <x:c r="A33" s="15" t="str">
        <x:v>Driver</x:v>
      </x:c>
      <x:c r="B33" s="17" t="str">
        <x:v>Which assumption moves the answer most, and who owns it?</x:v>
      </x:c>
      <x:c r="C33" s="17" t="str"/>
      <x:c r="D33" s="17" t="str"/>
      <x:c r="E33" s="17" t="str"/>
      <x:c r="F33" s="17" t="str"/>
      <x:c r="G33" s="17" t="str"/>
      <x:c r="H33" s="174" t="str">
        <x:v>Finance / business owner</x:v>
      </x:c>
      <x:c r="I33" s="174" t="str"/>
      <x:c r="J33" s="174" t="str"/>
    </x:row>
    <x:row r="34" ht="28" customHeight="1">
      <x:c r="A34" s="15" t="str">
        <x:v>Downside</x:v>
      </x:c>
      <x:c r="B34" s="17" t="str">
        <x:v>What breaks first under Downside, and what action is triggered?</x:v>
      </x:c>
      <x:c r="C34" s="17" t="str"/>
      <x:c r="D34" s="17" t="str"/>
      <x:c r="E34" s="17" t="str"/>
      <x:c r="F34" s="17" t="str"/>
      <x:c r="G34" s="17" t="str"/>
      <x:c r="H34" s="174" t="str">
        <x:v>Finance leader</x:v>
      </x:c>
      <x:c r="I34" s="174" t="str"/>
      <x:c r="J34" s="174" t="str"/>
    </x:row>
    <x:row r="35" ht="28" customHeight="1">
      <x:c r="A35" s="15" t="str">
        <x:v>Source</x:v>
      </x:c>
      <x:c r="B35" s="17" t="str">
        <x:v>Are every material source, date, unit, and definition approved?</x:v>
      </x:c>
      <x:c r="C35" s="17" t="str"/>
      <x:c r="D35" s="17" t="str"/>
      <x:c r="E35" s="17" t="str"/>
      <x:c r="F35" s="17" t="str"/>
      <x:c r="G35" s="17" t="str"/>
      <x:c r="H35" s="174" t="str">
        <x:v>Model owner</x:v>
      </x:c>
      <x:c r="I35" s="174" t="str"/>
      <x:c r="J35" s="174" t="str"/>
    </x:row>
    <x:row r="36" ht="28" customHeight="1">
      <x:c r="A36" s="15" t="str">
        <x:v>Control</x:v>
      </x:c>
      <x:c r="B36" s="17" t="str">
        <x:v>Do all published checks pass after the latest input change?</x:v>
      </x:c>
      <x:c r="C36" s="17" t="str"/>
      <x:c r="D36" s="17" t="str"/>
      <x:c r="E36" s="17" t="str"/>
      <x:c r="F36" s="17" t="str"/>
      <x:c r="G36" s="17" t="str"/>
      <x:c r="H36" s="174" t="str">
        <x:v>Reviewer</x:v>
      </x:c>
      <x:c r="I36" s="174" t="str"/>
      <x:c r="J36" s="174" t="str"/>
    </x:row>
    <x:row r="37" ht="28" customHeight="1">
      <x:c r="A37" s="15" t="str">
        <x:v>Action</x:v>
      </x:c>
      <x:c r="B37" s="17" t="str">
        <x:v>What is the next action, owner, timing, and expected protection or upside?</x:v>
      </x:c>
      <x:c r="C37" s="17" t="str"/>
      <x:c r="D37" s="17" t="str"/>
      <x:c r="E37" s="17" t="str"/>
      <x:c r="F37" s="17" t="str"/>
      <x:c r="G37" s="17" t="str"/>
      <x:c r="H37" s="174" t="str">
        <x:v>Action owner</x:v>
      </x:c>
      <x:c r="I37" s="174" t="str"/>
      <x:c r="J37" s="174" t="str"/>
    </x:row>
    <x:row r="39">
      <x:c r="A39" s="42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39" s="44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0">
      <x:c r="A40" s="45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40" s="47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1">
      <x:c r="A41" s="48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41" s="50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3">
      <x:c r="A43" s="53" t="str">
        <x:v>TDAT Model Library  |  Trust builds the brand. Insight builds the decision.</x:v>
      </x:c>
      <x:c r="B43" s="53" t="str">
        <x:v>TDAT Model Library  |  Trust builds the brand. Insight builds the decision.</x:v>
      </x:c>
      <x:c r="C43" s="53" t="str">
        <x:v>TDAT Model Library  |  Trust builds the brand. Insight builds the decision.</x:v>
      </x:c>
      <x:c r="D43" s="53" t="str">
        <x:v>TDAT Model Library  |  Trust builds the brand. Insight builds the decision.</x:v>
      </x:c>
      <x:c r="E43" s="53" t="str">
        <x:v>TDAT Model Library  |  Trust builds the brand. Insight builds the decision.</x:v>
      </x:c>
      <x:c r="F43" s="53" t="str">
        <x:v>TDAT Model Library  |  Trust builds the brand. Insight builds the decision.</x:v>
      </x:c>
      <x:c r="G43" s="53" t="str">
        <x:v>TDAT Model Library  |  Trust builds the brand. Insight builds the decision.</x:v>
      </x:c>
      <x:c r="H43" s="53" t="str">
        <x:v>TDAT Model Library  |  Trust builds the brand. Insight builds the decision.</x:v>
      </x:c>
      <x:c r="I43" s="53" t="str">
        <x:v>TDAT Model Library  |  Trust builds the brand. Insight builds the decision.</x:v>
      </x:c>
      <x:c r="J43" s="53" t="str">
        <x:v>TDAT Model Library  |  Trust builds the brand. Insight builds the decision.</x:v>
      </x:c>
    </x:row>
  </x:sheetData>
  <x:mergeCells>
    <x:mergeCell ref="A1:J1"/>
    <x:mergeCell ref="A2:J2"/>
    <x:mergeCell ref="A5:C5"/>
    <x:mergeCell ref="A6:C7"/>
    <x:mergeCell ref="D5:F5"/>
    <x:mergeCell ref="D6:F7"/>
    <x:mergeCell ref="G5:I5"/>
    <x:mergeCell ref="G6:I7"/>
    <x:mergeCell ref="A9:C9"/>
    <x:mergeCell ref="A10:C11"/>
    <x:mergeCell ref="D9:F9"/>
    <x:mergeCell ref="D10:F11"/>
    <x:mergeCell ref="G9:I9"/>
    <x:mergeCell ref="G10:I11"/>
    <x:mergeCell ref="J6:J7"/>
    <x:mergeCell ref="J10:J11"/>
    <x:mergeCell ref="A14:E14"/>
    <x:mergeCell ref="A31:J31"/>
    <x:mergeCell ref="B32:G32"/>
    <x:mergeCell ref="B33:G33"/>
    <x:mergeCell ref="B34:G34"/>
    <x:mergeCell ref="B35:G35"/>
    <x:mergeCell ref="B36:G36"/>
    <x:mergeCell ref="B37:G37"/>
    <x:mergeCell ref="H32:J32"/>
    <x:mergeCell ref="H33:J33"/>
    <x:mergeCell ref="H34:J34"/>
    <x:mergeCell ref="H35:J35"/>
    <x:mergeCell ref="H36:J36"/>
    <x:mergeCell ref="H37:J37"/>
    <x:mergeCell ref="A39:J41"/>
    <x:mergeCell ref="A43:J43"/>
  </x:mergeCells>
  <x:pageMargins left="0.7" right="0.7" top="0.75" bottom="0.75" header="0.3" footer="0.3"/>
  <x:drawing xmlns:r="http://schemas.openxmlformats.org/officeDocument/2006/relationships" r:id="Rb042d0a0a8e04b67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30" hidden="0" customWidth="1"/>
    <x:col min="9" max="9" width="42" hidden="0" customWidth="1"/>
  </x:cols>
  <x:sheetData>
    <x:row r="1" ht="34" customHeight="1">
      <x:c r="A1" s="3" t="str">
        <x:v>MODEL CHECKS</x:v>
      </x:c>
      <x:c r="B1" s="3" t="str">
        <x:v>MODEL CHECKS</x:v>
      </x:c>
      <x:c r="C1" s="3" t="str">
        <x:v>MODEL CHECKS</x:v>
      </x:c>
      <x:c r="D1" s="3" t="str">
        <x:v>MODEL CHECKS</x:v>
      </x:c>
      <x:c r="E1" s="3" t="str">
        <x:v>MODEL CHECKS</x:v>
      </x:c>
      <x:c r="F1" s="3" t="str">
        <x:v>MODEL CHECKS</x:v>
      </x:c>
      <x:c r="G1" s="3" t="str">
        <x:v>MODEL CHECKS</x:v>
      </x:c>
      <x:c r="H1" s="3" t="str">
        <x:v>MODEL CHECKS</x:v>
      </x:c>
      <x:c r="I1" s="3" t="str">
        <x:v>MODEL CHECKS</x:v>
      </x:c>
    </x:row>
    <x:row r="2" ht="24" customHeight="1">
      <x:c r="A2" s="6" t="str">
        <x:v>Retirement Scenario Planner  |  One assertion per row — investigate every FAIL</x:v>
      </x:c>
      <x:c r="B2" s="6" t="str">
        <x:v>Retirement Scenario Planner  |  One assertion per row — investigate every FAIL</x:v>
      </x:c>
      <x:c r="C2" s="6" t="str">
        <x:v>Retirement Scenario Planner  |  One assertion per row — investigate every FAIL</x:v>
      </x:c>
      <x:c r="D2" s="6" t="str">
        <x:v>Retirement Scenario Planner  |  One assertion per row — investigate every FAIL</x:v>
      </x:c>
      <x:c r="E2" s="6" t="str">
        <x:v>Retirement Scenario Planner  |  One assertion per row — investigate every FAIL</x:v>
      </x:c>
      <x:c r="F2" s="6" t="str">
        <x:v>Retirement Scenario Planner  |  One assertion per row — investigate every FAIL</x:v>
      </x:c>
      <x:c r="G2" s="6" t="str">
        <x:v>Retirement Scenario Planner  |  One assertion per row — investigate every FAIL</x:v>
      </x:c>
      <x:c r="H2" s="6" t="str">
        <x:v>Retirement Scenario Planner  |  One assertion per row — investigate every FAIL</x:v>
      </x:c>
      <x:c r="I2" s="6" t="str">
        <x:v>Retirement Scenario Planner  |  One assertion per row — investigate every FAIL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</x:row>
    <x:row r="5">
      <x:c r="A5" s="54" t="str">
        <x:v>MODEL STATUS</x:v>
      </x:c>
      <x:c r="B5" s="176" t="str">
        <x:f>IF(COUNTIF(G8:G18,"FAIL")=0,"PASS","FAIL")</x:f>
        <x:v>PASS</x:v>
      </x:c>
      <x:c r="C5" s="176"/>
      <x:c r="D5" s="178" t="str">
        <x:v>Published controls: 11. PASS means the listed calculations tie within tolerance; source and decision readiness remain separate.</x:v>
      </x:c>
      <x:c r="E5" s="178" t="str">
        <x:v>Published controls: 11. PASS means the listed calculations tie within tolerance; source and decision readiness remain separate.</x:v>
      </x:c>
      <x:c r="F5" s="178" t="str">
        <x:v>Published controls: 11. PASS means the listed calculations tie within tolerance; source and decision readiness remain separate.</x:v>
      </x:c>
      <x:c r="G5" s="178" t="str">
        <x:v>Published controls: 11. PASS means the listed calculations tie within tolerance; source and decision readiness remain separate.</x:v>
      </x:c>
      <x:c r="H5" s="178" t="str">
        <x:v>Published controls: 11. PASS means the listed calculations tie within tolerance; source and decision readiness remain separate.</x:v>
      </x:c>
      <x:c r="I5" s="178" t="str">
        <x:v>Published controls: 11. PASS means the listed calculations tie within tolerance; source and decision readiness remain separate.</x:v>
      </x:c>
    </x:row>
    <x:row r="7" ht="24" customHeight="1">
      <x:c r="A7" s="66" t="str">
        <x:v>Check</x:v>
      </x:c>
      <x:c r="B7" s="67" t="str">
        <x:v>Period</x:v>
      </x:c>
      <x:c r="C7" s="67" t="str">
        <x:v>Actual</x:v>
      </x:c>
      <x:c r="D7" s="67" t="str">
        <x:v>Expected</x:v>
      </x:c>
      <x:c r="E7" s="67" t="str">
        <x:v>Difference</x:v>
      </x:c>
      <x:c r="F7" s="67" t="str">
        <x:v>Tolerance</x:v>
      </x:c>
      <x:c r="G7" s="67" t="str">
        <x:v>Status</x:v>
      </x:c>
      <x:c r="H7" s="67" t="str">
        <x:v>Where to fix</x:v>
      </x:c>
      <x:c r="I7" s="68" t="str">
        <x:v>Notes</x:v>
      </x:c>
    </x:row>
    <x:row r="8">
      <x:c r="A8" s="185" t="str">
        <x:v>Balance roll-forward ties</x:v>
      </x:c>
      <x:c r="B8" s="185" t="str">
        <x:v>Model</x:v>
      </x:c>
      <x:c r="C8" s="186" t="n">
        <x:f>SUM('Retirement Plan'!B14:AP14)</x:f>
        <x:v>0</x:v>
      </x:c>
      <x:c r="D8" s="186" t="n">
        <x:v>0</x:v>
      </x:c>
      <x:c r="E8" s="186" t="n">
        <x:f>C8-D8</x:f>
        <x:v>0</x:v>
      </x:c>
      <x:c r="F8" s="186" t="n">
        <x:v>0.01</x:v>
      </x:c>
      <x:c r="G8" s="187" t="str">
        <x:f>IF(ABS(E8)&lt;=F8,"PASS","FAIL")</x:f>
        <x:v>PASS</x:v>
      </x:c>
      <x:c r="H8" s="188" t="str">
        <x:v>Retirement Plan — balance</x:v>
      </x:c>
      <x:c r="I8" s="188" t="str">
        <x:v>Opening balance plus return and contribution less withdrawal equals closing balance.</x:v>
      </x:c>
    </x:row>
    <x:row r="9">
      <x:c r="A9" s="189" t="str">
        <x:v>Retirement age falls within modeled horizon</x:v>
      </x:c>
      <x:c r="B9" s="189" t="str">
        <x:v>Model</x:v>
      </x:c>
      <x:c r="C9" s="190" t="n">
        <x:f>MAX(0,30-'Assumptions'!$F$9)+MAX(0,'Assumptions'!$F$9-70)</x:f>
        <x:v>0</x:v>
      </x:c>
      <x:c r="D9" s="190" t="n">
        <x:v>0</x:v>
      </x:c>
      <x:c r="E9" s="190" t="n">
        <x:f>C9-D9</x:f>
        <x:v>0</x:v>
      </x:c>
      <x:c r="F9" s="190" t="n">
        <x:v>0</x:v>
      </x:c>
      <x:c r="G9" s="191" t="str">
        <x:f>IF(ABS(E9)&lt;=F9,"PASS","FAIL")</x:f>
        <x:v>PASS</x:v>
      </x:c>
      <x:c r="H9" s="192" t="str">
        <x:v>Assumptions — retirement age</x:v>
      </x:c>
      <x:c r="I9" s="192" t="str">
        <x:v>Retirement age must sit inside the age 30–70 modeled horizon.</x:v>
      </x:c>
    </x:row>
    <x:row r="10">
      <x:c r="A10" s="189" t="str">
        <x:v>Contributions stop after retirement</x:v>
      </x:c>
      <x:c r="B10" s="189" t="str">
        <x:v>Model</x:v>
      </x:c>
      <x:c r="C10" s="193" t="n">
        <x:f>SUMIF('Retirement Plan'!B5:AP5,"&gt;="&amp;TEXT('Assumptions'!$F$9,"0"),'Retirement Plan'!B8:AP8)</x:f>
        <x:v>0</x:v>
      </x:c>
      <x:c r="D10" s="193" t="n">
        <x:v>0</x:v>
      </x:c>
      <x:c r="E10" s="193" t="n">
        <x:f>C10-D10</x:f>
        <x:v>0</x:v>
      </x:c>
      <x:c r="F10" s="193" t="n">
        <x:v>0.01</x:v>
      </x:c>
      <x:c r="G10" s="191" t="str">
        <x:f>IF(ABS(E10)&lt;=F10,"PASS","FAIL")</x:f>
        <x:v>PASS</x:v>
      </x:c>
      <x:c r="H10" s="192" t="str">
        <x:v>Retirement Plan — contributions</x:v>
      </x:c>
      <x:c r="I10" s="192" t="str">
        <x:v>The template stops contributions at the selected retirement age.</x:v>
      </x:c>
    </x:row>
    <x:row r="11">
      <x:c r="A11" s="189" t="str">
        <x:v>Withdrawals do not start before retirement</x:v>
      </x:c>
      <x:c r="B11" s="189" t="str">
        <x:v>Model</x:v>
      </x:c>
      <x:c r="C11" s="193" t="n">
        <x:f>SUMIF('Retirement Plan'!B5:AP5,"&lt;"&amp;TEXT('Assumptions'!$F$9,"0"),'Retirement Plan'!B9:AP9)</x:f>
        <x:v>0</x:v>
      </x:c>
      <x:c r="D11" s="193" t="n">
        <x:v>0</x:v>
      </x:c>
      <x:c r="E11" s="193" t="n">
        <x:f>C11-D11</x:f>
        <x:v>0</x:v>
      </x:c>
      <x:c r="F11" s="193" t="n">
        <x:v>0.01</x:v>
      </x:c>
      <x:c r="G11" s="191" t="str">
        <x:f>IF(ABS(E11)&lt;=F11,"PASS","FAIL")</x:f>
        <x:v>PASS</x:v>
      </x:c>
      <x:c r="H11" s="192" t="str">
        <x:v>Retirement Plan — withdrawals</x:v>
      </x:c>
      <x:c r="I11" s="192" t="str">
        <x:v>The template begins withdrawals at the selected retirement age.</x:v>
      </x:c>
    </x:row>
    <x:row r="12">
      <x:c r="A12" s="189" t="str">
        <x:v>Scenario selector is valid</x:v>
      </x:c>
      <x:c r="B12" s="189" t="str">
        <x:v>Current</x:v>
      </x:c>
      <x:c r="C12" s="190" t="n">
        <x:f>COUNTIF('Assumptions'!$C$5:$E$5,'Assumptions'!$B$3)</x:f>
        <x:v>1</x:v>
      </x:c>
      <x:c r="D12" s="190" t="n">
        <x:v>1</x:v>
      </x:c>
      <x:c r="E12" s="190" t="n">
        <x:f>C12-D12</x:f>
        <x:v>0</x:v>
      </x:c>
      <x:c r="F12" s="190" t="n">
        <x:v>0</x:v>
      </x:c>
      <x:c r="G12" s="191" t="str">
        <x:f>IF(ABS(E12)&lt;=F12,"PASS","FAIL")</x:f>
        <x:v>PASS</x:v>
      </x:c>
      <x:c r="H12" s="192" t="str">
        <x:v>Assumptions B3</x:v>
      </x:c>
      <x:c r="I12" s="192" t="str">
        <x:v>Base, Upside, or Downside only.</x:v>
      </x:c>
    </x:row>
    <x:row r="13">
      <x:c r="A13" s="189" t="str">
        <x:v>Period headers are complete</x:v>
      </x:c>
      <x:c r="B13" s="189" t="str">
        <x:v>All periods</x:v>
      </x:c>
      <x:c r="C13" s="190" t="n">
        <x:f>COUNTA('Annual Inputs'!B5:AP5)</x:f>
        <x:v>41</x:v>
      </x:c>
      <x:c r="D13" s="190" t="n">
        <x:v>41</x:v>
      </x:c>
      <x:c r="E13" s="190" t="n">
        <x:f>C13-D13</x:f>
        <x:v>0</x:v>
      </x:c>
      <x:c r="F13" s="190" t="n">
        <x:v>0</x:v>
      </x:c>
      <x:c r="G13" s="191" t="str">
        <x:f>IF(ABS(E13)&lt;=F13,"PASS","FAIL")</x:f>
        <x:v>PASS</x:v>
      </x:c>
      <x:c r="H13" s="192" t="str">
        <x:v>Annual Inputs row 5</x:v>
      </x:c>
      <x:c r="I13" s="192" t="str">
        <x:v>All modeled periods must have a visible header.</x:v>
      </x:c>
    </x:row>
    <x:row r="14">
      <x:c r="A14" s="189" t="str">
        <x:v>Source input grid is complete</x:v>
      </x:c>
      <x:c r="B14" s="189" t="str">
        <x:v>All periods</x:v>
      </x:c>
      <x:c r="C14" s="190" t="n">
        <x:f>COUNTA('Annual Inputs'!B6:AP7)</x:f>
        <x:v>82</x:v>
      </x:c>
      <x:c r="D14" s="190" t="n">
        <x:v>82</x:v>
      </x:c>
      <x:c r="E14" s="190" t="n">
        <x:f>C14-D14</x:f>
        <x:v>0</x:v>
      </x:c>
      <x:c r="F14" s="190" t="n">
        <x:v>0</x:v>
      </x:c>
      <x:c r="G14" s="191" t="str">
        <x:f>IF(ABS(E14)&lt;=F14,"PASS","FAIL")</x:f>
        <x:v>PASS</x:v>
      </x:c>
      <x:c r="H14" s="192" t="str">
        <x:v>Annual Inputs</x:v>
      </x:c>
      <x:c r="I14" s="192" t="str">
        <x:v>Replace blanks with an approved value or an explicitly documented zero.</x:v>
      </x:c>
    </x:row>
    <x:row r="15">
      <x:c r="A15" s="189" t="str">
        <x:v>Selected assumptions are complete</x:v>
      </x:c>
      <x:c r="B15" s="189" t="str">
        <x:v>Current</x:v>
      </x:c>
      <x:c r="C15" s="190" t="n">
        <x:f>COUNT('Assumptions'!F6:F10)</x:f>
        <x:v>5</x:v>
      </x:c>
      <x:c r="D15" s="190" t="n">
        <x:v>5</x:v>
      </x:c>
      <x:c r="E15" s="190" t="n">
        <x:f>C15-D15</x:f>
        <x:v>0</x:v>
      </x:c>
      <x:c r="F15" s="190" t="n">
        <x:v>0</x:v>
      </x:c>
      <x:c r="G15" s="191" t="str">
        <x:f>IF(ABS(E15)&lt;=F15,"PASS","FAIL")</x:f>
        <x:v>PASS</x:v>
      </x:c>
      <x:c r="H15" s="192" t="str">
        <x:v>Assumptions column F</x:v>
      </x:c>
      <x:c r="I15" s="192" t="str">
        <x:v>Every scenario driver must resolve to a numeric selected value.</x:v>
      </x:c>
    </x:row>
    <x:row r="16">
      <x:c r="A16" s="189" t="str">
        <x:v>Core model cells calculate to numbers</x:v>
      </x:c>
      <x:c r="B16" s="189" t="str">
        <x:v>All periods</x:v>
      </x:c>
      <x:c r="C16" s="190" t="n">
        <x:f>COUNT('Retirement Plan'!B6:AP14)</x:f>
        <x:v>369</x:v>
      </x:c>
      <x:c r="D16" s="190" t="n">
        <x:v>369</x:v>
      </x:c>
      <x:c r="E16" s="190" t="n">
        <x:f>C16-D16</x:f>
        <x:v>0</x:v>
      </x:c>
      <x:c r="F16" s="190" t="n">
        <x:v>0</x:v>
      </x:c>
      <x:c r="G16" s="191" t="str">
        <x:f>IF(ABS(E16)&lt;=F16,"PASS","FAIL")</x:f>
        <x:v>PASS</x:v>
      </x:c>
      <x:c r="H16" s="192" t="str">
        <x:v>Retirement Plan</x:v>
      </x:c>
      <x:c r="I16" s="192" t="str">
        <x:v>No blank or text output is permitted inside the calculation block.</x:v>
      </x:c>
    </x:row>
    <x:row r="17">
      <x:c r="A17" s="189" t="str">
        <x:v>Sensitivity base ties the headline output</x:v>
      </x:c>
      <x:c r="B17" s="189" t="str">
        <x:v>Base center</x:v>
      </x:c>
      <x:c r="C17" s="193" t="n">
        <x:f>IF('Assumptions'!$B$3="Base",'Sensitivity'!D10,'Retirement Plan'!AP$10)</x:f>
        <x:v>4251.51792616174</x:v>
      </x:c>
      <x:c r="D17" s="193" t="n">
        <x:f>'Retirement Plan'!AP$10</x:f>
        <x:v>4251.517926161746</x:v>
      </x:c>
      <x:c r="E17" s="193" t="n">
        <x:f>C17-D17</x:f>
        <x:v>-5.4569682106375694e-12</x:v>
      </x:c>
      <x:c r="F17" s="193" t="n">
        <x:v>0.5</x:v>
      </x:c>
      <x:c r="G17" s="191" t="str">
        <x:f>IF(ABS(E17)&lt;=F17,"PASS","FAIL")</x:f>
        <x:v>PASS</x:v>
      </x:c>
      <x:c r="H17" s="192" t="str">
        <x:v>Sensitivity / core model</x:v>
      </x:c>
      <x:c r="I17" s="192" t="str">
        <x:v>The center cell must recalculate the Base-case headline output; the assertion is N/A under Upside or Downside.</x:v>
      </x:c>
    </x:row>
    <x:row r="18">
      <x:c r="A18" s="194" t="str">
        <x:v>Headline output is non-negative</x:v>
      </x:c>
      <x:c r="B18" s="194" t="str">
        <x:v>All periods</x:v>
      </x:c>
      <x:c r="C18" s="195" t="n">
        <x:f>MAX(0,-MIN('Retirement Plan'!B10:AP10))</x:f>
        <x:v>0</x:v>
      </x:c>
      <x:c r="D18" s="195" t="n">
        <x:v>0</x:v>
      </x:c>
      <x:c r="E18" s="195" t="n">
        <x:f>C18-D18</x:f>
        <x:v>0</x:v>
      </x:c>
      <x:c r="F18" s="195" t="n">
        <x:v>0.01</x:v>
      </x:c>
      <x:c r="G18" s="196" t="str">
        <x:f>IF(ABS(E18)&lt;=F18,"PASS","FAIL")</x:f>
        <x:v>PASS</x:v>
      </x:c>
      <x:c r="H18" s="197" t="str">
        <x:v>Retirement Plan — closingBalance</x:v>
      </x:c>
      <x:c r="I18" s="197" t="str">
        <x:v>Negative outputs require an explicit method and decision interpretation.</x:v>
      </x:c>
    </x:row>
    <x:row r="20">
      <x:c r="A20" s="42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20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20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20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20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20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20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20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20" s="44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21">
      <x:c r="A21" s="45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21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21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21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21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21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21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21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21" s="47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22">
      <x:c r="A22" s="48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22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22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22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22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22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22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22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22" s="50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24">
      <x:c r="A24" s="53" t="str">
        <x:v>TDAT Model Library  |  Trust builds the brand. Insight builds the decision.</x:v>
      </x:c>
      <x:c r="B24" s="53" t="str">
        <x:v>TDAT Model Library  |  Trust builds the brand. Insight builds the decision.</x:v>
      </x:c>
      <x:c r="C24" s="53" t="str">
        <x:v>TDAT Model Library  |  Trust builds the brand. Insight builds the decision.</x:v>
      </x:c>
      <x:c r="D24" s="53" t="str">
        <x:v>TDAT Model Library  |  Trust builds the brand. Insight builds the decision.</x:v>
      </x:c>
      <x:c r="E24" s="53" t="str">
        <x:v>TDAT Model Library  |  Trust builds the brand. Insight builds the decision.</x:v>
      </x:c>
      <x:c r="F24" s="53" t="str">
        <x:v>TDAT Model Library  |  Trust builds the brand. Insight builds the decision.</x:v>
      </x:c>
      <x:c r="G24" s="53" t="str">
        <x:v>TDAT Model Library  |  Trust builds the brand. Insight builds the decision.</x:v>
      </x:c>
      <x:c r="H24" s="53" t="str">
        <x:v>TDAT Model Library  |  Trust builds the brand. Insight builds the decision.</x:v>
      </x:c>
      <x:c r="I24" s="53" t="str">
        <x:v>TDAT Model Library  |  Trust builds the brand. Insight builds the decision.</x:v>
      </x:c>
    </x:row>
  </x:sheetData>
  <x:mergeCells>
    <x:mergeCell ref="A1:I1"/>
    <x:mergeCell ref="A2:I2"/>
    <x:mergeCell ref="B5:C5"/>
    <x:mergeCell ref="D5:I5"/>
    <x:mergeCell ref="A20:I22"/>
    <x:mergeCell ref="A24:I24"/>
  </x:mergeCells>
  <x:conditionalFormatting sqref="G8:G18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16" hidden="0" customWidth="1"/>
    <x:col min="4" max="4" width="16" hidden="0" customWidth="1"/>
    <x:col min="5" max="5" width="22" hidden="0" customWidth="1"/>
    <x:col min="6" max="6" width="28" hidden="0" customWidth="1"/>
    <x:col min="7" max="7" width="18" hidden="0" customWidth="1"/>
    <x:col min="8" max="8" width="18" hidden="0" customWidth="1"/>
    <x:col min="9" max="9" width="16" hidden="0" customWidth="1"/>
    <x:col min="10" max="10" width="30" hidden="0" customWidth="1"/>
  </x:cols>
  <x:sheetData>
    <x:row r="1" ht="34" customHeight="1">
      <x:c r="A1" s="3" t="str">
        <x:v>SOURCES &amp; VERSION</x:v>
      </x:c>
      <x:c r="B1" s="3" t="str">
        <x:v>SOURCES &amp; VERSION</x:v>
      </x:c>
      <x:c r="C1" s="3" t="str">
        <x:v>SOURCES &amp; VERSION</x:v>
      </x:c>
      <x:c r="D1" s="3" t="str">
        <x:v>SOURCES &amp; VERSION</x:v>
      </x:c>
      <x:c r="E1" s="3" t="str">
        <x:v>SOURCES &amp; VERSION</x:v>
      </x:c>
      <x:c r="F1" s="3" t="str">
        <x:v>SOURCES &amp; VERSION</x:v>
      </x:c>
      <x:c r="G1" s="3" t="str">
        <x:v>SOURCES &amp; VERSION</x:v>
      </x:c>
      <x:c r="H1" s="3" t="str">
        <x:v>SOURCES &amp; VERSION</x:v>
      </x:c>
      <x:c r="I1" s="3" t="str">
        <x:v>SOURCES &amp; VERSION</x:v>
      </x:c>
      <x:c r="J1" s="3" t="str">
        <x:v>SOURCES &amp; VERSION</x:v>
      </x:c>
    </x:row>
    <x:row r="2" ht="24" customHeight="1">
      <x:c r="A2" s="6" t="str">
        <x:v>Retirement Scenario Planner  |  Assumption register, release facts, and distribution controls</x:v>
      </x:c>
      <x:c r="B2" s="6" t="str">
        <x:v>Retirement Scenario Planner  |  Assumption register, release facts, and distribution controls</x:v>
      </x:c>
      <x:c r="C2" s="6" t="str">
        <x:v>Retirement Scenario Planner  |  Assumption register, release facts, and distribution controls</x:v>
      </x:c>
      <x:c r="D2" s="6" t="str">
        <x:v>Retirement Scenario Planner  |  Assumption register, release facts, and distribution controls</x:v>
      </x:c>
      <x:c r="E2" s="6" t="str">
        <x:v>Retirement Scenario Planner  |  Assumption register, release facts, and distribution controls</x:v>
      </x:c>
      <x:c r="F2" s="6" t="str">
        <x:v>Retirement Scenario Planner  |  Assumption register, release facts, and distribution controls</x:v>
      </x:c>
      <x:c r="G2" s="6" t="str">
        <x:v>Retirement Scenario Planner  |  Assumption register, release facts, and distribution controls</x:v>
      </x:c>
      <x:c r="H2" s="6" t="str">
        <x:v>Retirement Scenario Planner  |  Assumption register, release facts, and distribution controls</x:v>
      </x:c>
      <x:c r="I2" s="6" t="str">
        <x:v>Retirement Scenario Planner  |  Assumption register, release facts, and distribution controls</x:v>
      </x:c>
      <x:c r="J2" s="6" t="str">
        <x:v>Retirement Scenario Planner  |  Assumption register, release facts, and distribution controls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22" customHeight="1">
      <x:c r="A5" s="9" t="str">
        <x:v>SOURCE / ASSUMPTION REGISTER</x:v>
      </x:c>
      <x:c r="B5" s="9" t="str">
        <x:v>SOURCE / ASSUMPTION REGISTER</x:v>
      </x:c>
      <x:c r="C5" s="9" t="str">
        <x:v>SOURCE / ASSUMPTION REGISTER</x:v>
      </x:c>
      <x:c r="D5" s="9" t="str">
        <x:v>SOURCE / ASSUMPTION REGISTER</x:v>
      </x:c>
      <x:c r="E5" s="9" t="str">
        <x:v>SOURCE / ASSUMPTION REGISTER</x:v>
      </x:c>
      <x:c r="F5" s="9" t="str">
        <x:v>SOURCE / ASSUMPTION REGISTER</x:v>
      </x:c>
      <x:c r="G5" s="9" t="str">
        <x:v>SOURCE / ASSUMPTION REGISTER</x:v>
      </x:c>
      <x:c r="H5" s="9" t="str">
        <x:v>SOURCE / ASSUMPTION REGISTER</x:v>
      </x:c>
      <x:c r="I5" s="9" t="str">
        <x:v>SOURCE / ASSUMPTION REGISTER</x:v>
      </x:c>
    </x:row>
    <x:row r="6" ht="24" customHeight="1">
      <x:c r="A6" s="66" t="str">
        <x:v>Item</x:v>
      </x:c>
      <x:c r="B6" s="67" t="str">
        <x:v>Value / definition</x:v>
      </x:c>
      <x:c r="C6" s="67" t="str">
        <x:v>Units</x:v>
      </x:c>
      <x:c r="D6" s="67" t="str">
        <x:v>Period / as-of</x:v>
      </x:c>
      <x:c r="E6" s="67" t="str">
        <x:v>Source type</x:v>
      </x:c>
      <x:c r="F6" s="67" t="str">
        <x:v>Source / owner</x:v>
      </x:c>
      <x:c r="G6" s="67" t="str">
        <x:v>Ref</x:v>
      </x:c>
      <x:c r="H6" s="67" t="str">
        <x:v>Confidence</x:v>
      </x:c>
      <x:c r="I6" s="68" t="str">
        <x:v>Notes</x:v>
      </x:c>
    </x:row>
    <x:row r="7">
      <x:c r="A7" s="139" t="str">
        <x:v>Worked example</x:v>
      </x:c>
      <x:c r="B7" s="140" t="str">
        <x:v>Synthetic case values</x:v>
      </x:c>
      <x:c r="C7" s="140" t="str">
        <x:v>LCY</x:v>
      </x:c>
      <x:c r="D7" s="140" t="str">
        <x:v>2026-07-13</x:v>
      </x:c>
      <x:c r="E7" s="140" t="str">
        <x:v>Illustrative</x:v>
      </x:c>
      <x:c r="F7" s="140" t="str">
        <x:v>TDAT model build</x:v>
      </x:c>
      <x:c r="G7" s="140" t="str">
        <x:v>SYN-001</x:v>
      </x:c>
      <x:c r="H7" s="140" t="str">
        <x:v>Illustrative</x:v>
      </x:c>
      <x:c r="I7" s="141" t="str">
        <x:v>Replace before use.</x:v>
      </x:c>
    </x:row>
    <x:row r="8">
      <x:c r="A8" s="142" t="str">
        <x:v>Scenario drivers</x:v>
      </x:c>
      <x:c r="B8" s="143" t="str">
        <x:v>Base / Upside / Downside</x:v>
      </x:c>
      <x:c r="C8" s="143" t="str">
        <x:v>Mixed</x:v>
      </x:c>
      <x:c r="D8" s="143" t="str">
        <x:v>Model horizon</x:v>
      </x:c>
      <x:c r="E8" s="143" t="str">
        <x:v>Assumption</x:v>
      </x:c>
      <x:c r="F8" s="143" t="str">
        <x:v>User / finance owner</x:v>
      </x:c>
      <x:c r="G8" s="143" t="str">
        <x:v>ASM-001</x:v>
      </x:c>
      <x:c r="H8" s="143" t="str">
        <x:v>Open</x:v>
      </x:c>
      <x:c r="I8" s="144" t="str">
        <x:v>Confirm rationale and owner.</x:v>
      </x:c>
    </x:row>
    <x:row r="9">
      <x:c r="A9" s="145" t="str">
        <x:v>Method</x:v>
      </x:c>
      <x:c r="B9" s="146" t="str">
        <x:v>Retirement Plan</x:v>
      </x:c>
      <x:c r="C9" s="146" t="str">
        <x:v>Method</x:v>
      </x:c>
      <x:c r="D9" s="146" t="str">
        <x:v>Version 1.0.0</x:v>
      </x:c>
      <x:c r="E9" s="146" t="str">
        <x:v>Model method</x:v>
      </x:c>
      <x:c r="F9" s="146" t="str">
        <x:v>Model Guide</x:v>
      </x:c>
      <x:c r="G9" s="146" t="str">
        <x:v>MTH-001</x:v>
      </x:c>
      <x:c r="H9" s="146" t="str">
        <x:v>Template</x:v>
      </x:c>
      <x:c r="I9" s="147" t="str">
        <x:v>Validate for the intended use and jurisdiction.</x:v>
      </x:c>
    </x:row>
    <x:row r="11" ht="22" customHeight="1">
      <x:c r="A11" s="9" t="str">
        <x:v>RELEASE FACTS</x:v>
      </x:c>
      <x:c r="B11" s="9" t="str">
        <x:v>RELEASE FACTS</x:v>
      </x:c>
      <x:c r="C11" s="9" t="str">
        <x:v>RELEASE FACTS</x:v>
      </x:c>
      <x:c r="D11" s="9" t="str">
        <x:v>RELEASE FACTS</x:v>
      </x:c>
      <x:c r="E11" s="9" t="str">
        <x:v>RELEASE FACTS</x:v>
      </x:c>
      <x:c r="F11" s="9" t="str">
        <x:v>RELEASE FACTS</x:v>
      </x:c>
      <x:c r="G11" s="9" t="str">
        <x:v>RELEASE FACTS</x:v>
      </x:c>
      <x:c r="H11" s="9" t="str">
        <x:v>RELEASE FACTS</x:v>
      </x:c>
      <x:c r="I11" s="9" t="str">
        <x:v>RELEASE FACTS</x:v>
      </x:c>
    </x:row>
    <x:row r="12">
      <x:c r="A12" s="198" t="str">
        <x:v>Owner</x:v>
      </x:c>
      <x:c r="B12" s="140" t="str">
        <x:v>Truong Dinh Anh Tu</x:v>
      </x:c>
      <x:c r="C12" s="200" t="str">
        <x:v>Version</x:v>
      </x:c>
      <x:c r="D12" s="140" t="str">
        <x:v>1.0.0</x:v>
      </x:c>
      <x:c r="E12" s="200" t="str">
        <x:v>Standard</x:v>
      </x:c>
      <x:c r="F12" s="140" t="str">
        <x:v>TDAT Model Standard 1.0</x:v>
      </x:c>
      <x:c r="G12" s="200" t="str">
        <x:v>Last QA</x:v>
      </x:c>
      <x:c r="H12" s="140" t="str">
        <x:v>2026-07-13</x:v>
      </x:c>
      <x:c r="I12" s="200" t="str">
        <x:v>Status</x:v>
      </x:c>
      <x:c r="J12" s="141" t="str">
        <x:v>Available after release gates</x:v>
      </x:c>
    </x:row>
    <x:row r="13">
      <x:c r="A13" s="199" t="str">
        <x:v>Compatibility</x:v>
      </x:c>
      <x:c r="B13" s="146" t="str">
        <x:v>Excel 365</x:v>
      </x:c>
      <x:c r="C13" s="201" t="str">
        <x:v>Macros</x:v>
      </x:c>
      <x:c r="D13" s="146" t="str">
        <x:v>None</x:v>
      </x:c>
      <x:c r="E13" s="201" t="str">
        <x:v>External links</x:v>
      </x:c>
      <x:c r="F13" s="146" t="str">
        <x:v>None</x:v>
      </x:c>
      <x:c r="G13" s="201" t="str">
        <x:v>Circularity</x:v>
      </x:c>
      <x:c r="H13" s="146" t="str">
        <x:v>None</x:v>
      </x:c>
      <x:c r="I13" s="201" t="str">
        <x:v>Evidence</x:v>
      </x:c>
      <x:c r="J13" s="147" t="str">
        <x:v>Synthetic worked template</x:v>
      </x:c>
    </x:row>
    <x:row r="15" ht="22" customHeight="1">
      <x:c r="A15" s="9" t="str">
        <x:v>CHANGE LOG</x:v>
      </x:c>
      <x:c r="B15" s="9" t="str">
        <x:v>CHANGE LOG</x:v>
      </x:c>
      <x:c r="C15" s="9" t="str">
        <x:v>CHANGE LOG</x:v>
      </x:c>
      <x:c r="D15" s="9" t="str">
        <x:v>CHANGE LOG</x:v>
      </x:c>
      <x:c r="E15" s="9" t="str">
        <x:v>CHANGE LOG</x:v>
      </x:c>
      <x:c r="F15" s="9" t="str">
        <x:v>CHANGE LOG</x:v>
      </x:c>
      <x:c r="G15" s="9" t="str">
        <x:v>CHANGE LOG</x:v>
      </x:c>
      <x:c r="H15" s="9" t="str">
        <x:v>CHANGE LOG</x:v>
      </x:c>
      <x:c r="I15" s="9" t="str">
        <x:v>CHANGE LOG</x:v>
      </x:c>
    </x:row>
    <x:row r="16" ht="24" customHeight="1">
      <x:c r="A16" s="66" t="str">
        <x:v>Version</x:v>
      </x:c>
      <x:c r="B16" s="67" t="str">
        <x:v>Date</x:v>
      </x:c>
      <x:c r="C16" s="67" t="str">
        <x:v>Changed sheets</x:v>
      </x:c>
      <x:c r="D16" s="67" t="str">
        <x:v>Change</x:v>
      </x:c>
      <x:c r="E16" s="67" t="str">
        <x:v>Impact</x:v>
      </x:c>
      <x:c r="F16" s="67" t="str">
        <x:v>Migration note</x:v>
      </x:c>
      <x:c r="G16" s="67" t="str">
        <x:v>Owner</x:v>
      </x:c>
      <x:c r="H16" s="67" t="str">
        <x:v>Reviewer</x:v>
      </x:c>
      <x:c r="I16" s="68" t="str">
        <x:v>Status</x:v>
      </x:c>
    </x:row>
    <x:row r="17">
      <x:c r="A17" s="205" t="str">
        <x:v>1.0.0</x:v>
      </x:c>
      <x:c r="B17" s="206" t="str">
        <x:v>2026-07-13</x:v>
      </x:c>
      <x:c r="C17" s="206" t="str">
        <x:v>All</x:v>
      </x:c>
      <x:c r="D17" s="206" t="str">
        <x:v>Initial public reusable template</x:v>
      </x:c>
      <x:c r="E17" s="206" t="str">
        <x:v>New model release</x:v>
      </x:c>
      <x:c r="F17" s="206" t="str">
        <x:v>None</x:v>
      </x:c>
      <x:c r="G17" s="206" t="str">
        <x:v>Truong Dinh Anh Tu</x:v>
      </x:c>
      <x:c r="H17" s="206" t="str">
        <x:v>TDAT QA review</x:v>
      </x:c>
      <x:c r="I17" s="207" t="str">
        <x:v>Released</x:v>
      </x:c>
    </x:row>
    <x:row r="19" ht="22" customHeight="1">
      <x:c r="A19" s="9" t="str">
        <x:v>DISTRIBUTION &amp; PRIVACY</x:v>
      </x:c>
      <x:c r="B19" s="9" t="str">
        <x:v>DISTRIBUTION &amp; PRIVACY</x:v>
      </x:c>
      <x:c r="C19" s="9" t="str">
        <x:v>DISTRIBUTION &amp; PRIVACY</x:v>
      </x:c>
      <x:c r="D19" s="9" t="str">
        <x:v>DISTRIBUTION &amp; PRIVACY</x:v>
      </x:c>
      <x:c r="E19" s="9" t="str">
        <x:v>DISTRIBUTION &amp; PRIVACY</x:v>
      </x:c>
      <x:c r="F19" s="9" t="str">
        <x:v>DISTRIBUTION &amp; PRIVACY</x:v>
      </x:c>
      <x:c r="G19" s="9" t="str">
        <x:v>DISTRIBUTION &amp; PRIVACY</x:v>
      </x:c>
      <x:c r="H19" s="9" t="str">
        <x:v>DISTRIBUTION &amp; PRIVACY</x:v>
      </x:c>
      <x:c r="I19" s="9" t="str">
        <x:v>DISTRIBUTION &amp; PRIVACY</x:v>
      </x:c>
    </x:row>
    <x:row r="20" ht="32" customHeight="1">
      <x:c r="A20" s="21" t="str">
        <x:v>Public-safe evidence</x:v>
      </x:c>
      <x:c r="B20" s="17" t="str">
        <x:v>Synthetic company/case values only</x:v>
      </x:c>
      <x:c r="C20" s="17" t="str"/>
      <x:c r="D20" s="17" t="str"/>
      <x:c r="E20" s="17" t="str"/>
      <x:c r="F20" s="17" t="str"/>
      <x:c r="G20" s="17" t="str"/>
      <x:c r="H20" s="17" t="str"/>
      <x:c r="I20" s="17" t="str"/>
    </x:row>
    <x:row r="21" ht="32" customHeight="1">
      <x:c r="A21" s="21" t="str">
        <x:v>Excluded content</x:v>
      </x:c>
      <x:c r="B21" s="17" t="str">
        <x:v>No real customer, employee, vendor, borrower, issuer, position, policyholder, transaction, or household record</x:v>
      </x:c>
      <x:c r="C21" s="17" t="str"/>
      <x:c r="D21" s="17" t="str"/>
      <x:c r="E21" s="17" t="str"/>
      <x:c r="F21" s="17" t="str"/>
      <x:c r="G21" s="17" t="str"/>
      <x:c r="H21" s="17" t="str"/>
      <x:c r="I21" s="17" t="str"/>
    </x:row>
    <x:row r="22" ht="32" customHeight="1">
      <x:c r="A22" s="21" t="str">
        <x:v>Dependencies</x:v>
      </x:c>
      <x:c r="B22" s="17" t="str">
        <x:v>Macro-free .xlsx; no external workbooks, add-ins, live connections, or intentional circular references</x:v>
      </x:c>
      <x:c r="C22" s="17" t="str"/>
      <x:c r="D22" s="17" t="str"/>
      <x:c r="E22" s="17" t="str"/>
      <x:c r="F22" s="17" t="str"/>
      <x:c r="G22" s="17" t="str"/>
      <x:c r="H22" s="17" t="str"/>
      <x:c r="I22" s="17" t="str"/>
    </x:row>
    <x:row r="23" ht="32" customHeight="1">
      <x:c r="A23" s="21" t="str">
        <x:v>Usage</x:v>
      </x:c>
      <x:c r="B23" s="17" t="str">
        <x:v>Adapt for learning, interview cases, internal planning, or analysis. Do not resell an unchanged copy as your own product.</x:v>
      </x:c>
      <x:c r="C23" s="17" t="str"/>
      <x:c r="D23" s="17" t="str"/>
      <x:c r="E23" s="17" t="str"/>
      <x:c r="F23" s="17" t="str"/>
      <x:c r="G23" s="17" t="str"/>
      <x:c r="H23" s="17" t="str"/>
      <x:c r="I23" s="17" t="str"/>
    </x:row>
    <x:row r="24" ht="32" customHeight="1">
      <x:c r="A24" s="21" t="str">
        <x:v>Responsibility</x:v>
      </x:c>
      <x:c r="B24" s="17" t="str">
        <x:v>Educational deterministic scenario only; it is not a probability-of-success analysis or financial, tax, legal, pension, or investment advice. Validate lifespan, inflation, returns, taxes, fees, benefits, liquidity, risk capacity, and suitability with qualified professionals.</x:v>
      </x:c>
      <x:c r="C24" s="17" t="str"/>
      <x:c r="D24" s="17" t="str"/>
      <x:c r="E24" s="17" t="str"/>
      <x:c r="F24" s="17" t="str"/>
      <x:c r="G24" s="17" t="str"/>
      <x:c r="H24" s="17" t="str"/>
      <x:c r="I24" s="17" t="str"/>
    </x:row>
    <x:row r="26">
      <x:c r="A26" s="42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6" s="44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27">
      <x:c r="A27" s="45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7" s="47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28">
      <x:c r="A28" s="48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8" s="50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30">
      <x:c r="A30" s="53" t="str">
        <x:v>TDAT Model Library  |  Trust builds the brand. Insight builds the decision.</x:v>
      </x:c>
      <x:c r="B30" s="53" t="str">
        <x:v>TDAT Model Library  |  Trust builds the brand. Insight builds the decision.</x:v>
      </x:c>
      <x:c r="C30" s="53" t="str">
        <x:v>TDAT Model Library  |  Trust builds the brand. Insight builds the decision.</x:v>
      </x:c>
      <x:c r="D30" s="53" t="str">
        <x:v>TDAT Model Library  |  Trust builds the brand. Insight builds the decision.</x:v>
      </x:c>
      <x:c r="E30" s="53" t="str">
        <x:v>TDAT Model Library  |  Trust builds the brand. Insight builds the decision.</x:v>
      </x:c>
      <x:c r="F30" s="53" t="str">
        <x:v>TDAT Model Library  |  Trust builds the brand. Insight builds the decision.</x:v>
      </x:c>
      <x:c r="G30" s="53" t="str">
        <x:v>TDAT Model Library  |  Trust builds the brand. Insight builds the decision.</x:v>
      </x:c>
      <x:c r="H30" s="53" t="str">
        <x:v>TDAT Model Library  |  Trust builds the brand. Insight builds the decision.</x:v>
      </x:c>
      <x:c r="I30" s="53" t="str">
        <x:v>TDAT Model Library  |  Trust builds the brand. Insight builds the decision.</x:v>
      </x:c>
      <x:c r="J30" s="53" t="str">
        <x:v>TDAT Model Library  |  Trust builds the brand. Insight builds the decision.</x:v>
      </x:c>
    </x:row>
  </x:sheetData>
  <x:mergeCells>
    <x:mergeCell ref="A1:J1"/>
    <x:mergeCell ref="A2:J2"/>
    <x:mergeCell ref="A5:I5"/>
    <x:mergeCell ref="A11:I11"/>
    <x:mergeCell ref="A15:I15"/>
    <x:mergeCell ref="A19:I19"/>
    <x:mergeCell ref="B20:I20"/>
    <x:mergeCell ref="B21:I21"/>
    <x:mergeCell ref="B22:I22"/>
    <x:mergeCell ref="B23:I23"/>
    <x:mergeCell ref="B24:I24"/>
    <x:mergeCell ref="A26:I28"/>
    <x:mergeCell ref="A30:J30"/>
  </x:mergeCells>
  <x:pageMargins left="0.7" right="0.7" top="0.75" bottom="0.75" header="0.3" footer="0.3"/>
</x:worksheet>
</file>