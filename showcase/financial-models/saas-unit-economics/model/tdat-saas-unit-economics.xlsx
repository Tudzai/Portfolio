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5a7af7df254bf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2fd034268a574bf4"/>
    <x:sheet xmlns:r="http://schemas.openxmlformats.org/officeDocument/2006/relationships" name="Guide" sheetId="2" r:id="R4c0e027092d64e94"/>
    <x:sheet xmlns:r="http://schemas.openxmlformats.org/officeDocument/2006/relationships" name="Assumptions" sheetId="3" r:id="Re73fd716784c42fa"/>
    <x:sheet xmlns:r="http://schemas.openxmlformats.org/officeDocument/2006/relationships" name="Monthly Drivers" sheetId="4" r:id="R178991b00af448bf"/>
    <x:sheet xmlns:r="http://schemas.openxmlformats.org/officeDocument/2006/relationships" name="SaaS Engine" sheetId="5" r:id="R7c918d2219e64772"/>
    <x:sheet xmlns:r="http://schemas.openxmlformats.org/officeDocument/2006/relationships" name="Sensitivity" sheetId="6" r:id="Rfe18420ee3b64400"/>
    <x:sheet xmlns:r="http://schemas.openxmlformats.org/officeDocument/2006/relationships" name="Summary" sheetId="7" r:id="R86efa7be0d5a43c3"/>
    <x:sheet xmlns:r="http://schemas.openxmlformats.org/officeDocument/2006/relationships" name="Checks" sheetId="8" r:id="Rf685bc61c17c4297"/>
    <x:sheet xmlns:r="http://schemas.openxmlformats.org/officeDocument/2006/relationships" name="Sources &amp; Version" sheetId="9" r:id="R8ea244d29f09407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#,##0;(#,##0);-"/>
    <x:numFmt numFmtId="201" formatCode="#,##0.0;(#,##0.0);-"/>
    <x:numFmt numFmtId="202" formatCode="0.0%;(0.0%);-"/>
    <x:numFmt numFmtId="203" formatCode="0.0x;(0.0x);-"/>
    <x:numFmt numFmtId="204" formatCode="0.00;(0.00);-"/>
    <x:numFmt numFmtId="205" formatCode="0.0;(0.0);-"/>
  </x:numFmts>
  <x:fonts count="36">
    <x:font>
      <x:sz val="11"/>
      <x:name val="Carlito"/>
    </x:font>
    <x:font>
      <x:b/>
      <x:sz val="20"/>
      <x:color rgb="FFFFFFFF"/>
      <x:name val="Aptos Display"/>
    </x:font>
    <x:font>
      <x:sz val="9"/>
      <x:color rgb="FFDCE6F2"/>
      <x:name val="Aptos"/>
    </x:font>
    <x:font>
      <x:b/>
      <x:sz val="10"/>
      <x:color rgb="FFFFFFFF"/>
      <x:name val="Aptos"/>
    </x:font>
    <x:font>
      <x:sz val="10"/>
      <x:color rgb="FF101827"/>
      <x:name val="Carlito"/>
    </x:font>
    <x:font>
      <x:b/>
      <x:sz val="11"/>
      <x:color rgb="FFFFFFFF"/>
      <x:name val="Carlito"/>
    </x:font>
    <x:font>
      <x:b/>
      <x:sz val="11"/>
      <x:color rgb="FF101827"/>
      <x:name val="Carlito"/>
    </x:font>
    <x:font>
      <x:sz val="9"/>
      <x:color rgb="FF5B687A"/>
      <x:name val="Carlito"/>
    </x:font>
    <x:font>
      <x:b/>
      <x:sz val="11"/>
      <x:color rgb="FF075CCF"/>
      <x:name val="Carlito"/>
    </x:font>
    <x:font>
      <x:sz val="9"/>
      <x:color rgb="FF8A5A00"/>
      <x:name val="Aptos"/>
    </x:font>
    <x:font>
      <x:b/>
      <x:sz val="9"/>
      <x:color rgb="FFFFFFFF"/>
      <x:name val="Aptos"/>
    </x:font>
    <x:font>
      <x:b/>
      <x:sz val="11"/>
      <x:color rgb="FF8A5A00"/>
      <x:name val="Carlito"/>
    </x:font>
    <x:font>
      <x:sz val="10"/>
      <x:color rgb="FF0000FF"/>
      <x:name val="Aptos"/>
    </x:font>
    <x:font>
      <x:sz val="10"/>
      <x:color rgb="FF000000"/>
      <x:name val="Aptos"/>
    </x:font>
    <x:font>
      <x:sz val="11"/>
      <x:color rgb="FF101827"/>
      <x:name val="Carlito"/>
    </x:font>
    <x:font>
      <x:sz val="11"/>
      <x:color rgb="FF101827"/>
      <x:name val="Carlito"/>
    </x:font>
    <x:font>
      <x:sz val="10"/>
      <x:color rgb="FF008000"/>
      <x:name val="Aptos"/>
    </x:font>
    <x:font>
      <x:b/>
      <x:sz val="9"/>
      <x:color rgb="FFFFFFFF"/>
      <x:name val="Carlito"/>
    </x:font>
    <x:font>
      <x:b/>
      <x:sz val="18"/>
      <x:color rgb="FF075CCF"/>
      <x:name val="Aptos"/>
    </x:font>
    <x:font>
      <x:b/>
      <x:sz val="18"/>
      <x:color rgb="FF0F9F8F"/>
      <x:name val="Aptos"/>
    </x:font>
    <x:font>
      <x:b/>
      <x:sz val="8"/>
      <x:color rgb="FFFFFFFF"/>
      <x:name val="Carlito"/>
    </x:font>
    <x:font>
      <x:b/>
      <x:sz val="14"/>
      <x:color rgb="FF0F9F8F"/>
      <x:name val="Carlito"/>
    </x:font>
    <x:font>
      <x:b/>
      <x:sz val="12"/>
      <x:color rgb="FF8A5A00"/>
      <x:name val="Carlito"/>
    </x:font>
    <x:font>
      <x:sz val="11"/>
      <x:color rgb="FF008000"/>
      <x:name val="Carlito"/>
    </x:font>
    <x:font>
      <x:b/>
      <x:sz val="9"/>
      <x:color rgb="FF075CCF"/>
      <x:name val="Carlito"/>
    </x:font>
    <x:font>
      <x:b/>
      <x:sz val="16"/>
      <x:color rgb="FF0F9F8F"/>
      <x:name val="Carlito"/>
    </x:font>
    <x:font>
      <x:b/>
      <x:sz val="11"/>
      <x:color rgb="FF0F9F8F"/>
      <x:name val="Carlito"/>
    </x:font>
    <x:font>
      <x:b/>
      <x:sz val="11"/>
      <x:color rgb="FF5B687A"/>
      <x:name val="Carlito"/>
    </x:font>
    <x:font>
      <x:b/>
      <x:sz val="22"/>
      <x:color rgb="FF101827"/>
      <x:name val="Aptos Display"/>
    </x:font>
    <x:font>
      <x:b/>
      <x:sz val="20"/>
      <x:color rgb="FF0F9F8F"/>
      <x:name val="Carlito"/>
    </x:font>
    <x:font>
      <x:b/>
      <x:sz val="11"/>
      <x:color rgb="FF008000"/>
      <x:name val="Carlito"/>
    </x:font>
    <x:font>
      <x:b/>
      <x:sz val="11"/>
      <x:color rgb="FF075CCF"/>
      <x:name val="Aptos"/>
    </x:font>
    <x:font>
      <x:sz val="9"/>
      <x:color rgb="FF101827"/>
      <x:name val="Carlito"/>
    </x:font>
    <x:font>
      <x:b/>
      <x:sz val="9"/>
      <x:color rgb="FF0000FF"/>
      <x:name val="Carlito"/>
    </x:font>
    <x:font>
      <x:b/>
      <x:sz val="9"/>
      <x:color rgb="FF000000"/>
      <x:name val="Carlito"/>
    </x:font>
    <x:font>
      <x:b/>
      <x:sz val="9"/>
      <x:color rgb="FF00800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7111F"/>
      </x:patternFill>
    </x:fill>
    <x:fill>
      <x:patternFill patternType="solid">
        <x:fgColor rgb="FF101827"/>
      </x:patternFill>
    </x:fill>
    <x:fill>
      <x:patternFill patternType="solid">
        <x:fgColor rgb="FF1479FF"/>
      </x:patternFill>
    </x:fill>
    <x:fill>
      <x:patternFill patternType="solid">
        <x:fgColor rgb="FFEEF5FF"/>
      </x:patternFill>
    </x:fill>
    <x:fill>
      <x:patternFill patternType="solid">
        <x:fgColor rgb="FFF7F9FC"/>
      </x:patternFill>
    </x:fill>
    <x:fill>
      <x:patternFill patternType="solid">
        <x:fgColor rgb="FFFFF4DB"/>
      </x:patternFill>
    </x:fill>
    <x:fill>
      <x:patternFill patternType="solid">
        <x:fgColor rgb="FFE5F6F3"/>
      </x:patternFill>
    </x:fill>
    <x:fill>
      <x:patternFill patternType="solid">
        <x:fgColor rgb="FFFFFFFF"/>
      </x:patternFill>
    </x:fill>
  </x:fills>
  <x:borders count="25">
    <x:border/>
    <x:border>
      <x:left style="thin">
        <x:color rgb="FFC88922"/>
      </x:left>
      <x:top style="thin">
        <x:color rgb="FFC88922"/>
      </x:top>
    </x:border>
    <x:border>
      <x:top style="thin">
        <x:color rgb="FFC88922"/>
      </x:top>
    </x:border>
    <x:border>
      <x:right style="thin">
        <x:color rgb="FFC88922"/>
      </x:right>
      <x:top style="thin">
        <x:color rgb="FFC88922"/>
      </x:top>
    </x:border>
    <x:border>
      <x:left style="thin">
        <x:color rgb="FFC88922"/>
      </x:left>
    </x:border>
    <x:border>
      <x:right style="thin">
        <x:color rgb="FFC88922"/>
      </x:right>
    </x:border>
    <x:border>
      <x:left style="thin">
        <x:color rgb="FFC88922"/>
      </x:left>
      <x:bottom style="thin">
        <x:color rgb="FFC88922"/>
      </x:bottom>
    </x:border>
    <x:border>
      <x:bottom style="thin">
        <x:color rgb="FFC88922"/>
      </x:bottom>
    </x:border>
    <x:border>
      <x:right style="thin">
        <x:color rgb="FFC88922"/>
      </x:right>
      <x:bottom style="thin">
        <x:color rgb="FFC88922"/>
      </x:bottom>
    </x:border>
    <x:border>
      <x:right style="thin">
        <x:color rgb="FFDBE4EF"/>
      </x:right>
    </x:border>
    <x:border>
      <x:left style="thin">
        <x:color rgb="FFDBE4EF"/>
      </x:left>
      <x:right style="thin">
        <x:color rgb="FFDBE4EF"/>
      </x:right>
    </x:border>
    <x:border>
      <x:left style="thin">
        <x:color rgb="FFDBE4EF"/>
      </x:left>
    </x:border>
    <x:border>
      <x:right style="thin">
        <x:color rgb="FFDBE4EF"/>
      </x:right>
      <x:bottom style="thin">
        <x:color rgb="FFDBE4EF"/>
      </x:bottom>
    </x:border>
    <x:border>
      <x:left style="thin">
        <x:color rgb="FFDBE4EF"/>
      </x:left>
      <x:right style="thin">
        <x:color rgb="FFDBE4EF"/>
      </x:right>
      <x:bottom style="thin">
        <x:color rgb="FFDBE4EF"/>
      </x:bottom>
    </x:border>
    <x:border>
      <x:left style="thin">
        <x:color rgb="FFDBE4EF"/>
      </x:left>
      <x:bottom style="thin">
        <x:color rgb="FFDBE4EF"/>
      </x:bottom>
    </x:border>
    <x:border>
      <x:right style="thin">
        <x:color rgb="FFDBE4EF"/>
      </x:right>
      <x:top style="thin">
        <x:color rgb="FFDBE4EF"/>
      </x:top>
      <x:bottom style="thin">
        <x:color rgb="FFDBE4EF"/>
      </x:bottom>
    </x:border>
    <x:border>
      <x:left style="thin">
        <x:color rgb="FFDBE4EF"/>
      </x:left>
      <x:right style="thin">
        <x:color rgb="FFDBE4EF"/>
      </x:right>
      <x:top style="thin">
        <x:color rgb="FFDBE4EF"/>
      </x:top>
      <x:bottom style="thin">
        <x:color rgb="FFDBE4EF"/>
      </x:bottom>
    </x:border>
    <x:border>
      <x:left style="thin">
        <x:color rgb="FFDBE4EF"/>
      </x:left>
      <x:top style="thin">
        <x:color rgb="FFDBE4EF"/>
      </x:top>
      <x:bottom style="thin">
        <x:color rgb="FFDBE4EF"/>
      </x:bottom>
    </x:border>
    <x:border>
      <x:right style="thin">
        <x:color rgb="FFDBE4EF"/>
      </x:right>
      <x:top style="thin">
        <x:color rgb="FFDBE4EF"/>
      </x:top>
    </x:border>
    <x:border>
      <x:left style="thin">
        <x:color rgb="FFDBE4EF"/>
      </x:left>
      <x:right style="thin">
        <x:color rgb="FFDBE4EF"/>
      </x:right>
      <x:top style="thin">
        <x:color rgb="FFDBE4EF"/>
      </x:top>
    </x:border>
    <x:border>
      <x:left style="thin">
        <x:color rgb="FFDBE4EF"/>
      </x:left>
      <x:top style="thin">
        <x:color rgb="FFDBE4EF"/>
      </x:top>
    </x:border>
    <x:border>
      <x:bottom style="thin">
        <x:color rgb="FFDBE4EF"/>
      </x:bottom>
    </x:border>
    <x:border>
      <x:top style="thin">
        <x:color rgb="FFDBE4EF"/>
      </x:top>
      <x:bottom style="thin">
        <x:color rgb="FFDBE4EF"/>
      </x:bottom>
    </x:border>
    <x:border>
      <x:top style="thin">
        <x:color rgb="FFDBE4EF"/>
      </x:top>
    </x:border>
    <x:border>
      <x:top style="thin">
        <x:color rgb="FF101827"/>
      </x:top>
    </x:border>
  </x:borders>
  <x:cellStyleXfs count="1">
    <x:xf numFmtId="0" fontId="0" fillId="0" borderId="0"/>
  </x:cellStyleXfs>
  <x:cellXfs count="30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1" xfId="0" applyNumberFormat="1" applyFont="1" applyFill="1" applyBorder="1"/>
    <x:xf numFmtId="0" fontId="9" fillId="7" borderId="2" xfId="0" applyNumberFormat="1" applyFont="1" applyFill="1" applyBorder="1"/>
    <x:xf numFmtId="0" fontId="9" fillId="7" borderId="3" xfId="0" applyNumberFormat="1" applyFont="1" applyFill="1" applyBorder="1"/>
    <x:xf numFmtId="0" fontId="9" fillId="7" borderId="4" xfId="0" applyNumberFormat="1" applyFont="1" applyFill="1" applyBorder="1"/>
    <x:xf numFmtId="0" fontId="9" fillId="7" borderId="5" xfId="0" applyNumberFormat="1" applyFont="1" applyFill="1" applyBorder="1"/>
    <x:xf numFmtId="0" fontId="9" fillId="7" borderId="6" xfId="0" applyNumberFormat="1" applyFont="1" applyFill="1" applyBorder="1"/>
    <x:xf numFmtId="0" fontId="9" fillId="7" borderId="7" xfId="0" applyNumberFormat="1" applyFont="1" applyFill="1" applyBorder="1"/>
    <x:xf numFmtId="0" fontId="9" fillId="7" borderId="8" xfId="0" applyNumberFormat="1" applyFont="1" applyFill="1" applyBorder="1"/>
    <x:xf numFmtId="0" fontId="9" fillId="7" borderId="1" xfId="0" applyNumberFormat="1" applyFont="1" applyFill="1" applyBorder="1" applyAlignment="1">
      <x:alignment wrapText="1"/>
    </x:xf>
    <x:xf numFmtId="0" fontId="9" fillId="7" borderId="2" xfId="0" applyNumberFormat="1" applyFont="1" applyFill="1" applyBorder="1" applyAlignment="1">
      <x:alignment wrapText="1"/>
    </x:xf>
    <x:xf numFmtId="0" fontId="9" fillId="7" borderId="3" xfId="0" applyNumberFormat="1" applyFont="1" applyFill="1" applyBorder="1" applyAlignment="1">
      <x:alignment wrapText="1"/>
    </x:xf>
    <x:xf numFmtId="0" fontId="9" fillId="7" borderId="4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wrapText="1"/>
    </x:xf>
    <x:xf numFmtId="0" fontId="9" fillId="7" borderId="5" xfId="0" applyNumberFormat="1" applyFont="1" applyFill="1" applyBorder="1" applyAlignment="1">
      <x:alignment wrapText="1"/>
    </x:xf>
    <x:xf numFmtId="0" fontId="9" fillId="7" borderId="6" xfId="0" applyNumberFormat="1" applyFont="1" applyFill="1" applyBorder="1" applyAlignment="1">
      <x:alignment wrapText="1"/>
    </x:xf>
    <x:xf numFmtId="0" fontId="9" fillId="7" borderId="7" xfId="0" applyNumberFormat="1" applyFont="1" applyFill="1" applyBorder="1" applyAlignment="1">
      <x:alignment wrapText="1"/>
    </x:xf>
    <x:xf numFmtId="0" fontId="9" fillId="7" borderId="8" xfId="0" applyNumberFormat="1" applyFont="1" applyFill="1" applyBorder="1" applyAlignment="1">
      <x:alignment wrapText="1"/>
    </x:xf>
    <x:xf numFmtId="0" fontId="9" fillId="7" borderId="1" xfId="0" applyNumberFormat="1" applyFont="1" applyFill="1" applyBorder="1" applyAlignment="1">
      <x:alignment vertical="center" wrapText="1"/>
    </x:xf>
    <x:xf numFmtId="0" fontId="9" fillId="7" borderId="2" xfId="0" applyNumberFormat="1" applyFont="1" applyFill="1" applyBorder="1" applyAlignment="1">
      <x:alignment vertical="center" wrapText="1"/>
    </x:xf>
    <x:xf numFmtId="0" fontId="9" fillId="7" borderId="3" xfId="0" applyNumberFormat="1" applyFont="1" applyFill="1" applyBorder="1" applyAlignment="1">
      <x:alignment vertical="center" wrapText="1"/>
    </x:xf>
    <x:xf numFmtId="0" fontId="9" fillId="7" borderId="4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9" fillId="7" borderId="5" xfId="0" applyNumberFormat="1" applyFont="1" applyFill="1" applyBorder="1" applyAlignment="1">
      <x:alignment vertical="center" wrapText="1"/>
    </x:xf>
    <x:xf numFmtId="0" fontId="9" fillId="7" borderId="6" xfId="0" applyNumberFormat="1" applyFont="1" applyFill="1" applyBorder="1" applyAlignment="1">
      <x:alignment vertical="center" wrapText="1"/>
    </x:xf>
    <x:xf numFmtId="0" fontId="9" fillId="7" borderId="7" xfId="0" applyNumberFormat="1" applyFont="1" applyFill="1" applyBorder="1" applyAlignment="1">
      <x:alignment vertical="center" wrapText="1"/>
    </x:xf>
    <x:xf numFmtId="0" fontId="9" fillId="7" borderId="8" xfId="0" applyNumberFormat="1" applyFont="1" applyFill="1" applyBorder="1" applyAlignment="1">
      <x:alignment vertical="center" wrapText="1"/>
    </x:xf>
    <x:xf numFmtId="0" fontId="10" fillId="3" borderId="0" xfId="0" applyNumberFormat="1" applyFont="1" applyFill="1" applyBorder="1"/>
    <x:xf numFmtId="0" fontId="10" fillId="3" borderId="0" xfId="0" applyNumberFormat="1" applyFont="1" applyFill="1" applyBorder="1" applyAlignment="1">
      <x:alignment horizontal="center"/>
    </x:xf>
    <x:xf numFmtId="0" fontId="10" fillId="3" borderId="0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/>
    <x:xf numFmtId="0" fontId="11" fillId="7" borderId="0" xfId="0" applyNumberFormat="1" applyFont="1" applyFill="1" applyBorder="1"/>
    <x:xf numFmtId="0" fontId="11" fillId="7" borderId="0" xfId="0" applyNumberFormat="1" applyFont="1" applyFill="1" applyBorder="1" applyAlignment="1">
      <x:alignment horizontal="center"/>
    </x:xf>
    <x:xf numFmtId="0" fontId="10" fillId="3" borderId="9" xfId="0" applyNumberFormat="1" applyFont="1" applyFill="1" applyBorder="1"/>
    <x:xf numFmtId="0" fontId="10" fillId="3" borderId="10" xfId="0" applyNumberFormat="1" applyFont="1" applyFill="1" applyBorder="1"/>
    <x:xf numFmtId="0" fontId="10" fillId="3" borderId="11" xfId="0" applyNumberFormat="1" applyFont="1" applyFill="1" applyBorder="1"/>
    <x:xf numFmtId="0" fontId="10" fillId="3" borderId="9" xfId="0" applyNumberFormat="1" applyFont="1" applyFill="1" applyBorder="1" applyAlignment="1">
      <x:alignment wrapText="1"/>
    </x:xf>
    <x:xf numFmtId="0" fontId="10" fillId="3" borderId="10" xfId="0" applyNumberFormat="1" applyFont="1" applyFill="1" applyBorder="1" applyAlignment="1">
      <x:alignment wrapText="1"/>
    </x:xf>
    <x:xf numFmtId="0" fontId="10" fillId="3" borderId="11" xfId="0" applyNumberFormat="1" applyFont="1" applyFill="1" applyBorder="1" applyAlignment="1">
      <x:alignment wrapText="1"/>
    </x:xf>
    <x:xf numFmtId="0" fontId="10" fillId="3" borderId="9" xfId="0" applyNumberFormat="1" applyFont="1" applyFill="1" applyBorder="1" applyAlignment="1">
      <x:alignment horizontal="center" wrapText="1"/>
    </x:xf>
    <x:xf numFmtId="0" fontId="10" fillId="3" borderId="10" xfId="0" applyNumberFormat="1" applyFont="1" applyFill="1" applyBorder="1" applyAlignment="1">
      <x:alignment horizontal="center" wrapText="1"/>
    </x:xf>
    <x:xf numFmtId="0" fontId="10" fillId="3" borderId="11" xfId="0" applyNumberFormat="1" applyFont="1" applyFill="1" applyBorder="1" applyAlignment="1">
      <x:alignment horizontal="center" wrapText="1"/>
    </x:xf>
    <x:xf numFmtId="0" fontId="10" fillId="3" borderId="9" xfId="0" applyNumberFormat="1" applyFont="1" applyFill="1" applyBorder="1" applyAlignment="1">
      <x:alignment horizontal="center" vertical="center" wrapText="1"/>
    </x:xf>
    <x:xf numFmtId="0" fontId="10" fillId="3" borderId="10" xfId="0" applyNumberFormat="1" applyFont="1" applyFill="1" applyBorder="1" applyAlignment="1">
      <x:alignment horizontal="center" vertical="center" wrapText="1"/>
    </x:xf>
    <x:xf numFmtId="0" fontId="10" fillId="3" borderId="11" xfId="0" applyNumberFormat="1" applyFont="1" applyFill="1" applyBorder="1" applyAlignment="1">
      <x:alignment horizontal="center" vertical="center" wrapText="1"/>
    </x:xf>
    <x:xf numFmtId="0" fontId="12" fillId="5" borderId="0" xfId="0" applyNumberFormat="1" applyFont="1" applyFill="1" applyBorder="1"/>
    <x:xf numFmtId="200" fontId="12" fillId="5" borderId="0" xfId="0" applyNumberFormat="1" applyFont="1" applyFill="1" applyBorder="1"/>
    <x:xf numFmtId="200" fontId="12" fillId="5" borderId="0" xfId="0" applyNumberFormat="1" applyFont="1" applyFill="1" applyBorder="1" applyAlignment="1">
      <x:alignment horizontal="right"/>
    </x:xf>
    <x:xf numFmtId="0" fontId="13" fillId="0" borderId="0" xfId="0" applyNumberFormat="1" applyFont="1" applyFill="1" applyBorder="1"/>
    <x:xf numFmtId="200" fontId="13" fillId="0" borderId="0" xfId="0" applyNumberFormat="1" applyFont="1" applyFill="1" applyBorder="1"/>
    <x:xf numFmtId="200" fontId="13" fillId="0" borderId="0" xfId="0" applyNumberFormat="1" applyFont="1" applyFill="1" applyBorder="1" applyAlignment="1">
      <x:alignment horizontal="right"/>
    </x:xf>
    <x:xf numFmtId="201" fontId="12" fillId="5" borderId="0" xfId="0" applyNumberFormat="1" applyFont="1" applyFill="1" applyBorder="1"/>
    <x:xf numFmtId="201" fontId="12" fillId="5" borderId="0" xfId="0" applyNumberFormat="1" applyFont="1" applyFill="1" applyBorder="1" applyAlignment="1">
      <x:alignment horizontal="right"/>
    </x:xf>
    <x:xf numFmtId="201" fontId="13" fillId="0" borderId="0" xfId="0" applyNumberFormat="1" applyFont="1" applyFill="1" applyBorder="1"/>
    <x:xf numFmtId="201" fontId="13" fillId="0" borderId="0" xfId="0" applyNumberFormat="1" applyFont="1" applyFill="1" applyBorder="1" applyAlignment="1">
      <x:alignment horizontal="right"/>
    </x:xf>
    <x:xf numFmtId="202" fontId="12" fillId="5" borderId="0" xfId="0" applyNumberFormat="1" applyFont="1" applyFill="1" applyBorder="1"/>
    <x:xf numFmtId="202" fontId="12" fillId="5" borderId="0" xfId="0" applyNumberFormat="1" applyFont="1" applyFill="1" applyBorder="1" applyAlignment="1">
      <x:alignment horizontal="right"/>
    </x:xf>
    <x:xf numFmtId="202" fontId="13" fillId="0" borderId="0" xfId="0" applyNumberFormat="1" applyFont="1" applyFill="1" applyBorder="1"/>
    <x:xf numFmtId="202" fontId="13" fillId="0" borderId="0" xfId="0" applyNumberFormat="1" applyFont="1" applyFill="1" applyBorder="1" applyAlignment="1">
      <x:alignment horizontal="right"/>
    </x:xf>
    <x:xf numFmtId="203" fontId="12" fillId="5" borderId="0" xfId="0" applyNumberFormat="1" applyFont="1" applyFill="1" applyBorder="1"/>
    <x:xf numFmtId="203" fontId="12" fillId="5" borderId="0" xfId="0" applyNumberFormat="1" applyFont="1" applyFill="1" applyBorder="1" applyAlignment="1">
      <x:alignment horizontal="right"/>
    </x:xf>
    <x:xf numFmtId="203" fontId="13" fillId="0" borderId="0" xfId="0" applyNumberFormat="1" applyFont="1" applyFill="1" applyBorder="1"/>
    <x:xf numFmtId="203" fontId="13" fillId="0" borderId="0" xfId="0" applyNumberFormat="1" applyFont="1" applyFill="1" applyBorder="1" applyAlignment="1">
      <x:alignment horizontal="right"/>
    </x:xf>
    <x:xf numFmtId="0" fontId="14" fillId="0" borderId="0" xfId="0" applyNumberFormat="1" applyFont="1" applyFill="1" applyBorder="1"/>
    <x:xf numFmtId="0" fontId="14" fillId="0" borderId="12" xfId="0" applyNumberFormat="1" applyFont="1" applyFill="1" applyBorder="1"/>
    <x:xf numFmtId="0" fontId="14" fillId="0" borderId="13" xfId="0" applyNumberFormat="1" applyFont="1" applyFill="1" applyBorder="1"/>
    <x:xf numFmtId="200" fontId="12" fillId="5" borderId="13" xfId="0" applyNumberFormat="1" applyFont="1" applyFill="1" applyBorder="1" applyAlignment="1">
      <x:alignment horizontal="right"/>
    </x:xf>
    <x:xf numFmtId="200" fontId="13" fillId="0" borderId="13" xfId="0" applyNumberFormat="1" applyFont="1" applyFill="1" applyBorder="1" applyAlignment="1">
      <x:alignment horizontal="right"/>
    </x:xf>
    <x:xf numFmtId="0" fontId="7" fillId="0" borderId="14" xfId="0" applyNumberFormat="1" applyFont="1" applyFill="1" applyBorder="1" applyAlignment="1">
      <x:alignment wrapText="1"/>
    </x:xf>
    <x:xf numFmtId="0" fontId="14" fillId="0" borderId="15" xfId="0" applyNumberFormat="1" applyFont="1" applyFill="1" applyBorder="1"/>
    <x:xf numFmtId="0" fontId="14" fillId="0" borderId="16" xfId="0" applyNumberFormat="1" applyFont="1" applyFill="1" applyBorder="1"/>
    <x:xf numFmtId="201" fontId="12" fillId="5" borderId="16" xfId="0" applyNumberFormat="1" applyFont="1" applyFill="1" applyBorder="1" applyAlignment="1">
      <x:alignment horizontal="right"/>
    </x:xf>
    <x:xf numFmtId="201" fontId="13" fillId="0" borderId="16" xfId="0" applyNumberFormat="1" applyFont="1" applyFill="1" applyBorder="1" applyAlignment="1">
      <x:alignment horizontal="right"/>
    </x:xf>
    <x:xf numFmtId="0" fontId="7" fillId="0" borderId="17" xfId="0" applyNumberFormat="1" applyFont="1" applyFill="1" applyBorder="1" applyAlignment="1">
      <x:alignment wrapText="1"/>
    </x:xf>
    <x:xf numFmtId="202" fontId="12" fillId="5" borderId="16" xfId="0" applyNumberFormat="1" applyFont="1" applyFill="1" applyBorder="1" applyAlignment="1">
      <x:alignment horizontal="right"/>
    </x:xf>
    <x:xf numFmtId="202" fontId="13" fillId="0" borderId="16" xfId="0" applyNumberFormat="1" applyFont="1" applyFill="1" applyBorder="1" applyAlignment="1">
      <x:alignment horizontal="right"/>
    </x:xf>
    <x:xf numFmtId="203" fontId="12" fillId="5" borderId="16" xfId="0" applyNumberFormat="1" applyFont="1" applyFill="1" applyBorder="1" applyAlignment="1">
      <x:alignment horizontal="right"/>
    </x:xf>
    <x:xf numFmtId="203" fontId="13" fillId="0" borderId="16" xfId="0" applyNumberFormat="1" applyFont="1" applyFill="1" applyBorder="1" applyAlignment="1">
      <x:alignment horizontal="right"/>
    </x:xf>
    <x:xf numFmtId="0" fontId="14" fillId="0" borderId="18" xfId="0" applyNumberFormat="1" applyFont="1" applyFill="1" applyBorder="1"/>
    <x:xf numFmtId="0" fontId="14" fillId="0" borderId="19" xfId="0" applyNumberFormat="1" applyFont="1" applyFill="1" applyBorder="1"/>
    <x:xf numFmtId="201" fontId="12" fillId="5" borderId="19" xfId="0" applyNumberFormat="1" applyFont="1" applyFill="1" applyBorder="1" applyAlignment="1">
      <x:alignment horizontal="right"/>
    </x:xf>
    <x:xf numFmtId="201" fontId="13" fillId="0" borderId="19" xfId="0" applyNumberFormat="1" applyFont="1" applyFill="1" applyBorder="1" applyAlignment="1">
      <x:alignment horizontal="right"/>
    </x:xf>
    <x:xf numFmtId="0" fontId="7" fillId="0" borderId="20" xfId="0" applyNumberFormat="1" applyFont="1" applyFill="1" applyBorder="1" applyAlignment="1">
      <x:alignment wrapText="1"/>
    </x:xf>
    <x:xf numFmtId="0" fontId="15" fillId="0" borderId="0" xfId="0" applyNumberFormat="1" applyFont="1" applyFill="1" applyBorder="1"/>
    <x:xf numFmtId="204" fontId="12" fillId="5" borderId="0" xfId="0" applyNumberFormat="1" applyFont="1" applyFill="1" applyBorder="1"/>
    <x:xf numFmtId="204" fontId="12" fillId="5" borderId="0" xfId="0" applyNumberFormat="1" applyFont="1" applyFill="1" applyBorder="1" applyAlignment="1">
      <x:alignment horizontal="right"/>
    </x:xf>
    <x:xf numFmtId="0" fontId="15" fillId="0" borderId="21" xfId="0" applyNumberFormat="1" applyFont="1" applyFill="1" applyBorder="1"/>
    <x:xf numFmtId="200" fontId="12" fillId="5" borderId="21" xfId="0" applyNumberFormat="1" applyFont="1" applyFill="1" applyBorder="1" applyAlignment="1">
      <x:alignment horizontal="right"/>
    </x:xf>
    <x:xf numFmtId="0" fontId="15" fillId="0" borderId="22" xfId="0" applyNumberFormat="1" applyFont="1" applyFill="1" applyBorder="1"/>
    <x:xf numFmtId="204" fontId="12" fillId="5" borderId="22" xfId="0" applyNumberFormat="1" applyFont="1" applyFill="1" applyBorder="1" applyAlignment="1">
      <x:alignment horizontal="right"/>
    </x:xf>
    <x:xf numFmtId="201" fontId="12" fillId="5" borderId="22" xfId="0" applyNumberFormat="1" applyFont="1" applyFill="1" applyBorder="1" applyAlignment="1">
      <x:alignment horizontal="right"/>
    </x:xf>
    <x:xf numFmtId="202" fontId="12" fillId="5" borderId="22" xfId="0" applyNumberFormat="1" applyFont="1" applyFill="1" applyBorder="1" applyAlignment="1">
      <x:alignment horizontal="right"/>
    </x:xf>
    <x:xf numFmtId="0" fontId="15" fillId="0" borderId="23" xfId="0" applyNumberFormat="1" applyFont="1" applyFill="1" applyBorder="1"/>
    <x:xf numFmtId="201" fontId="12" fillId="5" borderId="23" xfId="0" applyNumberFormat="1" applyFont="1" applyFill="1" applyBorder="1" applyAlignment="1">
      <x:alignment horizontal="right"/>
    </x:xf>
    <x:xf numFmtId="0" fontId="16" fillId="0" borderId="0" xfId="0" applyNumberFormat="1" applyFont="1" applyFill="1" applyBorder="1"/>
    <x:xf numFmtId="200" fontId="16" fillId="0" borderId="0" xfId="0" applyNumberFormat="1" applyFont="1" applyFill="1" applyBorder="1"/>
    <x:xf numFmtId="200" fontId="16" fillId="0" borderId="0" xfId="0" applyNumberFormat="1" applyFont="1" applyFill="1" applyBorder="1" applyAlignment="1">
      <x:alignment horizontal="right"/>
    </x:xf>
    <x:xf numFmtId="0" fontId="15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wrapText="1"/>
    </x:xf>
    <x:xf numFmtId="0" fontId="6" fillId="0" borderId="24" xfId="0" applyNumberFormat="1" applyFont="1" applyFill="1" applyBorder="1" applyAlignment="1">
      <x:alignment wrapText="1"/>
    </x:xf>
    <x:xf numFmtId="200" fontId="13" fillId="0" borderId="24" xfId="0" applyNumberFormat="1" applyFont="1" applyFill="1" applyBorder="1" applyAlignment="1">
      <x:alignment horizontal="right"/>
    </x:xf>
    <x:xf numFmtId="0" fontId="6" fillId="6" borderId="24" xfId="0" applyNumberFormat="1" applyFont="1" applyFill="1" applyBorder="1" applyAlignment="1">
      <x:alignment wrapText="1"/>
    </x:xf>
    <x:xf numFmtId="200" fontId="13" fillId="6" borderId="24" xfId="0" applyNumberFormat="1" applyFont="1" applyFill="1" applyBorder="1" applyAlignment="1">
      <x:alignment horizontal="right"/>
    </x:xf>
    <x:xf numFmtId="201" fontId="16" fillId="0" borderId="0" xfId="0" applyNumberFormat="1" applyFont="1" applyFill="1" applyBorder="1"/>
    <x:xf numFmtId="201" fontId="16" fillId="0" borderId="0" xfId="0" applyNumberFormat="1" applyFont="1" applyFill="1" applyBorder="1" applyAlignment="1">
      <x:alignment horizontal="right"/>
    </x:xf>
    <x:xf numFmtId="201" fontId="13" fillId="0" borderId="24" xfId="0" applyNumberFormat="1" applyFont="1" applyFill="1" applyBorder="1" applyAlignment="1">
      <x:alignment horizontal="right"/>
    </x:xf>
    <x:xf numFmtId="0" fontId="6" fillId="8" borderId="24" xfId="0" applyNumberFormat="1" applyFont="1" applyFill="1" applyBorder="1" applyAlignment="1">
      <x:alignment wrapText="1"/>
    </x:xf>
    <x:xf numFmtId="201" fontId="13" fillId="8" borderId="24" xfId="0" applyNumberFormat="1" applyFont="1" applyFill="1" applyBorder="1" applyAlignment="1">
      <x:alignment horizontal="right"/>
    </x:xf>
    <x:xf numFmtId="205" fontId="16" fillId="0" borderId="0" xfId="0" applyNumberFormat="1" applyFont="1" applyFill="1" applyBorder="1"/>
    <x:xf numFmtId="205" fontId="16" fillId="0" borderId="0" xfId="0" applyNumberFormat="1" applyFont="1" applyFill="1" applyBorder="1" applyAlignment="1">
      <x:alignment horizontal="right"/>
    </x:xf>
    <x:xf numFmtId="201" fontId="16" fillId="0" borderId="24" xfId="0" applyNumberFormat="1" applyFont="1" applyFill="1" applyBorder="1" applyAlignment="1">
      <x:alignment horizontal="right"/>
    </x:xf>
    <x:xf numFmtId="201" fontId="16" fillId="6" borderId="24" xfId="0" applyNumberFormat="1" applyFont="1" applyFill="1" applyBorder="1" applyAlignment="1">
      <x:alignment horizontal="right"/>
    </x:xf>
    <x:xf numFmtId="0" fontId="15" fillId="0" borderId="21" xfId="0" applyNumberFormat="1" applyFont="1" applyFill="1" applyBorder="1" applyAlignment="1">
      <x:alignment wrapText="1"/>
    </x:xf>
    <x:xf numFmtId="200" fontId="16" fillId="0" borderId="21" xfId="0" applyNumberFormat="1" applyFont="1" applyFill="1" applyBorder="1" applyAlignment="1">
      <x:alignment horizontal="right"/>
    </x:xf>
    <x:xf numFmtId="0" fontId="15" fillId="0" borderId="22" xfId="0" applyNumberFormat="1" applyFont="1" applyFill="1" applyBorder="1" applyAlignment="1">
      <x:alignment wrapText="1"/>
    </x:xf>
    <x:xf numFmtId="200" fontId="16" fillId="0" borderId="22" xfId="0" applyNumberFormat="1" applyFont="1" applyFill="1" applyBorder="1" applyAlignment="1">
      <x:alignment horizontal="right"/>
    </x:xf>
    <x:xf numFmtId="0" fontId="6" fillId="6" borderId="22" xfId="0" applyNumberFormat="1" applyFont="1" applyFill="1" applyBorder="1" applyAlignment="1">
      <x:alignment wrapText="1"/>
    </x:xf>
    <x:xf numFmtId="200" fontId="13" fillId="6" borderId="22" xfId="0" applyNumberFormat="1" applyFont="1" applyFill="1" applyBorder="1" applyAlignment="1">
      <x:alignment horizontal="right"/>
    </x:xf>
    <x:xf numFmtId="201" fontId="16" fillId="0" borderId="22" xfId="0" applyNumberFormat="1" applyFont="1" applyFill="1" applyBorder="1" applyAlignment="1">
      <x:alignment horizontal="right"/>
    </x:xf>
    <x:xf numFmtId="0" fontId="6" fillId="8" borderId="22" xfId="0" applyNumberFormat="1" applyFont="1" applyFill="1" applyBorder="1" applyAlignment="1">
      <x:alignment wrapText="1"/>
    </x:xf>
    <x:xf numFmtId="201" fontId="13" fillId="8" borderId="22" xfId="0" applyNumberFormat="1" applyFont="1" applyFill="1" applyBorder="1" applyAlignment="1">
      <x:alignment horizontal="right"/>
    </x:xf>
    <x:xf numFmtId="202" fontId="13" fillId="0" borderId="22" xfId="0" applyNumberFormat="1" applyFont="1" applyFill="1" applyBorder="1" applyAlignment="1">
      <x:alignment horizontal="right"/>
    </x:xf>
    <x:xf numFmtId="203" fontId="13" fillId="0" borderId="22" xfId="0" applyNumberFormat="1" applyFont="1" applyFill="1" applyBorder="1" applyAlignment="1">
      <x:alignment horizontal="right"/>
    </x:xf>
    <x:xf numFmtId="205" fontId="16" fillId="0" borderId="22" xfId="0" applyNumberFormat="1" applyFont="1" applyFill="1" applyBorder="1" applyAlignment="1">
      <x:alignment horizontal="right"/>
    </x:xf>
    <x:xf numFmtId="201" fontId="16" fillId="6" borderId="22" xfId="0" applyNumberFormat="1" applyFont="1" applyFill="1" applyBorder="1" applyAlignment="1">
      <x:alignment horizontal="right"/>
    </x:xf>
    <x:xf numFmtId="201" fontId="13" fillId="0" borderId="22" xfId="0" applyNumberFormat="1" applyFont="1" applyFill="1" applyBorder="1" applyAlignment="1">
      <x:alignment horizontal="right"/>
    </x:xf>
    <x:xf numFmtId="0" fontId="15" fillId="0" borderId="23" xfId="0" applyNumberFormat="1" applyFont="1" applyFill="1" applyBorder="1" applyAlignment="1">
      <x:alignment wrapText="1"/>
    </x:xf>
    <x:xf numFmtId="201" fontId="13" fillId="0" borderId="23" xfId="0" applyNumberFormat="1" applyFont="1" applyFill="1" applyBorder="1" applyAlignment="1">
      <x:alignment horizontal="right"/>
    </x:xf>
    <x:xf numFmtId="0" fontId="5" fillId="3" borderId="0" xfId="0" applyNumberFormat="1" applyFont="1" applyFill="1" applyBorder="1" applyAlignment="1">
      <x:alignment horizontal="center"/>
    </x:xf>
    <x:xf numFmtId="203" fontId="16" fillId="0" borderId="0" xfId="0" applyNumberFormat="1" applyFont="1" applyFill="1" applyBorder="1"/>
    <x:xf numFmtId="203" fontId="16" fillId="0" borderId="0" xfId="0" applyNumberFormat="1" applyFont="1" applyFill="1" applyBorder="1" applyAlignment="1">
      <x:alignment horizontal="right"/>
    </x:xf>
    <x:xf numFmtId="203" fontId="16" fillId="6" borderId="0" xfId="0" applyNumberFormat="1" applyFont="1" applyFill="1" applyBorder="1" applyAlignment="1">
      <x:alignment horizontal="right"/>
    </x:xf>
    <x:xf numFmtId="203" fontId="16" fillId="6" borderId="16" xfId="0" applyNumberFormat="1" applyFont="1" applyFill="1" applyBorder="1" applyAlignment="1">
      <x:alignment horizontal="right"/>
    </x:xf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17" fillId="3" borderId="0" xfId="0" applyNumberFormat="1" applyFont="1" applyFill="1" applyBorder="1"/>
    <x:xf numFmtId="0" fontId="17" fillId="3" borderId="0" xfId="0" applyNumberFormat="1" applyFont="1" applyFill="1" applyBorder="1" applyAlignment="1">
      <x:alignment horizontal="center"/>
    </x:xf>
    <x:xf numFmtId="201" fontId="16" fillId="5" borderId="0" xfId="0" applyNumberFormat="1" applyFont="1" applyFill="1" applyBorder="1" applyAlignment="1">
      <x:alignment horizontal="right"/>
    </x:xf>
    <x:xf numFmtId="201" fontId="18" fillId="5" borderId="0" xfId="0" applyNumberFormat="1" applyFont="1" applyFill="1" applyBorder="1" applyAlignment="1">
      <x:alignment horizontal="right"/>
    </x:xf>
    <x:xf numFmtId="201" fontId="18" fillId="5" borderId="0" xfId="0" applyNumberFormat="1" applyFont="1" applyFill="1" applyBorder="1" applyAlignment="1">
      <x:alignment horizontal="center"/>
    </x:xf>
    <x:xf numFmtId="201" fontId="18" fillId="5" borderId="0" xfId="0" applyNumberFormat="1" applyFont="1" applyFill="1" applyBorder="1" applyAlignment="1">
      <x:alignment horizontal="center" vertical="center"/>
    </x:xf>
    <x:xf numFmtId="202" fontId="16" fillId="0" borderId="0" xfId="0" applyNumberFormat="1" applyFont="1" applyFill="1" applyBorder="1"/>
    <x:xf numFmtId="202" fontId="16" fillId="0" borderId="0" xfId="0" applyNumberFormat="1" applyFont="1" applyFill="1" applyBorder="1" applyAlignment="1">
      <x:alignment horizontal="right"/>
    </x:xf>
    <x:xf numFmtId="202" fontId="16" fillId="8" borderId="0" xfId="0" applyNumberFormat="1" applyFont="1" applyFill="1" applyBorder="1" applyAlignment="1">
      <x:alignment horizontal="right"/>
    </x:xf>
    <x:xf numFmtId="202" fontId="19" fillId="8" borderId="0" xfId="0" applyNumberFormat="1" applyFont="1" applyFill="1" applyBorder="1" applyAlignment="1">
      <x:alignment horizontal="right"/>
    </x:xf>
    <x:xf numFmtId="202" fontId="19" fillId="8" borderId="0" xfId="0" applyNumberFormat="1" applyFont="1" applyFill="1" applyBorder="1" applyAlignment="1">
      <x:alignment horizontal="center"/>
    </x:xf>
    <x:xf numFmtId="202" fontId="19" fillId="8" borderId="0" xfId="0" applyNumberFormat="1" applyFont="1" applyFill="1" applyBorder="1" applyAlignment="1">
      <x:alignment horizontal="center" vertical="center"/>
    </x:xf>
    <x:xf numFmtId="203" fontId="16" fillId="5" borderId="0" xfId="0" applyNumberFormat="1" applyFont="1" applyFill="1" applyBorder="1" applyAlignment="1">
      <x:alignment horizontal="right"/>
    </x:xf>
    <x:xf numFmtId="203" fontId="18" fillId="5" borderId="0" xfId="0" applyNumberFormat="1" applyFont="1" applyFill="1" applyBorder="1" applyAlignment="1">
      <x:alignment horizontal="right"/>
    </x:xf>
    <x:xf numFmtId="203" fontId="18" fillId="5" borderId="0" xfId="0" applyNumberFormat="1" applyFont="1" applyFill="1" applyBorder="1" applyAlignment="1">
      <x:alignment horizontal="center"/>
    </x:xf>
    <x:xf numFmtId="203" fontId="18" fillId="5" borderId="0" xfId="0" applyNumberFormat="1" applyFont="1" applyFill="1" applyBorder="1" applyAlignment="1">
      <x:alignment horizontal="center" vertical="center"/>
    </x:xf>
    <x:xf numFmtId="0" fontId="20" fillId="3" borderId="0" xfId="0" applyNumberFormat="1" applyFont="1" applyFill="1" applyBorder="1"/>
    <x:xf numFmtId="0" fontId="20" fillId="3" borderId="0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21" fillId="8" borderId="0" xfId="0" applyNumberFormat="1" applyFont="1" applyFill="1" applyBorder="1"/>
    <x:xf numFmtId="0" fontId="21" fillId="8" borderId="0" xfId="0" applyNumberFormat="1" applyFont="1" applyFill="1" applyBorder="1" applyAlignment="1">
      <x:alignment horizontal="center"/>
    </x:xf>
    <x:xf numFmtId="0" fontId="21" fillId="8" borderId="0" xfId="0" applyNumberFormat="1" applyFont="1" applyFill="1" applyBorder="1" applyAlignment="1">
      <x:alignment horizontal="center" vertical="center"/>
    </x:xf>
    <x:xf numFmtId="0" fontId="22" fillId="7" borderId="0" xfId="0" applyNumberFormat="1" applyFont="1" applyFill="1" applyBorder="1"/>
    <x:xf numFmtId="0" fontId="22" fillId="7" borderId="0" xfId="0" applyNumberFormat="1" applyFont="1" applyFill="1" applyBorder="1" applyAlignment="1">
      <x:alignment horizontal="center"/>
    </x:xf>
    <x:xf numFmtId="0" fontId="22" fillId="7" borderId="0" xfId="0" applyNumberFormat="1" applyFont="1" applyFill="1" applyBorder="1" applyAlignment="1">
      <x:alignment horizontal="center" vertical="center"/>
    </x:xf>
    <x:xf numFmtId="201" fontId="0" fillId="0" borderId="0" xfId="0" applyNumberFormat="1" applyFont="1" applyFill="1" applyBorder="1"/>
    <x:xf numFmtId="201" fontId="23" fillId="0" borderId="0" xfId="0" applyNumberFormat="1" applyFont="1" applyFill="1" applyBorder="1"/>
    <x:xf numFmtId="0" fontId="24" fillId="6" borderId="0" xfId="0" applyNumberFormat="1" applyFont="1" applyFill="1" applyBorder="1"/>
    <x:xf numFmtId="0" fontId="24" fillId="6" borderId="0" xfId="0" applyNumberFormat="1" applyFont="1" applyFill="1" applyBorder="1" applyAlignment="1">
      <x:alignment wrapText="1"/>
    </x:xf>
    <x:xf numFmtId="0" fontId="25" fillId="8" borderId="0" xfId="0" applyNumberFormat="1" applyFont="1" applyFill="1" applyBorder="1"/>
    <x:xf numFmtId="0" fontId="25" fillId="8" borderId="0" xfId="0" applyNumberFormat="1" applyFont="1" applyFill="1" applyBorder="1" applyAlignment="1">
      <x:alignment horizontal="center"/>
    </x:xf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0" fontId="23" fillId="0" borderId="0" xfId="0" applyNumberFormat="1" applyFont="1" applyFill="1" applyBorder="1"/>
    <x:xf numFmtId="0" fontId="23" fillId="8" borderId="0" xfId="0" applyNumberFormat="1" applyFont="1" applyFill="1" applyBorder="1"/>
    <x:xf numFmtId="0" fontId="26" fillId="8" borderId="0" xfId="0" applyNumberFormat="1" applyFont="1" applyFill="1" applyBorder="1"/>
    <x:xf numFmtId="0" fontId="26" fillId="8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200" fontId="23" fillId="0" borderId="0" xfId="0" applyNumberFormat="1" applyFont="1" applyFill="1" applyBorder="1"/>
    <x:xf numFmtId="202" fontId="0" fillId="0" borderId="0" xfId="0" applyNumberFormat="1" applyFont="1" applyFill="1" applyBorder="1"/>
    <x:xf numFmtId="202" fontId="23" fillId="0" borderId="0" xfId="0" applyNumberFormat="1" applyFont="1" applyFill="1" applyBorder="1"/>
    <x:xf numFmtId="0" fontId="0" fillId="0" borderId="21" xfId="0" applyNumberFormat="1" applyFont="1" applyFill="1" applyBorder="1"/>
    <x:xf numFmtId="201" fontId="23" fillId="0" borderId="21" xfId="0" applyNumberFormat="1" applyFont="1" applyFill="1" applyBorder="1"/>
    <x:xf numFmtId="0" fontId="26" fillId="8" borderId="21" xfId="0" applyNumberFormat="1" applyFont="1" applyFill="1" applyBorder="1" applyAlignment="1">
      <x:alignment horizontal="center"/>
    </x:xf>
    <x:xf numFmtId="0" fontId="7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/>
    <x:xf numFmtId="200" fontId="23" fillId="0" borderId="22" xfId="0" applyNumberFormat="1" applyFont="1" applyFill="1" applyBorder="1"/>
    <x:xf numFmtId="0" fontId="26" fillId="8" borderId="22" xfId="0" applyNumberFormat="1" applyFont="1" applyFill="1" applyBorder="1" applyAlignment="1">
      <x:alignment horizontal="center"/>
    </x:xf>
    <x:xf numFmtId="0" fontId="7" fillId="0" borderId="22" xfId="0" applyNumberFormat="1" applyFont="1" applyFill="1" applyBorder="1" applyAlignment="1">
      <x:alignment wrapText="1"/>
    </x:xf>
    <x:xf numFmtId="202" fontId="23" fillId="0" borderId="22" xfId="0" applyNumberFormat="1" applyFont="1" applyFill="1" applyBorder="1"/>
    <x:xf numFmtId="201" fontId="23" fillId="0" borderId="22" xfId="0" applyNumberFormat="1" applyFont="1" applyFill="1" applyBorder="1"/>
    <x:xf numFmtId="0" fontId="0" fillId="0" borderId="23" xfId="0" applyNumberFormat="1" applyFont="1" applyFill="1" applyBorder="1"/>
    <x:xf numFmtId="201" fontId="23" fillId="0" borderId="23" xfId="0" applyNumberFormat="1" applyFont="1" applyFill="1" applyBorder="1"/>
    <x:xf numFmtId="0" fontId="26" fillId="8" borderId="23" xfId="0" applyNumberFormat="1" applyFont="1" applyFill="1" applyBorder="1" applyAlignment="1">
      <x:alignment horizontal="center"/>
    </x:xf>
    <x:xf numFmtId="0" fontId="7" fillId="0" borderId="23" xfId="0" applyNumberFormat="1" applyFont="1" applyFill="1" applyBorder="1" applyAlignment="1">
      <x:alignment wrapText="1"/>
    </x:xf>
    <x:xf numFmtId="0" fontId="27" fillId="0" borderId="12" xfId="0" applyNumberFormat="1" applyFont="1" applyFill="1" applyBorder="1" applyAlignment="1">
      <x:alignment wrapText="1"/>
    </x:xf>
    <x:xf numFmtId="0" fontId="27" fillId="0" borderId="18" xfId="0" applyNumberFormat="1" applyFont="1" applyFill="1" applyBorder="1" applyAlignment="1">
      <x:alignment wrapText="1"/>
    </x:xf>
    <x:xf numFmtId="0" fontId="27" fillId="0" borderId="13" xfId="0" applyNumberFormat="1" applyFont="1" applyFill="1" applyBorder="1" applyAlignment="1">
      <x:alignment wrapText="1"/>
    </x:xf>
    <x:xf numFmtId="0" fontId="27" fillId="0" borderId="19" xfId="0" applyNumberFormat="1" applyFont="1" applyFill="1" applyBorder="1" applyAlignment="1">
      <x:alignment wrapText="1"/>
    </x:xf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28" fillId="5" borderId="0" xfId="0" applyNumberFormat="1" applyFont="1" applyFill="1" applyBorder="1"/>
    <x:xf numFmtId="0" fontId="28" fillId="5" borderId="0" xfId="0" applyNumberFormat="1" applyFont="1" applyFill="1" applyBorder="1" applyAlignment="1">
      <x:alignment vertical="center"/>
    </x:xf>
    <x:xf numFmtId="0" fontId="29" fillId="8" borderId="0" xfId="0" applyNumberFormat="1" applyFont="1" applyFill="1" applyBorder="1"/>
    <x:xf numFmtId="0" fontId="29" fillId="8" borderId="0" xfId="0" applyNumberFormat="1" applyFont="1" applyFill="1" applyBorder="1" applyAlignment="1">
      <x:alignment horizontal="center"/>
    </x:xf>
    <x:xf numFmtId="0" fontId="29" fillId="8" borderId="0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6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vertical="center" wrapText="1"/>
    </x:xf>
    <x:xf numFmtId="0" fontId="27" fillId="0" borderId="12" xfId="0" applyNumberFormat="1" applyFont="1" applyFill="1" applyBorder="1"/>
    <x:xf numFmtId="0" fontId="27" fillId="0" borderId="13" xfId="0" applyNumberFormat="1" applyFont="1" applyFill="1" applyBorder="1"/>
    <x:xf numFmtId="0" fontId="27" fillId="0" borderId="15" xfId="0" applyNumberFormat="1" applyFont="1" applyFill="1" applyBorder="1"/>
    <x:xf numFmtId="0" fontId="27" fillId="0" borderId="16" xfId="0" applyNumberFormat="1" applyFont="1" applyFill="1" applyBorder="1"/>
    <x:xf numFmtId="0" fontId="27" fillId="0" borderId="18" xfId="0" applyNumberFormat="1" applyFont="1" applyFill="1" applyBorder="1"/>
    <x:xf numFmtId="0" fontId="27" fillId="0" borderId="19" xfId="0" applyNumberFormat="1" applyFont="1" applyFill="1" applyBorder="1"/>
    <x:xf numFmtId="0" fontId="30" fillId="0" borderId="13" xfId="0" applyNumberFormat="1" applyFont="1" applyFill="1" applyBorder="1"/>
    <x:xf numFmtId="0" fontId="30" fillId="0" borderId="16" xfId="0" applyNumberFormat="1" applyFont="1" applyFill="1" applyBorder="1"/>
    <x:xf numFmtId="0" fontId="30" fillId="0" borderId="19" xfId="0" applyNumberFormat="1" applyFont="1" applyFill="1" applyBorder="1"/>
    <x:xf numFmtId="0" fontId="0" fillId="7" borderId="13" xfId="0" applyNumberFormat="1" applyFont="1" applyFill="1" applyBorder="1"/>
    <x:xf numFmtId="0" fontId="0" fillId="7" borderId="14" xfId="0" applyNumberFormat="1" applyFont="1" applyFill="1" applyBorder="1"/>
    <x:xf numFmtId="0" fontId="0" fillId="7" borderId="16" xfId="0" applyNumberFormat="1" applyFont="1" applyFill="1" applyBorder="1"/>
    <x:xf numFmtId="0" fontId="0" fillId="7" borderId="17" xfId="0" applyNumberFormat="1" applyFont="1" applyFill="1" applyBorder="1"/>
    <x:xf numFmtId="0" fontId="0" fillId="7" borderId="19" xfId="0" applyNumberFormat="1" applyFont="1" applyFill="1" applyBorder="1"/>
    <x:xf numFmtId="0" fontId="0" fillId="7" borderId="20" xfId="0" applyNumberFormat="1" applyFont="1" applyFill="1" applyBorder="1"/>
    <x:xf numFmtId="0" fontId="11" fillId="7" borderId="13" xfId="0" applyNumberFormat="1" applyFont="1" applyFill="1" applyBorder="1"/>
    <x:xf numFmtId="0" fontId="11" fillId="7" borderId="14" xfId="0" applyNumberFormat="1" applyFont="1" applyFill="1" applyBorder="1"/>
    <x:xf numFmtId="0" fontId="11" fillId="7" borderId="16" xfId="0" applyNumberFormat="1" applyFont="1" applyFill="1" applyBorder="1"/>
    <x:xf numFmtId="0" fontId="11" fillId="7" borderId="17" xfId="0" applyNumberFormat="1" applyFont="1" applyFill="1" applyBorder="1"/>
    <x:xf numFmtId="0" fontId="11" fillId="7" borderId="19" xfId="0" applyNumberFormat="1" applyFont="1" applyFill="1" applyBorder="1"/>
    <x:xf numFmtId="0" fontId="11" fillId="7" borderId="20" xfId="0" applyNumberFormat="1" applyFont="1" applyFill="1" applyBorder="1"/>
    <x:xf numFmtId="0" fontId="11" fillId="7" borderId="13" xfId="0" applyNumberFormat="1" applyFont="1" applyFill="1" applyBorder="1" applyAlignment="1">
      <x:alignment wrapText="1"/>
    </x:xf>
    <x:xf numFmtId="0" fontId="11" fillId="7" borderId="14" xfId="0" applyNumberFormat="1" applyFont="1" applyFill="1" applyBorder="1" applyAlignment="1">
      <x:alignment wrapText="1"/>
    </x:xf>
    <x:xf numFmtId="0" fontId="11" fillId="7" borderId="16" xfId="0" applyNumberFormat="1" applyFont="1" applyFill="1" applyBorder="1" applyAlignment="1">
      <x:alignment wrapText="1"/>
    </x:xf>
    <x:xf numFmtId="0" fontId="11" fillId="7" borderId="17" xfId="0" applyNumberFormat="1" applyFont="1" applyFill="1" applyBorder="1" applyAlignment="1">
      <x:alignment wrapText="1"/>
    </x:xf>
    <x:xf numFmtId="0" fontId="11" fillId="7" borderId="19" xfId="0" applyNumberFormat="1" applyFont="1" applyFill="1" applyBorder="1" applyAlignment="1">
      <x:alignment wrapText="1"/>
    </x:xf>
    <x:xf numFmtId="0" fontId="11" fillId="7" borderId="2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7" fillId="0" borderId="15" xfId="0" applyNumberFormat="1" applyFont="1" applyFill="1" applyBorder="1" applyAlignment="1">
      <x:alignment wrapText="1"/>
    </x:xf>
    <x:xf numFmtId="0" fontId="27" fillId="0" borderId="16" xfId="0" applyNumberFormat="1" applyFont="1" applyFill="1" applyBorder="1" applyAlignment="1">
      <x:alignment wrapText="1"/>
    </x:xf>
    <x:xf numFmtId="0" fontId="27" fillId="0" borderId="0" xfId="0" applyNumberFormat="1" applyFont="1" applyFill="1" applyBorder="1"/>
    <x:xf numFmtId="201" fontId="31" fillId="0" borderId="0" xfId="0" applyNumberFormat="1" applyFont="1" applyFill="1" applyBorder="1" applyAlignment="1">
      <x:alignment horizontal="right"/>
    </x:xf>
    <x:xf numFmtId="202" fontId="31" fillId="0" borderId="0" xfId="0" applyNumberFormat="1" applyFont="1" applyFill="1" applyBorder="1" applyAlignment="1">
      <x:alignment horizontal="right"/>
    </x:xf>
    <x:xf numFmtId="203" fontId="31" fillId="0" borderId="0" xfId="0" applyNumberFormat="1" applyFont="1" applyFill="1" applyBorder="1" applyAlignment="1">
      <x:alignment horizontal="right"/>
    </x:xf>
    <x:xf numFmtId="0" fontId="32" fillId="0" borderId="0" xfId="0" applyNumberFormat="1" applyFont="1" applyFill="1" applyBorder="1"/>
    <x:xf numFmtId="0" fontId="32" fillId="0" borderId="12" xfId="0" applyNumberFormat="1" applyFont="1" applyFill="1" applyBorder="1"/>
    <x:xf numFmtId="0" fontId="32" fillId="0" borderId="13" xfId="0" applyNumberFormat="1" applyFont="1" applyFill="1" applyBorder="1"/>
    <x:xf numFmtId="0" fontId="32" fillId="0" borderId="14" xfId="0" applyNumberFormat="1" applyFont="1" applyFill="1" applyBorder="1"/>
    <x:xf numFmtId="0" fontId="32" fillId="0" borderId="15" xfId="0" applyNumberFormat="1" applyFont="1" applyFill="1" applyBorder="1"/>
    <x:xf numFmtId="0" fontId="32" fillId="0" borderId="16" xfId="0" applyNumberFormat="1" applyFont="1" applyFill="1" applyBorder="1"/>
    <x:xf numFmtId="0" fontId="32" fillId="0" borderId="17" xfId="0" applyNumberFormat="1" applyFont="1" applyFill="1" applyBorder="1"/>
    <x:xf numFmtId="0" fontId="32" fillId="0" borderId="18" xfId="0" applyNumberFormat="1" applyFont="1" applyFill="1" applyBorder="1"/>
    <x:xf numFmtId="0" fontId="32" fillId="0" borderId="19" xfId="0" applyNumberFormat="1" applyFont="1" applyFill="1" applyBorder="1"/>
    <x:xf numFmtId="0" fontId="32" fillId="0" borderId="20" xfId="0" applyNumberFormat="1" applyFont="1" applyFill="1" applyBorder="1"/>
    <x:xf numFmtId="0" fontId="32" fillId="0" borderId="12" xfId="0" applyNumberFormat="1" applyFont="1" applyFill="1" applyBorder="1" applyAlignment="1">
      <x:alignment wrapText="1"/>
    </x:xf>
    <x:xf numFmtId="0" fontId="32" fillId="0" borderId="13" xfId="0" applyNumberFormat="1" applyFont="1" applyFill="1" applyBorder="1" applyAlignment="1">
      <x:alignment wrapText="1"/>
    </x:xf>
    <x:xf numFmtId="0" fontId="32" fillId="0" borderId="14" xfId="0" applyNumberFormat="1" applyFont="1" applyFill="1" applyBorder="1" applyAlignment="1">
      <x:alignment wrapText="1"/>
    </x:xf>
    <x:xf numFmtId="0" fontId="32" fillId="0" borderId="15" xfId="0" applyNumberFormat="1" applyFont="1" applyFill="1" applyBorder="1" applyAlignment="1">
      <x:alignment wrapText="1"/>
    </x:xf>
    <x:xf numFmtId="0" fontId="32" fillId="0" borderId="16" xfId="0" applyNumberFormat="1" applyFont="1" applyFill="1" applyBorder="1" applyAlignment="1">
      <x:alignment wrapText="1"/>
    </x:xf>
    <x:xf numFmtId="0" fontId="32" fillId="0" borderId="17" xfId="0" applyNumberFormat="1" applyFont="1" applyFill="1" applyBorder="1" applyAlignment="1">
      <x:alignment wrapText="1"/>
    </x:xf>
    <x:xf numFmtId="0" fontId="32" fillId="0" borderId="18" xfId="0" applyNumberFormat="1" applyFont="1" applyFill="1" applyBorder="1" applyAlignment="1">
      <x:alignment wrapText="1"/>
    </x:xf>
    <x:xf numFmtId="0" fontId="32" fillId="0" borderId="19" xfId="0" applyNumberFormat="1" applyFont="1" applyFill="1" applyBorder="1" applyAlignment="1">
      <x:alignment wrapText="1"/>
    </x:xf>
    <x:xf numFmtId="0" fontId="32" fillId="0" borderId="20" xfId="0" applyNumberFormat="1" applyFont="1" applyFill="1" applyBorder="1" applyAlignment="1">
      <x:alignment wrapText="1"/>
    </x:xf>
    <x:xf numFmtId="0" fontId="33" fillId="0" borderId="12" xfId="0" applyNumberFormat="1" applyFont="1" applyFill="1" applyBorder="1" applyAlignment="1">
      <x:alignment wrapText="1"/>
    </x:xf>
    <x:xf numFmtId="0" fontId="34" fillId="0" borderId="13" xfId="0" applyNumberFormat="1" applyFont="1" applyFill="1" applyBorder="1" applyAlignment="1">
      <x:alignment wrapText="1"/>
    </x:xf>
    <x:xf numFmtId="0" fontId="35" fillId="0" borderId="13" xfId="0" applyNumberFormat="1" applyFont="1" applyFill="1" applyBorder="1" applyAlignment="1">
      <x:alignment wrapText="1"/>
    </x:xf>
    <x:xf numFmtId="0" fontId="32" fillId="7" borderId="13" xfId="0" applyNumberFormat="1" applyFont="1" applyFill="1" applyBorder="1" applyAlignment="1">
      <x:alignment wrapText="1"/>
    </x:xf>
    <x:xf numFmtId="0" fontId="32" fillId="8" borderId="13" xfId="0" applyNumberFormat="1" applyFont="1" applyFill="1" applyBorder="1" applyAlignment="1">
      <x:alignment wrapText="1"/>
    </x:xf>
    <x:xf numFmtId="0" fontId="32" fillId="8" borderId="14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0F9F8F"/>
      </x:font>
      <x:fill>
        <x:patternFill patternType="solid">
          <x:bgColor rgb="FFE5F6F3"/>
        </x:patternFill>
      </x:fill>
    </x:dxf>
    <x:dxf>
      <x:font>
        <x:b/>
        <x:color rgb="FFB42318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51af313b3ae416a" /><Relationship Type="http://schemas.openxmlformats.org/officeDocument/2006/relationships/theme" Target="/xl/theme/theme1.xml" Id="Raf88607f5ee1435e" /><Relationship Type="http://schemas.openxmlformats.org/officeDocument/2006/relationships/sharedStrings" Target="/xl/sharedStrings.xml" Id="Ra1612e3f4c0b4050" /><Relationship Type="http://schemas.openxmlformats.org/officeDocument/2006/relationships/worksheet" Target="/xl/worksheets/sheet1.xml" Id="R2fd034268a574bf4" /><Relationship Type="http://schemas.openxmlformats.org/officeDocument/2006/relationships/worksheet" Target="/xl/worksheets/sheet2.xml" Id="R4c0e027092d64e94" /><Relationship Type="http://schemas.openxmlformats.org/officeDocument/2006/relationships/worksheet" Target="/xl/worksheets/sheet3.xml" Id="Re73fd716784c42fa" /><Relationship Type="http://schemas.openxmlformats.org/officeDocument/2006/relationships/worksheet" Target="/xl/worksheets/sheet4.xml" Id="R178991b00af448bf" /><Relationship Type="http://schemas.openxmlformats.org/officeDocument/2006/relationships/worksheet" Target="/xl/worksheets/sheet5.xml" Id="R7c918d2219e64772" /><Relationship Type="http://schemas.openxmlformats.org/officeDocument/2006/relationships/worksheet" Target="/xl/worksheets/sheet6.xml" Id="Rfe18420ee3b64400" /><Relationship Type="http://schemas.openxmlformats.org/officeDocument/2006/relationships/worksheet" Target="/xl/worksheets/sheet7.xml" Id="R86efa7be0d5a43c3" /><Relationship Type="http://schemas.openxmlformats.org/officeDocument/2006/relationships/worksheet" Target="/xl/worksheets/sheet8.xml" Id="Rf685bc61c17c4297" /><Relationship Type="http://schemas.openxmlformats.org/officeDocument/2006/relationships/worksheet" Target="/xl/worksheets/sheet9.xml" Id="R8ea244d29f09407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142de7a0a044fa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ARR and cash trajectory</a:t>
            </a:r>
          </a:p>
        </c:rich>
      </c:tx>
    </c:title>
    <c:plotArea>
      <c:lineChart>
        <c:grouping val="standard"/>
        <c:ser>
          <c:idx val="0"/>
          <c:order val="0"/>
          <c:tx>
            <c:v>Ending ARR</c:v>
          </c:tx>
          <c:marker>
            <c:symbol val="none"/>
          </c:marker>
          <c:cat>
            <c:strRef>
              <c:f>'Summary'!$A$16:$A$27</c:f>
              <c:strCache>
                <c:ptCount val="0"/>
              </c:strCache>
            </c:strRef>
          </c:cat>
          <c:val>
            <c:numRef>
              <c:f>'Summary'!$B$16:$B$27</c:f>
              <c:numCache>
                <c:formatCode>#,##0.0;(#,##0.0);-</c:formatCode>
                <c:ptCount val="0"/>
              </c:numCache>
            </c:numRef>
          </c:val>
        </c:ser>
        <c:ser>
          <c:idx val="1"/>
          <c:order val="1"/>
          <c:tx>
            <c:v>Closing cash</c:v>
          </c:tx>
          <c:marker>
            <c:symbol val="none"/>
          </c:marker>
          <c:cat>
            <c:strRef>
              <c:f>'Summary'!$A$16:$A$27</c:f>
              <c:strCache>
                <c:ptCount val="0"/>
              </c:strCache>
            </c:strRef>
          </c:cat>
          <c:val>
            <c:numRef>
              <c:f>'Summary'!$C$16:$C$27</c:f>
              <c:numCache>
                <c:formatCode>#,##0.0;(#,##0.0);-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.0;(#,##0.0);-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13</xdr:row>
      <xdr:rowOff>0</xdr:rowOff>
    </xdr:from>
    <xdr:to>
      <xdr:col>10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142de7a0a044fa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9e92996b102a43b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TDAT FINANCIAL MODELS</x:v>
      </x:c>
      <x:c r="B1" s="3" t="str">
        <x:v>TDAT FINANCIAL MODELS</x:v>
      </x:c>
      <x:c r="C1" s="3" t="str">
        <x:v>TDAT FINANCIAL MODELS</x:v>
      </x:c>
      <x:c r="D1" s="3" t="str">
        <x:v>TDAT FINANCIAL MODELS</x:v>
      </x:c>
      <x:c r="E1" s="3" t="str">
        <x:v>TDAT FINANCIAL MODELS</x:v>
      </x:c>
      <x:c r="F1" s="3" t="str">
        <x:v>TDAT FINANCIAL MODELS</x:v>
      </x:c>
      <x:c r="G1" s="3" t="str">
        <x:v>TDAT FINANCIAL MODELS</x:v>
      </x:c>
      <x:c r="H1" s="3" t="str">
        <x:v>TDAT FINANCIAL MODELS</x:v>
      </x:c>
      <x:c r="I1" s="3" t="str">
        <x:v>TDAT FINANCIAL MODELS</x:v>
      </x:c>
      <x:c r="J1" s="3" t="str">
        <x:v>TDAT FINANCIAL MODELS</x:v>
      </x:c>
    </x:row>
    <x:row r="2" ht="24" customHeight="1">
      <x:c r="A2" s="6" t="str">
        <x:v>TDAT-FM-SME-002  |  Built to flex. Built to tie. Built to trust.</x:v>
      </x:c>
      <x:c r="B2" s="6" t="str">
        <x:v>TDAT-FM-SME-002  |  Built to flex. Built to tie. Built to trust.</x:v>
      </x:c>
      <x:c r="C2" s="6" t="str">
        <x:v>TDAT-FM-SME-002  |  Built to flex. Built to tie. Built to trust.</x:v>
      </x:c>
      <x:c r="D2" s="6" t="str">
        <x:v>TDAT-FM-SME-002  |  Built to flex. Built to tie. Built to trust.</x:v>
      </x:c>
      <x:c r="E2" s="6" t="str">
        <x:v>TDAT-FM-SME-002  |  Built to flex. Built to tie. Built to trust.</x:v>
      </x:c>
      <x:c r="F2" s="6" t="str">
        <x:v>TDAT-FM-SME-002  |  Built to flex. Built to tie. Built to trust.</x:v>
      </x:c>
      <x:c r="G2" s="6" t="str">
        <x:v>TDAT-FM-SME-002  |  Built to flex. Built to tie. Built to trust.</x:v>
      </x:c>
      <x:c r="H2" s="6" t="str">
        <x:v>TDAT-FM-SME-002  |  Built to flex. Built to tie. Built to trust.</x:v>
      </x:c>
      <x:c r="I2" s="6" t="str">
        <x:v>TDAT-FM-SME-002  |  Built to flex. Built to tie. Built to trust.</x:v>
      </x:c>
      <x:c r="J2" s="6" t="str">
        <x:v>TDAT-FM-SME-002  |  Built to flex. Built to tie. Built to trust.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241" t="str">
        <x:v>SaaS Unit Economics</x:v>
      </x:c>
      <x:c r="B5" s="241" t="str">
        <x:v>SaaS Unit Economics</x:v>
      </x:c>
      <x:c r="C5" s="241" t="str">
        <x:v>SaaS Unit Economics</x:v>
      </x:c>
      <x:c r="D5" s="241" t="str">
        <x:v>SaaS Unit Economics</x:v>
      </x:c>
      <x:c r="E5" s="241" t="str">
        <x:v>SaaS Unit Economics</x:v>
      </x:c>
      <x:c r="F5" s="241" t="str">
        <x:v>SaaS Unit Economics</x:v>
      </x:c>
      <x:c r="G5" s="152" t="str">
        <x:v>CALCULATION INTEGRITY</x:v>
      </x:c>
      <x:c r="H5" s="152" t="str">
        <x:v>CALCULATION INTEGRITY</x:v>
      </x:c>
      <x:c r="I5" s="152" t="str">
        <x:v>CALCULATION INTEGRITY</x:v>
      </x:c>
      <x:c r="J5" s="152" t="str">
        <x:v>CALCULATION INTEGRITY</x:v>
      </x:c>
    </x:row>
    <x:row r="6">
      <x:c r="A6" s="241" t="str">
        <x:v>SaaS Unit Economics</x:v>
      </x:c>
      <x:c r="B6" s="241" t="str">
        <x:v>SaaS Unit Economics</x:v>
      </x:c>
      <x:c r="C6" s="241" t="str">
        <x:v>SaaS Unit Economics</x:v>
      </x:c>
      <x:c r="D6" s="241" t="str">
        <x:v>SaaS Unit Economics</x:v>
      </x:c>
      <x:c r="E6" s="241" t="str">
        <x:v>SaaS Unit Economics</x:v>
      </x:c>
      <x:c r="F6" s="241" t="str">
        <x:v>SaaS Unit Economics</x:v>
      </x:c>
      <x:c r="G6" s="244" t="str">
        <x:f>'Checks'!$B$5</x:f>
        <x:v>PASS</x:v>
      </x:c>
      <x:c r="H6" s="244"/>
      <x:c r="I6" s="244"/>
      <x:c r="J6" s="244"/>
    </x:row>
    <x:row r="7">
      <x:c r="A7" s="241" t="str">
        <x:v>SaaS Unit Economics</x:v>
      </x:c>
      <x:c r="B7" s="241" t="str">
        <x:v>SaaS Unit Economics</x:v>
      </x:c>
      <x:c r="C7" s="241" t="str">
        <x:v>SaaS Unit Economics</x:v>
      </x:c>
      <x:c r="D7" s="241" t="str">
        <x:v>SaaS Unit Economics</x:v>
      </x:c>
      <x:c r="E7" s="241" t="str">
        <x:v>SaaS Unit Economics</x:v>
      </x:c>
      <x:c r="F7" s="241" t="str">
        <x:v>SaaS Unit Economics</x:v>
      </x:c>
      <x:c r="G7" s="244"/>
      <x:c r="H7" s="244"/>
      <x:c r="I7" s="244"/>
      <x:c r="J7" s="244"/>
    </x:row>
    <x:row r="9" ht="22" customHeight="1">
      <x:c r="A9" s="9" t="str">
        <x:v>DECISION QUESTION</x:v>
      </x:c>
      <x:c r="B9" s="9" t="str">
        <x:v>DECISION QUESTION</x:v>
      </x:c>
      <x:c r="C9" s="9" t="str">
        <x:v>DECISION QUESTION</x:v>
      </x:c>
      <x:c r="D9" s="9" t="str">
        <x:v>DECISION QUESTION</x:v>
      </x:c>
      <x:c r="E9" s="9" t="str">
        <x:v>DECISION QUESTION</x:v>
      </x:c>
      <x:c r="F9" s="9" t="str">
        <x:v>DECISION QUESTION</x:v>
      </x:c>
      <x:c r="G9" s="9" t="str">
        <x:v>DECISION QUESTION</x:v>
      </x:c>
      <x:c r="H9" s="9" t="str">
        <x:v>DECISION QUESTION</x:v>
      </x:c>
      <x:c r="I9" s="9" t="str">
        <x:v>DECISION QUESTION</x:v>
      </x:c>
      <x:c r="J9" s="9" t="str">
        <x:v>DECISION QUESTION</x:v>
      </x:c>
    </x:row>
    <x:row r="10">
      <x:c r="A10" s="248" t="str">
        <x:v>Is growth efficient enough when retention, CAC, LTV, burn, and payback are viewed together?</x:v>
      </x:c>
      <x:c r="B10" s="248" t="str">
        <x:v>Is growth efficient enough when retention, CAC, LTV, burn, and payback are viewed together?</x:v>
      </x:c>
      <x:c r="C10" s="248" t="str">
        <x:v>Is growth efficient enough when retention, CAC, LTV, burn, and payback are viewed together?</x:v>
      </x:c>
      <x:c r="D10" s="248" t="str">
        <x:v>Is growth efficient enough when retention, CAC, LTV, burn, and payback are viewed together?</x:v>
      </x:c>
      <x:c r="E10" s="248" t="str">
        <x:v>Is growth efficient enough when retention, CAC, LTV, burn, and payback are viewed together?</x:v>
      </x:c>
      <x:c r="F10" s="248" t="str">
        <x:v>Is growth efficient enough when retention, CAC, LTV, burn, and payback are viewed together?</x:v>
      </x:c>
      <x:c r="G10" s="248" t="str">
        <x:v>Is growth efficient enough when retention, CAC, LTV, burn, and payback are viewed together?</x:v>
      </x:c>
      <x:c r="H10" s="248" t="str">
        <x:v>Is growth efficient enough when retention, CAC, LTV, burn, and payback are viewed together?</x:v>
      </x:c>
      <x:c r="I10" s="248" t="str">
        <x:v>Is growth efficient enough when retention, CAC, LTV, burn, and payback are viewed together?</x:v>
      </x:c>
      <x:c r="J10" s="248" t="str">
        <x:v>Is growth efficient enough when retention, CAC, LTV, burn, and payback are viewed together?</x:v>
      </x:c>
    </x:row>
    <x:row r="11">
      <x:c r="A11" s="248" t="str">
        <x:v>Is growth efficient enough when retention, CAC, LTV, burn, and payback are viewed together?</x:v>
      </x:c>
      <x:c r="B11" s="248" t="str">
        <x:v>Is growth efficient enough when retention, CAC, LTV, burn, and payback are viewed together?</x:v>
      </x:c>
      <x:c r="C11" s="248" t="str">
        <x:v>Is growth efficient enough when retention, CAC, LTV, burn, and payback are viewed together?</x:v>
      </x:c>
      <x:c r="D11" s="248" t="str">
        <x:v>Is growth efficient enough when retention, CAC, LTV, burn, and payback are viewed together?</x:v>
      </x:c>
      <x:c r="E11" s="248" t="str">
        <x:v>Is growth efficient enough when retention, CAC, LTV, burn, and payback are viewed together?</x:v>
      </x:c>
      <x:c r="F11" s="248" t="str">
        <x:v>Is growth efficient enough when retention, CAC, LTV, burn, and payback are viewed together?</x:v>
      </x:c>
      <x:c r="G11" s="248" t="str">
        <x:v>Is growth efficient enough when retention, CAC, LTV, burn, and payback are viewed together?</x:v>
      </x:c>
      <x:c r="H11" s="248" t="str">
        <x:v>Is growth efficient enough when retention, CAC, LTV, burn, and payback are viewed together?</x:v>
      </x:c>
      <x:c r="I11" s="248" t="str">
        <x:v>Is growth efficient enough when retention, CAC, LTV, burn, and payback are viewed together?</x:v>
      </x:c>
      <x:c r="J11" s="248" t="str">
        <x:v>Is growth efficient enough when retention, CAC, LTV, burn, and payback are viewed together?</x:v>
      </x:c>
    </x:row>
    <x:row r="13" ht="22" customHeight="1">
      <x:c r="A13" s="9" t="str">
        <x:v>FIRST READ</x:v>
      </x:c>
      <x:c r="B13" s="9" t="str">
        <x:v>FIRST READ</x:v>
      </x:c>
      <x:c r="C13" s="9" t="str">
        <x:v>FIRST READ</x:v>
      </x:c>
      <x:c r="D13" s="9" t="str">
        <x:v>FIRST READ</x:v>
      </x:c>
      <x:c r="E13" s="9" t="str">
        <x:v>FIRST READ</x:v>
      </x:c>
      <x:c r="F13" s="9" t="str">
        <x:v>FIRST READ</x:v>
      </x:c>
      <x:c r="G13" s="9" t="str">
        <x:v>FIRST READ</x:v>
      </x:c>
      <x:c r="H13" s="9" t="str">
        <x:v>FIRST READ</x:v>
      </x:c>
      <x:c r="I13" s="9" t="str">
        <x:v>FIRST READ</x:v>
      </x:c>
      <x:c r="J13" s="9" t="str">
        <x:v>FIRST READ</x:v>
      </x:c>
    </x:row>
    <x:row r="14">
      <x:c r="A14" s="249" t="str">
        <x:v>Calculation integrity</x:v>
      </x:c>
      <x:c r="B14" s="250" t="str">
        <x:v>Decision readiness</x:v>
      </x:c>
      <x:c r="C14" s="255" t="str">
        <x:f>'Checks'!$B$5</x:f>
        <x:v>PASS</x:v>
      </x:c>
      <x:c r="D14" s="255"/>
      <x:c r="E14" s="255"/>
      <x:c r="F14" s="270" t="str">
        <x:v>TEMPLATE — VALIDATE INPUTS</x:v>
      </x:c>
      <x:c r="G14" s="270" t="str">
        <x:v>TEMPLATE — VALIDATE INPUTS</x:v>
      </x:c>
      <x:c r="H14" s="270" t="str">
        <x:v>TEMPLATE — VALIDATE INPUTS</x:v>
      </x:c>
      <x:c r="I14" s="270" t="str">
        <x:v>TEMPLATE — VALIDATE INPUTS</x:v>
      </x:c>
      <x:c r="J14" s="271" t="str">
        <x:v>TEMPLATE — VALIDATE INPUTS</x:v>
      </x:c>
    </x:row>
    <x:row r="15">
      <x:c r="A15" s="251" t="str">
        <x:v>Published checks</x:v>
      </x:c>
      <x:c r="B15" s="252" t="str">
        <x:v>Template posture</x:v>
      </x:c>
      <x:c r="C15" s="256" t="str">
        <x:f>"10 / 10 PASS"</x:f>
        <x:v>10 / 10 PASS</x:v>
      </x:c>
      <x:c r="D15" s="256"/>
      <x:c r="E15" s="256"/>
      <x:c r="F15" s="272" t="str">
        <x:v>Illustrative, screen-grade worked example</x:v>
      </x:c>
      <x:c r="G15" s="272" t="str">
        <x:v>Illustrative, screen-grade worked example</x:v>
      </x:c>
      <x:c r="H15" s="272" t="str">
        <x:v>Illustrative, screen-grade worked example</x:v>
      </x:c>
      <x:c r="I15" s="272" t="str">
        <x:v>Illustrative, screen-grade worked example</x:v>
      </x:c>
      <x:c r="J15" s="273" t="str">
        <x:v>Illustrative, screen-grade worked example</x:v>
      </x:c>
    </x:row>
    <x:row r="16">
      <x:c r="A16" s="251" t="str">
        <x:v>Scenario</x:v>
      </x:c>
      <x:c r="B16" s="252" t="str">
        <x:v>Evidence</x:v>
      </x:c>
      <x:c r="C16" s="256" t="str">
        <x:f>'Assumptions'!$B$3</x:f>
        <x:v>Base</x:v>
      </x:c>
      <x:c r="D16" s="256"/>
      <x:c r="E16" s="256"/>
      <x:c r="F16" s="272" t="str">
        <x:v>Synthetic / illustrative</x:v>
      </x:c>
      <x:c r="G16" s="272" t="str">
        <x:v>Synthetic / illustrative</x:v>
      </x:c>
      <x:c r="H16" s="272" t="str">
        <x:v>Synthetic / illustrative</x:v>
      </x:c>
      <x:c r="I16" s="272" t="str">
        <x:v>Synthetic / illustrative</x:v>
      </x:c>
      <x:c r="J16" s="273" t="str">
        <x:v>Synthetic / illustrative</x:v>
      </x:c>
    </x:row>
    <x:row r="17">
      <x:c r="A17" s="253" t="str">
        <x:v>Owner</x:v>
      </x:c>
      <x:c r="B17" s="254" t="str">
        <x:v>Use</x:v>
      </x:c>
      <x:c r="C17" s="257" t="str">
        <x:f>'Sources &amp; Version'!$B$12</x:f>
        <x:v>Truong Dinh Anh Tu</x:v>
      </x:c>
      <x:c r="D17" s="257"/>
      <x:c r="E17" s="257"/>
      <x:c r="F17" s="274" t="str">
        <x:v>Startup Finance · FP&amp;A · Venture Capital · Founder</x:v>
      </x:c>
      <x:c r="G17" s="274" t="str">
        <x:v>Startup Finance · FP&amp;A · Venture Capital · Founder</x:v>
      </x:c>
      <x:c r="H17" s="274" t="str">
        <x:v>Startup Finance · FP&amp;A · Venture Capital · Founder</x:v>
      </x:c>
      <x:c r="I17" s="274" t="str">
        <x:v>Startup Finance · FP&amp;A · Venture Capital · Founder</x:v>
      </x:c>
      <x:c r="J17" s="275" t="str">
        <x:v>Startup Finance · FP&amp;A · Venture Capital · Founder</x:v>
      </x:c>
    </x:row>
    <x:row r="19" ht="22" customHeight="1">
      <x:c r="A19" s="9" t="str">
        <x:v>MODEL IDENTITY</x:v>
      </x:c>
      <x:c r="B19" s="9" t="str">
        <x:v>MODEL IDENTITY</x:v>
      </x:c>
      <x:c r="C19" s="9" t="str">
        <x:v>MODEL IDENTITY</x:v>
      </x:c>
      <x:c r="D19" s="9" t="str">
        <x:v>MODEL IDENTITY</x:v>
      </x:c>
      <x:c r="E19" s="9" t="str">
        <x:v>MODEL IDENTITY</x:v>
      </x:c>
      <x:c r="F19" s="9" t="str">
        <x:v>MODEL IDENTITY</x:v>
      </x:c>
      <x:c r="G19" s="9" t="str">
        <x:v>KEY OUTPUTS</x:v>
      </x:c>
      <x:c r="H19" s="9" t="str">
        <x:v>KEY OUTPUTS</x:v>
      </x:c>
      <x:c r="I19" s="9" t="str">
        <x:v>KEY OUTPUTS</x:v>
      </x:c>
      <x:c r="J19" s="9" t="str">
        <x:v>KEY OUTPUTS</x:v>
      </x:c>
    </x:row>
    <x:row r="20">
      <x:c r="A20" s="230" t="str">
        <x:v>Model ID</x:v>
      </x:c>
      <x:c r="B20" s="167" t="str">
        <x:v>TDAT-FM-SME-002</x:v>
      </x:c>
      <x:c r="C20" s="232" t="str">
        <x:v>Version</x:v>
      </x:c>
      <x:c r="D20" s="167" t="str">
        <x:v>1.0.0</x:v>
      </x:c>
      <x:c r="E20" s="232" t="str">
        <x:v>Last QA</x:v>
      </x:c>
      <x:c r="F20" s="168" t="str">
        <x:v>2026-07-13</x:v>
      </x:c>
      <x:c r="G20" s="279" t="str">
        <x:v>Ending ARR</x:v>
      </x:c>
      <x:c r="H20" s="279" t="str">
        <x:v>Ending ARR</x:v>
      </x:c>
      <x:c r="I20" s="280" t="n">
        <x:f>'SaaS Engine'!Y$16</x:f>
        <x:v>6803.169021991715</x:v>
      </x:c>
      <x:c r="J20" s="280"/>
    </x:row>
    <x:row r="21">
      <x:c r="A21" s="277" t="str">
        <x:v>Domain</x:v>
      </x:c>
      <x:c r="B21" s="170" t="str">
        <x:v>SME &amp; Startup</x:v>
      </x:c>
      <x:c r="C21" s="278" t="str">
        <x:v>Compatibility</x:v>
      </x:c>
      <x:c r="D21" s="170" t="str">
        <x:v>Excel 365</x:v>
      </x:c>
      <x:c r="E21" s="278" t="str">
        <x:v>Macros</x:v>
      </x:c>
      <x:c r="F21" s="171" t="str">
        <x:v>None</x:v>
      </x:c>
      <x:c r="G21" s="279" t="str">
        <x:v>Ending NRR</x:v>
      </x:c>
      <x:c r="H21" s="279" t="str">
        <x:v>Ending NRR</x:v>
      </x:c>
      <x:c r="I21" s="281" t="n">
        <x:f>'SaaS Engine'!Y$18</x:f>
        <x:v>0.9858195023153348</x:v>
      </x:c>
      <x:c r="J21" s="281"/>
    </x:row>
    <x:row r="22">
      <x:c r="A22" s="277" t="str">
        <x:v>Horizon</x:v>
      </x:c>
      <x:c r="B22" s="170" t="str">
        <x:v>24–60 months</x:v>
      </x:c>
      <x:c r="C22" s="278" t="str">
        <x:v>Frequency</x:v>
      </x:c>
      <x:c r="D22" s="170" t="str">
        <x:v>Monthly</x:v>
      </x:c>
      <x:c r="E22" s="278" t="str">
        <x:v>External links</x:v>
      </x:c>
      <x:c r="F22" s="171" t="str">
        <x:v>None</x:v>
      </x:c>
      <x:c r="G22" s="279" t="str">
        <x:v>CAC</x:v>
      </x:c>
      <x:c r="H22" s="279" t="str">
        <x:v>CAC</x:v>
      </x:c>
      <x:c r="I22" s="280" t="n">
        <x:f>'SaaS Engine'!Y$19</x:f>
        <x:v>2.6758938869665516</x:v>
      </x:c>
      <x:c r="J22" s="280"/>
    </x:row>
    <x:row r="23">
      <x:c r="A23" s="277" t="str">
        <x:v>Currency</x:v>
      </x:c>
      <x:c r="B23" s="170" t="str">
        <x:v>LCY</x:v>
      </x:c>
      <x:c r="C23" s="278" t="str">
        <x:v>Units</x:v>
      </x:c>
      <x:c r="D23" s="170" t="str">
        <x:v>LCY thousands / customers</x:v>
      </x:c>
      <x:c r="E23" s="278" t="str">
        <x:v>Scenario</x:v>
      </x:c>
      <x:c r="F23" s="171" t="str">
        <x:v>Base / Upside / Downside</x:v>
      </x:c>
      <x:c r="G23" s="279" t="str">
        <x:v>LTV / CAC</x:v>
      </x:c>
      <x:c r="H23" s="279" t="str">
        <x:v>LTV / CAC</x:v>
      </x:c>
      <x:c r="I23" s="282" t="n">
        <x:f>'SaaS Engine'!Y$21</x:f>
        <x:v>16.67330689655172</x:v>
      </x:c>
      <x:c r="J23" s="282"/>
    </x:row>
    <x:row r="24">
      <x:c r="A24" s="231" t="str">
        <x:v>Owner</x:v>
      </x:c>
      <x:c r="B24" s="173" t="str">
        <x:v>Truong Dinh Anh Tu</x:v>
      </x:c>
      <x:c r="C24" s="233" t="str">
        <x:v>Standard</x:v>
      </x:c>
      <x:c r="D24" s="173" t="str">
        <x:v>TDAT Model Standard 1.0</x:v>
      </x:c>
      <x:c r="E24" s="233" t="str">
        <x:v>Evidence</x:v>
      </x:c>
      <x:c r="F24" s="174" t="str">
        <x:v>Synthetic worked template</x:v>
      </x:c>
      <x:c r="G24" s="279" t="str">
        <x:v>Burn multiple</x:v>
      </x:c>
      <x:c r="H24" s="279" t="str">
        <x:v>Burn multiple</x:v>
      </x:c>
      <x:c r="I24" s="282" t="n">
        <x:f>'SaaS Engine'!Y$30</x:f>
        <x:v>0</x:v>
      </x:c>
      <x:c r="J24" s="282"/>
    </x:row>
    <x:row r="26" ht="22" customHeight="1">
      <x:c r="A26" s="9" t="str">
        <x:v>CELL COLOR LEGEND</x:v>
      </x:c>
      <x:c r="B26" s="9" t="str">
        <x:v>CELL COLOR LEGEND</x:v>
      </x:c>
      <x:c r="C26" s="9" t="str">
        <x:v>CELL COLOR LEGEND</x:v>
      </x:c>
      <x:c r="D26" s="9" t="str">
        <x:v>CELL COLOR LEGEND</x:v>
      </x:c>
      <x:c r="E26" s="9" t="str">
        <x:v>CELL COLOR LEGEND</x:v>
      </x:c>
      <x:c r="F26" s="9" t="str">
        <x:v>CELL COLOR LEGEND</x:v>
      </x:c>
      <x:c r="G26" s="9" t="str">
        <x:v>CELL COLOR LEGEND</x:v>
      </x:c>
      <x:c r="H26" s="9" t="str">
        <x:v>CELL COLOR LEGEND</x:v>
      </x:c>
      <x:c r="I26" s="9" t="str">
        <x:v>CELL COLOR LEGEND</x:v>
      </x:c>
      <x:c r="J26" s="9" t="str">
        <x:v>CELL COLOR LEGEND</x:v>
      </x:c>
    </x:row>
    <x:row r="27">
      <x:c r="A27" s="302" t="str">
        <x:v>Blue font</x:v>
      </x:c>
      <x:c r="B27" s="294" t="str">
        <x:v>Editable hardcode</x:v>
      </x:c>
      <x:c r="C27" s="303" t="str">
        <x:v>Black font</x:v>
      </x:c>
      <x:c r="D27" s="294" t="str">
        <x:v>In-sheet formula</x:v>
      </x:c>
      <x:c r="E27" s="304" t="str">
        <x:v>Green font</x:v>
      </x:c>
      <x:c r="F27" s="294" t="str">
        <x:v>Cross-sheet formula</x:v>
      </x:c>
      <x:c r="G27" s="305" t="str">
        <x:v>Pale amber</x:v>
      </x:c>
      <x:c r="H27" s="305" t="str">
        <x:v>Scenario / review cue</x:v>
      </x:c>
      <x:c r="I27" s="306" t="str">
        <x:v>Teal</x:v>
      </x:c>
      <x:c r="J27" s="307" t="str">
        <x:v>PASS / trusted output</x:v>
      </x:c>
    </x:row>
    <x:row r="28">
      <x:c r="A28" s="296" t="str">
        <x:v>Actual</x:v>
      </x:c>
      <x:c r="B28" s="297" t="str">
        <x:v>Neutral period band</x:v>
      </x:c>
      <x:c r="C28" s="297" t="str">
        <x:v>Forecast</x:v>
      </x:c>
      <x:c r="D28" s="297" t="str">
        <x:v>Pale-blue period band</x:v>
      </x:c>
      <x:c r="E28" s="297" t="str">
        <x:v>Zero</x:v>
      </x:c>
      <x:c r="F28" s="297" t="str">
        <x:v>Displayed as an en dash</x:v>
      </x:c>
      <x:c r="G28" s="297" t="str">
        <x:v>Rule</x:v>
      </x:c>
      <x:c r="H28" s="297" t="str">
        <x:v>Keep formulas copy-across</x:v>
      </x:c>
      <x:c r="I28" s="297" t="str">
        <x:v>Rule</x:v>
      </x:c>
      <x:c r="J28" s="298" t="str">
        <x:v>Recheck after every change</x:v>
      </x:c>
    </x:row>
    <x:row r="29">
      <x:c r="A29" s="299" t="str">
        <x:v>Status</x:v>
      </x:c>
      <x:c r="B29" s="300" t="str">
        <x:v>PASS means controls tie</x:v>
      </x:c>
      <x:c r="C29" s="300" t="str">
        <x:v>Readiness</x:v>
      </x:c>
      <x:c r="D29" s="300" t="str">
        <x:v>Inputs still require review</x:v>
      </x:c>
      <x:c r="E29" s="300" t="str">
        <x:v>Privacy</x:v>
      </x:c>
      <x:c r="F29" s="300" t="str">
        <x:v>Public-safe example</x:v>
      </x:c>
      <x:c r="G29" s="300" t="str">
        <x:v>Use</x:v>
      </x:c>
      <x:c r="H29" s="300" t="str">
        <x:v>Adapt and validate</x:v>
      </x:c>
      <x:c r="I29" s="300" t="str">
        <x:v>Support</x:v>
      </x:c>
      <x:c r="J29" s="301" t="str">
        <x:v>Model notes + web guide</x:v>
      </x:c>
    </x:row>
    <x:row r="31">
      <x:c r="A31" s="42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B31" s="43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C31" s="43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D31" s="43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E31" s="43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F31" s="43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G31" s="43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H31" s="43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I31" s="43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J31" s="44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</x:row>
    <x:row r="32">
      <x:c r="A32" s="45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B32" s="46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C32" s="46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D32" s="46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E32" s="46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F32" s="46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G32" s="46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H32" s="46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I32" s="46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J32" s="47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</x:row>
    <x:row r="33">
      <x:c r="A33" s="48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B33" s="49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C33" s="49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D33" s="49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E33" s="49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F33" s="49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G33" s="49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H33" s="49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I33" s="49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J33" s="50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</x:row>
    <x:row r="35">
      <x:c r="A35" s="53" t="str">
        <x:v>TDAT Model Library  |  Trust builds the brand. Insight builds the decision.</x:v>
      </x:c>
      <x:c r="B35" s="53" t="str">
        <x:v>TDAT Model Library  |  Trust builds the brand. Insight builds the decision.</x:v>
      </x:c>
      <x:c r="C35" s="53" t="str">
        <x:v>TDAT Model Library  |  Trust builds the brand. Insight builds the decision.</x:v>
      </x:c>
      <x:c r="D35" s="53" t="str">
        <x:v>TDAT Model Library  |  Trust builds the brand. Insight builds the decision.</x:v>
      </x:c>
      <x:c r="E35" s="53" t="str">
        <x:v>TDAT Model Library  |  Trust builds the brand. Insight builds the decision.</x:v>
      </x:c>
      <x:c r="F35" s="53" t="str">
        <x:v>TDAT Model Library  |  Trust builds the brand. Insight builds the decision.</x:v>
      </x:c>
      <x:c r="G35" s="53" t="str">
        <x:v>TDAT Model Library  |  Trust builds the brand. Insight builds the decision.</x:v>
      </x:c>
      <x:c r="H35" s="53" t="str">
        <x:v>TDAT Model Library  |  Trust builds the brand. Insight builds the decision.</x:v>
      </x:c>
      <x:c r="I35" s="53" t="str">
        <x:v>TDAT Model Library  |  Trust builds the brand. Insight builds the decision.</x:v>
      </x:c>
      <x:c r="J35" s="53" t="str">
        <x:v>TDAT Model Library  |  Trust builds the brand. Insight builds the decision.</x:v>
      </x:c>
    </x:row>
  </x:sheetData>
  <x:mergeCells>
    <x:mergeCell ref="A1:J1"/>
    <x:mergeCell ref="A2:J2"/>
    <x:mergeCell ref="A5:F7"/>
    <x:mergeCell ref="G5:J5"/>
    <x:mergeCell ref="G6:J7"/>
    <x:mergeCell ref="A9:J9"/>
    <x:mergeCell ref="A10:J11"/>
    <x:mergeCell ref="A13:J13"/>
    <x:mergeCell ref="C14:E14"/>
    <x:mergeCell ref="F14:J14"/>
    <x:mergeCell ref="C15:E15"/>
    <x:mergeCell ref="F15:J15"/>
    <x:mergeCell ref="C16:E16"/>
    <x:mergeCell ref="F16:J16"/>
    <x:mergeCell ref="C17:E17"/>
    <x:mergeCell ref="F17:J17"/>
    <x:mergeCell ref="A19:J19"/>
    <x:mergeCell ref="G19:J19"/>
    <x:mergeCell ref="G20:H20"/>
    <x:mergeCell ref="I20:J20"/>
    <x:mergeCell ref="G21:H21"/>
    <x:mergeCell ref="I21:J21"/>
    <x:mergeCell ref="G22:H22"/>
    <x:mergeCell ref="I22:J22"/>
    <x:mergeCell ref="G23:H23"/>
    <x:mergeCell ref="I23:J23"/>
    <x:mergeCell ref="G24:H24"/>
    <x:mergeCell ref="I24:J24"/>
    <x:mergeCell ref="A26:J26"/>
    <x:mergeCell ref="A31:J33"/>
    <x:mergeCell ref="A35:J3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</x:cols>
  <x:sheetData>
    <x:row r="1" ht="34" customHeight="1">
      <x:c r="A1" s="3" t="str">
        <x:v>MODEL GUIDE</x:v>
      </x:c>
      <x:c r="B1" s="3" t="str">
        <x:v>MODEL GUIDE</x:v>
      </x:c>
      <x:c r="C1" s="3" t="str">
        <x:v>MODEL GUIDE</x:v>
      </x:c>
      <x:c r="D1" s="3" t="str">
        <x:v>MODEL GUIDE</x:v>
      </x:c>
      <x:c r="E1" s="3" t="str">
        <x:v>MODEL GUIDE</x:v>
      </x:c>
      <x:c r="F1" s="3" t="str">
        <x:v>MODEL GUIDE</x:v>
      </x:c>
      <x:c r="G1" s="3" t="str">
        <x:v>MODEL GUIDE</x:v>
      </x:c>
      <x:c r="H1" s="3" t="str">
        <x:v>MODEL GUIDE</x:v>
      </x:c>
      <x:c r="I1" s="3" t="str">
        <x:v>MODEL GUIDE</x:v>
      </x:c>
      <x:c r="J1" s="3" t="str">
        <x:v>MODEL GUIDE</x:v>
      </x:c>
    </x:row>
    <x:row r="2" ht="24" customHeight="1">
      <x:c r="A2" s="6" t="str">
        <x:v>SaaS Unit Economics  |  Scope, setup, flexibility, and limitations</x:v>
      </x:c>
      <x:c r="B2" s="6" t="str">
        <x:v>SaaS Unit Economics  |  Scope, setup, flexibility, and limitations</x:v>
      </x:c>
      <x:c r="C2" s="6" t="str">
        <x:v>SaaS Unit Economics  |  Scope, setup, flexibility, and limitations</x:v>
      </x:c>
      <x:c r="D2" s="6" t="str">
        <x:v>SaaS Unit Economics  |  Scope, setup, flexibility, and limitations</x:v>
      </x:c>
      <x:c r="E2" s="6" t="str">
        <x:v>SaaS Unit Economics  |  Scope, setup, flexibility, and limitations</x:v>
      </x:c>
      <x:c r="F2" s="6" t="str">
        <x:v>SaaS Unit Economics  |  Scope, setup, flexibility, and limitations</x:v>
      </x:c>
      <x:c r="G2" s="6" t="str">
        <x:v>SaaS Unit Economics  |  Scope, setup, flexibility, and limitations</x:v>
      </x:c>
      <x:c r="H2" s="6" t="str">
        <x:v>SaaS Unit Economics  |  Scope, setup, flexibility, and limitations</x:v>
      </x:c>
      <x:c r="I2" s="6" t="str">
        <x:v>SaaS Unit Economics  |  Scope, setup, flexibility, and limitations</x:v>
      </x:c>
      <x:c r="J2" s="6" t="str">
        <x:v>SaaS Unit Economics  |  Scope, setup, flexibility, and limitations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 ht="22" customHeight="1">
      <x:c r="A5" s="9" t="str">
        <x:v>PURPOSE AND USERS</x:v>
      </x:c>
      <x:c r="B5" s="9" t="str">
        <x:v>PURPOSE AND USERS</x:v>
      </x:c>
      <x:c r="C5" s="9" t="str">
        <x:v>PURPOSE AND USERS</x:v>
      </x:c>
      <x:c r="D5" s="9" t="str">
        <x:v>PURPOSE AND USERS</x:v>
      </x:c>
      <x:c r="E5" s="9" t="str">
        <x:v>PURPOSE AND USERS</x:v>
      </x:c>
      <x:c r="F5" s="9" t="str">
        <x:v>PURPOSE AND USERS</x:v>
      </x:c>
      <x:c r="G5" s="9" t="str">
        <x:v>PURPOSE AND USERS</x:v>
      </x:c>
      <x:c r="H5" s="9" t="str">
        <x:v>PURPOSE AND USERS</x:v>
      </x:c>
      <x:c r="I5" s="9" t="str">
        <x:v>PURPOSE AND USERS</x:v>
      </x:c>
      <x:c r="J5" s="9" t="str">
        <x:v>PURPOSE AND USERS</x:v>
      </x:c>
    </x:row>
    <x:row r="6">
      <x:c r="A6" s="12" t="str">
        <x:v>ARR bridge, cohort retention, CAC, LTV, gross margin, burn multiple, runway, and scenario logic.
Primary users: Startup Finance, FP&amp;A, Venture Capital, Founder. Typical use: Unit economics, Runway, Fundraising.</x:v>
      </x:c>
      <x:c r="B6" s="12" t="str">
        <x:v>ARR bridge, cohort retention, CAC, LTV, gross margin, burn multiple, runway, and scenario logic.
Primary users: Startup Finance, FP&amp;A, Venture Capital, Founder. Typical use: Unit economics, Runway, Fundraising.</x:v>
      </x:c>
      <x:c r="C6" s="12" t="str">
        <x:v>ARR bridge, cohort retention, CAC, LTV, gross margin, burn multiple, runway, and scenario logic.
Primary users: Startup Finance, FP&amp;A, Venture Capital, Founder. Typical use: Unit economics, Runway, Fundraising.</x:v>
      </x:c>
      <x:c r="D6" s="12" t="str">
        <x:v>ARR bridge, cohort retention, CAC, LTV, gross margin, burn multiple, runway, and scenario logic.
Primary users: Startup Finance, FP&amp;A, Venture Capital, Founder. Typical use: Unit economics, Runway, Fundraising.</x:v>
      </x:c>
      <x:c r="E6" s="12" t="str">
        <x:v>ARR bridge, cohort retention, CAC, LTV, gross margin, burn multiple, runway, and scenario logic.
Primary users: Startup Finance, FP&amp;A, Venture Capital, Founder. Typical use: Unit economics, Runway, Fundraising.</x:v>
      </x:c>
      <x:c r="F6" s="12" t="str">
        <x:v>ARR bridge, cohort retention, CAC, LTV, gross margin, burn multiple, runway, and scenario logic.
Primary users: Startup Finance, FP&amp;A, Venture Capital, Founder. Typical use: Unit economics, Runway, Fundraising.</x:v>
      </x:c>
      <x:c r="G6" s="12" t="str">
        <x:v>ARR bridge, cohort retention, CAC, LTV, gross margin, burn multiple, runway, and scenario logic.
Primary users: Startup Finance, FP&amp;A, Venture Capital, Founder. Typical use: Unit economics, Runway, Fundraising.</x:v>
      </x:c>
      <x:c r="H6" s="12" t="str">
        <x:v>ARR bridge, cohort retention, CAC, LTV, gross margin, burn multiple, runway, and scenario logic.
Primary users: Startup Finance, FP&amp;A, Venture Capital, Founder. Typical use: Unit economics, Runway, Fundraising.</x:v>
      </x:c>
      <x:c r="I6" s="12" t="str">
        <x:v>ARR bridge, cohort retention, CAC, LTV, gross margin, burn multiple, runway, and scenario logic.
Primary users: Startup Finance, FP&amp;A, Venture Capital, Founder. Typical use: Unit economics, Runway, Fundraising.</x:v>
      </x:c>
      <x:c r="J6" s="12" t="str">
        <x:v>ARR bridge, cohort retention, CAC, LTV, gross margin, burn multiple, runway, and scenario logic.
Primary users: Startup Finance, FP&amp;A, Venture Capital, Founder. Typical use: Unit economics, Runway, Fundraising.</x:v>
      </x:c>
    </x:row>
    <x:row r="7">
      <x:c r="A7" s="12" t="str">
        <x:v>ARR bridge, cohort retention, CAC, LTV, gross margin, burn multiple, runway, and scenario logic.
Primary users: Startup Finance, FP&amp;A, Venture Capital, Founder. Typical use: Unit economics, Runway, Fundraising.</x:v>
      </x:c>
      <x:c r="B7" s="12" t="str">
        <x:v>ARR bridge, cohort retention, CAC, LTV, gross margin, burn multiple, runway, and scenario logic.
Primary users: Startup Finance, FP&amp;A, Venture Capital, Founder. Typical use: Unit economics, Runway, Fundraising.</x:v>
      </x:c>
      <x:c r="C7" s="12" t="str">
        <x:v>ARR bridge, cohort retention, CAC, LTV, gross margin, burn multiple, runway, and scenario logic.
Primary users: Startup Finance, FP&amp;A, Venture Capital, Founder. Typical use: Unit economics, Runway, Fundraising.</x:v>
      </x:c>
      <x:c r="D7" s="12" t="str">
        <x:v>ARR bridge, cohort retention, CAC, LTV, gross margin, burn multiple, runway, and scenario logic.
Primary users: Startup Finance, FP&amp;A, Venture Capital, Founder. Typical use: Unit economics, Runway, Fundraising.</x:v>
      </x:c>
      <x:c r="E7" s="12" t="str">
        <x:v>ARR bridge, cohort retention, CAC, LTV, gross margin, burn multiple, runway, and scenario logic.
Primary users: Startup Finance, FP&amp;A, Venture Capital, Founder. Typical use: Unit economics, Runway, Fundraising.</x:v>
      </x:c>
      <x:c r="F7" s="12" t="str">
        <x:v>ARR bridge, cohort retention, CAC, LTV, gross margin, burn multiple, runway, and scenario logic.
Primary users: Startup Finance, FP&amp;A, Venture Capital, Founder. Typical use: Unit economics, Runway, Fundraising.</x:v>
      </x:c>
      <x:c r="G7" s="12" t="str">
        <x:v>ARR bridge, cohort retention, CAC, LTV, gross margin, burn multiple, runway, and scenario logic.
Primary users: Startup Finance, FP&amp;A, Venture Capital, Founder. Typical use: Unit economics, Runway, Fundraising.</x:v>
      </x:c>
      <x:c r="H7" s="12" t="str">
        <x:v>ARR bridge, cohort retention, CAC, LTV, gross margin, burn multiple, runway, and scenario logic.
Primary users: Startup Finance, FP&amp;A, Venture Capital, Founder. Typical use: Unit economics, Runway, Fundraising.</x:v>
      </x:c>
      <x:c r="I7" s="12" t="str">
        <x:v>ARR bridge, cohort retention, CAC, LTV, gross margin, burn multiple, runway, and scenario logic.
Primary users: Startup Finance, FP&amp;A, Venture Capital, Founder. Typical use: Unit economics, Runway, Fundraising.</x:v>
      </x:c>
      <x:c r="J7" s="12" t="str">
        <x:v>ARR bridge, cohort retention, CAC, LTV, gross margin, burn multiple, runway, and scenario logic.
Primary users: Startup Finance, FP&amp;A, Venture Capital, Founder. Typical use: Unit economics, Runway, Fundraising.</x:v>
      </x:c>
    </x:row>
    <x:row r="8">
      <x:c r="A8" s="12" t="str">
        <x:v>ARR bridge, cohort retention, CAC, LTV, gross margin, burn multiple, runway, and scenario logic.
Primary users: Startup Finance, FP&amp;A, Venture Capital, Founder. Typical use: Unit economics, Runway, Fundraising.</x:v>
      </x:c>
      <x:c r="B8" s="12" t="str">
        <x:v>ARR bridge, cohort retention, CAC, LTV, gross margin, burn multiple, runway, and scenario logic.
Primary users: Startup Finance, FP&amp;A, Venture Capital, Founder. Typical use: Unit economics, Runway, Fundraising.</x:v>
      </x:c>
      <x:c r="C8" s="12" t="str">
        <x:v>ARR bridge, cohort retention, CAC, LTV, gross margin, burn multiple, runway, and scenario logic.
Primary users: Startup Finance, FP&amp;A, Venture Capital, Founder. Typical use: Unit economics, Runway, Fundraising.</x:v>
      </x:c>
      <x:c r="D8" s="12" t="str">
        <x:v>ARR bridge, cohort retention, CAC, LTV, gross margin, burn multiple, runway, and scenario logic.
Primary users: Startup Finance, FP&amp;A, Venture Capital, Founder. Typical use: Unit economics, Runway, Fundraising.</x:v>
      </x:c>
      <x:c r="E8" s="12" t="str">
        <x:v>ARR bridge, cohort retention, CAC, LTV, gross margin, burn multiple, runway, and scenario logic.
Primary users: Startup Finance, FP&amp;A, Venture Capital, Founder. Typical use: Unit economics, Runway, Fundraising.</x:v>
      </x:c>
      <x:c r="F8" s="12" t="str">
        <x:v>ARR bridge, cohort retention, CAC, LTV, gross margin, burn multiple, runway, and scenario logic.
Primary users: Startup Finance, FP&amp;A, Venture Capital, Founder. Typical use: Unit economics, Runway, Fundraising.</x:v>
      </x:c>
      <x:c r="G8" s="12" t="str">
        <x:v>ARR bridge, cohort retention, CAC, LTV, gross margin, burn multiple, runway, and scenario logic.
Primary users: Startup Finance, FP&amp;A, Venture Capital, Founder. Typical use: Unit economics, Runway, Fundraising.</x:v>
      </x:c>
      <x:c r="H8" s="12" t="str">
        <x:v>ARR bridge, cohort retention, CAC, LTV, gross margin, burn multiple, runway, and scenario logic.
Primary users: Startup Finance, FP&amp;A, Venture Capital, Founder. Typical use: Unit economics, Runway, Fundraising.</x:v>
      </x:c>
      <x:c r="I8" s="12" t="str">
        <x:v>ARR bridge, cohort retention, CAC, LTV, gross margin, burn multiple, runway, and scenario logic.
Primary users: Startup Finance, FP&amp;A, Venture Capital, Founder. Typical use: Unit economics, Runway, Fundraising.</x:v>
      </x:c>
      <x:c r="J8" s="12" t="str">
        <x:v>ARR bridge, cohort retention, CAC, LTV, gross margin, burn multiple, runway, and scenario logic.
Primary users: Startup Finance, FP&amp;A, Venture Capital, Founder. Typical use: Unit economics, Runway, Fundraising.</x:v>
      </x:c>
    </x:row>
    <x:row r="10" ht="22" customHeight="1">
      <x:c r="A10" s="9" t="str">
        <x:v>QUICK START</x:v>
      </x:c>
      <x:c r="B10" s="9" t="str">
        <x:v>QUICK START</x:v>
      </x:c>
      <x:c r="C10" s="9" t="str">
        <x:v>QUICK START</x:v>
      </x:c>
      <x:c r="D10" s="9" t="str">
        <x:v>QUICK START</x:v>
      </x:c>
      <x:c r="E10" s="9" t="str">
        <x:v>QUICK START</x:v>
      </x:c>
      <x:c r="F10" s="9" t="str">
        <x:v>QUICK START</x:v>
      </x:c>
      <x:c r="G10" s="9" t="str">
        <x:v>QUICK START</x:v>
      </x:c>
      <x:c r="H10" s="9" t="str">
        <x:v>QUICK START</x:v>
      </x:c>
      <x:c r="I10" s="9" t="str">
        <x:v>QUICK START</x:v>
      </x:c>
      <x:c r="J10" s="9" t="str">
        <x:v>QUICK START</x:v>
      </x:c>
    </x:row>
    <x:row r="11" ht="30" customHeight="1">
      <x:c r="A11" s="14" t="str">
        <x:v>01</x:v>
      </x:c>
      <x:c r="B11" s="15" t="str">
        <x:v>Confirm the decision</x:v>
      </x:c>
      <x:c r="C11" s="17" t="str">
        <x:v>Is growth efficient enough when retention, CAC, LTV, burn, and payback are viewed together?</x:v>
      </x:c>
      <x:c r="D11" s="17" t="str"/>
      <x:c r="E11" s="17" t="str"/>
      <x:c r="F11" s="17" t="str"/>
      <x:c r="G11" s="17" t="str"/>
      <x:c r="H11" s="17" t="str"/>
      <x:c r="I11" s="17" t="str"/>
      <x:c r="J11" s="17" t="str"/>
    </x:row>
    <x:row r="12" ht="30" customHeight="1">
      <x:c r="A12" s="14" t="str">
        <x:v>02</x:v>
      </x:c>
      <x:c r="B12" s="15" t="str">
        <x:v>Set model controls</x:v>
      </x:c>
      <x:c r="C12" s="17" t="str">
        <x:v>Select Base, Upside, or Downside; confirm currency, units, horizon, and calculation method.</x:v>
      </x:c>
      <x:c r="D12" s="17" t="str"/>
      <x:c r="E12" s="17" t="str"/>
      <x:c r="F12" s="17" t="str"/>
      <x:c r="G12" s="17" t="str"/>
      <x:c r="H12" s="17" t="str"/>
      <x:c r="I12" s="17" t="str"/>
      <x:c r="J12" s="17" t="str"/>
    </x:row>
    <x:row r="13" ht="30" customHeight="1">
      <x:c r="A13" s="14" t="str">
        <x:v>03</x:v>
      </x:c>
      <x:c r="B13" s="15" t="str">
        <x:v>Replace blue inputs</x:v>
      </x:c>
      <x:c r="C13" s="17" t="str">
        <x:v>Update the synthetic values on Monthly Drivers and the scenario drivers on Assumptions.</x:v>
      </x:c>
      <x:c r="D13" s="17" t="str"/>
      <x:c r="E13" s="17" t="str"/>
      <x:c r="F13" s="17" t="str"/>
      <x:c r="G13" s="17" t="str"/>
      <x:c r="H13" s="17" t="str"/>
      <x:c r="I13" s="17" t="str"/>
      <x:c r="J13" s="17" t="str"/>
    </x:row>
    <x:row r="14" ht="30" customHeight="1">
      <x:c r="A14" s="14" t="str">
        <x:v>04</x:v>
      </x:c>
      <x:c r="B14" s="15" t="str">
        <x:v>Review the engine</x:v>
      </x:c>
      <x:c r="C14" s="17" t="str">
        <x:v>Trace the calculations on SaaS Engine; challenge definitions, signs, timing, and edge cases.</x:v>
      </x:c>
      <x:c r="D14" s="17" t="str"/>
      <x:c r="E14" s="17" t="str"/>
      <x:c r="F14" s="17" t="str"/>
      <x:c r="G14" s="17" t="str"/>
      <x:c r="H14" s="17" t="str"/>
      <x:c r="I14" s="17" t="str"/>
      <x:c r="J14" s="17" t="str"/>
    </x:row>
    <x:row r="15" ht="30" customHeight="1">
      <x:c r="A15" s="14" t="str">
        <x:v>05</x:v>
      </x:c>
      <x:c r="B15" s="15" t="str">
        <x:v>Use the summary</x:v>
      </x:c>
      <x:c r="C15" s="17" t="str">
        <x:v>Read headline outputs, sensitivities, breakpoints, and the owner/action prompts.</x:v>
      </x:c>
      <x:c r="D15" s="17" t="str"/>
      <x:c r="E15" s="17" t="str"/>
      <x:c r="F15" s="17" t="str"/>
      <x:c r="G15" s="17" t="str"/>
      <x:c r="H15" s="17" t="str"/>
      <x:c r="I15" s="17" t="str"/>
      <x:c r="J15" s="17" t="str"/>
    </x:row>
    <x:row r="16" ht="30" customHeight="1">
      <x:c r="A16" s="14" t="str">
        <x:v>06</x:v>
      </x:c>
      <x:c r="B16" s="15" t="str">
        <x:v>Resolve Checks</x:v>
      </x:c>
      <x:c r="C16" s="17" t="str">
        <x:v>Do not rely on the output until every published control passes and source readiness is reviewed.</x:v>
      </x:c>
      <x:c r="D16" s="17" t="str"/>
      <x:c r="E16" s="17" t="str"/>
      <x:c r="F16" s="17" t="str"/>
      <x:c r="G16" s="17" t="str"/>
      <x:c r="H16" s="17" t="str"/>
      <x:c r="I16" s="17" t="str"/>
      <x:c r="J16" s="17" t="str"/>
    </x:row>
    <x:row r="18" ht="22" customHeight="1">
      <x:c r="A18" s="9" t="str">
        <x:v>WORKBOOK MAP</x:v>
      </x:c>
      <x:c r="B18" s="9" t="str">
        <x:v>WORKBOOK MAP</x:v>
      </x:c>
      <x:c r="C18" s="9" t="str">
        <x:v>WORKBOOK MAP</x:v>
      </x:c>
      <x:c r="D18" s="9" t="str">
        <x:v>WORKBOOK MAP</x:v>
      </x:c>
      <x:c r="E18" s="9" t="str">
        <x:v>WORKBOOK MAP</x:v>
      </x:c>
      <x:c r="F18" s="9" t="str">
        <x:v>WORKBOOK MAP</x:v>
      </x:c>
      <x:c r="G18" s="9" t="str">
        <x:v>WORKBOOK MAP</x:v>
      </x:c>
      <x:c r="H18" s="9" t="str">
        <x:v>WORKBOOK MAP</x:v>
      </x:c>
      <x:c r="I18" s="9" t="str">
        <x:v>WORKBOOK MAP</x:v>
      </x:c>
      <x:c r="J18" s="9" t="str">
        <x:v>WORKBOOK MAP</x:v>
      </x:c>
    </x:row>
    <x:row r="19">
      <x:c r="A19" s="19" t="str">
        <x:v>Cover</x:v>
      </x:c>
      <x:c r="B19" s="17" t="str">
        <x:v>First-read status, model identity, key outputs, readiness, and cell-color legend.</x:v>
      </x:c>
      <x:c r="C19" s="17" t="str"/>
      <x:c r="D19" s="17" t="str"/>
      <x:c r="E19" s="17" t="str"/>
      <x:c r="F19" s="17" t="str"/>
      <x:c r="G19" s="17" t="str"/>
      <x:c r="H19" s="17" t="str"/>
      <x:c r="I19" s="17" t="str"/>
      <x:c r="J19" s="17" t="str"/>
    </x:row>
    <x:row r="20">
      <x:c r="A20" s="19" t="str">
        <x:v>Guide</x:v>
      </x:c>
      <x:c r="B20" s="17" t="str">
        <x:v>Purpose, quick start, workbook map, flexibility rules, Q&amp;A, and limitations.</x:v>
      </x:c>
      <x:c r="C20" s="17" t="str"/>
      <x:c r="D20" s="17" t="str"/>
      <x:c r="E20" s="17" t="str"/>
      <x:c r="F20" s="17" t="str"/>
      <x:c r="G20" s="17" t="str"/>
      <x:c r="H20" s="17" t="str"/>
      <x:c r="I20" s="17" t="str"/>
      <x:c r="J20" s="17" t="str"/>
    </x:row>
    <x:row r="21">
      <x:c r="A21" s="19" t="str">
        <x:v>Assumptions</x:v>
      </x:c>
      <x:c r="B21" s="17" t="str">
        <x:v>Base, Upside, Downside, selector, units, and selected driver values.</x:v>
      </x:c>
      <x:c r="C21" s="17" t="str"/>
      <x:c r="D21" s="17" t="str"/>
      <x:c r="E21" s="17" t="str"/>
      <x:c r="F21" s="17" t="str"/>
      <x:c r="G21" s="17" t="str"/>
      <x:c r="H21" s="17" t="str"/>
      <x:c r="I21" s="17" t="str"/>
      <x:c r="J21" s="17" t="str"/>
    </x:row>
    <x:row r="22">
      <x:c r="A22" s="19" t="str">
        <x:v>Monthly Drivers</x:v>
      </x:c>
      <x:c r="B22" s="17" t="str">
        <x:v>Synthetic worked source inputs. Replace blue cells and keep the layout or extend it carefully.</x:v>
      </x:c>
      <x:c r="C22" s="17" t="str"/>
      <x:c r="D22" s="17" t="str"/>
      <x:c r="E22" s="17" t="str"/>
      <x:c r="F22" s="17" t="str"/>
      <x:c r="G22" s="17" t="str"/>
      <x:c r="H22" s="17" t="str"/>
      <x:c r="I22" s="17" t="str"/>
      <x:c r="J22" s="17" t="str"/>
    </x:row>
    <x:row r="23">
      <x:c r="A23" s="19" t="str">
        <x:v>SaaS Engine</x:v>
      </x:c>
      <x:c r="B23" s="17" t="str">
        <x:v>Formula-driven calculations and core finance mechanics.</x:v>
      </x:c>
      <x:c r="C23" s="17" t="str"/>
      <x:c r="D23" s="17" t="str"/>
      <x:c r="E23" s="17" t="str"/>
      <x:c r="F23" s="17" t="str"/>
      <x:c r="G23" s="17" t="str"/>
      <x:c r="H23" s="17" t="str"/>
      <x:c r="I23" s="17" t="str"/>
      <x:c r="J23" s="17" t="str"/>
    </x:row>
    <x:row r="24">
      <x:c r="A24" s="19" t="str">
        <x:v>Sensitivity</x:v>
      </x:c>
      <x:c r="B24" s="17" t="str">
        <x:v>Monthly churn × CAC recalculation of LTV / CAC.</x:v>
      </x:c>
      <x:c r="C24" s="17" t="str"/>
      <x:c r="D24" s="17" t="str"/>
      <x:c r="E24" s="17" t="str"/>
      <x:c r="F24" s="17" t="str"/>
      <x:c r="G24" s="17" t="str"/>
      <x:c r="H24" s="17" t="str"/>
      <x:c r="I24" s="17" t="str"/>
      <x:c r="J24" s="17" t="str"/>
    </x:row>
    <x:row r="25">
      <x:c r="A25" s="19" t="str">
        <x:v>Summary</x:v>
      </x:c>
      <x:c r="B25" s="17" t="str">
        <x:v>Decision KPIs, trend, scenario, status, management questions, and next actions.</x:v>
      </x:c>
      <x:c r="C25" s="17" t="str"/>
      <x:c r="D25" s="17" t="str"/>
      <x:c r="E25" s="17" t="str"/>
      <x:c r="F25" s="17" t="str"/>
      <x:c r="G25" s="17" t="str"/>
      <x:c r="H25" s="17" t="str"/>
      <x:c r="I25" s="17" t="str"/>
      <x:c r="J25" s="17" t="str"/>
    </x:row>
    <x:row r="26">
      <x:c r="A26" s="19" t="str">
        <x:v>Checks</x:v>
      </x:c>
      <x:c r="B26" s="17" t="str">
        <x:v>One assertion per row with actual, expected, difference, tolerance, status, and fix location.</x:v>
      </x:c>
      <x:c r="C26" s="17" t="str"/>
      <x:c r="D26" s="17" t="str"/>
      <x:c r="E26" s="17" t="str"/>
      <x:c r="F26" s="17" t="str"/>
      <x:c r="G26" s="17" t="str"/>
      <x:c r="H26" s="17" t="str"/>
      <x:c r="I26" s="17" t="str"/>
      <x:c r="J26" s="17" t="str"/>
    </x:row>
    <x:row r="27">
      <x:c r="A27" s="19" t="str">
        <x:v>Sources &amp; Version</x:v>
      </x:c>
      <x:c r="B27" s="17" t="str">
        <x:v>Source/assumption register, release facts, version history, distribution and privacy notes.</x:v>
      </x:c>
      <x:c r="C27" s="17" t="str"/>
      <x:c r="D27" s="17" t="str"/>
      <x:c r="E27" s="17" t="str"/>
      <x:c r="F27" s="17" t="str"/>
      <x:c r="G27" s="17" t="str"/>
      <x:c r="H27" s="17" t="str"/>
      <x:c r="I27" s="17" t="str"/>
      <x:c r="J27" s="17" t="str"/>
    </x:row>
    <x:row r="29" ht="22" customHeight="1">
      <x:c r="A29" s="9" t="str">
        <x:v>PRACTICAL Q&amp;A</x:v>
      </x:c>
      <x:c r="B29" s="9" t="str">
        <x:v>PRACTICAL Q&amp;A</x:v>
      </x:c>
      <x:c r="C29" s="9" t="str">
        <x:v>PRACTICAL Q&amp;A</x:v>
      </x:c>
      <x:c r="D29" s="9" t="str">
        <x:v>PRACTICAL Q&amp;A</x:v>
      </x:c>
      <x:c r="E29" s="9" t="str">
        <x:v>PRACTICAL Q&amp;A</x:v>
      </x:c>
      <x:c r="F29" s="9" t="str">
        <x:v>PRACTICAL Q&amp;A</x:v>
      </x:c>
      <x:c r="G29" s="9" t="str">
        <x:v>PRACTICAL Q&amp;A</x:v>
      </x:c>
      <x:c r="H29" s="9" t="str">
        <x:v>PRACTICAL Q&amp;A</x:v>
      </x:c>
      <x:c r="I29" s="9" t="str">
        <x:v>PRACTICAL Q&amp;A</x:v>
      </x:c>
      <x:c r="J29" s="9" t="str">
        <x:v>PRACTICAL Q&amp;A</x:v>
      </x:c>
    </x:row>
    <x:row r="30" ht="34" customHeight="1">
      <x:c r="A30" s="22" t="str">
        <x:v>What should I replace first?</x:v>
      </x:c>
      <x:c r="B30" s="17" t="str">
        <x:v>Replace blue cells on Monthly Drivers, then review scenario drivers and selected values on Assumptions.</x:v>
      </x:c>
      <x:c r="C30" s="17" t="str"/>
      <x:c r="D30" s="17" t="str"/>
      <x:c r="E30" s="17" t="str"/>
      <x:c r="F30" s="17" t="str"/>
      <x:c r="G30" s="17" t="str"/>
      <x:c r="H30" s="17" t="str"/>
      <x:c r="I30" s="17" t="str"/>
      <x:c r="J30" s="17" t="str"/>
    </x:row>
    <x:row r="31" ht="34" customHeight="1">
      <x:c r="A31" s="22" t="str">
        <x:v>How do I flex the template?</x:v>
      </x:c>
      <x:c r="B31" s="17" t="str">
        <x:v>Add periods or input rows in the source layer, extend formulas and formats together, and reconcile the new dimension back to SaaS Engine and Checks.</x:v>
      </x:c>
      <x:c r="C31" s="17" t="str"/>
      <x:c r="D31" s="17" t="str"/>
      <x:c r="E31" s="17" t="str"/>
      <x:c r="F31" s="17" t="str"/>
      <x:c r="G31" s="17" t="str"/>
      <x:c r="H31" s="17" t="str"/>
      <x:c r="I31" s="17" t="str"/>
      <x:c r="J31" s="17" t="str"/>
    </x:row>
    <x:row r="32" ht="34" customHeight="1">
      <x:c r="A32" s="22" t="str">
        <x:v>What does PASS mean?</x:v>
      </x:c>
      <x:c r="B32" s="17" t="str">
        <x:v>The published calculations and tie-outs are within tolerance. PASS does not confirm source quality, policy, accounting, regulation, tax, legal treatment, or suitability.</x:v>
      </x:c>
      <x:c r="C32" s="17" t="str"/>
      <x:c r="D32" s="17" t="str"/>
      <x:c r="E32" s="17" t="str"/>
      <x:c r="F32" s="17" t="str"/>
      <x:c r="G32" s="17" t="str"/>
      <x:c r="H32" s="17" t="str"/>
      <x:c r="I32" s="17" t="str"/>
      <x:c r="J32" s="17" t="str"/>
    </x:row>
    <x:row r="33" ht="34" customHeight="1">
      <x:c r="A33" s="22" t="str">
        <x:v>Can I use real company data?</x:v>
      </x:c>
      <x:c r="B33" s="17" t="str">
        <x:v>Yes, in your private copy. Confirm permissions, source ownership, privacy requirements, and distribution restrictions before sharing.</x:v>
      </x:c>
      <x:c r="C33" s="17" t="str"/>
      <x:c r="D33" s="17" t="str"/>
      <x:c r="E33" s="17" t="str"/>
      <x:c r="F33" s="17" t="str"/>
      <x:c r="G33" s="17" t="str"/>
      <x:c r="H33" s="17" t="str"/>
      <x:c r="I33" s="17" t="str"/>
      <x:c r="J33" s="17" t="str"/>
    </x:row>
    <x:row r="34" ht="34" customHeight="1">
      <x:c r="A34" s="22" t="str">
        <x:v>Does it work in Google Sheets or LibreOffice?</x:v>
      </x:c>
      <x:c r="B34" s="17" t="str">
        <x:v>Not verified. Excel 365 is the supported target; test formulas, charts, validations, formats, and checks after conversion.</x:v>
      </x:c>
      <x:c r="C34" s="17" t="str"/>
      <x:c r="D34" s="17" t="str"/>
      <x:c r="E34" s="17" t="str"/>
      <x:c r="F34" s="17" t="str"/>
      <x:c r="G34" s="17" t="str"/>
      <x:c r="H34" s="17" t="str"/>
      <x:c r="I34" s="17" t="str"/>
      <x:c r="J34" s="17" t="str"/>
    </x:row>
    <x:row r="35" ht="34" customHeight="1">
      <x:c r="A35" s="22" t="str">
        <x:v>Can this replace professional review?</x:v>
      </x:c>
      <x:c r="B35" s="17" t="str">
        <x:v>No. It is an educational analytical template; obtain appropriate finance, accounting, tax, legal, regulatory, credit, actuarial, or investment review for real decisions.</x:v>
      </x:c>
      <x:c r="C35" s="17" t="str"/>
      <x:c r="D35" s="17" t="str"/>
      <x:c r="E35" s="17" t="str"/>
      <x:c r="F35" s="17" t="str"/>
      <x:c r="G35" s="17" t="str"/>
      <x:c r="H35" s="17" t="str"/>
      <x:c r="I35" s="17" t="str"/>
      <x:c r="J35" s="17" t="str"/>
    </x:row>
    <x:row r="37">
      <x:c r="A37" s="42" t="str">
        <x:v>Deliberately excluded in version 1.0.0: cohort survival model; deferred revenue accounting; GAAP revenue recognition; probabilistic fundraising; customer-identifiable records. Extend only after the underlying method, source availability, checks, and review responsibility are defined.</x:v>
      </x:c>
      <x:c r="B37" s="43" t="str">
        <x:v>Deliberately excluded in version 1.0.0: cohort survival model; deferred revenue accounting; GAAP revenue recognition; probabilistic fundraising; customer-identifiable records. Extend only after the underlying method, source availability, checks, and review responsibility are defined.</x:v>
      </x:c>
      <x:c r="C37" s="43" t="str">
        <x:v>Deliberately excluded in version 1.0.0: cohort survival model; deferred revenue accounting; GAAP revenue recognition; probabilistic fundraising; customer-identifiable records. Extend only after the underlying method, source availability, checks, and review responsibility are defined.</x:v>
      </x:c>
      <x:c r="D37" s="43" t="str">
        <x:v>Deliberately excluded in version 1.0.0: cohort survival model; deferred revenue accounting; GAAP revenue recognition; probabilistic fundraising; customer-identifiable records. Extend only after the underlying method, source availability, checks, and review responsibility are defined.</x:v>
      </x:c>
      <x:c r="E37" s="43" t="str">
        <x:v>Deliberately excluded in version 1.0.0: cohort survival model; deferred revenue accounting; GAAP revenue recognition; probabilistic fundraising; customer-identifiable records. Extend only after the underlying method, source availability, checks, and review responsibility are defined.</x:v>
      </x:c>
      <x:c r="F37" s="43" t="str">
        <x:v>Deliberately excluded in version 1.0.0: cohort survival model; deferred revenue accounting; GAAP revenue recognition; probabilistic fundraising; customer-identifiable records. Extend only after the underlying method, source availability, checks, and review responsibility are defined.</x:v>
      </x:c>
      <x:c r="G37" s="43" t="str">
        <x:v>Deliberately excluded in version 1.0.0: cohort survival model; deferred revenue accounting; GAAP revenue recognition; probabilistic fundraising; customer-identifiable records. Extend only after the underlying method, source availability, checks, and review responsibility are defined.</x:v>
      </x:c>
      <x:c r="H37" s="43" t="str">
        <x:v>Deliberately excluded in version 1.0.0: cohort survival model; deferred revenue accounting; GAAP revenue recognition; probabilistic fundraising; customer-identifiable records. Extend only after the underlying method, source availability, checks, and review responsibility are defined.</x:v>
      </x:c>
      <x:c r="I37" s="43" t="str">
        <x:v>Deliberately excluded in version 1.0.0: cohort survival model; deferred revenue accounting; GAAP revenue recognition; probabilistic fundraising; customer-identifiable records. Extend only after the underlying method, source availability, checks, and review responsibility are defined.</x:v>
      </x:c>
      <x:c r="J37" s="44" t="str">
        <x:v>Deliberately excluded in version 1.0.0: cohort survival model; deferred revenue accounting; GAAP revenue recognition; probabilistic fundraising; customer-identifiable records. Extend only after the underlying method, source availability, checks, and review responsibility are defined.</x:v>
      </x:c>
    </x:row>
    <x:row r="38">
      <x:c r="A38" s="45" t="str">
        <x:v>Deliberately excluded in version 1.0.0: cohort survival model; deferred revenue accounting; GAAP revenue recognition; probabilistic fundraising; customer-identifiable records. Extend only after the underlying method, source availability, checks, and review responsibility are defined.</x:v>
      </x:c>
      <x:c r="B38" s="46" t="str">
        <x:v>Deliberately excluded in version 1.0.0: cohort survival model; deferred revenue accounting; GAAP revenue recognition; probabilistic fundraising; customer-identifiable records. Extend only after the underlying method, source availability, checks, and review responsibility are defined.</x:v>
      </x:c>
      <x:c r="C38" s="46" t="str">
        <x:v>Deliberately excluded in version 1.0.0: cohort survival model; deferred revenue accounting; GAAP revenue recognition; probabilistic fundraising; customer-identifiable records. Extend only after the underlying method, source availability, checks, and review responsibility are defined.</x:v>
      </x:c>
      <x:c r="D38" s="46" t="str">
        <x:v>Deliberately excluded in version 1.0.0: cohort survival model; deferred revenue accounting; GAAP revenue recognition; probabilistic fundraising; customer-identifiable records. Extend only after the underlying method, source availability, checks, and review responsibility are defined.</x:v>
      </x:c>
      <x:c r="E38" s="46" t="str">
        <x:v>Deliberately excluded in version 1.0.0: cohort survival model; deferred revenue accounting; GAAP revenue recognition; probabilistic fundraising; customer-identifiable records. Extend only after the underlying method, source availability, checks, and review responsibility are defined.</x:v>
      </x:c>
      <x:c r="F38" s="46" t="str">
        <x:v>Deliberately excluded in version 1.0.0: cohort survival model; deferred revenue accounting; GAAP revenue recognition; probabilistic fundraising; customer-identifiable records. Extend only after the underlying method, source availability, checks, and review responsibility are defined.</x:v>
      </x:c>
      <x:c r="G38" s="46" t="str">
        <x:v>Deliberately excluded in version 1.0.0: cohort survival model; deferred revenue accounting; GAAP revenue recognition; probabilistic fundraising; customer-identifiable records. Extend only after the underlying method, source availability, checks, and review responsibility are defined.</x:v>
      </x:c>
      <x:c r="H38" s="46" t="str">
        <x:v>Deliberately excluded in version 1.0.0: cohort survival model; deferred revenue accounting; GAAP revenue recognition; probabilistic fundraising; customer-identifiable records. Extend only after the underlying method, source availability, checks, and review responsibility are defined.</x:v>
      </x:c>
      <x:c r="I38" s="46" t="str">
        <x:v>Deliberately excluded in version 1.0.0: cohort survival model; deferred revenue accounting; GAAP revenue recognition; probabilistic fundraising; customer-identifiable records. Extend only after the underlying method, source availability, checks, and review responsibility are defined.</x:v>
      </x:c>
      <x:c r="J38" s="47" t="str">
        <x:v>Deliberately excluded in version 1.0.0: cohort survival model; deferred revenue accounting; GAAP revenue recognition; probabilistic fundraising; customer-identifiable records. Extend only after the underlying method, source availability, checks, and review responsibility are defined.</x:v>
      </x:c>
    </x:row>
    <x:row r="39">
      <x:c r="A39" s="48" t="str">
        <x:v>Deliberately excluded in version 1.0.0: cohort survival model; deferred revenue accounting; GAAP revenue recognition; probabilistic fundraising; customer-identifiable records. Extend only after the underlying method, source availability, checks, and review responsibility are defined.</x:v>
      </x:c>
      <x:c r="B39" s="49" t="str">
        <x:v>Deliberately excluded in version 1.0.0: cohort survival model; deferred revenue accounting; GAAP revenue recognition; probabilistic fundraising; customer-identifiable records. Extend only after the underlying method, source availability, checks, and review responsibility are defined.</x:v>
      </x:c>
      <x:c r="C39" s="49" t="str">
        <x:v>Deliberately excluded in version 1.0.0: cohort survival model; deferred revenue accounting; GAAP revenue recognition; probabilistic fundraising; customer-identifiable records. Extend only after the underlying method, source availability, checks, and review responsibility are defined.</x:v>
      </x:c>
      <x:c r="D39" s="49" t="str">
        <x:v>Deliberately excluded in version 1.0.0: cohort survival model; deferred revenue accounting; GAAP revenue recognition; probabilistic fundraising; customer-identifiable records. Extend only after the underlying method, source availability, checks, and review responsibility are defined.</x:v>
      </x:c>
      <x:c r="E39" s="49" t="str">
        <x:v>Deliberately excluded in version 1.0.0: cohort survival model; deferred revenue accounting; GAAP revenue recognition; probabilistic fundraising; customer-identifiable records. Extend only after the underlying method, source availability, checks, and review responsibility are defined.</x:v>
      </x:c>
      <x:c r="F39" s="49" t="str">
        <x:v>Deliberately excluded in version 1.0.0: cohort survival model; deferred revenue accounting; GAAP revenue recognition; probabilistic fundraising; customer-identifiable records. Extend only after the underlying method, source availability, checks, and review responsibility are defined.</x:v>
      </x:c>
      <x:c r="G39" s="49" t="str">
        <x:v>Deliberately excluded in version 1.0.0: cohort survival model; deferred revenue accounting; GAAP revenue recognition; probabilistic fundraising; customer-identifiable records. Extend only after the underlying method, source availability, checks, and review responsibility are defined.</x:v>
      </x:c>
      <x:c r="H39" s="49" t="str">
        <x:v>Deliberately excluded in version 1.0.0: cohort survival model; deferred revenue accounting; GAAP revenue recognition; probabilistic fundraising; customer-identifiable records. Extend only after the underlying method, source availability, checks, and review responsibility are defined.</x:v>
      </x:c>
      <x:c r="I39" s="49" t="str">
        <x:v>Deliberately excluded in version 1.0.0: cohort survival model; deferred revenue accounting; GAAP revenue recognition; probabilistic fundraising; customer-identifiable records. Extend only after the underlying method, source availability, checks, and review responsibility are defined.</x:v>
      </x:c>
      <x:c r="J39" s="50" t="str">
        <x:v>Deliberately excluded in version 1.0.0: cohort survival model; deferred revenue accounting; GAAP revenue recognition; probabilistic fundraising; customer-identifiable records. Extend only after the underlying method, source availability, checks, and review responsibility are defined.</x:v>
      </x:c>
    </x:row>
    <x:row r="41">
      <x:c r="A41" s="53" t="str">
        <x:v>TDAT Model Library  |  Trust builds the brand. Insight builds the decision.</x:v>
      </x:c>
      <x:c r="B41" s="53" t="str">
        <x:v>TDAT Model Library  |  Trust builds the brand. Insight builds the decision.</x:v>
      </x:c>
      <x:c r="C41" s="53" t="str">
        <x:v>TDAT Model Library  |  Trust builds the brand. Insight builds the decision.</x:v>
      </x:c>
      <x:c r="D41" s="53" t="str">
        <x:v>TDAT Model Library  |  Trust builds the brand. Insight builds the decision.</x:v>
      </x:c>
      <x:c r="E41" s="53" t="str">
        <x:v>TDAT Model Library  |  Trust builds the brand. Insight builds the decision.</x:v>
      </x:c>
      <x:c r="F41" s="53" t="str">
        <x:v>TDAT Model Library  |  Trust builds the brand. Insight builds the decision.</x:v>
      </x:c>
      <x:c r="G41" s="53" t="str">
        <x:v>TDAT Model Library  |  Trust builds the brand. Insight builds the decision.</x:v>
      </x:c>
      <x:c r="H41" s="53" t="str">
        <x:v>TDAT Model Library  |  Trust builds the brand. Insight builds the decision.</x:v>
      </x:c>
      <x:c r="I41" s="53" t="str">
        <x:v>TDAT Model Library  |  Trust builds the brand. Insight builds the decision.</x:v>
      </x:c>
      <x:c r="J41" s="53" t="str">
        <x:v>TDAT Model Library  |  Trust builds the brand. Insight builds the decision.</x:v>
      </x:c>
    </x:row>
  </x:sheetData>
  <x:mergeCells>
    <x:mergeCell ref="A1:J1"/>
    <x:mergeCell ref="A2:J2"/>
    <x:mergeCell ref="A5:J5"/>
    <x:mergeCell ref="A6:J8"/>
    <x:mergeCell ref="A10:J10"/>
    <x:mergeCell ref="C11:J11"/>
    <x:mergeCell ref="C12:J12"/>
    <x:mergeCell ref="C13:J13"/>
    <x:mergeCell ref="C14:J14"/>
    <x:mergeCell ref="C15:J15"/>
    <x:mergeCell ref="C16:J16"/>
    <x:mergeCell ref="A18:J18"/>
    <x:mergeCell ref="B19:J19"/>
    <x:mergeCell ref="B20:J20"/>
    <x:mergeCell ref="B21:J21"/>
    <x:mergeCell ref="B22:J22"/>
    <x:mergeCell ref="B23:J23"/>
    <x:mergeCell ref="B24:J24"/>
    <x:mergeCell ref="B25:J25"/>
    <x:mergeCell ref="B26:J26"/>
    <x:mergeCell ref="B27:J27"/>
    <x:mergeCell ref="A29:J29"/>
    <x:mergeCell ref="B30:J30"/>
    <x:mergeCell ref="B31:J31"/>
    <x:mergeCell ref="B32:J32"/>
    <x:mergeCell ref="B33:J33"/>
    <x:mergeCell ref="B34:J34"/>
    <x:mergeCell ref="B35:J35"/>
    <x:mergeCell ref="A37:J39"/>
    <x:mergeCell ref="A41:J4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8" hidden="0" customWidth="1"/>
    <x:col min="7" max="7" width="44" hidden="0" customWidth="1"/>
  </x:cols>
  <x:sheetData>
    <x:row r="1" ht="34" customHeight="1">
      <x:c r="A1" s="3" t="str">
        <x:v>ASSUMPTIONS &amp; SCENARIOS</x:v>
      </x:c>
      <x:c r="B1" s="3" t="str">
        <x:v>ASSUMPTIONS &amp; SCENARIOS</x:v>
      </x:c>
      <x:c r="C1" s="3" t="str">
        <x:v>ASSUMPTIONS &amp; SCENARIOS</x:v>
      </x:c>
      <x:c r="D1" s="3" t="str">
        <x:v>ASSUMPTIONS &amp; SCENARIOS</x:v>
      </x:c>
      <x:c r="E1" s="3" t="str">
        <x:v>ASSUMPTIONS &amp; SCENARIOS</x:v>
      </x:c>
      <x:c r="F1" s="3" t="str">
        <x:v>ASSUMPTIONS &amp; SCENARIOS</x:v>
      </x:c>
      <x:c r="G1" s="3" t="str">
        <x:v>ASSUMPTIONS &amp; SCENARIOS</x:v>
      </x:c>
    </x:row>
    <x:row r="2" ht="24" customHeight="1">
      <x:c r="A2" s="6" t="str">
        <x:v>SaaS Unit Economics  |  One controlled selector and visible driver cases</x:v>
      </x:c>
      <x:c r="B2" s="6" t="str">
        <x:v>SaaS Unit Economics  |  One controlled selector and visible driver cases</x:v>
      </x:c>
      <x:c r="C2" s="6" t="str">
        <x:v>SaaS Unit Economics  |  One controlled selector and visible driver cases</x:v>
      </x:c>
      <x:c r="D2" s="6" t="str">
        <x:v>SaaS Unit Economics  |  One controlled selector and visible driver cases</x:v>
      </x:c>
      <x:c r="E2" s="6" t="str">
        <x:v>SaaS Unit Economics  |  One controlled selector and visible driver cases</x:v>
      </x:c>
      <x:c r="F2" s="6" t="str">
        <x:v>SaaS Unit Economics  |  One controlled selector and visible driver cases</x:v>
      </x:c>
      <x:c r="G2" s="6" t="str">
        <x:v>SaaS Unit Economics  |  One controlled selector and visible driver cases</x:v>
      </x:c>
    </x:row>
    <x:row r="3" ht="4" customHeight="1">
      <x:c r="A3" s="54" t="str">
        <x:v>Selected Scenario</x:v>
      </x:c>
      <x:c r="B3" s="56" t="str">
        <x:v>Base</x:v>
      </x:c>
      <x:c r="C3" s="7"/>
      <x:c r="D3" s="7"/>
      <x:c r="E3" s="7"/>
      <x:c r="F3" s="7"/>
      <x:c r="G3" s="7"/>
    </x:row>
    <x:row r="5" ht="24" customHeight="1">
      <x:c r="A5" s="66" t="str">
        <x:v>Driver</x:v>
      </x:c>
      <x:c r="B5" s="67" t="str">
        <x:v>Unit</x:v>
      </x:c>
      <x:c r="C5" s="67" t="str">
        <x:v>Base</x:v>
      </x:c>
      <x:c r="D5" s="67" t="str">
        <x:v>Upside</x:v>
      </x:c>
      <x:c r="E5" s="67" t="str">
        <x:v>Downside</x:v>
      </x:c>
      <x:c r="F5" s="67" t="str">
        <x:v>Selected</x:v>
      </x:c>
      <x:c r="G5" s="68" t="str">
        <x:v>Rationale / edit cue</x:v>
      </x:c>
    </x:row>
    <x:row r="6">
      <x:c r="A6" s="88" t="str">
        <x:v>Opening customer logos</x:v>
      </x:c>
      <x:c r="B6" s="89" t="str">
        <x:v>count</x:v>
      </x:c>
      <x:c r="C6" s="90" t="n">
        <x:v>180</x:v>
      </x:c>
      <x:c r="D6" s="90" t="n">
        <x:v>190</x:v>
      </x:c>
      <x:c r="E6" s="90" t="n">
        <x:v>170</x:v>
      </x:c>
      <x:c r="F6" s="91" t="n">
        <x:f>IF($B$3="Base",C6,IF($B$3="Upside",D6,E6))</x:f>
        <x:v>180</x:v>
      </x:c>
      <x:c r="G6" s="92" t="str">
        <x:v>Replace with an approved, sourced assumption.</x:v>
      </x:c>
    </x:row>
    <x:row r="7">
      <x:c r="A7" s="93" t="str">
        <x:v>Opening MRR</x:v>
      </x:c>
      <x:c r="B7" s="94" t="str">
        <x:v>LCY000</x:v>
      </x:c>
      <x:c r="C7" s="95" t="n">
        <x:v>220</x:v>
      </x:c>
      <x:c r="D7" s="95" t="n">
        <x:v>235</x:v>
      </x:c>
      <x:c r="E7" s="95" t="n">
        <x:v>205</x:v>
      </x:c>
      <x:c r="F7" s="96" t="n">
        <x:f>IF($B$3="Base",C7,IF($B$3="Upside",D7,E7))</x:f>
        <x:v>220</x:v>
      </x:c>
      <x:c r="G7" s="97" t="str">
        <x:v>Replace with an approved, sourced assumption.</x:v>
      </x:c>
    </x:row>
    <x:row r="8">
      <x:c r="A8" s="93" t="str">
        <x:v>New-logo growth overlay</x:v>
      </x:c>
      <x:c r="B8" s="94" t="str">
        <x:v>%</x:v>
      </x:c>
      <x:c r="C8" s="98" t="n">
        <x:v>0.02</x:v>
      </x:c>
      <x:c r="D8" s="98" t="n">
        <x:v>0.08</x:v>
      </x:c>
      <x:c r="E8" s="98" t="n">
        <x:v>-0.08</x:v>
      </x:c>
      <x:c r="F8" s="99" t="n">
        <x:f>IF($B$3="Base",C8,IF($B$3="Upside",D8,E8))</x:f>
        <x:v>0.02</x:v>
      </x:c>
      <x:c r="G8" s="97" t="str">
        <x:v>Replace with an approved, sourced assumption.</x:v>
      </x:c>
    </x:row>
    <x:row r="9">
      <x:c r="A9" s="93" t="str">
        <x:v>Churn multiplier</x:v>
      </x:c>
      <x:c r="B9" s="94" t="str">
        <x:v>x</x:v>
      </x:c>
      <x:c r="C9" s="100" t="n">
        <x:v>1</x:v>
      </x:c>
      <x:c r="D9" s="100" t="n">
        <x:v>0.85</x:v>
      </x:c>
      <x:c r="E9" s="100" t="n">
        <x:v>1.35</x:v>
      </x:c>
      <x:c r="F9" s="101" t="n">
        <x:f>IF($B$3="Base",C9,IF($B$3="Upside",D9,E9))</x:f>
        <x:v>1</x:v>
      </x:c>
      <x:c r="G9" s="97" t="str">
        <x:v>Replace with an approved, sourced assumption.</x:v>
      </x:c>
    </x:row>
    <x:row r="10">
      <x:c r="A10" s="93" t="str">
        <x:v>Gross margin</x:v>
      </x:c>
      <x:c r="B10" s="94" t="str">
        <x:v>%</x:v>
      </x:c>
      <x:c r="C10" s="98" t="n">
        <x:v>0.78</x:v>
      </x:c>
      <x:c r="D10" s="98" t="n">
        <x:v>0.82</x:v>
      </x:c>
      <x:c r="E10" s="98" t="n">
        <x:v>0.7</x:v>
      </x:c>
      <x:c r="F10" s="99" t="n">
        <x:f>IF($B$3="Base",C10,IF($B$3="Upside",D10,E10))</x:f>
        <x:v>0.78</x:v>
      </x:c>
      <x:c r="G10" s="97" t="str">
        <x:v>Replace with an approved, sourced assumption.</x:v>
      </x:c>
    </x:row>
    <x:row r="11">
      <x:c r="A11" s="93" t="str">
        <x:v>Opening cash</x:v>
      </x:c>
      <x:c r="B11" s="94" t="str">
        <x:v>LCY000</x:v>
      </x:c>
      <x:c r="C11" s="95" t="n">
        <x:v>800</x:v>
      </x:c>
      <x:c r="D11" s="95" t="n">
        <x:v>1000</x:v>
      </x:c>
      <x:c r="E11" s="95" t="n">
        <x:v>600</x:v>
      </x:c>
      <x:c r="F11" s="96" t="n">
        <x:f>IF($B$3="Base",C11,IF($B$3="Upside",D11,E11))</x:f>
        <x:v>800</x:v>
      </x:c>
      <x:c r="G11" s="97" t="str">
        <x:v>Replace with an approved, sourced assumption.</x:v>
      </x:c>
    </x:row>
    <x:row r="12">
      <x:c r="A12" s="102" t="str">
        <x:v>Explicit funding in month 12</x:v>
      </x:c>
      <x:c r="B12" s="103" t="str">
        <x:v>LCY000</x:v>
      </x:c>
      <x:c r="C12" s="104" t="n">
        <x:v>300</x:v>
      </x:c>
      <x:c r="D12" s="104" t="n">
        <x:v>500</x:v>
      </x:c>
      <x:c r="E12" s="104" t="n">
        <x:v>0</x:v>
      </x:c>
      <x:c r="F12" s="105" t="n">
        <x:f>IF($B$3="Base",C12,IF($B$3="Upside",D12,E12))</x:f>
        <x:v>300</x:v>
      </x:c>
      <x:c r="G12" s="106" t="str">
        <x:v>Replace with an approved, sourced assumption.</x:v>
      </x:c>
    </x:row>
    <x:row r="14">
      <x:c r="A14" s="42" t="str">
        <x:v>Scenario discipline: change a small number of decision-relevant drivers, preserve the core formula architecture, and document what changed, why, who owns it, and what action follows.</x:v>
      </x:c>
      <x:c r="B14" s="43" t="str">
        <x:v>Scenario discipline: change a small number of decision-relevant drivers, preserve the core formula architecture, and document what changed, why, who owns it, and what action follows.</x:v>
      </x:c>
      <x:c r="C14" s="43" t="str">
        <x:v>Scenario discipline: change a small number of decision-relevant drivers, preserve the core formula architecture, and document what changed, why, who owns it, and what action follows.</x:v>
      </x:c>
      <x:c r="D14" s="43" t="str">
        <x:v>Scenario discipline: change a small number of decision-relevant drivers, preserve the core formula architecture, and document what changed, why, who owns it, and what action follows.</x:v>
      </x:c>
      <x:c r="E14" s="43" t="str">
        <x:v>Scenario discipline: change a small number of decision-relevant drivers, preserve the core formula architecture, and document what changed, why, who owns it, and what action follows.</x:v>
      </x:c>
      <x:c r="F14" s="43" t="str">
        <x:v>Scenario discipline: change a small number of decision-relevant drivers, preserve the core formula architecture, and document what changed, why, who owns it, and what action follows.</x:v>
      </x:c>
      <x:c r="G14" s="44" t="str">
        <x:v>Scenario discipline: change a small number of decision-relevant drivers, preserve the core formula architecture, and document what changed, why, who owns it, and what action follows.</x:v>
      </x:c>
    </x:row>
    <x:row r="15">
      <x:c r="A15" s="45" t="str">
        <x:v>Scenario discipline: change a small number of decision-relevant drivers, preserve the core formula architecture, and document what changed, why, who owns it, and what action follows.</x:v>
      </x:c>
      <x:c r="B15" s="46" t="str">
        <x:v>Scenario discipline: change a small number of decision-relevant drivers, preserve the core formula architecture, and document what changed, why, who owns it, and what action follows.</x:v>
      </x:c>
      <x:c r="C15" s="46" t="str">
        <x:v>Scenario discipline: change a small number of decision-relevant drivers, preserve the core formula architecture, and document what changed, why, who owns it, and what action follows.</x:v>
      </x:c>
      <x:c r="D15" s="46" t="str">
        <x:v>Scenario discipline: change a small number of decision-relevant drivers, preserve the core formula architecture, and document what changed, why, who owns it, and what action follows.</x:v>
      </x:c>
      <x:c r="E15" s="46" t="str">
        <x:v>Scenario discipline: change a small number of decision-relevant drivers, preserve the core formula architecture, and document what changed, why, who owns it, and what action follows.</x:v>
      </x:c>
      <x:c r="F15" s="46" t="str">
        <x:v>Scenario discipline: change a small number of decision-relevant drivers, preserve the core formula architecture, and document what changed, why, who owns it, and what action follows.</x:v>
      </x:c>
      <x:c r="G15" s="47" t="str">
        <x:v>Scenario discipline: change a small number of decision-relevant drivers, preserve the core formula architecture, and document what changed, why, who owns it, and what action follows.</x:v>
      </x:c>
    </x:row>
    <x:row r="16">
      <x:c r="A16" s="48" t="str">
        <x:v>Scenario discipline: change a small number of decision-relevant drivers, preserve the core formula architecture, and document what changed, why, who owns it, and what action follows.</x:v>
      </x:c>
      <x:c r="B16" s="49" t="str">
        <x:v>Scenario discipline: change a small number of decision-relevant drivers, preserve the core formula architecture, and document what changed, why, who owns it, and what action follows.</x:v>
      </x:c>
      <x:c r="C16" s="49" t="str">
        <x:v>Scenario discipline: change a small number of decision-relevant drivers, preserve the core formula architecture, and document what changed, why, who owns it, and what action follows.</x:v>
      </x:c>
      <x:c r="D16" s="49" t="str">
        <x:v>Scenario discipline: change a small number of decision-relevant drivers, preserve the core formula architecture, and document what changed, why, who owns it, and what action follows.</x:v>
      </x:c>
      <x:c r="E16" s="49" t="str">
        <x:v>Scenario discipline: change a small number of decision-relevant drivers, preserve the core formula architecture, and document what changed, why, who owns it, and what action follows.</x:v>
      </x:c>
      <x:c r="F16" s="49" t="str">
        <x:v>Scenario discipline: change a small number of decision-relevant drivers, preserve the core formula architecture, and document what changed, why, who owns it, and what action follows.</x:v>
      </x:c>
      <x:c r="G16" s="50" t="str">
        <x:v>Scenario discipline: change a small number of decision-relevant drivers, preserve the core formula architecture, and document what changed, why, who owns it, and what action follows.</x:v>
      </x:c>
    </x:row>
    <x:row r="18">
      <x:c r="A18" s="53" t="str">
        <x:v>TDAT Model Library  |  Trust builds the brand. Insight builds the decision.</x:v>
      </x:c>
      <x:c r="B18" s="53" t="str">
        <x:v>TDAT Model Library  |  Trust builds the brand. Insight builds the decision.</x:v>
      </x:c>
      <x:c r="C18" s="53" t="str">
        <x:v>TDAT Model Library  |  Trust builds the brand. Insight builds the decision.</x:v>
      </x:c>
      <x:c r="D18" s="53" t="str">
        <x:v>TDAT Model Library  |  Trust builds the brand. Insight builds the decision.</x:v>
      </x:c>
      <x:c r="E18" s="53" t="str">
        <x:v>TDAT Model Library  |  Trust builds the brand. Insight builds the decision.</x:v>
      </x:c>
      <x:c r="F18" s="53" t="str">
        <x:v>TDAT Model Library  |  Trust builds the brand. Insight builds the decision.</x:v>
      </x:c>
      <x:c r="G18" s="53" t="str">
        <x:v>TDAT Model Library  |  Trust builds the brand. Insight builds the decision.</x:v>
      </x:c>
    </x:row>
  </x:sheetData>
  <x:mergeCells>
    <x:mergeCell ref="A1:G1"/>
    <x:mergeCell ref="A2:G2"/>
    <x:mergeCell ref="A14:G16"/>
    <x:mergeCell ref="A18:G18"/>
  </x:mergeCells>
  <x:dataValidations count="1">
    <x:dataValidation type="list" sqref="B3">
      <x:formula1>"Base,Upside,Downside"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</x:cols>
  <x:sheetData>
    <x:row r="1" ht="34" customHeight="1">
      <x:c r="A1" s="3" t="str">
        <x:v>MONTHLY DRIVERS</x:v>
      </x:c>
      <x:c r="B1" s="3" t="str">
        <x:v>MONTHLY DRIVERS</x:v>
      </x:c>
      <x:c r="C1" s="3" t="str">
        <x:v>MONTHLY DRIVERS</x:v>
      </x:c>
      <x:c r="D1" s="3" t="str">
        <x:v>MONTHLY DRIVERS</x:v>
      </x:c>
      <x:c r="E1" s="3" t="str">
        <x:v>MONTHLY DRIVERS</x:v>
      </x:c>
      <x:c r="F1" s="3" t="str">
        <x:v>MONTHLY DRIVERS</x:v>
      </x:c>
      <x:c r="G1" s="3" t="str">
        <x:v>MONTHLY DRIVERS</x:v>
      </x:c>
      <x:c r="H1" s="3" t="str">
        <x:v>MONTHLY DRIVERS</x:v>
      </x:c>
      <x:c r="I1" s="3" t="str">
        <x:v>MONTHLY DRIVERS</x:v>
      </x:c>
      <x:c r="J1" s="3" t="str">
        <x:v>MONTHLY DRIVERS</x:v>
      </x:c>
      <x:c r="K1" s="3" t="str">
        <x:v>MONTHLY DRIVERS</x:v>
      </x:c>
      <x:c r="L1" s="3" t="str">
        <x:v>MONTHLY DRIVERS</x:v>
      </x:c>
      <x:c r="M1" s="3" t="str">
        <x:v>MONTHLY DRIVERS</x:v>
      </x:c>
      <x:c r="N1" s="3" t="str">
        <x:v>MONTHLY DRIVERS</x:v>
      </x:c>
      <x:c r="O1" s="3" t="str">
        <x:v>MONTHLY DRIVERS</x:v>
      </x:c>
      <x:c r="P1" s="3" t="str">
        <x:v>MONTHLY DRIVERS</x:v>
      </x:c>
      <x:c r="Q1" s="3" t="str">
        <x:v>MONTHLY DRIVERS</x:v>
      </x:c>
      <x:c r="R1" s="3" t="str">
        <x:v>MONTHLY DRIVERS</x:v>
      </x:c>
      <x:c r="S1" s="3" t="str">
        <x:v>MONTHLY DRIVERS</x:v>
      </x:c>
      <x:c r="T1" s="3" t="str">
        <x:v>MONTHLY DRIVERS</x:v>
      </x:c>
      <x:c r="U1" s="3" t="str">
        <x:v>MONTHLY DRIVERS</x:v>
      </x:c>
      <x:c r="V1" s="3" t="str">
        <x:v>MONTHLY DRIVERS</x:v>
      </x:c>
      <x:c r="W1" s="3" t="str">
        <x:v>MONTHLY DRIVERS</x:v>
      </x:c>
      <x:c r="X1" s="3" t="str">
        <x:v>MONTHLY DRIVERS</x:v>
      </x:c>
      <x:c r="Y1" s="3" t="str">
        <x:v>MONTHLY DRIVERS</x:v>
      </x:c>
    </x:row>
    <x:row r="2" ht="24" customHeight="1">
      <x:c r="A2" s="6" t="str">
        <x:v>SaaS Unit Economics  |  Synthetic worked inputs — replace blue cells</x:v>
      </x:c>
      <x:c r="B2" s="6" t="str">
        <x:v>SaaS Unit Economics  |  Synthetic worked inputs — replace blue cells</x:v>
      </x:c>
      <x:c r="C2" s="6" t="str">
        <x:v>SaaS Unit Economics  |  Synthetic worked inputs — replace blue cells</x:v>
      </x:c>
      <x:c r="D2" s="6" t="str">
        <x:v>SaaS Unit Economics  |  Synthetic worked inputs — replace blue cells</x:v>
      </x:c>
      <x:c r="E2" s="6" t="str">
        <x:v>SaaS Unit Economics  |  Synthetic worked inputs — replace blue cells</x:v>
      </x:c>
      <x:c r="F2" s="6" t="str">
        <x:v>SaaS Unit Economics  |  Synthetic worked inputs — replace blue cells</x:v>
      </x:c>
      <x:c r="G2" s="6" t="str">
        <x:v>SaaS Unit Economics  |  Synthetic worked inputs — replace blue cells</x:v>
      </x:c>
      <x:c r="H2" s="6" t="str">
        <x:v>SaaS Unit Economics  |  Synthetic worked inputs — replace blue cells</x:v>
      </x:c>
      <x:c r="I2" s="6" t="str">
        <x:v>SaaS Unit Economics  |  Synthetic worked inputs — replace blue cells</x:v>
      </x:c>
      <x:c r="J2" s="6" t="str">
        <x:v>SaaS Unit Economics  |  Synthetic worked inputs — replace blue cells</x:v>
      </x:c>
      <x:c r="K2" s="6" t="str">
        <x:v>SaaS Unit Economics  |  Synthetic worked inputs — replace blue cells</x:v>
      </x:c>
      <x:c r="L2" s="6" t="str">
        <x:v>SaaS Unit Economics  |  Synthetic worked inputs — replace blue cells</x:v>
      </x:c>
      <x:c r="M2" s="6" t="str">
        <x:v>SaaS Unit Economics  |  Synthetic worked inputs — replace blue cells</x:v>
      </x:c>
      <x:c r="N2" s="6" t="str">
        <x:v>SaaS Unit Economics  |  Synthetic worked inputs — replace blue cells</x:v>
      </x:c>
      <x:c r="O2" s="6" t="str">
        <x:v>SaaS Unit Economics  |  Synthetic worked inputs — replace blue cells</x:v>
      </x:c>
      <x:c r="P2" s="6" t="str">
        <x:v>SaaS Unit Economics  |  Synthetic worked inputs — replace blue cells</x:v>
      </x:c>
      <x:c r="Q2" s="6" t="str">
        <x:v>SaaS Unit Economics  |  Synthetic worked inputs — replace blue cells</x:v>
      </x:c>
      <x:c r="R2" s="6" t="str">
        <x:v>SaaS Unit Economics  |  Synthetic worked inputs — replace blue cells</x:v>
      </x:c>
      <x:c r="S2" s="6" t="str">
        <x:v>SaaS Unit Economics  |  Synthetic worked inputs — replace blue cells</x:v>
      </x:c>
      <x:c r="T2" s="6" t="str">
        <x:v>SaaS Unit Economics  |  Synthetic worked inputs — replace blue cells</x:v>
      </x:c>
      <x:c r="U2" s="6" t="str">
        <x:v>SaaS Unit Economics  |  Synthetic worked inputs — replace blue cells</x:v>
      </x:c>
      <x:c r="V2" s="6" t="str">
        <x:v>SaaS Unit Economics  |  Synthetic worked inputs — replace blue cells</x:v>
      </x:c>
      <x:c r="W2" s="6" t="str">
        <x:v>SaaS Unit Economics  |  Synthetic worked inputs — replace blue cells</x:v>
      </x:c>
      <x:c r="X2" s="6" t="str">
        <x:v>SaaS Unit Economics  |  Synthetic worked inputs — replace blue cells</x:v>
      </x:c>
      <x:c r="Y2" s="6" t="str">
        <x:v>SaaS Unit Economics  |  Synthetic worked inputs — replace blue cells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s="7"/>
      <x:c r="P3" s="7"/>
      <x:c r="Q3" s="7"/>
      <x:c r="R3" s="7"/>
      <x:c r="S3" s="7"/>
      <x:c r="T3" s="7"/>
      <x:c r="U3" s="7"/>
      <x:c r="V3" s="7"/>
      <x:c r="W3" s="7"/>
      <x:c r="X3" s="7"/>
      <x:c r="Y3" s="7"/>
    </x:row>
    <x:row r="5" ht="24" customHeight="1">
      <x:c r="A5" s="66" t="str">
        <x:v>Input / Period</x:v>
      </x:c>
      <x:c r="B5" s="67" t="str">
        <x:v>M1</x:v>
      </x:c>
      <x:c r="C5" s="67" t="str">
        <x:v>M2</x:v>
      </x:c>
      <x:c r="D5" s="67" t="str">
        <x:v>M3</x:v>
      </x:c>
      <x:c r="E5" s="67" t="str">
        <x:v>M4</x:v>
      </x:c>
      <x:c r="F5" s="67" t="str">
        <x:v>M5</x:v>
      </x:c>
      <x:c r="G5" s="67" t="str">
        <x:v>M6</x:v>
      </x:c>
      <x:c r="H5" s="67" t="str">
        <x:v>M7</x:v>
      </x:c>
      <x:c r="I5" s="67" t="str">
        <x:v>M8</x:v>
      </x:c>
      <x:c r="J5" s="67" t="str">
        <x:v>M9</x:v>
      </x:c>
      <x:c r="K5" s="67" t="str">
        <x:v>M10</x:v>
      </x:c>
      <x:c r="L5" s="67" t="str">
        <x:v>M11</x:v>
      </x:c>
      <x:c r="M5" s="67" t="str">
        <x:v>M12</x:v>
      </x:c>
      <x:c r="N5" s="67" t="str">
        <x:v>M13</x:v>
      </x:c>
      <x:c r="O5" s="67" t="str">
        <x:v>M14</x:v>
      </x:c>
      <x:c r="P5" s="67" t="str">
        <x:v>M15</x:v>
      </x:c>
      <x:c r="Q5" s="67" t="str">
        <x:v>M16</x:v>
      </x:c>
      <x:c r="R5" s="67" t="str">
        <x:v>M17</x:v>
      </x:c>
      <x:c r="S5" s="67" t="str">
        <x:v>M18</x:v>
      </x:c>
      <x:c r="T5" s="67" t="str">
        <x:v>M19</x:v>
      </x:c>
      <x:c r="U5" s="67" t="str">
        <x:v>M20</x:v>
      </x:c>
      <x:c r="V5" s="67" t="str">
        <x:v>M21</x:v>
      </x:c>
      <x:c r="W5" s="67" t="str">
        <x:v>M22</x:v>
      </x:c>
      <x:c r="X5" s="67" t="str">
        <x:v>M23</x:v>
      </x:c>
      <x:c r="Y5" s="68" t="str">
        <x:v>M24</x:v>
      </x:c>
    </x:row>
    <x:row r="6">
      <x:c r="A6" s="110" t="str">
        <x:v>New customer logos</x:v>
      </x:c>
      <x:c r="B6" s="111" t="n">
        <x:v>12</x:v>
      </x:c>
      <x:c r="C6" s="111" t="n">
        <x:v>12</x:v>
      </x:c>
      <x:c r="D6" s="111" t="n">
        <x:v>12</x:v>
      </x:c>
      <x:c r="E6" s="111" t="n">
        <x:v>12</x:v>
      </x:c>
      <x:c r="F6" s="111" t="n">
        <x:v>13</x:v>
      </x:c>
      <x:c r="G6" s="111" t="n">
        <x:v>13</x:v>
      </x:c>
      <x:c r="H6" s="111" t="n">
        <x:v>13</x:v>
      </x:c>
      <x:c r="I6" s="111" t="n">
        <x:v>13</x:v>
      </x:c>
      <x:c r="J6" s="111" t="n">
        <x:v>14</x:v>
      </x:c>
      <x:c r="K6" s="111" t="n">
        <x:v>14</x:v>
      </x:c>
      <x:c r="L6" s="111" t="n">
        <x:v>14</x:v>
      </x:c>
      <x:c r="M6" s="111" t="n">
        <x:v>14</x:v>
      </x:c>
      <x:c r="N6" s="111" t="n">
        <x:v>15</x:v>
      </x:c>
      <x:c r="O6" s="111" t="n">
        <x:v>15</x:v>
      </x:c>
      <x:c r="P6" s="111" t="n">
        <x:v>15</x:v>
      </x:c>
      <x:c r="Q6" s="111" t="n">
        <x:v>15</x:v>
      </x:c>
      <x:c r="R6" s="111" t="n">
        <x:v>16</x:v>
      </x:c>
      <x:c r="S6" s="111" t="n">
        <x:v>16</x:v>
      </x:c>
      <x:c r="T6" s="111" t="n">
        <x:v>16</x:v>
      </x:c>
      <x:c r="U6" s="111" t="n">
        <x:v>16</x:v>
      </x:c>
      <x:c r="V6" s="111" t="n">
        <x:v>17</x:v>
      </x:c>
      <x:c r="W6" s="111" t="n">
        <x:v>17</x:v>
      </x:c>
      <x:c r="X6" s="111" t="n">
        <x:v>17</x:v>
      </x:c>
      <x:c r="Y6" s="111" t="n">
        <x:v>17</x:v>
      </x:c>
    </x:row>
    <x:row r="7">
      <x:c r="A7" s="112" t="str">
        <x:v>Monthly ARPA</x:v>
      </x:c>
      <x:c r="B7" s="113" t="n">
        <x:v>1.2</x:v>
      </x:c>
      <x:c r="C7" s="113" t="n">
        <x:v>1.21</x:v>
      </x:c>
      <x:c r="D7" s="113" t="n">
        <x:v>1.22</x:v>
      </x:c>
      <x:c r="E7" s="113" t="n">
        <x:v>1.23</x:v>
      </x:c>
      <x:c r="F7" s="113" t="n">
        <x:v>1.24</x:v>
      </x:c>
      <x:c r="G7" s="113" t="n">
        <x:v>1.25</x:v>
      </x:c>
      <x:c r="H7" s="113" t="n">
        <x:v>1.26</x:v>
      </x:c>
      <x:c r="I7" s="113" t="n">
        <x:v>1.27</x:v>
      </x:c>
      <x:c r="J7" s="113" t="n">
        <x:v>1.28</x:v>
      </x:c>
      <x:c r="K7" s="113" t="n">
        <x:v>1.29</x:v>
      </x:c>
      <x:c r="L7" s="113" t="n">
        <x:v>1.3</x:v>
      </x:c>
      <x:c r="M7" s="113" t="n">
        <x:v>1.31</x:v>
      </x:c>
      <x:c r="N7" s="113" t="n">
        <x:v>1.3199999999999998</x:v>
      </x:c>
      <x:c r="O7" s="113" t="n">
        <x:v>1.33</x:v>
      </x:c>
      <x:c r="P7" s="113" t="n">
        <x:v>1.3399999999999999</x:v>
      </x:c>
      <x:c r="Q7" s="113" t="n">
        <x:v>1.3499999999999999</x:v>
      </x:c>
      <x:c r="R7" s="113" t="n">
        <x:v>1.3599999999999999</x:v>
      </x:c>
      <x:c r="S7" s="113" t="n">
        <x:v>1.3699999999999999</x:v>
      </x:c>
      <x:c r="T7" s="113" t="n">
        <x:v>1.38</x:v>
      </x:c>
      <x:c r="U7" s="113" t="n">
        <x:v>1.39</x:v>
      </x:c>
      <x:c r="V7" s="113" t="n">
        <x:v>1.4</x:v>
      </x:c>
      <x:c r="W7" s="113" t="n">
        <x:v>1.41</x:v>
      </x:c>
      <x:c r="X7" s="113" t="n">
        <x:v>1.42</x:v>
      </x:c>
      <x:c r="Y7" s="113" t="n">
        <x:v>1.43</x:v>
      </x:c>
    </x:row>
    <x:row r="8">
      <x:c r="A8" s="112" t="str">
        <x:v>Monthly expansion MRR</x:v>
      </x:c>
      <x:c r="B8" s="114" t="n">
        <x:v>4</x:v>
      </x:c>
      <x:c r="C8" s="114" t="n">
        <x:v>4.2</x:v>
      </x:c>
      <x:c r="D8" s="114" t="n">
        <x:v>4.4</x:v>
      </x:c>
      <x:c r="E8" s="114" t="n">
        <x:v>4.6</x:v>
      </x:c>
      <x:c r="F8" s="114" t="n">
        <x:v>4.8</x:v>
      </x:c>
      <x:c r="G8" s="114" t="n">
        <x:v>5</x:v>
      </x:c>
      <x:c r="H8" s="114" t="n">
        <x:v>5.2</x:v>
      </x:c>
      <x:c r="I8" s="114" t="n">
        <x:v>5.4</x:v>
      </x:c>
      <x:c r="J8" s="114" t="n">
        <x:v>5.6</x:v>
      </x:c>
      <x:c r="K8" s="114" t="n">
        <x:v>5.8</x:v>
      </x:c>
      <x:c r="L8" s="114" t="n">
        <x:v>6</x:v>
      </x:c>
      <x:c r="M8" s="114" t="n">
        <x:v>6.2</x:v>
      </x:c>
      <x:c r="N8" s="114" t="n">
        <x:v>6.4</x:v>
      </x:c>
      <x:c r="O8" s="114" t="n">
        <x:v>6.6</x:v>
      </x:c>
      <x:c r="P8" s="114" t="n">
        <x:v>6.800000000000001</x:v>
      </x:c>
      <x:c r="Q8" s="114" t="n">
        <x:v>7</x:v>
      </x:c>
      <x:c r="R8" s="114" t="n">
        <x:v>7.2</x:v>
      </x:c>
      <x:c r="S8" s="114" t="n">
        <x:v>7.4</x:v>
      </x:c>
      <x:c r="T8" s="114" t="n">
        <x:v>7.6</x:v>
      </x:c>
      <x:c r="U8" s="114" t="n">
        <x:v>7.800000000000001</x:v>
      </x:c>
      <x:c r="V8" s="114" t="n">
        <x:v>8</x:v>
      </x:c>
      <x:c r="W8" s="114" t="n">
        <x:v>8.2</x:v>
      </x:c>
      <x:c r="X8" s="114" t="n">
        <x:v>8.4</x:v>
      </x:c>
      <x:c r="Y8" s="114" t="n">
        <x:v>8.600000000000001</x:v>
      </x:c>
    </x:row>
    <x:row r="9">
      <x:c r="A9" s="112" t="str">
        <x:v>Monthly contraction MRR</x:v>
      </x:c>
      <x:c r="B9" s="114" t="n">
        <x:v>1.5</x:v>
      </x:c>
      <x:c r="C9" s="114" t="n">
        <x:v>1.55</x:v>
      </x:c>
      <x:c r="D9" s="114" t="n">
        <x:v>1.6</x:v>
      </x:c>
      <x:c r="E9" s="114" t="n">
        <x:v>1.65</x:v>
      </x:c>
      <x:c r="F9" s="114" t="n">
        <x:v>1.7</x:v>
      </x:c>
      <x:c r="G9" s="114" t="n">
        <x:v>1.75</x:v>
      </x:c>
      <x:c r="H9" s="114" t="n">
        <x:v>1.8</x:v>
      </x:c>
      <x:c r="I9" s="114" t="n">
        <x:v>1.85</x:v>
      </x:c>
      <x:c r="J9" s="114" t="n">
        <x:v>1.9</x:v>
      </x:c>
      <x:c r="K9" s="114" t="n">
        <x:v>1.95</x:v>
      </x:c>
      <x:c r="L9" s="114" t="n">
        <x:v>2</x:v>
      </x:c>
      <x:c r="M9" s="114" t="n">
        <x:v>2.05</x:v>
      </x:c>
      <x:c r="N9" s="114" t="n">
        <x:v>2.1</x:v>
      </x:c>
      <x:c r="O9" s="114" t="n">
        <x:v>2.15</x:v>
      </x:c>
      <x:c r="P9" s="114" t="n">
        <x:v>2.2</x:v>
      </x:c>
      <x:c r="Q9" s="114" t="n">
        <x:v>2.25</x:v>
      </x:c>
      <x:c r="R9" s="114" t="n">
        <x:v>2.3</x:v>
      </x:c>
      <x:c r="S9" s="114" t="n">
        <x:v>2.35</x:v>
      </x:c>
      <x:c r="T9" s="114" t="n">
        <x:v>2.4</x:v>
      </x:c>
      <x:c r="U9" s="114" t="n">
        <x:v>2.45</x:v>
      </x:c>
      <x:c r="V9" s="114" t="n">
        <x:v>2.5</x:v>
      </x:c>
      <x:c r="W9" s="114" t="n">
        <x:v>2.55</x:v>
      </x:c>
      <x:c r="X9" s="114" t="n">
        <x:v>2.6</x:v>
      </x:c>
      <x:c r="Y9" s="114" t="n">
        <x:v>2.6500000000000004</x:v>
      </x:c>
    </x:row>
    <x:row r="10">
      <x:c r="A10" s="112" t="str">
        <x:v>Monthly logo / revenue churn</x:v>
      </x:c>
      <x:c r="B10" s="115" t="n">
        <x:v>0.025</x:v>
      </x:c>
      <x:c r="C10" s="115" t="n">
        <x:v>0.025</x:v>
      </x:c>
      <x:c r="D10" s="115" t="n">
        <x:v>0.025</x:v>
      </x:c>
      <x:c r="E10" s="115" t="n">
        <x:v>0.025</x:v>
      </x:c>
      <x:c r="F10" s="115" t="n">
        <x:v>0.025</x:v>
      </x:c>
      <x:c r="G10" s="115" t="n">
        <x:v>0.025</x:v>
      </x:c>
      <x:c r="H10" s="115" t="n">
        <x:v>0.025</x:v>
      </x:c>
      <x:c r="I10" s="115" t="n">
        <x:v>0.025</x:v>
      </x:c>
      <x:c r="J10" s="115" t="n">
        <x:v>0.025</x:v>
      </x:c>
      <x:c r="K10" s="115" t="n">
        <x:v>0.025</x:v>
      </x:c>
      <x:c r="L10" s="115" t="n">
        <x:v>0.025</x:v>
      </x:c>
      <x:c r="M10" s="115" t="n">
        <x:v>0.025</x:v>
      </x:c>
      <x:c r="N10" s="115" t="n">
        <x:v>0.025</x:v>
      </x:c>
      <x:c r="O10" s="115" t="n">
        <x:v>0.025</x:v>
      </x:c>
      <x:c r="P10" s="115" t="n">
        <x:v>0.025</x:v>
      </x:c>
      <x:c r="Q10" s="115" t="n">
        <x:v>0.025</x:v>
      </x:c>
      <x:c r="R10" s="115" t="n">
        <x:v>0.025</x:v>
      </x:c>
      <x:c r="S10" s="115" t="n">
        <x:v>0.025</x:v>
      </x:c>
      <x:c r="T10" s="115" t="n">
        <x:v>0.025</x:v>
      </x:c>
      <x:c r="U10" s="115" t="n">
        <x:v>0.025</x:v>
      </x:c>
      <x:c r="V10" s="115" t="n">
        <x:v>0.025</x:v>
      </x:c>
      <x:c r="W10" s="115" t="n">
        <x:v>0.025</x:v>
      </x:c>
      <x:c r="X10" s="115" t="n">
        <x:v>0.025</x:v>
      </x:c>
      <x:c r="Y10" s="115" t="n">
        <x:v>0.025</x:v>
      </x:c>
    </x:row>
    <x:row r="11">
      <x:c r="A11" s="112" t="str">
        <x:v>Sales &amp; marketing spend</x:v>
      </x:c>
      <x:c r="B11" s="114" t="n">
        <x:v>28</x:v>
      </x:c>
      <x:c r="C11" s="114" t="n">
        <x:v>28.8</x:v>
      </x:c>
      <x:c r="D11" s="114" t="n">
        <x:v>29.6</x:v>
      </x:c>
      <x:c r="E11" s="114" t="n">
        <x:v>30.4</x:v>
      </x:c>
      <x:c r="F11" s="114" t="n">
        <x:v>31.2</x:v>
      </x:c>
      <x:c r="G11" s="114" t="n">
        <x:v>32</x:v>
      </x:c>
      <x:c r="H11" s="114" t="n">
        <x:v>32.8</x:v>
      </x:c>
      <x:c r="I11" s="114" t="n">
        <x:v>33.6</x:v>
      </x:c>
      <x:c r="J11" s="114" t="n">
        <x:v>34.4</x:v>
      </x:c>
      <x:c r="K11" s="114" t="n">
        <x:v>35.2</x:v>
      </x:c>
      <x:c r="L11" s="114" t="n">
        <x:v>36</x:v>
      </x:c>
      <x:c r="M11" s="114" t="n">
        <x:v>36.8</x:v>
      </x:c>
      <x:c r="N11" s="114" t="n">
        <x:v>37.6</x:v>
      </x:c>
      <x:c r="O11" s="114" t="n">
        <x:v>38.4</x:v>
      </x:c>
      <x:c r="P11" s="114" t="n">
        <x:v>39.2</x:v>
      </x:c>
      <x:c r="Q11" s="114" t="n">
        <x:v>40</x:v>
      </x:c>
      <x:c r="R11" s="114" t="n">
        <x:v>40.8</x:v>
      </x:c>
      <x:c r="S11" s="114" t="n">
        <x:v>41.6</x:v>
      </x:c>
      <x:c r="T11" s="114" t="n">
        <x:v>42.4</x:v>
      </x:c>
      <x:c r="U11" s="114" t="n">
        <x:v>43.2</x:v>
      </x:c>
      <x:c r="V11" s="114" t="n">
        <x:v>44</x:v>
      </x:c>
      <x:c r="W11" s="114" t="n">
        <x:v>44.8</x:v>
      </x:c>
      <x:c r="X11" s="114" t="n">
        <x:v>45.6</x:v>
      </x:c>
      <x:c r="Y11" s="114" t="n">
        <x:v>46.400000000000006</x:v>
      </x:c>
    </x:row>
    <x:row r="12">
      <x:c r="A12" s="116" t="str">
        <x:v>Other operating expense</x:v>
      </x:c>
      <x:c r="B12" s="117" t="n">
        <x:v>55</x:v>
      </x:c>
      <x:c r="C12" s="117" t="n">
        <x:v>56</x:v>
      </x:c>
      <x:c r="D12" s="117" t="n">
        <x:v>57</x:v>
      </x:c>
      <x:c r="E12" s="117" t="n">
        <x:v>58</x:v>
      </x:c>
      <x:c r="F12" s="117" t="n">
        <x:v>59</x:v>
      </x:c>
      <x:c r="G12" s="117" t="n">
        <x:v>60</x:v>
      </x:c>
      <x:c r="H12" s="117" t="n">
        <x:v>61</x:v>
      </x:c>
      <x:c r="I12" s="117" t="n">
        <x:v>62</x:v>
      </x:c>
      <x:c r="J12" s="117" t="n">
        <x:v>63</x:v>
      </x:c>
      <x:c r="K12" s="117" t="n">
        <x:v>64</x:v>
      </x:c>
      <x:c r="L12" s="117" t="n">
        <x:v>65</x:v>
      </x:c>
      <x:c r="M12" s="117" t="n">
        <x:v>66</x:v>
      </x:c>
      <x:c r="N12" s="117" t="n">
        <x:v>67</x:v>
      </x:c>
      <x:c r="O12" s="117" t="n">
        <x:v>68</x:v>
      </x:c>
      <x:c r="P12" s="117" t="n">
        <x:v>69</x:v>
      </x:c>
      <x:c r="Q12" s="117" t="n">
        <x:v>70</x:v>
      </x:c>
      <x:c r="R12" s="117" t="n">
        <x:v>71</x:v>
      </x:c>
      <x:c r="S12" s="117" t="n">
        <x:v>72</x:v>
      </x:c>
      <x:c r="T12" s="117" t="n">
        <x:v>73</x:v>
      </x:c>
      <x:c r="U12" s="117" t="n">
        <x:v>74</x:v>
      </x:c>
      <x:c r="V12" s="117" t="n">
        <x:v>75</x:v>
      </x:c>
      <x:c r="W12" s="117" t="n">
        <x:v>76</x:v>
      </x:c>
      <x:c r="X12" s="117" t="n">
        <x:v>77</x:v>
      </x:c>
      <x:c r="Y12" s="117" t="n">
        <x:v>78</x:v>
      </x:c>
    </x:row>
    <x:row r="14">
      <x:c r="A14" s="42" t="str">
        <x:v>Synthetic input pack. Preserve source definitions, units, period basis, and sign convention when replacing values.</x:v>
      </x:c>
      <x:c r="B14" s="43" t="str">
        <x:v>Synthetic input pack. Preserve source definitions, units, period basis, and sign convention when replacing values.</x:v>
      </x:c>
      <x:c r="C14" s="43" t="str">
        <x:v>Synthetic input pack. Preserve source definitions, units, period basis, and sign convention when replacing values.</x:v>
      </x:c>
      <x:c r="D14" s="43" t="str">
        <x:v>Synthetic input pack. Preserve source definitions, units, period basis, and sign convention when replacing values.</x:v>
      </x:c>
      <x:c r="E14" s="43" t="str">
        <x:v>Synthetic input pack. Preserve source definitions, units, period basis, and sign convention when replacing values.</x:v>
      </x:c>
      <x:c r="F14" s="43" t="str">
        <x:v>Synthetic input pack. Preserve source definitions, units, period basis, and sign convention when replacing values.</x:v>
      </x:c>
      <x:c r="G14" s="43" t="str">
        <x:v>Synthetic input pack. Preserve source definitions, units, period basis, and sign convention when replacing values.</x:v>
      </x:c>
      <x:c r="H14" s="43" t="str">
        <x:v>Synthetic input pack. Preserve source definitions, units, period basis, and sign convention when replacing values.</x:v>
      </x:c>
      <x:c r="I14" s="43" t="str">
        <x:v>Synthetic input pack. Preserve source definitions, units, period basis, and sign convention when replacing values.</x:v>
      </x:c>
      <x:c r="J14" s="43" t="str">
        <x:v>Synthetic input pack. Preserve source definitions, units, period basis, and sign convention when replacing values.</x:v>
      </x:c>
      <x:c r="K14" s="43" t="str">
        <x:v>Synthetic input pack. Preserve source definitions, units, period basis, and sign convention when replacing values.</x:v>
      </x:c>
      <x:c r="L14" s="43" t="str">
        <x:v>Synthetic input pack. Preserve source definitions, units, period basis, and sign convention when replacing values.</x:v>
      </x:c>
      <x:c r="M14" s="43" t="str">
        <x:v>Synthetic input pack. Preserve source definitions, units, period basis, and sign convention when replacing values.</x:v>
      </x:c>
      <x:c r="N14" s="43" t="str">
        <x:v>Synthetic input pack. Preserve source definitions, units, period basis, and sign convention when replacing values.</x:v>
      </x:c>
      <x:c r="O14" s="43" t="str">
        <x:v>Synthetic input pack. Preserve source definitions, units, period basis, and sign convention when replacing values.</x:v>
      </x:c>
      <x:c r="P14" s="43" t="str">
        <x:v>Synthetic input pack. Preserve source definitions, units, period basis, and sign convention when replacing values.</x:v>
      </x:c>
      <x:c r="Q14" s="43" t="str">
        <x:v>Synthetic input pack. Preserve source definitions, units, period basis, and sign convention when replacing values.</x:v>
      </x:c>
      <x:c r="R14" s="43" t="str">
        <x:v>Synthetic input pack. Preserve source definitions, units, period basis, and sign convention when replacing values.</x:v>
      </x:c>
      <x:c r="S14" s="43" t="str">
        <x:v>Synthetic input pack. Preserve source definitions, units, period basis, and sign convention when replacing values.</x:v>
      </x:c>
      <x:c r="T14" s="43" t="str">
        <x:v>Synthetic input pack. Preserve source definitions, units, period basis, and sign convention when replacing values.</x:v>
      </x:c>
      <x:c r="U14" s="43" t="str">
        <x:v>Synthetic input pack. Preserve source definitions, units, period basis, and sign convention when replacing values.</x:v>
      </x:c>
      <x:c r="V14" s="43" t="str">
        <x:v>Synthetic input pack. Preserve source definitions, units, period basis, and sign convention when replacing values.</x:v>
      </x:c>
      <x:c r="W14" s="43" t="str">
        <x:v>Synthetic input pack. Preserve source definitions, units, period basis, and sign convention when replacing values.</x:v>
      </x:c>
      <x:c r="X14" s="43" t="str">
        <x:v>Synthetic input pack. Preserve source definitions, units, period basis, and sign convention when replacing values.</x:v>
      </x:c>
      <x:c r="Y14" s="44" t="str">
        <x:v>Synthetic input pack. Preserve source definitions, units, period basis, and sign convention when replacing values.</x:v>
      </x:c>
    </x:row>
    <x:row r="15">
      <x:c r="A15" s="45" t="str">
        <x:v>Synthetic input pack. Preserve source definitions, units, period basis, and sign convention when replacing values.</x:v>
      </x:c>
      <x:c r="B15" s="46" t="str">
        <x:v>Synthetic input pack. Preserve source definitions, units, period basis, and sign convention when replacing values.</x:v>
      </x:c>
      <x:c r="C15" s="46" t="str">
        <x:v>Synthetic input pack. Preserve source definitions, units, period basis, and sign convention when replacing values.</x:v>
      </x:c>
      <x:c r="D15" s="46" t="str">
        <x:v>Synthetic input pack. Preserve source definitions, units, period basis, and sign convention when replacing values.</x:v>
      </x:c>
      <x:c r="E15" s="46" t="str">
        <x:v>Synthetic input pack. Preserve source definitions, units, period basis, and sign convention when replacing values.</x:v>
      </x:c>
      <x:c r="F15" s="46" t="str">
        <x:v>Synthetic input pack. Preserve source definitions, units, period basis, and sign convention when replacing values.</x:v>
      </x:c>
      <x:c r="G15" s="46" t="str">
        <x:v>Synthetic input pack. Preserve source definitions, units, period basis, and sign convention when replacing values.</x:v>
      </x:c>
      <x:c r="H15" s="46" t="str">
        <x:v>Synthetic input pack. Preserve source definitions, units, period basis, and sign convention when replacing values.</x:v>
      </x:c>
      <x:c r="I15" s="46" t="str">
        <x:v>Synthetic input pack. Preserve source definitions, units, period basis, and sign convention when replacing values.</x:v>
      </x:c>
      <x:c r="J15" s="46" t="str">
        <x:v>Synthetic input pack. Preserve source definitions, units, period basis, and sign convention when replacing values.</x:v>
      </x:c>
      <x:c r="K15" s="46" t="str">
        <x:v>Synthetic input pack. Preserve source definitions, units, period basis, and sign convention when replacing values.</x:v>
      </x:c>
      <x:c r="L15" s="46" t="str">
        <x:v>Synthetic input pack. Preserve source definitions, units, period basis, and sign convention when replacing values.</x:v>
      </x:c>
      <x:c r="M15" s="46" t="str">
        <x:v>Synthetic input pack. Preserve source definitions, units, period basis, and sign convention when replacing values.</x:v>
      </x:c>
      <x:c r="N15" s="46" t="str">
        <x:v>Synthetic input pack. Preserve source definitions, units, period basis, and sign convention when replacing values.</x:v>
      </x:c>
      <x:c r="O15" s="46" t="str">
        <x:v>Synthetic input pack. Preserve source definitions, units, period basis, and sign convention when replacing values.</x:v>
      </x:c>
      <x:c r="P15" s="46" t="str">
        <x:v>Synthetic input pack. Preserve source definitions, units, period basis, and sign convention when replacing values.</x:v>
      </x:c>
      <x:c r="Q15" s="46" t="str">
        <x:v>Synthetic input pack. Preserve source definitions, units, period basis, and sign convention when replacing values.</x:v>
      </x:c>
      <x:c r="R15" s="46" t="str">
        <x:v>Synthetic input pack. Preserve source definitions, units, period basis, and sign convention when replacing values.</x:v>
      </x:c>
      <x:c r="S15" s="46" t="str">
        <x:v>Synthetic input pack. Preserve source definitions, units, period basis, and sign convention when replacing values.</x:v>
      </x:c>
      <x:c r="T15" s="46" t="str">
        <x:v>Synthetic input pack. Preserve source definitions, units, period basis, and sign convention when replacing values.</x:v>
      </x:c>
      <x:c r="U15" s="46" t="str">
        <x:v>Synthetic input pack. Preserve source definitions, units, period basis, and sign convention when replacing values.</x:v>
      </x:c>
      <x:c r="V15" s="46" t="str">
        <x:v>Synthetic input pack. Preserve source definitions, units, period basis, and sign convention when replacing values.</x:v>
      </x:c>
      <x:c r="W15" s="46" t="str">
        <x:v>Synthetic input pack. Preserve source definitions, units, period basis, and sign convention when replacing values.</x:v>
      </x:c>
      <x:c r="X15" s="46" t="str">
        <x:v>Synthetic input pack. Preserve source definitions, units, period basis, and sign convention when replacing values.</x:v>
      </x:c>
      <x:c r="Y15" s="47" t="str">
        <x:v>Synthetic input pack. Preserve source definitions, units, period basis, and sign convention when replacing values.</x:v>
      </x:c>
    </x:row>
    <x:row r="16">
      <x:c r="A16" s="48" t="str">
        <x:v>Synthetic input pack. Preserve source definitions, units, period basis, and sign convention when replacing values.</x:v>
      </x:c>
      <x:c r="B16" s="49" t="str">
        <x:v>Synthetic input pack. Preserve source definitions, units, period basis, and sign convention when replacing values.</x:v>
      </x:c>
      <x:c r="C16" s="49" t="str">
        <x:v>Synthetic input pack. Preserve source definitions, units, period basis, and sign convention when replacing values.</x:v>
      </x:c>
      <x:c r="D16" s="49" t="str">
        <x:v>Synthetic input pack. Preserve source definitions, units, period basis, and sign convention when replacing values.</x:v>
      </x:c>
      <x:c r="E16" s="49" t="str">
        <x:v>Synthetic input pack. Preserve source definitions, units, period basis, and sign convention when replacing values.</x:v>
      </x:c>
      <x:c r="F16" s="49" t="str">
        <x:v>Synthetic input pack. Preserve source definitions, units, period basis, and sign convention when replacing values.</x:v>
      </x:c>
      <x:c r="G16" s="49" t="str">
        <x:v>Synthetic input pack. Preserve source definitions, units, period basis, and sign convention when replacing values.</x:v>
      </x:c>
      <x:c r="H16" s="49" t="str">
        <x:v>Synthetic input pack. Preserve source definitions, units, period basis, and sign convention when replacing values.</x:v>
      </x:c>
      <x:c r="I16" s="49" t="str">
        <x:v>Synthetic input pack. Preserve source definitions, units, period basis, and sign convention when replacing values.</x:v>
      </x:c>
      <x:c r="J16" s="49" t="str">
        <x:v>Synthetic input pack. Preserve source definitions, units, period basis, and sign convention when replacing values.</x:v>
      </x:c>
      <x:c r="K16" s="49" t="str">
        <x:v>Synthetic input pack. Preserve source definitions, units, period basis, and sign convention when replacing values.</x:v>
      </x:c>
      <x:c r="L16" s="49" t="str">
        <x:v>Synthetic input pack. Preserve source definitions, units, period basis, and sign convention when replacing values.</x:v>
      </x:c>
      <x:c r="M16" s="49" t="str">
        <x:v>Synthetic input pack. Preserve source definitions, units, period basis, and sign convention when replacing values.</x:v>
      </x:c>
      <x:c r="N16" s="49" t="str">
        <x:v>Synthetic input pack. Preserve source definitions, units, period basis, and sign convention when replacing values.</x:v>
      </x:c>
      <x:c r="O16" s="49" t="str">
        <x:v>Synthetic input pack. Preserve source definitions, units, period basis, and sign convention when replacing values.</x:v>
      </x:c>
      <x:c r="P16" s="49" t="str">
        <x:v>Synthetic input pack. Preserve source definitions, units, period basis, and sign convention when replacing values.</x:v>
      </x:c>
      <x:c r="Q16" s="49" t="str">
        <x:v>Synthetic input pack. Preserve source definitions, units, period basis, and sign convention when replacing values.</x:v>
      </x:c>
      <x:c r="R16" s="49" t="str">
        <x:v>Synthetic input pack. Preserve source definitions, units, period basis, and sign convention when replacing values.</x:v>
      </x:c>
      <x:c r="S16" s="49" t="str">
        <x:v>Synthetic input pack. Preserve source definitions, units, period basis, and sign convention when replacing values.</x:v>
      </x:c>
      <x:c r="T16" s="49" t="str">
        <x:v>Synthetic input pack. Preserve source definitions, units, period basis, and sign convention when replacing values.</x:v>
      </x:c>
      <x:c r="U16" s="49" t="str">
        <x:v>Synthetic input pack. Preserve source definitions, units, period basis, and sign convention when replacing values.</x:v>
      </x:c>
      <x:c r="V16" s="49" t="str">
        <x:v>Synthetic input pack. Preserve source definitions, units, period basis, and sign convention when replacing values.</x:v>
      </x:c>
      <x:c r="W16" s="49" t="str">
        <x:v>Synthetic input pack. Preserve source definitions, units, period basis, and sign convention when replacing values.</x:v>
      </x:c>
      <x:c r="X16" s="49" t="str">
        <x:v>Synthetic input pack. Preserve source definitions, units, period basis, and sign convention when replacing values.</x:v>
      </x:c>
      <x:c r="Y16" s="50" t="str">
        <x:v>Synthetic input pack. Preserve source definitions, units, period basis, and sign convention when replacing values.</x:v>
      </x:c>
    </x:row>
    <x:row r="18">
      <x:c r="A18" s="53" t="str">
        <x:v>TDAT Model Library  |  Trust builds the brand. Insight builds the decision.</x:v>
      </x:c>
      <x:c r="B18" s="53" t="str">
        <x:v>TDAT Model Library  |  Trust builds the brand. Insight builds the decision.</x:v>
      </x:c>
      <x:c r="C18" s="53" t="str">
        <x:v>TDAT Model Library  |  Trust builds the brand. Insight builds the decision.</x:v>
      </x:c>
      <x:c r="D18" s="53" t="str">
        <x:v>TDAT Model Library  |  Trust builds the brand. Insight builds the decision.</x:v>
      </x:c>
      <x:c r="E18" s="53" t="str">
        <x:v>TDAT Model Library  |  Trust builds the brand. Insight builds the decision.</x:v>
      </x:c>
      <x:c r="F18" s="53" t="str">
        <x:v>TDAT Model Library  |  Trust builds the brand. Insight builds the decision.</x:v>
      </x:c>
      <x:c r="G18" s="53" t="str">
        <x:v>TDAT Model Library  |  Trust builds the brand. Insight builds the decision.</x:v>
      </x:c>
      <x:c r="H18" s="53" t="str">
        <x:v>TDAT Model Library  |  Trust builds the brand. Insight builds the decision.</x:v>
      </x:c>
      <x:c r="I18" s="53" t="str">
        <x:v>TDAT Model Library  |  Trust builds the brand. Insight builds the decision.</x:v>
      </x:c>
      <x:c r="J18" s="53" t="str">
        <x:v>TDAT Model Library  |  Trust builds the brand. Insight builds the decision.</x:v>
      </x:c>
      <x:c r="K18" s="53" t="str">
        <x:v>TDAT Model Library  |  Trust builds the brand. Insight builds the decision.</x:v>
      </x:c>
      <x:c r="L18" s="53" t="str">
        <x:v>TDAT Model Library  |  Trust builds the brand. Insight builds the decision.</x:v>
      </x:c>
      <x:c r="M18" s="53" t="str">
        <x:v>TDAT Model Library  |  Trust builds the brand. Insight builds the decision.</x:v>
      </x:c>
      <x:c r="N18" s="53" t="str">
        <x:v>TDAT Model Library  |  Trust builds the brand. Insight builds the decision.</x:v>
      </x:c>
      <x:c r="O18" s="53" t="str">
        <x:v>TDAT Model Library  |  Trust builds the brand. Insight builds the decision.</x:v>
      </x:c>
      <x:c r="P18" s="53" t="str">
        <x:v>TDAT Model Library  |  Trust builds the brand. Insight builds the decision.</x:v>
      </x:c>
      <x:c r="Q18" s="53" t="str">
        <x:v>TDAT Model Library  |  Trust builds the brand. Insight builds the decision.</x:v>
      </x:c>
      <x:c r="R18" s="53" t="str">
        <x:v>TDAT Model Library  |  Trust builds the brand. Insight builds the decision.</x:v>
      </x:c>
      <x:c r="S18" s="53" t="str">
        <x:v>TDAT Model Library  |  Trust builds the brand. Insight builds the decision.</x:v>
      </x:c>
      <x:c r="T18" s="53" t="str">
        <x:v>TDAT Model Library  |  Trust builds the brand. Insight builds the decision.</x:v>
      </x:c>
      <x:c r="U18" s="53" t="str">
        <x:v>TDAT Model Library  |  Trust builds the brand. Insight builds the decision.</x:v>
      </x:c>
      <x:c r="V18" s="53" t="str">
        <x:v>TDAT Model Library  |  Trust builds the brand. Insight builds the decision.</x:v>
      </x:c>
      <x:c r="W18" s="53" t="str">
        <x:v>TDAT Model Library  |  Trust builds the brand. Insight builds the decision.</x:v>
      </x:c>
      <x:c r="X18" s="53" t="str">
        <x:v>TDAT Model Library  |  Trust builds the brand. Insight builds the decision.</x:v>
      </x:c>
      <x:c r="Y18" s="53" t="str">
        <x:v>TDAT Model Library  |  Trust builds the brand. Insight builds the decision.</x:v>
      </x:c>
    </x:row>
  </x:sheetData>
  <x:mergeCells>
    <x:mergeCell ref="A1:Y1"/>
    <x:mergeCell ref="A2:Y2"/>
    <x:mergeCell ref="A14:Y16"/>
    <x:mergeCell ref="A18:Y18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</x:cols>
  <x:sheetData>
    <x:row r="1" ht="34" customHeight="1">
      <x:c r="A1" s="3" t="str">
        <x:v>SAAS ENGINE</x:v>
      </x:c>
      <x:c r="B1" s="3" t="str">
        <x:v>SAAS ENGINE</x:v>
      </x:c>
      <x:c r="C1" s="3" t="str">
        <x:v>SAAS ENGINE</x:v>
      </x:c>
      <x:c r="D1" s="3" t="str">
        <x:v>SAAS ENGINE</x:v>
      </x:c>
      <x:c r="E1" s="3" t="str">
        <x:v>SAAS ENGINE</x:v>
      </x:c>
      <x:c r="F1" s="3" t="str">
        <x:v>SAAS ENGINE</x:v>
      </x:c>
      <x:c r="G1" s="3" t="str">
        <x:v>SAAS ENGINE</x:v>
      </x:c>
      <x:c r="H1" s="3" t="str">
        <x:v>SAAS ENGINE</x:v>
      </x:c>
      <x:c r="I1" s="3" t="str">
        <x:v>SAAS ENGINE</x:v>
      </x:c>
      <x:c r="J1" s="3" t="str">
        <x:v>SAAS ENGINE</x:v>
      </x:c>
      <x:c r="K1" s="3" t="str">
        <x:v>SAAS ENGINE</x:v>
      </x:c>
      <x:c r="L1" s="3" t="str">
        <x:v>SAAS ENGINE</x:v>
      </x:c>
      <x:c r="M1" s="3" t="str">
        <x:v>SAAS ENGINE</x:v>
      </x:c>
      <x:c r="N1" s="3" t="str">
        <x:v>SAAS ENGINE</x:v>
      </x:c>
      <x:c r="O1" s="3" t="str">
        <x:v>SAAS ENGINE</x:v>
      </x:c>
      <x:c r="P1" s="3" t="str">
        <x:v>SAAS ENGINE</x:v>
      </x:c>
      <x:c r="Q1" s="3" t="str">
        <x:v>SAAS ENGINE</x:v>
      </x:c>
      <x:c r="R1" s="3" t="str">
        <x:v>SAAS ENGINE</x:v>
      </x:c>
      <x:c r="S1" s="3" t="str">
        <x:v>SAAS ENGINE</x:v>
      </x:c>
      <x:c r="T1" s="3" t="str">
        <x:v>SAAS ENGINE</x:v>
      </x:c>
      <x:c r="U1" s="3" t="str">
        <x:v>SAAS ENGINE</x:v>
      </x:c>
      <x:c r="V1" s="3" t="str">
        <x:v>SAAS ENGINE</x:v>
      </x:c>
      <x:c r="W1" s="3" t="str">
        <x:v>SAAS ENGINE</x:v>
      </x:c>
      <x:c r="X1" s="3" t="str">
        <x:v>SAAS ENGINE</x:v>
      </x:c>
      <x:c r="Y1" s="3" t="str">
        <x:v>SAAS ENGINE</x:v>
      </x:c>
    </x:row>
    <x:row r="2" ht="24" customHeight="1">
      <x:c r="A2" s="6" t="str">
        <x:v>SaaS Unit Economics  |  Formula-driven core mechanics</x:v>
      </x:c>
      <x:c r="B2" s="6" t="str">
        <x:v>SaaS Unit Economics  |  Formula-driven core mechanics</x:v>
      </x:c>
      <x:c r="C2" s="6" t="str">
        <x:v>SaaS Unit Economics  |  Formula-driven core mechanics</x:v>
      </x:c>
      <x:c r="D2" s="6" t="str">
        <x:v>SaaS Unit Economics  |  Formula-driven core mechanics</x:v>
      </x:c>
      <x:c r="E2" s="6" t="str">
        <x:v>SaaS Unit Economics  |  Formula-driven core mechanics</x:v>
      </x:c>
      <x:c r="F2" s="6" t="str">
        <x:v>SaaS Unit Economics  |  Formula-driven core mechanics</x:v>
      </x:c>
      <x:c r="G2" s="6" t="str">
        <x:v>SaaS Unit Economics  |  Formula-driven core mechanics</x:v>
      </x:c>
      <x:c r="H2" s="6" t="str">
        <x:v>SaaS Unit Economics  |  Formula-driven core mechanics</x:v>
      </x:c>
      <x:c r="I2" s="6" t="str">
        <x:v>SaaS Unit Economics  |  Formula-driven core mechanics</x:v>
      </x:c>
      <x:c r="J2" s="6" t="str">
        <x:v>SaaS Unit Economics  |  Formula-driven core mechanics</x:v>
      </x:c>
      <x:c r="K2" s="6" t="str">
        <x:v>SaaS Unit Economics  |  Formula-driven core mechanics</x:v>
      </x:c>
      <x:c r="L2" s="6" t="str">
        <x:v>SaaS Unit Economics  |  Formula-driven core mechanics</x:v>
      </x:c>
      <x:c r="M2" s="6" t="str">
        <x:v>SaaS Unit Economics  |  Formula-driven core mechanics</x:v>
      </x:c>
      <x:c r="N2" s="6" t="str">
        <x:v>SaaS Unit Economics  |  Formula-driven core mechanics</x:v>
      </x:c>
      <x:c r="O2" s="6" t="str">
        <x:v>SaaS Unit Economics  |  Formula-driven core mechanics</x:v>
      </x:c>
      <x:c r="P2" s="6" t="str">
        <x:v>SaaS Unit Economics  |  Formula-driven core mechanics</x:v>
      </x:c>
      <x:c r="Q2" s="6" t="str">
        <x:v>SaaS Unit Economics  |  Formula-driven core mechanics</x:v>
      </x:c>
      <x:c r="R2" s="6" t="str">
        <x:v>SaaS Unit Economics  |  Formula-driven core mechanics</x:v>
      </x:c>
      <x:c r="S2" s="6" t="str">
        <x:v>SaaS Unit Economics  |  Formula-driven core mechanics</x:v>
      </x:c>
      <x:c r="T2" s="6" t="str">
        <x:v>SaaS Unit Economics  |  Formula-driven core mechanics</x:v>
      </x:c>
      <x:c r="U2" s="6" t="str">
        <x:v>SaaS Unit Economics  |  Formula-driven core mechanics</x:v>
      </x:c>
      <x:c r="V2" s="6" t="str">
        <x:v>SaaS Unit Economics  |  Formula-driven core mechanics</x:v>
      </x:c>
      <x:c r="W2" s="6" t="str">
        <x:v>SaaS Unit Economics  |  Formula-driven core mechanics</x:v>
      </x:c>
      <x:c r="X2" s="6" t="str">
        <x:v>SaaS Unit Economics  |  Formula-driven core mechanics</x:v>
      </x:c>
      <x:c r="Y2" s="6" t="str">
        <x:v>SaaS Unit Economics  |  Formula-driven core mechanics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s="7"/>
      <x:c r="P3" s="7"/>
      <x:c r="Q3" s="7"/>
      <x:c r="R3" s="7"/>
      <x:c r="S3" s="7"/>
      <x:c r="T3" s="7"/>
      <x:c r="U3" s="7"/>
      <x:c r="V3" s="7"/>
      <x:c r="W3" s="7"/>
      <x:c r="X3" s="7"/>
      <x:c r="Y3" s="7"/>
    </x:row>
    <x:row r="5" ht="24" customHeight="1">
      <x:c r="A5" s="66" t="str">
        <x:v>Calculation / Period</x:v>
      </x:c>
      <x:c r="B5" s="67" t="str">
        <x:v>M1</x:v>
      </x:c>
      <x:c r="C5" s="67" t="str">
        <x:v>M2</x:v>
      </x:c>
      <x:c r="D5" s="67" t="str">
        <x:v>M3</x:v>
      </x:c>
      <x:c r="E5" s="67" t="str">
        <x:v>M4</x:v>
      </x:c>
      <x:c r="F5" s="67" t="str">
        <x:v>M5</x:v>
      </x:c>
      <x:c r="G5" s="67" t="str">
        <x:v>M6</x:v>
      </x:c>
      <x:c r="H5" s="67" t="str">
        <x:v>M7</x:v>
      </x:c>
      <x:c r="I5" s="67" t="str">
        <x:v>M8</x:v>
      </x:c>
      <x:c r="J5" s="67" t="str">
        <x:v>M9</x:v>
      </x:c>
      <x:c r="K5" s="67" t="str">
        <x:v>M10</x:v>
      </x:c>
      <x:c r="L5" s="67" t="str">
        <x:v>M11</x:v>
      </x:c>
      <x:c r="M5" s="67" t="str">
        <x:v>M12</x:v>
      </x:c>
      <x:c r="N5" s="67" t="str">
        <x:v>M13</x:v>
      </x:c>
      <x:c r="O5" s="67" t="str">
        <x:v>M14</x:v>
      </x:c>
      <x:c r="P5" s="67" t="str">
        <x:v>M15</x:v>
      </x:c>
      <x:c r="Q5" s="67" t="str">
        <x:v>M16</x:v>
      </x:c>
      <x:c r="R5" s="67" t="str">
        <x:v>M17</x:v>
      </x:c>
      <x:c r="S5" s="67" t="str">
        <x:v>M18</x:v>
      </x:c>
      <x:c r="T5" s="67" t="str">
        <x:v>M19</x:v>
      </x:c>
      <x:c r="U5" s="67" t="str">
        <x:v>M20</x:v>
      </x:c>
      <x:c r="V5" s="67" t="str">
        <x:v>M21</x:v>
      </x:c>
      <x:c r="W5" s="67" t="str">
        <x:v>M22</x:v>
      </x:c>
      <x:c r="X5" s="67" t="str">
        <x:v>M23</x:v>
      </x:c>
      <x:c r="Y5" s="68" t="str">
        <x:v>M24</x:v>
      </x:c>
    </x:row>
    <x:row r="6">
      <x:c r="A6" s="136" t="str">
        <x:v>Opening logos</x:v>
      </x:c>
      <x:c r="B6" s="137" t="n">
        <x:f>'Assumptions'!$F$6</x:f>
        <x:v>180</x:v>
      </x:c>
      <x:c r="C6" s="137" t="n">
        <x:f>B$9</x:f>
        <x:v>187.74</x:v>
      </x:c>
      <x:c r="D6" s="137" t="n">
        <x:f>C$9</x:f>
        <x:v>195.28650000000002</x:v>
      </x:c>
      <x:c r="E6" s="137" t="n">
        <x:f>D$9</x:f>
        <x:v>202.64433750000003</x:v>
      </x:c>
      <x:c r="F6" s="137" t="n">
        <x:f>E$9</x:f>
        <x:v>209.81822906250005</x:v>
      </x:c>
      <x:c r="G6" s="137" t="n">
        <x:f>F$9</x:f>
        <x:v>217.83277333593753</x:v>
      </x:c>
      <x:c r="H6" s="137" t="n">
        <x:f>G$9</x:f>
        <x:v>225.64695400253908</x:v>
      </x:c>
      <x:c r="I6" s="137" t="n">
        <x:f>H$9</x:f>
        <x:v>233.2657801524756</x:v>
      </x:c>
      <x:c r="J6" s="137" t="n">
        <x:f>I$9</x:f>
        <x:v>240.6941356486637</x:v>
      </x:c>
      <x:c r="K6" s="137" t="n">
        <x:f>J$9</x:f>
        <x:v>248.9567822574471</x:v>
      </x:c>
      <x:c r="L6" s="137" t="n">
        <x:f>K$9</x:f>
        <x:v>257.01286270101093</x:v>
      </x:c>
      <x:c r="M6" s="137" t="n">
        <x:f>L$9</x:f>
        <x:v>264.86754113348564</x:v>
      </x:c>
      <x:c r="N6" s="137" t="n">
        <x:f>M$9</x:f>
        <x:v>272.52585260514854</x:v>
      </x:c>
      <x:c r="O6" s="137" t="n">
        <x:f>N$9</x:f>
        <x:v>281.0127062900198</x:v>
      </x:c>
      <x:c r="P6" s="137" t="n">
        <x:f>O$9</x:f>
        <x:v>289.28738863276936</x:v>
      </x:c>
      <x:c r="Q6" s="137" t="n">
        <x:f>P$9</x:f>
        <x:v>297.35520391695013</x:v>
      </x:c>
      <x:c r="R6" s="137" t="n">
        <x:f>Q$9</x:f>
        <x:v>305.2213238190264</x:v>
      </x:c>
      <x:c r="S6" s="137" t="n">
        <x:f>R$9</x:f>
        <x:v>313.91079072355075</x:v>
      </x:c>
      <x:c r="T6" s="137" t="n">
        <x:f>S$9</x:f>
        <x:v>322.383020955462</x:v>
      </x:c>
      <x:c r="U6" s="137" t="n">
        <x:f>T$9</x:f>
        <x:v>330.6434454315754</x:v>
      </x:c>
      <x:c r="V6" s="137" t="n">
        <x:f>U$9</x:f>
        <x:v>338.697359295786</x:v>
      </x:c>
      <x:c r="W6" s="137" t="n">
        <x:f>V$9</x:f>
        <x:v>347.5699253133913</x:v>
      </x:c>
      <x:c r="X6" s="137" t="n">
        <x:f>W$9</x:f>
        <x:v>356.2206771805565</x:v>
      </x:c>
      <x:c r="Y6" s="137" t="n">
        <x:f>X$9</x:f>
        <x:v>364.65516025104256</x:v>
      </x:c>
    </x:row>
    <x:row r="7">
      <x:c r="A7" s="138" t="str">
        <x:v>New logos</x:v>
      </x:c>
      <x:c r="B7" s="139" t="n">
        <x:f>'Monthly Drivers'!B$6*(1+'Assumptions'!$F$8)</x:f>
        <x:v>12.24</x:v>
      </x:c>
      <x:c r="C7" s="139" t="n">
        <x:f>'Monthly Drivers'!C$6*(1+'Assumptions'!$F$8)</x:f>
        <x:v>12.24</x:v>
      </x:c>
      <x:c r="D7" s="139" t="n">
        <x:f>'Monthly Drivers'!D$6*(1+'Assumptions'!$F$8)</x:f>
        <x:v>12.24</x:v>
      </x:c>
      <x:c r="E7" s="139" t="n">
        <x:f>'Monthly Drivers'!E$6*(1+'Assumptions'!$F$8)</x:f>
        <x:v>12.24</x:v>
      </x:c>
      <x:c r="F7" s="139" t="n">
        <x:f>'Monthly Drivers'!F$6*(1+'Assumptions'!$F$8)</x:f>
        <x:v>13.26</x:v>
      </x:c>
      <x:c r="G7" s="139" t="n">
        <x:f>'Monthly Drivers'!G$6*(1+'Assumptions'!$F$8)</x:f>
        <x:v>13.26</x:v>
      </x:c>
      <x:c r="H7" s="139" t="n">
        <x:f>'Monthly Drivers'!H$6*(1+'Assumptions'!$F$8)</x:f>
        <x:v>13.26</x:v>
      </x:c>
      <x:c r="I7" s="139" t="n">
        <x:f>'Monthly Drivers'!I$6*(1+'Assumptions'!$F$8)</x:f>
        <x:v>13.26</x:v>
      </x:c>
      <x:c r="J7" s="139" t="n">
        <x:f>'Monthly Drivers'!J$6*(1+'Assumptions'!$F$8)</x:f>
        <x:v>14.280000000000001</x:v>
      </x:c>
      <x:c r="K7" s="139" t="n">
        <x:f>'Monthly Drivers'!K$6*(1+'Assumptions'!$F$8)</x:f>
        <x:v>14.280000000000001</x:v>
      </x:c>
      <x:c r="L7" s="139" t="n">
        <x:f>'Monthly Drivers'!L$6*(1+'Assumptions'!$F$8)</x:f>
        <x:v>14.280000000000001</x:v>
      </x:c>
      <x:c r="M7" s="139" t="n">
        <x:f>'Monthly Drivers'!M$6*(1+'Assumptions'!$F$8)</x:f>
        <x:v>14.280000000000001</x:v>
      </x:c>
      <x:c r="N7" s="139" t="n">
        <x:f>'Monthly Drivers'!N$6*(1+'Assumptions'!$F$8)</x:f>
        <x:v>15.3</x:v>
      </x:c>
      <x:c r="O7" s="139" t="n">
        <x:f>'Monthly Drivers'!O$6*(1+'Assumptions'!$F$8)</x:f>
        <x:v>15.3</x:v>
      </x:c>
      <x:c r="P7" s="139" t="n">
        <x:f>'Monthly Drivers'!P$6*(1+'Assumptions'!$F$8)</x:f>
        <x:v>15.3</x:v>
      </x:c>
      <x:c r="Q7" s="139" t="n">
        <x:f>'Monthly Drivers'!Q$6*(1+'Assumptions'!$F$8)</x:f>
        <x:v>15.3</x:v>
      </x:c>
      <x:c r="R7" s="139" t="n">
        <x:f>'Monthly Drivers'!R$6*(1+'Assumptions'!$F$8)</x:f>
        <x:v>16.32</x:v>
      </x:c>
      <x:c r="S7" s="139" t="n">
        <x:f>'Monthly Drivers'!S$6*(1+'Assumptions'!$F$8)</x:f>
        <x:v>16.32</x:v>
      </x:c>
      <x:c r="T7" s="139" t="n">
        <x:f>'Monthly Drivers'!T$6*(1+'Assumptions'!$F$8)</x:f>
        <x:v>16.32</x:v>
      </x:c>
      <x:c r="U7" s="139" t="n">
        <x:f>'Monthly Drivers'!U$6*(1+'Assumptions'!$F$8)</x:f>
        <x:v>16.32</x:v>
      </x:c>
      <x:c r="V7" s="139" t="n">
        <x:f>'Monthly Drivers'!V$6*(1+'Assumptions'!$F$8)</x:f>
        <x:v>17.34</x:v>
      </x:c>
      <x:c r="W7" s="139" t="n">
        <x:f>'Monthly Drivers'!W$6*(1+'Assumptions'!$F$8)</x:f>
        <x:v>17.34</x:v>
      </x:c>
      <x:c r="X7" s="139" t="n">
        <x:f>'Monthly Drivers'!X$6*(1+'Assumptions'!$F$8)</x:f>
        <x:v>17.34</x:v>
      </x:c>
      <x:c r="Y7" s="139" t="n">
        <x:f>'Monthly Drivers'!Y$6*(1+'Assumptions'!$F$8)</x:f>
        <x:v>17.34</x:v>
      </x:c>
    </x:row>
    <x:row r="8">
      <x:c r="A8" s="138" t="str">
        <x:v>Churned logos</x:v>
      </x:c>
      <x:c r="B8" s="139" t="n">
        <x:f>B$6*'Monthly Drivers'!B$10*'Assumptions'!$F$9</x:f>
        <x:v>4.5</x:v>
      </x:c>
      <x:c r="C8" s="139" t="n">
        <x:f>C$6*'Monthly Drivers'!C$10*'Assumptions'!$F$9</x:f>
        <x:v>4.6935</x:v>
      </x:c>
      <x:c r="D8" s="139" t="n">
        <x:f>D$6*'Monthly Drivers'!D$10*'Assumptions'!$F$9</x:f>
        <x:v>4.882162500000001</x:v>
      </x:c>
      <x:c r="E8" s="139" t="n">
        <x:f>E$6*'Monthly Drivers'!E$10*'Assumptions'!$F$9</x:f>
        <x:v>5.066108437500001</x:v>
      </x:c>
      <x:c r="F8" s="139" t="n">
        <x:f>F$6*'Monthly Drivers'!F$10*'Assumptions'!$F$9</x:f>
        <x:v>5.2454557265625015</x:v>
      </x:c>
      <x:c r="G8" s="139" t="n">
        <x:f>G$6*'Monthly Drivers'!G$10*'Assumptions'!$F$9</x:f>
        <x:v>5.445819333398439</x:v>
      </x:c>
      <x:c r="H8" s="139" t="n">
        <x:f>H$6*'Monthly Drivers'!H$10*'Assumptions'!$F$9</x:f>
        <x:v>5.641173850063478</x:v>
      </x:c>
      <x:c r="I8" s="139" t="n">
        <x:f>I$6*'Monthly Drivers'!I$10*'Assumptions'!$F$9</x:f>
        <x:v>5.831644503811891</x:v>
      </x:c>
      <x:c r="J8" s="139" t="n">
        <x:f>J$6*'Monthly Drivers'!J$10*'Assumptions'!$F$9</x:f>
        <x:v>6.017353391216592</x:v>
      </x:c>
      <x:c r="K8" s="139" t="n">
        <x:f>K$6*'Monthly Drivers'!K$10*'Assumptions'!$F$9</x:f>
        <x:v>6.223919556436178</x:v>
      </x:c>
      <x:c r="L8" s="139" t="n">
        <x:f>L$6*'Monthly Drivers'!L$10*'Assumptions'!$F$9</x:f>
        <x:v>6.425321567525273</x:v>
      </x:c>
      <x:c r="M8" s="139" t="n">
        <x:f>M$6*'Monthly Drivers'!M$10*'Assumptions'!$F$9</x:f>
        <x:v>6.621688528337142</x:v>
      </x:c>
      <x:c r="N8" s="139" t="n">
        <x:f>N$6*'Monthly Drivers'!N$10*'Assumptions'!$F$9</x:f>
        <x:v>6.813146315128714</x:v>
      </x:c>
      <x:c r="O8" s="139" t="n">
        <x:f>O$6*'Monthly Drivers'!O$10*'Assumptions'!$F$9</x:f>
        <x:v>7.025317657250496</x:v>
      </x:c>
      <x:c r="P8" s="139" t="n">
        <x:f>P$6*'Monthly Drivers'!P$10*'Assumptions'!$F$9</x:f>
        <x:v>7.232184715819234</x:v>
      </x:c>
      <x:c r="Q8" s="139" t="n">
        <x:f>Q$6*'Monthly Drivers'!Q$10*'Assumptions'!$F$9</x:f>
        <x:v>7.433880097923754</x:v>
      </x:c>
      <x:c r="R8" s="139" t="n">
        <x:f>R$6*'Monthly Drivers'!R$10*'Assumptions'!$F$9</x:f>
        <x:v>7.63053309547566</x:v>
      </x:c>
      <x:c r="S8" s="139" t="n">
        <x:f>S$6*'Monthly Drivers'!S$10*'Assumptions'!$F$9</x:f>
        <x:v>7.847769768088769</x:v>
      </x:c>
      <x:c r="T8" s="139" t="n">
        <x:f>T$6*'Monthly Drivers'!T$10*'Assumptions'!$F$9</x:f>
        <x:v>8.059575523886549</x:v>
      </x:c>
      <x:c r="U8" s="139" t="n">
        <x:f>U$6*'Monthly Drivers'!U$10*'Assumptions'!$F$9</x:f>
        <x:v>8.266086135789385</x:v>
      </x:c>
      <x:c r="V8" s="139" t="n">
        <x:f>V$6*'Monthly Drivers'!V$10*'Assumptions'!$F$9</x:f>
        <x:v>8.46743398239465</x:v>
      </x:c>
      <x:c r="W8" s="139" t="n">
        <x:f>W$6*'Monthly Drivers'!W$10*'Assumptions'!$F$9</x:f>
        <x:v>8.689248132834782</x:v>
      </x:c>
      <x:c r="X8" s="139" t="n">
        <x:f>X$6*'Monthly Drivers'!X$10*'Assumptions'!$F$9</x:f>
        <x:v>8.905516929513913</x:v>
      </x:c>
      <x:c r="Y8" s="139" t="n">
        <x:f>Y$6*'Monthly Drivers'!Y$10*'Assumptions'!$F$9</x:f>
        <x:v>9.116379006276064</x:v>
      </x:c>
    </x:row>
    <x:row r="9">
      <x:c r="A9" s="140" t="str">
        <x:v>Closing logos</x:v>
      </x:c>
      <x:c r="B9" s="141" t="n">
        <x:f>B$6+B$7-B$8</x:f>
        <x:v>187.74</x:v>
      </x:c>
      <x:c r="C9" s="141" t="n">
        <x:f>C$6+C$7-C$8</x:f>
        <x:v>195.28650000000002</x:v>
      </x:c>
      <x:c r="D9" s="141" t="n">
        <x:f>D$6+D$7-D$8</x:f>
        <x:v>202.64433750000003</x:v>
      </x:c>
      <x:c r="E9" s="141" t="n">
        <x:f>E$6+E$7-E$8</x:f>
        <x:v>209.81822906250005</x:v>
      </x:c>
      <x:c r="F9" s="141" t="n">
        <x:f>F$6+F$7-F$8</x:f>
        <x:v>217.83277333593753</x:v>
      </x:c>
      <x:c r="G9" s="141" t="n">
        <x:f>G$6+G$7-G$8</x:f>
        <x:v>225.64695400253908</x:v>
      </x:c>
      <x:c r="H9" s="141" t="n">
        <x:f>H$6+H$7-H$8</x:f>
        <x:v>233.2657801524756</x:v>
      </x:c>
      <x:c r="I9" s="141" t="n">
        <x:f>I$6+I$7-I$8</x:f>
        <x:v>240.6941356486637</x:v>
      </x:c>
      <x:c r="J9" s="141" t="n">
        <x:f>J$6+J$7-J$8</x:f>
        <x:v>248.9567822574471</x:v>
      </x:c>
      <x:c r="K9" s="141" t="n">
        <x:f>K$6+K$7-K$8</x:f>
        <x:v>257.01286270101093</x:v>
      </x:c>
      <x:c r="L9" s="141" t="n">
        <x:f>L$6+L$7-L$8</x:f>
        <x:v>264.86754113348564</x:v>
      </x:c>
      <x:c r="M9" s="141" t="n">
        <x:f>M$6+M$7-M$8</x:f>
        <x:v>272.52585260514854</x:v>
      </x:c>
      <x:c r="N9" s="141" t="n">
        <x:f>N$6+N$7-N$8</x:f>
        <x:v>281.0127062900198</x:v>
      </x:c>
      <x:c r="O9" s="141" t="n">
        <x:f>O$6+O$7-O$8</x:f>
        <x:v>289.28738863276936</x:v>
      </x:c>
      <x:c r="P9" s="141" t="n">
        <x:f>P$6+P$7-P$8</x:f>
        <x:v>297.35520391695013</x:v>
      </x:c>
      <x:c r="Q9" s="141" t="n">
        <x:f>Q$6+Q$7-Q$8</x:f>
        <x:v>305.2213238190264</x:v>
      </x:c>
      <x:c r="R9" s="141" t="n">
        <x:f>R$6+R$7-R$8</x:f>
        <x:v>313.91079072355075</x:v>
      </x:c>
      <x:c r="S9" s="141" t="n">
        <x:f>S$6+S$7-S$8</x:f>
        <x:v>322.383020955462</x:v>
      </x:c>
      <x:c r="T9" s="141" t="n">
        <x:f>T$6+T$7-T$8</x:f>
        <x:v>330.6434454315754</x:v>
      </x:c>
      <x:c r="U9" s="141" t="n">
        <x:f>U$6+U$7-U$8</x:f>
        <x:v>338.697359295786</x:v>
      </x:c>
      <x:c r="V9" s="141" t="n">
        <x:f>V$6+V$7-V$8</x:f>
        <x:v>347.5699253133913</x:v>
      </x:c>
      <x:c r="W9" s="141" t="n">
        <x:f>W$6+W$7-W$8</x:f>
        <x:v>356.2206771805565</x:v>
      </x:c>
      <x:c r="X9" s="141" t="n">
        <x:f>X$6+X$7-X$8</x:f>
        <x:v>364.65516025104256</x:v>
      </x:c>
      <x:c r="Y9" s="141" t="n">
        <x:f>Y$6+Y$7-Y$8</x:f>
        <x:v>372.87878124476646</x:v>
      </x:c>
    </x:row>
    <x:row r="10">
      <x:c r="A10" s="138" t="str">
        <x:v>Opening MRR</x:v>
      </x:c>
      <x:c r="B10" s="142" t="n">
        <x:f>'Assumptions'!$F$7</x:f>
        <x:v>220</x:v>
      </x:c>
      <x:c r="C10" s="142" t="n">
        <x:f>B$15</x:f>
        <x:v>231.688</x:v>
      </x:c>
      <x:c r="D10" s="142" t="n">
        <x:f>C$15</x:f>
        <x:v>243.35619999999994</x:v>
      </x:c>
      <x:c r="E10" s="142" t="n">
        <x:f>D$15</x:f>
        <x:v>255.0050949999999</x:v>
      </x:c>
      <x:c r="F10" s="142" t="n">
        <x:f>E$15</x:f>
        <x:v>266.63516762499995</x:v>
      </x:c>
      <x:c r="G10" s="142" t="n">
        <x:f>F$15</x:f>
        <x:v>279.511688434375</x:v>
      </x:c>
      <x:c r="H10" s="142" t="n">
        <x:f>G$15</x:f>
        <x:v>292.3488962235156</x:v>
      </x:c>
      <x:c r="I10" s="142" t="n">
        <x:f>H$15</x:f>
        <x:v>305.1477738179277</x:v>
      </x:c>
      <x:c r="J10" s="142" t="n">
        <x:f>I$15</x:f>
        <x:v>317.90927947247945</x:v>
      </x:c>
      <x:c r="K10" s="142" t="n">
        <x:f>J$15</x:f>
        <x:v>331.9399474856675</x:v>
      </x:c>
      <x:c r="L10" s="142" t="n">
        <x:f>K$15</x:f>
        <x:v>345.9126487985259</x:v>
      </x:c>
      <x:c r="M10" s="142" t="n">
        <x:f>L$15</x:f>
        <x:v>359.82883257856275</x:v>
      </x:c>
      <x:c r="N10" s="142" t="n">
        <x:f>M$15</x:f>
        <x:v>373.68991176409867</x:v>
      </x:c>
      <x:c r="O10" s="142" t="n">
        <x:f>N$15</x:f>
        <x:v>388.8436639699961</x:v>
      </x:c>
      <x:c r="P10" s="142" t="n">
        <x:f>O$15</x:f>
        <x:v>403.9215723707462</x:v>
      </x:c>
      <x:c r="Q10" s="142" t="n">
        <x:f>P$15</x:f>
        <x:v>418.9255330614776</x:v>
      </x:c>
      <x:c r="R10" s="142" t="n">
        <x:f>Q$15</x:f>
        <x:v>433.8573947349406</x:v>
      </x:c>
      <x:c r="S10" s="142" t="n">
        <x:f>R$15</x:f>
        <x:v>450.10615986656705</x:v>
      </x:c>
      <x:c r="T10" s="142" t="n">
        <x:f>S$15</x:f>
        <x:v>466.2619058699029</x:v>
      </x:c>
      <x:c r="U10" s="142" t="n">
        <x:f>T$15</x:f>
        <x:v>482.3269582231553</x:v>
      </x:c>
      <x:c r="V10" s="142" t="n">
        <x:f>U$15</x:f>
        <x:v>498.3035842675764</x:v>
      </x:c>
      <x:c r="W10" s="142" t="n">
        <x:f>V$15</x:f>
        <x:v>515.6219946608869</x:v>
      </x:c>
      <x:c r="X10" s="142" t="n">
        <x:f>W$15</x:f>
        <x:v>532.8308447943648</x:v>
      </x:c>
      <x:c r="Y10" s="142" t="n">
        <x:f>X$15</x:f>
        <x:v>549.9328736745056</x:v>
      </x:c>
    </x:row>
    <x:row r="11">
      <x:c r="A11" s="138" t="str">
        <x:v>New MRR</x:v>
      </x:c>
      <x:c r="B11" s="142" t="n">
        <x:f>B$7*'Monthly Drivers'!B$7</x:f>
        <x:v>14.687999999999999</x:v>
      </x:c>
      <x:c r="C11" s="142" t="n">
        <x:f>C$7*'Monthly Drivers'!C$7</x:f>
        <x:v>14.8104</x:v>
      </x:c>
      <x:c r="D11" s="142" t="n">
        <x:f>D$7*'Monthly Drivers'!D$7</x:f>
        <x:v>14.9328</x:v>
      </x:c>
      <x:c r="E11" s="142" t="n">
        <x:f>E$7*'Monthly Drivers'!E$7</x:f>
        <x:v>15.0552</x:v>
      </x:c>
      <x:c r="F11" s="142" t="n">
        <x:f>F$7*'Monthly Drivers'!F$7</x:f>
        <x:v>16.4424</x:v>
      </x:c>
      <x:c r="G11" s="142" t="n">
        <x:f>G$7*'Monthly Drivers'!G$7</x:f>
        <x:v>16.575</x:v>
      </x:c>
      <x:c r="H11" s="142" t="n">
        <x:f>H$7*'Monthly Drivers'!H$7</x:f>
        <x:v>16.7076</x:v>
      </x:c>
      <x:c r="I11" s="142" t="n">
        <x:f>I$7*'Monthly Drivers'!I$7</x:f>
        <x:v>16.8402</x:v>
      </x:c>
      <x:c r="J11" s="142" t="n">
        <x:f>J$7*'Monthly Drivers'!J$7</x:f>
        <x:v>18.2784</x:v>
      </x:c>
      <x:c r="K11" s="142" t="n">
        <x:f>K$7*'Monthly Drivers'!K$7</x:f>
        <x:v>18.421200000000002</x:v>
      </x:c>
      <x:c r="L11" s="142" t="n">
        <x:f>L$7*'Monthly Drivers'!L$7</x:f>
        <x:v>18.564000000000004</x:v>
      </x:c>
      <x:c r="M11" s="142" t="n">
        <x:f>M$7*'Monthly Drivers'!M$7</x:f>
        <x:v>18.7068</x:v>
      </x:c>
      <x:c r="N11" s="142" t="n">
        <x:f>N$7*'Monthly Drivers'!N$7</x:f>
        <x:v>20.195999999999998</x:v>
      </x:c>
      <x:c r="O11" s="142" t="n">
        <x:f>O$7*'Monthly Drivers'!O$7</x:f>
        <x:v>20.349000000000004</x:v>
      </x:c>
      <x:c r="P11" s="142" t="n">
        <x:f>P$7*'Monthly Drivers'!P$7</x:f>
        <x:v>20.502</x:v>
      </x:c>
      <x:c r="Q11" s="142" t="n">
        <x:f>Q$7*'Monthly Drivers'!Q$7</x:f>
        <x:v>20.654999999999998</x:v>
      </x:c>
      <x:c r="R11" s="142" t="n">
        <x:f>R$7*'Monthly Drivers'!R$7</x:f>
        <x:v>22.1952</x:v>
      </x:c>
      <x:c r="S11" s="142" t="n">
        <x:f>S$7*'Monthly Drivers'!S$7</x:f>
        <x:v>22.3584</x:v>
      </x:c>
      <x:c r="T11" s="142" t="n">
        <x:f>T$7*'Monthly Drivers'!T$7</x:f>
        <x:v>22.5216</x:v>
      </x:c>
      <x:c r="U11" s="142" t="n">
        <x:f>U$7*'Monthly Drivers'!U$7</x:f>
        <x:v>22.6848</x:v>
      </x:c>
      <x:c r="V11" s="142" t="n">
        <x:f>V$7*'Monthly Drivers'!V$7</x:f>
        <x:v>24.276</x:v>
      </x:c>
      <x:c r="W11" s="142" t="n">
        <x:f>W$7*'Monthly Drivers'!W$7</x:f>
        <x:v>24.449399999999997</x:v>
      </x:c>
      <x:c r="X11" s="142" t="n">
        <x:f>X$7*'Monthly Drivers'!X$7</x:f>
        <x:v>24.622799999999998</x:v>
      </x:c>
      <x:c r="Y11" s="142" t="n">
        <x:f>Y$7*'Monthly Drivers'!Y$7</x:f>
        <x:v>24.7962</x:v>
      </x:c>
    </x:row>
    <x:row r="12">
      <x:c r="A12" s="138" t="str">
        <x:v>Expansion MRR</x:v>
      </x:c>
      <x:c r="B12" s="142" t="n">
        <x:f>'Monthly Drivers'!B$8</x:f>
        <x:v>4</x:v>
      </x:c>
      <x:c r="C12" s="142" t="n">
        <x:f>'Monthly Drivers'!C$8</x:f>
        <x:v>4.2</x:v>
      </x:c>
      <x:c r="D12" s="142" t="n">
        <x:f>'Monthly Drivers'!D$8</x:f>
        <x:v>4.4</x:v>
      </x:c>
      <x:c r="E12" s="142" t="n">
        <x:f>'Monthly Drivers'!E$8</x:f>
        <x:v>4.6</x:v>
      </x:c>
      <x:c r="F12" s="142" t="n">
        <x:f>'Monthly Drivers'!F$8</x:f>
        <x:v>4.8</x:v>
      </x:c>
      <x:c r="G12" s="142" t="n">
        <x:f>'Monthly Drivers'!G$8</x:f>
        <x:v>5</x:v>
      </x:c>
      <x:c r="H12" s="142" t="n">
        <x:f>'Monthly Drivers'!H$8</x:f>
        <x:v>5.2</x:v>
      </x:c>
      <x:c r="I12" s="142" t="n">
        <x:f>'Monthly Drivers'!I$8</x:f>
        <x:v>5.4</x:v>
      </x:c>
      <x:c r="J12" s="142" t="n">
        <x:f>'Monthly Drivers'!J$8</x:f>
        <x:v>5.6</x:v>
      </x:c>
      <x:c r="K12" s="142" t="n">
        <x:f>'Monthly Drivers'!K$8</x:f>
        <x:v>5.8</x:v>
      </x:c>
      <x:c r="L12" s="142" t="n">
        <x:f>'Monthly Drivers'!L$8</x:f>
        <x:v>6</x:v>
      </x:c>
      <x:c r="M12" s="142" t="n">
        <x:f>'Monthly Drivers'!M$8</x:f>
        <x:v>6.2</x:v>
      </x:c>
      <x:c r="N12" s="142" t="n">
        <x:f>'Monthly Drivers'!N$8</x:f>
        <x:v>6.4</x:v>
      </x:c>
      <x:c r="O12" s="142" t="n">
        <x:f>'Monthly Drivers'!O$8</x:f>
        <x:v>6.6</x:v>
      </x:c>
      <x:c r="P12" s="142" t="n">
        <x:f>'Monthly Drivers'!P$8</x:f>
        <x:v>6.800000000000001</x:v>
      </x:c>
      <x:c r="Q12" s="142" t="n">
        <x:f>'Monthly Drivers'!Q$8</x:f>
        <x:v>7</x:v>
      </x:c>
      <x:c r="R12" s="142" t="n">
        <x:f>'Monthly Drivers'!R$8</x:f>
        <x:v>7.2</x:v>
      </x:c>
      <x:c r="S12" s="142" t="n">
        <x:f>'Monthly Drivers'!S$8</x:f>
        <x:v>7.4</x:v>
      </x:c>
      <x:c r="T12" s="142" t="n">
        <x:f>'Monthly Drivers'!T$8</x:f>
        <x:v>7.6</x:v>
      </x:c>
      <x:c r="U12" s="142" t="n">
        <x:f>'Monthly Drivers'!U$8</x:f>
        <x:v>7.800000000000001</x:v>
      </x:c>
      <x:c r="V12" s="142" t="n">
        <x:f>'Monthly Drivers'!V$8</x:f>
        <x:v>8</x:v>
      </x:c>
      <x:c r="W12" s="142" t="n">
        <x:f>'Monthly Drivers'!W$8</x:f>
        <x:v>8.2</x:v>
      </x:c>
      <x:c r="X12" s="142" t="n">
        <x:f>'Monthly Drivers'!X$8</x:f>
        <x:v>8.4</x:v>
      </x:c>
      <x:c r="Y12" s="142" t="n">
        <x:f>'Monthly Drivers'!Y$8</x:f>
        <x:v>8.600000000000001</x:v>
      </x:c>
    </x:row>
    <x:row r="13">
      <x:c r="A13" s="138" t="str">
        <x:v>Contraction MRR</x:v>
      </x:c>
      <x:c r="B13" s="142" t="n">
        <x:f>-'Monthly Drivers'!B$9</x:f>
        <x:v>-1.5</x:v>
      </x:c>
      <x:c r="C13" s="142" t="n">
        <x:f>-'Monthly Drivers'!C$9</x:f>
        <x:v>-1.55</x:v>
      </x:c>
      <x:c r="D13" s="142" t="n">
        <x:f>-'Monthly Drivers'!D$9</x:f>
        <x:v>-1.6</x:v>
      </x:c>
      <x:c r="E13" s="142" t="n">
        <x:f>-'Monthly Drivers'!E$9</x:f>
        <x:v>-1.65</x:v>
      </x:c>
      <x:c r="F13" s="142" t="n">
        <x:f>-'Monthly Drivers'!F$9</x:f>
        <x:v>-1.7</x:v>
      </x:c>
      <x:c r="G13" s="142" t="n">
        <x:f>-'Monthly Drivers'!G$9</x:f>
        <x:v>-1.75</x:v>
      </x:c>
      <x:c r="H13" s="142" t="n">
        <x:f>-'Monthly Drivers'!H$9</x:f>
        <x:v>-1.8</x:v>
      </x:c>
      <x:c r="I13" s="142" t="n">
        <x:f>-'Monthly Drivers'!I$9</x:f>
        <x:v>-1.85</x:v>
      </x:c>
      <x:c r="J13" s="142" t="n">
        <x:f>-'Monthly Drivers'!J$9</x:f>
        <x:v>-1.9</x:v>
      </x:c>
      <x:c r="K13" s="142" t="n">
        <x:f>-'Monthly Drivers'!K$9</x:f>
        <x:v>-1.95</x:v>
      </x:c>
      <x:c r="L13" s="142" t="n">
        <x:f>-'Monthly Drivers'!L$9</x:f>
        <x:v>-2</x:v>
      </x:c>
      <x:c r="M13" s="142" t="n">
        <x:f>-'Monthly Drivers'!M$9</x:f>
        <x:v>-2.05</x:v>
      </x:c>
      <x:c r="N13" s="142" t="n">
        <x:f>-'Monthly Drivers'!N$9</x:f>
        <x:v>-2.1</x:v>
      </x:c>
      <x:c r="O13" s="142" t="n">
        <x:f>-'Monthly Drivers'!O$9</x:f>
        <x:v>-2.15</x:v>
      </x:c>
      <x:c r="P13" s="142" t="n">
        <x:f>-'Monthly Drivers'!P$9</x:f>
        <x:v>-2.2</x:v>
      </x:c>
      <x:c r="Q13" s="142" t="n">
        <x:f>-'Monthly Drivers'!Q$9</x:f>
        <x:v>-2.25</x:v>
      </x:c>
      <x:c r="R13" s="142" t="n">
        <x:f>-'Monthly Drivers'!R$9</x:f>
        <x:v>-2.3</x:v>
      </x:c>
      <x:c r="S13" s="142" t="n">
        <x:f>-'Monthly Drivers'!S$9</x:f>
        <x:v>-2.35</x:v>
      </x:c>
      <x:c r="T13" s="142" t="n">
        <x:f>-'Monthly Drivers'!T$9</x:f>
        <x:v>-2.4</x:v>
      </x:c>
      <x:c r="U13" s="142" t="n">
        <x:f>-'Monthly Drivers'!U$9</x:f>
        <x:v>-2.45</x:v>
      </x:c>
      <x:c r="V13" s="142" t="n">
        <x:f>-'Monthly Drivers'!V$9</x:f>
        <x:v>-2.5</x:v>
      </x:c>
      <x:c r="W13" s="142" t="n">
        <x:f>-'Monthly Drivers'!W$9</x:f>
        <x:v>-2.55</x:v>
      </x:c>
      <x:c r="X13" s="142" t="n">
        <x:f>-'Monthly Drivers'!X$9</x:f>
        <x:v>-2.6</x:v>
      </x:c>
      <x:c r="Y13" s="142" t="n">
        <x:f>-'Monthly Drivers'!Y$9</x:f>
        <x:v>-2.6500000000000004</x:v>
      </x:c>
    </x:row>
    <x:row r="14">
      <x:c r="A14" s="138" t="str">
        <x:v>Churned MRR</x:v>
      </x:c>
      <x:c r="B14" s="142" t="n">
        <x:f>-B$10*'Monthly Drivers'!B$10*'Assumptions'!$F$9</x:f>
        <x:v>-5.5</x:v>
      </x:c>
      <x:c r="C14" s="142" t="n">
        <x:f>-C$10*'Monthly Drivers'!C$10*'Assumptions'!$F$9</x:f>
        <x:v>-5.7922</x:v>
      </x:c>
      <x:c r="D14" s="142" t="n">
        <x:f>-D$10*'Monthly Drivers'!D$10*'Assumptions'!$F$9</x:f>
        <x:v>-6.083904999999999</x:v>
      </x:c>
      <x:c r="E14" s="142" t="n">
        <x:f>-E$10*'Monthly Drivers'!E$10*'Assumptions'!$F$9</x:f>
        <x:v>-6.375127374999998</x:v>
      </x:c>
      <x:c r="F14" s="142" t="n">
        <x:f>-F$10*'Monthly Drivers'!F$10*'Assumptions'!$F$9</x:f>
        <x:v>-6.665879190624999</x:v>
      </x:c>
      <x:c r="G14" s="142" t="n">
        <x:f>-G$10*'Monthly Drivers'!G$10*'Assumptions'!$F$9</x:f>
        <x:v>-6.987792210859375</x:v>
      </x:c>
      <x:c r="H14" s="142" t="n">
        <x:f>-H$10*'Monthly Drivers'!H$10*'Assumptions'!$F$9</x:f>
        <x:v>-7.308722405587891</x:v>
      </x:c>
      <x:c r="I14" s="142" t="n">
        <x:f>-I$10*'Monthly Drivers'!I$10*'Assumptions'!$F$9</x:f>
        <x:v>-7.628694345448193</x:v>
      </x:c>
      <x:c r="J14" s="142" t="n">
        <x:f>-J$10*'Monthly Drivers'!J$10*'Assumptions'!$F$9</x:f>
        <x:v>-7.947731986811987</x:v>
      </x:c>
      <x:c r="K14" s="142" t="n">
        <x:f>-K$10*'Monthly Drivers'!K$10*'Assumptions'!$F$9</x:f>
        <x:v>-8.298498687141688</x:v>
      </x:c>
      <x:c r="L14" s="142" t="n">
        <x:f>-L$10*'Monthly Drivers'!L$10*'Assumptions'!$F$9</x:f>
        <x:v>-8.647816219963147</x:v>
      </x:c>
      <x:c r="M14" s="142" t="n">
        <x:f>-M$10*'Monthly Drivers'!M$10*'Assumptions'!$F$9</x:f>
        <x:v>-8.99572081446407</x:v>
      </x:c>
      <x:c r="N14" s="142" t="n">
        <x:f>-N$10*'Monthly Drivers'!N$10*'Assumptions'!$F$9</x:f>
        <x:v>-9.342247794102468</x:v>
      </x:c>
      <x:c r="O14" s="142" t="n">
        <x:f>-O$10*'Monthly Drivers'!O$10*'Assumptions'!$F$9</x:f>
        <x:v>-9.721091599249903</x:v>
      </x:c>
      <x:c r="P14" s="142" t="n">
        <x:f>-P$10*'Monthly Drivers'!P$10*'Assumptions'!$F$9</x:f>
        <x:v>-10.098039309268657</x:v>
      </x:c>
      <x:c r="Q14" s="142" t="n">
        <x:f>-Q$10*'Monthly Drivers'!Q$10*'Assumptions'!$F$9</x:f>
        <x:v>-10.47313832653694</x:v>
      </x:c>
      <x:c r="R14" s="142" t="n">
        <x:f>-R$10*'Monthly Drivers'!R$10*'Assumptions'!$F$9</x:f>
        <x:v>-10.846434868373516</x:v>
      </x:c>
      <x:c r="S14" s="142" t="n">
        <x:f>-S$10*'Monthly Drivers'!S$10*'Assumptions'!$F$9</x:f>
        <x:v>-11.252653996664177</x:v>
      </x:c>
      <x:c r="T14" s="142" t="n">
        <x:f>-T$10*'Monthly Drivers'!T$10*'Assumptions'!$F$9</x:f>
        <x:v>-11.656547646747573</x:v>
      </x:c>
      <x:c r="U14" s="142" t="n">
        <x:f>-U$10*'Monthly Drivers'!U$10*'Assumptions'!$F$9</x:f>
        <x:v>-12.058173955578884</x:v>
      </x:c>
      <x:c r="V14" s="142" t="n">
        <x:f>-V$10*'Monthly Drivers'!V$10*'Assumptions'!$F$9</x:f>
        <x:v>-12.45758960668941</x:v>
      </x:c>
      <x:c r="W14" s="142" t="n">
        <x:f>-W$10*'Monthly Drivers'!W$10*'Assumptions'!$F$9</x:f>
        <x:v>-12.890549866522173</x:v>
      </x:c>
      <x:c r="X14" s="142" t="n">
        <x:f>-X$10*'Monthly Drivers'!X$10*'Assumptions'!$F$9</x:f>
        <x:v>-13.32077111985912</x:v>
      </x:c>
      <x:c r="Y14" s="142" t="n">
        <x:f>-Y$10*'Monthly Drivers'!Y$10*'Assumptions'!$F$9</x:f>
        <x:v>-13.74832184186264</x:v>
      </x:c>
    </x:row>
    <x:row r="15">
      <x:c r="A15" s="143" t="str">
        <x:v>Closing MRR</x:v>
      </x:c>
      <x:c r="B15" s="144" t="n">
        <x:f>SUM(B$10:B$14)</x:f>
        <x:v>231.688</x:v>
      </x:c>
      <x:c r="C15" s="144" t="n">
        <x:f>SUM(C$10:C$14)</x:f>
        <x:v>243.35619999999994</x:v>
      </x:c>
      <x:c r="D15" s="144" t="n">
        <x:f>SUM(D$10:D$14)</x:f>
        <x:v>255.0050949999999</x:v>
      </x:c>
      <x:c r="E15" s="144" t="n">
        <x:f>SUM(E$10:E$14)</x:f>
        <x:v>266.63516762499995</x:v>
      </x:c>
      <x:c r="F15" s="144" t="n">
        <x:f>SUM(F$10:F$14)</x:f>
        <x:v>279.511688434375</x:v>
      </x:c>
      <x:c r="G15" s="144" t="n">
        <x:f>SUM(G$10:G$14)</x:f>
        <x:v>292.3488962235156</x:v>
      </x:c>
      <x:c r="H15" s="144" t="n">
        <x:f>SUM(H$10:H$14)</x:f>
        <x:v>305.1477738179277</x:v>
      </x:c>
      <x:c r="I15" s="144" t="n">
        <x:f>SUM(I$10:I$14)</x:f>
        <x:v>317.90927947247945</x:v>
      </x:c>
      <x:c r="J15" s="144" t="n">
        <x:f>SUM(J$10:J$14)</x:f>
        <x:v>331.9399474856675</x:v>
      </x:c>
      <x:c r="K15" s="144" t="n">
        <x:f>SUM(K$10:K$14)</x:f>
        <x:v>345.9126487985259</x:v>
      </x:c>
      <x:c r="L15" s="144" t="n">
        <x:f>SUM(L$10:L$14)</x:f>
        <x:v>359.82883257856275</x:v>
      </x:c>
      <x:c r="M15" s="144" t="n">
        <x:f>SUM(M$10:M$14)</x:f>
        <x:v>373.68991176409867</x:v>
      </x:c>
      <x:c r="N15" s="144" t="n">
        <x:f>SUM(N$10:N$14)</x:f>
        <x:v>388.8436639699961</x:v>
      </x:c>
      <x:c r="O15" s="144" t="n">
        <x:f>SUM(O$10:O$14)</x:f>
        <x:v>403.9215723707462</x:v>
      </x:c>
      <x:c r="P15" s="144" t="n">
        <x:f>SUM(P$10:P$14)</x:f>
        <x:v>418.9255330614776</x:v>
      </x:c>
      <x:c r="Q15" s="144" t="n">
        <x:f>SUM(Q$10:Q$14)</x:f>
        <x:v>433.8573947349406</x:v>
      </x:c>
      <x:c r="R15" s="144" t="n">
        <x:f>SUM(R$10:R$14)</x:f>
        <x:v>450.10615986656705</x:v>
      </x:c>
      <x:c r="S15" s="144" t="n">
        <x:f>SUM(S$10:S$14)</x:f>
        <x:v>466.2619058699029</x:v>
      </x:c>
      <x:c r="T15" s="144" t="n">
        <x:f>SUM(T$10:T$14)</x:f>
        <x:v>482.3269582231553</x:v>
      </x:c>
      <x:c r="U15" s="144" t="n">
        <x:f>SUM(U$10:U$14)</x:f>
        <x:v>498.3035842675764</x:v>
      </x:c>
      <x:c r="V15" s="144" t="n">
        <x:f>SUM(V$10:V$14)</x:f>
        <x:v>515.6219946608869</x:v>
      </x:c>
      <x:c r="W15" s="144" t="n">
        <x:f>SUM(W$10:W$14)</x:f>
        <x:v>532.8308447943648</x:v>
      </x:c>
      <x:c r="X15" s="144" t="n">
        <x:f>SUM(X$10:X$14)</x:f>
        <x:v>549.9328736745056</x:v>
      </x:c>
      <x:c r="Y15" s="144" t="n">
        <x:f>SUM(Y$10:Y$14)</x:f>
        <x:v>566.930751832643</x:v>
      </x:c>
    </x:row>
    <x:row r="16">
      <x:c r="A16" s="143" t="str">
        <x:v>Ending ARR</x:v>
      </x:c>
      <x:c r="B16" s="144" t="n">
        <x:f>B$15*12</x:f>
        <x:v>2780.256</x:v>
      </x:c>
      <x:c r="C16" s="144" t="n">
        <x:f>C$15*12</x:f>
        <x:v>2920.2743999999993</x:v>
      </x:c>
      <x:c r="D16" s="144" t="n">
        <x:f>D$15*12</x:f>
        <x:v>3060.061139999999</x:v>
      </x:c>
      <x:c r="E16" s="144" t="n">
        <x:f>E$15*12</x:f>
        <x:v>3199.6220114999996</x:v>
      </x:c>
      <x:c r="F16" s="144" t="n">
        <x:f>F$15*12</x:f>
        <x:v>3354.1402612125003</x:v>
      </x:c>
      <x:c r="G16" s="144" t="n">
        <x:f>G$15*12</x:f>
        <x:v>3508.1867546821877</x:v>
      </x:c>
      <x:c r="H16" s="144" t="n">
        <x:f>H$15*12</x:f>
        <x:v>3661.7732858151326</x:v>
      </x:c>
      <x:c r="I16" s="144" t="n">
        <x:f>I$15*12</x:f>
        <x:v>3814.911353669753</x:v>
      </x:c>
      <x:c r="J16" s="144" t="n">
        <x:f>J$15*12</x:f>
        <x:v>3983.27936982801</x:v>
      </x:c>
      <x:c r="K16" s="144" t="n">
        <x:f>K$15*12</x:f>
        <x:v>4150.951785582311</x:v>
      </x:c>
      <x:c r="L16" s="144" t="n">
        <x:f>L$15*12</x:f>
        <x:v>4317.945990942753</x:v>
      </x:c>
      <x:c r="M16" s="144" t="n">
        <x:f>M$15*12</x:f>
        <x:v>4484.278941169184</x:v>
      </x:c>
      <x:c r="N16" s="144" t="n">
        <x:f>N$15*12</x:f>
        <x:v>4666.123967639953</x:v>
      </x:c>
      <x:c r="O16" s="144" t="n">
        <x:f>O$15*12</x:f>
        <x:v>4847.058868448955</x:v>
      </x:c>
      <x:c r="P16" s="144" t="n">
        <x:f>P$15*12</x:f>
        <x:v>5027.106396737731</x:v>
      </x:c>
      <x:c r="Q16" s="144" t="n">
        <x:f>Q$15*12</x:f>
        <x:v>5206.288736819288</x:v>
      </x:c>
      <x:c r="R16" s="144" t="n">
        <x:f>R$15*12</x:f>
        <x:v>5401.273918398805</x:v>
      </x:c>
      <x:c r="S16" s="144" t="n">
        <x:f>S$15*12</x:f>
        <x:v>5595.1428704388345</x:v>
      </x:c>
      <x:c r="T16" s="144" t="n">
        <x:f>T$15*12</x:f>
        <x:v>5787.923498677864</x:v>
      </x:c>
      <x:c r="U16" s="144" t="n">
        <x:f>U$15*12</x:f>
        <x:v>5979.643011210917</x:v>
      </x:c>
      <x:c r="V16" s="144" t="n">
        <x:f>V$15*12</x:f>
        <x:v>6187.463935930643</x:v>
      </x:c>
      <x:c r="W16" s="144" t="n">
        <x:f>W$15*12</x:f>
        <x:v>6393.9701375323775</x:v>
      </x:c>
      <x:c r="X16" s="144" t="n">
        <x:f>X$15*12</x:f>
        <x:v>6599.194484094067</x:v>
      </x:c>
      <x:c r="Y16" s="144" t="n">
        <x:f>Y$15*12</x:f>
        <x:v>6803.169021991715</x:v>
      </x:c>
    </x:row>
    <x:row r="17">
      <x:c r="A17" s="138" t="str">
        <x:v>Gross revenue retention</x:v>
      </x:c>
      <x:c r="B17" s="145" t="n">
        <x:f>IF(B$10=0,0,(B$10+B$13+B$14)/B$10)</x:f>
        <x:v>0.9681818181818181</x:v>
      </x:c>
      <x:c r="C17" s="145" t="n">
        <x:f>IF(C$10=0,0,(C$10+C$13+C$14)/C$10)</x:f>
        <x:v>0.968309968578433</x:v>
      </x:c>
      <x:c r="D17" s="145" t="n">
        <x:f>IF(D$10=0,0,(D$10+D$13+D$14)/D$10)</x:f>
        <x:v>0.9684252753782316</x:v>
      </x:c>
      <x:c r="E17" s="145" t="n">
        <x:f>IF(E$10=0,0,(E$10+E$13+E$14)/E$10)</x:f>
        <x:v>0.9685295410470132</x:v>
      </x:c>
      <x:c r="F17" s="145" t="n">
        <x:f>IF(F$10=0,0,(F$10+F$13+F$14)/F$10)</x:f>
        <x:v>0.9686242468870765</x:v>
      </x:c>
      <x:c r="G17" s="145" t="n">
        <x:f>IF(G$10=0,0,(G$10+G$13+G$14)/G$10)</x:f>
        <x:v>0.9687390811461151</x:v>
      </x:c>
      <x:c r="H17" s="145" t="n">
        <x:f>IF(H$10=0,0,(H$10+H$13+H$14)/H$10)</x:f>
        <x:v>0.9688429731623689</x:v>
      </x:c>
      <x:c r="I17" s="145" t="n">
        <x:f>IF(I$10=0,0,(I$10+I$13+I$14)/I$10)</x:f>
        <x:v>0.9689373636030395</x:v>
      </x:c>
      <x:c r="J17" s="145" t="n">
        <x:f>IF(J$10=0,0,(J$10+J$13+J$14)/J$10)</x:f>
        <x:v>0.9690234522151958</x:v>
      </x:c>
      <x:c r="K17" s="145" t="n">
        <x:f>IF(K$10=0,0,(K$10+K$13+K$14)/K$10)</x:f>
        <x:v>0.9691254434280339</x:v>
      </x:c>
      <x:c r="L17" s="145" t="n">
        <x:f>IF(L$10=0,0,(L$10+L$13+L$14)/L$10)</x:f>
        <x:v>0.9692181935036296</x:v>
      </x:c>
      <x:c r="M17" s="145" t="n">
        <x:f>IF(M$10=0,0,(M$10+M$13+M$14)/M$10)</x:f>
        <x:v>0.9693028467582502</x:v>
      </x:c>
      <x:c r="N17" s="145" t="n">
        <x:f>IF(N$10=0,0,(N$10+N$13+N$14)/N$10)</x:f>
        <x:v>0.9693803674279392</x:v>
      </x:c>
      <x:c r="O17" s="145" t="n">
        <x:f>IF(O$10=0,0,(O$10+O$13+O$14)/O$10)</x:f>
        <x:v>0.9694707855644373</x:v>
      </x:c>
      <x:c r="P17" s="145" t="n">
        <x:f>IF(P$10=0,0,(P$10+P$13+P$14)/P$10)</x:f>
        <x:v>0.9695533981087282</x:v>
      </x:c>
      <x:c r="Q17" s="145" t="n">
        <x:f>IF(Q$10=0,0,(Q$10+Q$13+Q$14)/Q$10)</x:f>
        <x:v>0.9696291170567781</x:v>
      </x:c>
      <x:c r="R17" s="145" t="n">
        <x:f>IF(R$10=0,0,(R$10+R$13+R$14)/R$10)</x:f>
        <x:v>0.9696987189156815</x:v>
      </x:c>
      <x:c r="S17" s="145" t="n">
        <x:f>IF(S$10=0,0,(S$10+S$13+S$14)/S$10)</x:f>
        <x:v>0.9697790094659077</x:v>
      </x:c>
      <x:c r="T17" s="145" t="n">
        <x:f>IF(T$10=0,0,(T$10+T$13+T$14)/T$10)</x:f>
        <x:v>0.969852678355693</x:v>
      </x:c>
      <x:c r="U17" s="145" t="n">
        <x:f>IF(U$10=0,0,(U$10+U$13+U$14)/U$10)</x:f>
        <x:v>0.9699204580871335</x:v>
      </x:c>
      <x:c r="V17" s="145" t="n">
        <x:f>IF(V$10=0,0,(V$10+V$13+V$14)/V$10)</x:f>
        <x:v>0.9699829780902046</x:v>
      </x:c>
      <x:c r="W17" s="145" t="n">
        <x:f>IF(W$10=0,0,(W$10+W$13+W$14)/W$10)</x:f>
        <x:v>0.9700545166296154</x:v>
      </x:c>
      <x:c r="X17" s="145" t="n">
        <x:f>IF(X$10=0,0,(X$10+X$13+X$14)/X$10)</x:f>
        <x:v>0.970120402609193</x:v>
      </x:c>
      <x:c r="Y17" s="145" t="n">
        <x:f>IF(Y$10=0,0,(Y$10+Y$13+Y$14)/Y$10)</x:f>
        <x:v>0.9701812300612375</x:v>
      </x:c>
    </x:row>
    <x:row r="18">
      <x:c r="A18" s="138" t="str">
        <x:v>Net revenue retention</x:v>
      </x:c>
      <x:c r="B18" s="145" t="n">
        <x:f>IF(B$10=0,0,(B$10+B$12+B$13+B$14)/B$10)</x:f>
        <x:v>0.9863636363636363</x:v>
      </x:c>
      <x:c r="C18" s="145" t="n">
        <x:f>IF(C$10=0,0,(C$10+C$12+C$13+C$14)/C$10)</x:f>
        <x:v>0.9864377956562272</x:v>
      </x:c>
      <x:c r="D18" s="145" t="n">
        <x:f>IF(D$10=0,0,(D$10+D$12+D$13+D$14)/D$10)</x:f>
        <x:v>0.9865057680880949</x:v>
      </x:c>
      <x:c r="E18" s="145" t="n">
        <x:f>IF(E$10=0,0,(E$10+E$12+E$13+E$14)/E$10)</x:f>
        <x:v>0.9865683963098856</x:v>
      </x:c>
      <x:c r="F18" s="145" t="n">
        <x:f>IF(F$10=0,0,(F$10+F$12+F$13+F$14)/F$10)</x:f>
        <x:v>0.9866263733235667</x:v>
      </x:c>
      <x:c r="G18" s="145" t="n">
        <x:f>IF(G$10=0,0,(G$10+G$12+G$13+G$14)/G$10)</x:f>
        <x:v>0.9866274207286435</x:v>
      </x:c>
      <x:c r="H18" s="145" t="n">
        <x:f>IF(H$10=0,0,(H$10+H$12+H$13+H$14)/H$10)</x:f>
        <x:v>0.9866299395821919</x:v>
      </x:c>
      <x:c r="I18" s="145" t="n">
        <x:f>IF(I$10=0,0,(I$10+I$12+I$13+I$14)/I$10)</x:f>
        <x:v>0.9866337076806535</x:v>
      </x:c>
      <x:c r="J18" s="145" t="n">
        <x:f>IF(J$10=0,0,(J$10+J$12+J$13+J$14)/J$10)</x:f>
        <x:v>0.9866385404230403</x:v>
      </x:c>
      <x:c r="K18" s="145" t="n">
        <x:f>IF(K$10=0,0,(K$10+K$12+K$13+K$14)/K$10)</x:f>
        <x:v>0.9865984834882409</x:v>
      </x:c>
      <x:c r="L18" s="145" t="n">
        <x:f>IF(L$10=0,0,(L$10+L$12+L$13+L$14)/L$10)</x:f>
        <x:v>0.9865636129927408</x:v>
      </x:c>
      <x:c r="M18" s="145" t="n">
        <x:f>IF(M$10=0,0,(M$10+M$12+M$13+M$14)/M$10)</x:f>
        <x:v>0.9865332614406154</x:v>
      </x:c>
      <x:c r="N18" s="145" t="n">
        <x:f>IF(N$10=0,0,(N$10+N$12+N$13+N$14)/N$10)</x:f>
        <x:v>0.9865068666951716</x:v>
      </x:c>
      <x:c r="O18" s="145" t="n">
        <x:f>IF(O$10=0,0,(O$10+O$12+O$13+O$14)/O$10)</x:f>
        <x:v>0.9864441880177927</x:v>
      </x:c>
      <x:c r="P18" s="145" t="n">
        <x:f>IF(P$10=0,0,(P$10+P$12+P$13+P$14)/P$10)</x:f>
        <x:v>0.986388349409023</x:v>
      </x:c>
      <x:c r="Q18" s="145" t="n">
        <x:f>IF(Q$10=0,0,(Q$10+Q$12+Q$13+Q$14)/Q$10)</x:f>
        <x:v>0.9863385306579127</x:v>
      </x:c>
      <x:c r="R18" s="145" t="n">
        <x:f>IF(R$10=0,0,(R$10+R$12+R$13+R$14)/R$10)</x:f>
        <x:v>0.9862940336144174</x:v>
      </x:c>
      <x:c r="S18" s="145" t="n">
        <x:f>IF(S$10=0,0,(S$10+S$12+S$13+S$14)/S$10)</x:f>
        <x:v>0.9862195754030495</x:v>
      </x:c>
      <x:c r="T18" s="145" t="n">
        <x:f>IF(T$10=0,0,(T$10+T$12+T$13+T$14)/T$10)</x:f>
        <x:v>0.986152530229332</x:v>
      </x:c>
      <x:c r="U18" s="145" t="n">
        <x:f>IF(U$10=0,0,(U$10+U$12+U$13+U$14)/U$10)</x:f>
        <x:v>0.9860920609117702</x:v>
      </x:c>
      <x:c r="V18" s="145" t="n">
        <x:f>IF(V$10=0,0,(V$10+V$12+V$13+V$14)/V$10)</x:f>
        <x:v>0.9860374482015498</x:v>
      </x:c>
      <x:c r="W18" s="145" t="n">
        <x:f>IF(W$10=0,0,(W$10+W$12+W$13+W$14)/W$10)</x:f>
        <x:v>0.985957639624578</x:v>
      </x:c>
      <x:c r="X18" s="145" t="n">
        <x:f>IF(X$10=0,0,(X$10+X$12+X$13+X$14)/X$10)</x:f>
        <x:v>0.9858852557179536</x:v>
      </x:c>
      <x:c r="Y18" s="145" t="n">
        <x:f>IF(Y$10=0,0,(Y$10+Y$12+Y$13+Y$14)/Y$10)</x:f>
        <x:v>0.9858195023153348</x:v>
      </x:c>
    </x:row>
    <x:row r="19">
      <x:c r="A19" s="138" t="str">
        <x:v>Customer acquisition cost</x:v>
      </x:c>
      <x:c r="B19" s="142" t="n">
        <x:f>IF(B$7=0,0,'Monthly Drivers'!B$11/B$7)</x:f>
        <x:v>2.287581699346405</x:v>
      </x:c>
      <x:c r="C19" s="142" t="n">
        <x:f>IF(C$7=0,0,'Monthly Drivers'!C$11/C$7)</x:f>
        <x:v>2.3529411764705883</x:v>
      </x:c>
      <x:c r="D19" s="142" t="n">
        <x:f>IF(D$7=0,0,'Monthly Drivers'!D$11/D$7)</x:f>
        <x:v>2.4183006535947715</x:v>
      </x:c>
      <x:c r="E19" s="142" t="n">
        <x:f>IF(E$7=0,0,'Monthly Drivers'!E$11/E$7)</x:f>
        <x:v>2.4836601307189543</x:v>
      </x:c>
      <x:c r="F19" s="142" t="n">
        <x:f>IF(F$7=0,0,'Monthly Drivers'!F$11/F$7)</x:f>
        <x:v>2.3529411764705883</x:v>
      </x:c>
      <x:c r="G19" s="142" t="n">
        <x:f>IF(G$7=0,0,'Monthly Drivers'!G$11/G$7)</x:f>
        <x:v>2.4132730015082955</x:v>
      </x:c>
      <x:c r="H19" s="142" t="n">
        <x:f>IF(H$7=0,0,'Monthly Drivers'!H$11/H$7)</x:f>
        <x:v>2.4736048265460027</x:v>
      </x:c>
      <x:c r="I19" s="142" t="n">
        <x:f>IF(I$7=0,0,'Monthly Drivers'!I$11/I$7)</x:f>
        <x:v>2.5339366515837107</x:v>
      </x:c>
      <x:c r="J19" s="142" t="n">
        <x:f>IF(J$7=0,0,'Monthly Drivers'!J$11/J$7)</x:f>
        <x:v>2.4089635854341735</x:v>
      </x:c>
      <x:c r="K19" s="142" t="n">
        <x:f>IF(K$7=0,0,'Monthly Drivers'!K$11/K$7)</x:f>
        <x:v>2.4649859943977592</x:v>
      </x:c>
      <x:c r="L19" s="142" t="n">
        <x:f>IF(L$7=0,0,'Monthly Drivers'!L$11/L$7)</x:f>
        <x:v>2.5210084033613445</x:v>
      </x:c>
      <x:c r="M19" s="142" t="n">
        <x:f>IF(M$7=0,0,'Monthly Drivers'!M$11/M$7)</x:f>
        <x:v>2.5770308123249297</x:v>
      </x:c>
      <x:c r="N19" s="142" t="n">
        <x:f>IF(N$7=0,0,'Monthly Drivers'!N$11/N$7)</x:f>
        <x:v>2.457516339869281</x:v>
      </x:c>
      <x:c r="O19" s="142" t="n">
        <x:f>IF(O$7=0,0,'Monthly Drivers'!O$11/O$7)</x:f>
        <x:v>2.5098039215686274</x:v>
      </x:c>
      <x:c r="P19" s="142" t="n">
        <x:f>IF(P$7=0,0,'Monthly Drivers'!P$11/P$7)</x:f>
        <x:v>2.562091503267974</x:v>
      </x:c>
      <x:c r="Q19" s="142" t="n">
        <x:f>IF(Q$7=0,0,'Monthly Drivers'!Q$11/Q$7)</x:f>
        <x:v>2.6143790849673203</x:v>
      </x:c>
      <x:c r="R19" s="142" t="n">
        <x:f>IF(R$7=0,0,'Monthly Drivers'!R$11/R$7)</x:f>
        <x:v>2.5</x:v>
      </x:c>
      <x:c r="S19" s="142" t="n">
        <x:f>IF(S$7=0,0,'Monthly Drivers'!S$11/S$7)</x:f>
        <x:v>2.549019607843137</x:v>
      </x:c>
      <x:c r="T19" s="142" t="n">
        <x:f>IF(T$7=0,0,'Monthly Drivers'!T$11/T$7)</x:f>
        <x:v>2.598039215686274</x:v>
      </x:c>
      <x:c r="U19" s="142" t="n">
        <x:f>IF(U$7=0,0,'Monthly Drivers'!U$11/U$7)</x:f>
        <x:v>2.6470588235294117</x:v>
      </x:c>
      <x:c r="V19" s="142" t="n">
        <x:f>IF(V$7=0,0,'Monthly Drivers'!V$11/V$7)</x:f>
        <x:v>2.5374855824682814</x:v>
      </x:c>
      <x:c r="W19" s="142" t="n">
        <x:f>IF(W$7=0,0,'Monthly Drivers'!W$11/W$7)</x:f>
        <x:v>2.5836216839677046</x:v>
      </x:c>
      <x:c r="X19" s="142" t="n">
        <x:f>IF(X$7=0,0,'Monthly Drivers'!X$11/X$7)</x:f>
        <x:v>2.6297577854671284</x:v>
      </x:c>
      <x:c r="Y19" s="142" t="n">
        <x:f>IF(Y$7=0,0,'Monthly Drivers'!Y$11/Y$7)</x:f>
        <x:v>2.6758938869665516</x:v>
      </x:c>
    </x:row>
    <x:row r="20">
      <x:c r="A20" s="138" t="str">
        <x:v>Illustrative LTV</x:v>
      </x:c>
      <x:c r="B20" s="142" t="n">
        <x:f>IF('Monthly Drivers'!B$10*'Assumptions'!$F$9=0,0,'Monthly Drivers'!B$7*'Assumptions'!$F$10/('Monthly Drivers'!B$10*'Assumptions'!$F$9))</x:f>
        <x:v>37.44</x:v>
      </x:c>
      <x:c r="C20" s="142" t="n">
        <x:f>IF('Monthly Drivers'!C$10*'Assumptions'!$F$9=0,0,'Monthly Drivers'!C$7*'Assumptions'!$F$10/('Monthly Drivers'!C$10*'Assumptions'!$F$9))</x:f>
        <x:v>37.751999999999995</x:v>
      </x:c>
      <x:c r="D20" s="142" t="n">
        <x:f>IF('Monthly Drivers'!D$10*'Assumptions'!$F$9=0,0,'Monthly Drivers'!D$7*'Assumptions'!$F$10/('Monthly Drivers'!D$10*'Assumptions'!$F$9))</x:f>
        <x:v>38.064</x:v>
      </x:c>
      <x:c r="E20" s="142" t="n">
        <x:f>IF('Monthly Drivers'!E$10*'Assumptions'!$F$9=0,0,'Monthly Drivers'!E$7*'Assumptions'!$F$10/('Monthly Drivers'!E$10*'Assumptions'!$F$9))</x:f>
        <x:v>38.376</x:v>
      </x:c>
      <x:c r="F20" s="142" t="n">
        <x:f>IF('Monthly Drivers'!F$10*'Assumptions'!$F$9=0,0,'Monthly Drivers'!F$7*'Assumptions'!$F$10/('Monthly Drivers'!F$10*'Assumptions'!$F$9))</x:f>
        <x:v>38.688</x:v>
      </x:c>
      <x:c r="G20" s="142" t="n">
        <x:f>IF('Monthly Drivers'!G$10*'Assumptions'!$F$9=0,0,'Monthly Drivers'!G$7*'Assumptions'!$F$10/('Monthly Drivers'!G$10*'Assumptions'!$F$9))</x:f>
        <x:v>39</x:v>
      </x:c>
      <x:c r="H20" s="142" t="n">
        <x:f>IF('Monthly Drivers'!H$10*'Assumptions'!$F$9=0,0,'Monthly Drivers'!H$7*'Assumptions'!$F$10/('Monthly Drivers'!H$10*'Assumptions'!$F$9))</x:f>
        <x:v>39.312</x:v>
      </x:c>
      <x:c r="I20" s="142" t="n">
        <x:f>IF('Monthly Drivers'!I$10*'Assumptions'!$F$9=0,0,'Monthly Drivers'!I$7*'Assumptions'!$F$10/('Monthly Drivers'!I$10*'Assumptions'!$F$9))</x:f>
        <x:v>39.624</x:v>
      </x:c>
      <x:c r="J20" s="142" t="n">
        <x:f>IF('Monthly Drivers'!J$10*'Assumptions'!$F$9=0,0,'Monthly Drivers'!J$7*'Assumptions'!$F$10/('Monthly Drivers'!J$10*'Assumptions'!$F$9))</x:f>
        <x:v>39.936</x:v>
      </x:c>
      <x:c r="K20" s="142" t="n">
        <x:f>IF('Monthly Drivers'!K$10*'Assumptions'!$F$9=0,0,'Monthly Drivers'!K$7*'Assumptions'!$F$10/('Monthly Drivers'!K$10*'Assumptions'!$F$9))</x:f>
        <x:v>40.248</x:v>
      </x:c>
      <x:c r="L20" s="142" t="n">
        <x:f>IF('Monthly Drivers'!L$10*'Assumptions'!$F$9=0,0,'Monthly Drivers'!L$7*'Assumptions'!$F$10/('Monthly Drivers'!L$10*'Assumptions'!$F$9))</x:f>
        <x:v>40.559999999999995</x:v>
      </x:c>
      <x:c r="M20" s="142" t="n">
        <x:f>IF('Monthly Drivers'!M$10*'Assumptions'!$F$9=0,0,'Monthly Drivers'!M$7*'Assumptions'!$F$10/('Monthly Drivers'!M$10*'Assumptions'!$F$9))</x:f>
        <x:v>40.872</x:v>
      </x:c>
      <x:c r="N20" s="142" t="n">
        <x:f>IF('Monthly Drivers'!N$10*'Assumptions'!$F$9=0,0,'Monthly Drivers'!N$7*'Assumptions'!$F$10/('Monthly Drivers'!N$10*'Assumptions'!$F$9))</x:f>
        <x:v>41.18399999999999</x:v>
      </x:c>
      <x:c r="O20" s="142" t="n">
        <x:f>IF('Monthly Drivers'!O$10*'Assumptions'!$F$9=0,0,'Monthly Drivers'!O$7*'Assumptions'!$F$10/('Monthly Drivers'!O$10*'Assumptions'!$F$9))</x:f>
        <x:v>41.496</x:v>
      </x:c>
      <x:c r="P20" s="142" t="n">
        <x:f>IF('Monthly Drivers'!P$10*'Assumptions'!$F$9=0,0,'Monthly Drivers'!P$7*'Assumptions'!$F$10/('Monthly Drivers'!P$10*'Assumptions'!$F$9))</x:f>
        <x:v>41.80799999999999</x:v>
      </x:c>
      <x:c r="Q20" s="142" t="n">
        <x:f>IF('Monthly Drivers'!Q$10*'Assumptions'!$F$9=0,0,'Monthly Drivers'!Q$7*'Assumptions'!$F$10/('Monthly Drivers'!Q$10*'Assumptions'!$F$9))</x:f>
        <x:v>42.12</x:v>
      </x:c>
      <x:c r="R20" s="142" t="n">
        <x:f>IF('Monthly Drivers'!R$10*'Assumptions'!$F$9=0,0,'Monthly Drivers'!R$7*'Assumptions'!$F$10/('Monthly Drivers'!R$10*'Assumptions'!$F$9))</x:f>
        <x:v>42.431999999999995</x:v>
      </x:c>
      <x:c r="S20" s="142" t="n">
        <x:f>IF('Monthly Drivers'!S$10*'Assumptions'!$F$9=0,0,'Monthly Drivers'!S$7*'Assumptions'!$F$10/('Monthly Drivers'!S$10*'Assumptions'!$F$9))</x:f>
        <x:v>42.744</x:v>
      </x:c>
      <x:c r="T20" s="142" t="n">
        <x:f>IF('Monthly Drivers'!T$10*'Assumptions'!$F$9=0,0,'Monthly Drivers'!T$7*'Assumptions'!$F$10/('Monthly Drivers'!T$10*'Assumptions'!$F$9))</x:f>
        <x:v>43.056</x:v>
      </x:c>
      <x:c r="U20" s="142" t="n">
        <x:f>IF('Monthly Drivers'!U$10*'Assumptions'!$F$9=0,0,'Monthly Drivers'!U$7*'Assumptions'!$F$10/('Monthly Drivers'!U$10*'Assumptions'!$F$9))</x:f>
        <x:v>43.368</x:v>
      </x:c>
      <x:c r="V20" s="142" t="n">
        <x:f>IF('Monthly Drivers'!V$10*'Assumptions'!$F$9=0,0,'Monthly Drivers'!V$7*'Assumptions'!$F$10/('Monthly Drivers'!V$10*'Assumptions'!$F$9))</x:f>
        <x:v>43.67999999999999</x:v>
      </x:c>
      <x:c r="W20" s="142" t="n">
        <x:f>IF('Monthly Drivers'!W$10*'Assumptions'!$F$9=0,0,'Monthly Drivers'!W$7*'Assumptions'!$F$10/('Monthly Drivers'!W$10*'Assumptions'!$F$9))</x:f>
        <x:v>43.99199999999999</x:v>
      </x:c>
      <x:c r="X20" s="142" t="n">
        <x:f>IF('Monthly Drivers'!X$10*'Assumptions'!$F$9=0,0,'Monthly Drivers'!X$7*'Assumptions'!$F$10/('Monthly Drivers'!X$10*'Assumptions'!$F$9))</x:f>
        <x:v>44.303999999999995</x:v>
      </x:c>
      <x:c r="Y20" s="142" t="n">
        <x:f>IF('Monthly Drivers'!Y$10*'Assumptions'!$F$9=0,0,'Monthly Drivers'!Y$7*'Assumptions'!$F$10/('Monthly Drivers'!Y$10*'Assumptions'!$F$9))</x:f>
        <x:v>44.61599999999999</x:v>
      </x:c>
    </x:row>
    <x:row r="21">
      <x:c r="A21" s="138" t="str">
        <x:v>LTV / CAC</x:v>
      </x:c>
      <x:c r="B21" s="146" t="n">
        <x:f>IF(B$19=0,0,B$20/B$19)</x:f>
        <x:v>16.36662857142857</x:v>
      </x:c>
      <x:c r="C21" s="146" t="n">
        <x:f>IF(C$19=0,0,C$20/C$19)</x:f>
        <x:v>16.0446</x:v>
      </x:c>
      <x:c r="D21" s="146" t="n">
        <x:f>IF(D$19=0,0,D$20/D$19)</x:f>
        <x:v>15.739978378378376</x:v>
      </x:c>
      <x:c r="E21" s="146" t="n">
        <x:f>IF(E$19=0,0,E$20/E$19)</x:f>
        <x:v>15.451389473684209</x:v>
      </x:c>
      <x:c r="F21" s="146" t="n">
        <x:f>IF(F$19=0,0,F$20/F$19)</x:f>
        <x:v>16.4424</x:v>
      </x:c>
      <x:c r="G21" s="146" t="n">
        <x:f>IF(G$19=0,0,G$20/G$19)</x:f>
        <x:v>16.160625</x:v>
      </x:c>
      <x:c r="H21" s="146" t="n">
        <x:f>IF(H$19=0,0,H$20/H$19)</x:f>
        <x:v>15.89259512195122</x:v>
      </x:c>
      <x:c r="I21" s="146" t="n">
        <x:f>IF(I$19=0,0,I$20/I$19)</x:f>
        <x:v>15.63732857142857</x:v>
      </x:c>
      <x:c r="J21" s="146" t="n">
        <x:f>IF(J$19=0,0,J$20/J$19)</x:f>
        <x:v>16.578083720930234</x:v>
      </x:c>
      <x:c r="K21" s="146" t="n">
        <x:f>IF(K$19=0,0,K$20/K$19)</x:f>
        <x:v>16.327881818181815</x:v>
      </x:c>
      <x:c r="L21" s="146" t="n">
        <x:f>IF(L$19=0,0,L$20/L$19)</x:f>
        <x:v>16.0888</x:v>
      </x:c>
      <x:c r="M21" s="146" t="n">
        <x:f>IF(M$19=0,0,M$20/M$19)</x:f>
        <x:v>15.860113043478263</x:v>
      </x:c>
      <x:c r="N21" s="146" t="n">
        <x:f>IF(N$19=0,0,N$20/N$19)</x:f>
        <x:v>16.7583829787234</x:v>
      </x:c>
      <x:c r="O21" s="146" t="n">
        <x:f>IF(O$19=0,0,O$20/O$19)</x:f>
        <x:v>16.533562500000002</x:v>
      </x:c>
      <x:c r="P21" s="146" t="n">
        <x:f>IF(P$19=0,0,P$20/P$19)</x:f>
        <x:v>16.317918367346934</x:v>
      </x:c>
      <x:c r="Q21" s="146" t="n">
        <x:f>IF(Q$19=0,0,Q$20/Q$19)</x:f>
        <x:v>16.110899999999997</x:v>
      </x:c>
      <x:c r="R21" s="146" t="n">
        <x:f>IF(R$19=0,0,R$20/R$19)</x:f>
        <x:v>16.9728</x:v>
      </x:c>
      <x:c r="S21" s="146" t="n">
        <x:f>IF(S$19=0,0,S$20/S$19)</x:f>
        <x:v>16.768800000000002</x:v>
      </x:c>
      <x:c r="T21" s="146" t="n">
        <x:f>IF(T$19=0,0,T$20/T$19)</x:f>
        <x:v>16.572498113207548</x:v>
      </x:c>
      <x:c r="U21" s="146" t="n">
        <x:f>IF(U$19=0,0,U$20/U$19)</x:f>
        <x:v>16.383466666666667</x:v>
      </x:c>
      <x:c r="V21" s="146" t="n">
        <x:f>IF(V$19=0,0,V$20/V$19)</x:f>
        <x:v>17.213890909090907</x:v>
      </x:c>
      <x:c r="W21" s="146" t="n">
        <x:f>IF(W$19=0,0,W$20/W$19)</x:f>
        <x:v>17.02726071428571</x:v>
      </x:c>
      <x:c r="X21" s="146" t="n">
        <x:f>IF(X$19=0,0,X$20/X$19)</x:f>
        <x:v>16.847178947368416</x:v>
      </x:c>
      <x:c r="Y21" s="146" t="n">
        <x:f>IF(Y$19=0,0,Y$20/Y$19)</x:f>
        <x:v>16.67330689655172</x:v>
      </x:c>
    </x:row>
    <x:row r="22">
      <x:c r="A22" s="138" t="str">
        <x:v>CAC payback months</x:v>
      </x:c>
      <x:c r="B22" s="147" t="n">
        <x:f>IF('Monthly Drivers'!B$7*'Assumptions'!$F$10=0,0,B$19/('Monthly Drivers'!B$7*'Assumptions'!$F$10))</x:f>
        <x:v>2.4439975420367577</x:v>
      </x:c>
      <x:c r="C22" s="147" t="n">
        <x:f>IF('Monthly Drivers'!C$7*'Assumptions'!$F$10=0,0,C$19/('Monthly Drivers'!C$7*'Assumptions'!$F$10))</x:f>
        <x:v>2.4930506213928676</x:v>
      </x:c>
      <x:c r="D22" s="147" t="n">
        <x:f>IF('Monthly Drivers'!D$7*'Assumptions'!$F$10=0,0,D$19/('Monthly Drivers'!D$7*'Assumptions'!$F$10))</x:f>
        <x:v>2.541299551907074</x:v>
      </x:c>
      <x:c r="E22" s="147" t="n">
        <x:f>IF('Monthly Drivers'!E$7*'Assumptions'!$F$10=0,0,E$19/('Monthly Drivers'!E$7*'Assumptions'!$F$10))</x:f>
        <x:v>2.588763946965764</x:v>
      </x:c>
      <x:c r="F22" s="147" t="n">
        <x:f>IF('Monthly Drivers'!F$7*'Assumptions'!$F$10=0,0,F$19/('Monthly Drivers'!F$7*'Assumptions'!$F$10))</x:f>
        <x:v>2.4327348805527174</x:v>
      </x:c>
      <x:c r="G22" s="147" t="n">
        <x:f>IF('Monthly Drivers'!G$7*'Assumptions'!$F$10=0,0,G$19/('Monthly Drivers'!G$7*'Assumptions'!$F$10))</x:f>
        <x:v>2.4751517964187646</x:v>
      </x:c>
      <x:c r="H22" s="147" t="n">
        <x:f>IF('Monthly Drivers'!H$7*'Assumptions'!$F$10=0,0,H$19/('Monthly Drivers'!H$7*'Assumptions'!$F$10))</x:f>
        <x:v>2.5168954279059856</x:v>
      </x:c>
      <x:c r="I22" s="147" t="n">
        <x:f>IF('Monthly Drivers'!I$7*'Assumptions'!$F$10=0,0,I$19/('Monthly Drivers'!I$7*'Assumptions'!$F$10))</x:f>
        <x:v>2.5579816793697865</x:v>
      </x:c>
      <x:c r="J22" s="147" t="n">
        <x:f>IF('Monthly Drivers'!J$7*'Assumptions'!$F$10=0,0,J$19/('Monthly Drivers'!J$7*'Assumptions'!$F$10))</x:f>
        <x:v>2.4128241040005745</x:v>
      </x:c>
      <x:c r="K22" s="147" t="n">
        <x:f>IF('Monthly Drivers'!K$7*'Assumptions'!$F$10=0,0,K$19/('Monthly Drivers'!K$7*'Assumptions'!$F$10))</x:f>
        <x:v>2.4497972514388384</x:v>
      </x:c>
      <x:c r="L22" s="147" t="n">
        <x:f>IF('Monthly Drivers'!L$7*'Assumptions'!$F$10=0,0,L$19/('Monthly Drivers'!L$7*'Assumptions'!$F$10))</x:f>
        <x:v>2.4862015812242055</x:v>
      </x:c>
      <x:c r="M22" s="147" t="n">
        <x:f>IF('Monthly Drivers'!M$7*'Assumptions'!$F$10=0,0,M$19/('Monthly Drivers'!M$7*'Assumptions'!$F$10))</x:f>
        <x:v>2.5220501197151397</x:v>
      </x:c>
      <x:c r="N22" s="147" t="n">
        <x:f>IF('Monthly Drivers'!N$7*'Assumptions'!$F$10=0,0,N$19/('Monthly Drivers'!N$7*'Assumptions'!$F$10))</x:f>
        <x:v>2.3868651319631717</x:v>
      </x:c>
      <x:c r="O22" s="147" t="n">
        <x:f>IF('Monthly Drivers'!O$7*'Assumptions'!$F$10=0,0,O$19/('Monthly Drivers'!O$7*'Assumptions'!$F$10))</x:f>
        <x:v>2.419321304770221</x:v>
      </x:c>
      <x:c r="P22" s="147" t="n">
        <x:f>IF('Monthly Drivers'!P$7*'Assumptions'!$F$10=0,0,P$19/('Monthly Drivers'!P$7*'Assumptions'!$F$10))</x:f>
        <x:v>2.4512930570876144</x:v>
      </x:c>
      <x:c r="Q22" s="147" t="n">
        <x:f>IF('Monthly Drivers'!Q$7*'Assumptions'!$F$10=0,0,Q$19/('Monthly Drivers'!Q$7*'Assumptions'!$F$10))</x:f>
        <x:v>2.482791153815119</x:v>
      </x:c>
      <x:c r="R22" s="147" t="n">
        <x:f>IF('Monthly Drivers'!R$7*'Assumptions'!$F$10=0,0,R$19/('Monthly Drivers'!R$7*'Assumptions'!$F$10))</x:f>
        <x:v>2.356711915535445</x:v>
      </x:c>
      <x:c r="S22" s="147" t="n">
        <x:f>IF('Monthly Drivers'!S$7*'Assumptions'!$F$10=0,0,S$19/('Monthly Drivers'!S$7*'Assumptions'!$F$10))</x:f>
        <x:v>2.385382376795</x:v>
      </x:c>
      <x:c r="T22" s="147" t="n">
        <x:f>IF('Monthly Drivers'!T$7*'Assumptions'!$F$10=0,0,T$19/('Monthly Drivers'!T$7*'Assumptions'!$F$10))</x:f>
        <x:v>2.413637324123257</x:v>
      </x:c>
      <x:c r="U22" s="147" t="n">
        <x:f>IF('Monthly Drivers'!U$7*'Assumptions'!$F$10=0,0,U$19/('Monthly Drivers'!U$7*'Assumptions'!$F$10))</x:f>
        <x:v>2.4414857254467917</x:v>
      </x:c>
      <x:c r="V22" s="147" t="n">
        <x:f>IF('Monthly Drivers'!V$7*'Assumptions'!$F$10=0,0,V$19/('Monthly Drivers'!V$7*'Assumptions'!$F$10))</x:f>
        <x:v>2.323704745850075</x:v>
      </x:c>
      <x:c r="W22" s="147" t="n">
        <x:f>IF('Monthly Drivers'!W$7*'Assumptions'!$F$10=0,0,W$19/('Monthly Drivers'!W$7*'Assumptions'!$F$10))</x:f>
        <x:v>2.3491741079902755</x:v>
      </x:c>
      <x:c r="X22" s="147" t="n">
        <x:f>IF('Monthly Drivers'!X$7*'Assumptions'!$F$10=0,0,X$19/('Monthly Drivers'!X$7*'Assumptions'!$F$10))</x:f>
        <x:v>2.374284746720051</x:v>
      </x:c>
      <x:c r="Y22" s="147" t="n">
        <x:f>IF('Monthly Drivers'!Y$7*'Assumptions'!$F$10=0,0,Y$19/('Monthly Drivers'!Y$7*'Assumptions'!$F$10))</x:f>
        <x:v>2.399044187705354</x:v>
      </x:c>
    </x:row>
    <x:row r="23">
      <x:c r="A23" s="138" t="str">
        <x:v>Monthly gross profit</x:v>
      </x:c>
      <x:c r="B23" s="142" t="n">
        <x:f>B$15*'Assumptions'!$F$10</x:f>
        <x:v>180.71663999999998</x:v>
      </x:c>
      <x:c r="C23" s="142" t="n">
        <x:f>C$15*'Assumptions'!$F$10</x:f>
        <x:v>189.81783599999997</x:v>
      </x:c>
      <x:c r="D23" s="142" t="n">
        <x:f>D$15*'Assumptions'!$F$10</x:f>
        <x:v>198.9039740999999</x:v>
      </x:c>
      <x:c r="E23" s="142" t="n">
        <x:f>E$15*'Assumptions'!$F$10</x:f>
        <x:v>207.97543074749996</x:v>
      </x:c>
      <x:c r="F23" s="142" t="n">
        <x:f>F$15*'Assumptions'!$F$10</x:f>
        <x:v>218.01911697881252</x:v>
      </x:c>
      <x:c r="G23" s="142" t="n">
        <x:f>G$15*'Assumptions'!$F$10</x:f>
        <x:v>228.0321390543422</x:v>
      </x:c>
      <x:c r="H23" s="142" t="n">
        <x:f>H$15*'Assumptions'!$F$10</x:f>
        <x:v>238.01526357798363</x:v>
      </x:c>
      <x:c r="I23" s="142" t="n">
        <x:f>I$15*'Assumptions'!$F$10</x:f>
        <x:v>247.969237988534</x:v>
      </x:c>
      <x:c r="J23" s="142" t="n">
        <x:f>J$15*'Assumptions'!$F$10</x:f>
        <x:v>258.91315903882065</x:v>
      </x:c>
      <x:c r="K23" s="142" t="n">
        <x:f>K$15*'Assumptions'!$F$10</x:f>
        <x:v>269.8118660628502</x:v>
      </x:c>
      <x:c r="L23" s="142" t="n">
        <x:f>L$15*'Assumptions'!$F$10</x:f>
        <x:v>280.666489411279</x:v>
      </x:c>
      <x:c r="M23" s="142" t="n">
        <x:f>M$15*'Assumptions'!$F$10</x:f>
        <x:v>291.47813117599696</x:v>
      </x:c>
      <x:c r="N23" s="142" t="n">
        <x:f>N$15*'Assumptions'!$F$10</x:f>
        <x:v>303.29805789659696</x:v>
      </x:c>
      <x:c r="O23" s="142" t="n">
        <x:f>O$15*'Assumptions'!$F$10</x:f>
        <x:v>315.05882644918205</x:v>
      </x:c>
      <x:c r="P23" s="142" t="n">
        <x:f>P$15*'Assumptions'!$F$10</x:f>
        <x:v>326.76191578795255</x:v>
      </x:c>
      <x:c r="Q23" s="142" t="n">
        <x:f>Q$15*'Assumptions'!$F$10</x:f>
        <x:v>338.4087678932537</x:v>
      </x:c>
      <x:c r="R23" s="142" t="n">
        <x:f>R$15*'Assumptions'!$F$10</x:f>
        <x:v>351.08280469592233</x:v>
      </x:c>
      <x:c r="S23" s="142" t="n">
        <x:f>S$15*'Assumptions'!$F$10</x:f>
        <x:v>363.6842865785243</x:v>
      </x:c>
      <x:c r="T23" s="142" t="n">
        <x:f>T$15*'Assumptions'!$F$10</x:f>
        <x:v>376.2150274140612</x:v>
      </x:c>
      <x:c r="U23" s="142" t="n">
        <x:f>U$15*'Assumptions'!$F$10</x:f>
        <x:v>388.67679572870964</x:v>
      </x:c>
      <x:c r="V23" s="142" t="n">
        <x:f>V$15*'Assumptions'!$F$10</x:f>
        <x:v>402.1851558354918</x:v>
      </x:c>
      <x:c r="W23" s="142" t="n">
        <x:f>W$15*'Assumptions'!$F$10</x:f>
        <x:v>415.6080589396046</x:v>
      </x:c>
      <x:c r="X23" s="142" t="n">
        <x:f>X$15*'Assumptions'!$F$10</x:f>
        <x:v>428.94764146611436</x:v>
      </x:c>
      <x:c r="Y23" s="142" t="n">
        <x:f>Y$15*'Assumptions'!$F$10</x:f>
        <x:v>442.2059864294615</x:v>
      </x:c>
    </x:row>
    <x:row r="24">
      <x:c r="A24" s="140" t="str">
        <x:v>Monthly EBITDA</x:v>
      </x:c>
      <x:c r="B24" s="148" t="n">
        <x:f>B$23-'Monthly Drivers'!B$11-'Monthly Drivers'!B$12</x:f>
        <x:v>97.71663999999998</x:v>
      </x:c>
      <x:c r="C24" s="148" t="n">
        <x:f>C$23-'Monthly Drivers'!C$11-'Monthly Drivers'!C$12</x:f>
        <x:v>105.01783599999996</x:v>
      </x:c>
      <x:c r="D24" s="148" t="n">
        <x:f>D$23-'Monthly Drivers'!D$11-'Monthly Drivers'!D$12</x:f>
        <x:v>112.30397409999992</x:v>
      </x:c>
      <x:c r="E24" s="148" t="n">
        <x:f>E$23-'Monthly Drivers'!E$11-'Monthly Drivers'!E$12</x:f>
        <x:v>119.57543074749995</x:v>
      </x:c>
      <x:c r="F24" s="148" t="n">
        <x:f>F$23-'Monthly Drivers'!F$11-'Monthly Drivers'!F$12</x:f>
        <x:v>127.81911697881253</x:v>
      </x:c>
      <x:c r="G24" s="148" t="n">
        <x:f>G$23-'Monthly Drivers'!G$11-'Monthly Drivers'!G$12</x:f>
        <x:v>136.0321390543422</x:v>
      </x:c>
      <x:c r="H24" s="148" t="n">
        <x:f>H$23-'Monthly Drivers'!H$11-'Monthly Drivers'!H$12</x:f>
        <x:v>144.21526357798365</x:v>
      </x:c>
      <x:c r="I24" s="148" t="n">
        <x:f>I$23-'Monthly Drivers'!I$11-'Monthly Drivers'!I$12</x:f>
        <x:v>152.369237988534</x:v>
      </x:c>
      <x:c r="J24" s="148" t="n">
        <x:f>J$23-'Monthly Drivers'!J$11-'Monthly Drivers'!J$12</x:f>
        <x:v>161.51315903882065</x:v>
      </x:c>
      <x:c r="K24" s="148" t="n">
        <x:f>K$23-'Monthly Drivers'!K$11-'Monthly Drivers'!K$12</x:f>
        <x:v>170.6118660628502</x:v>
      </x:c>
      <x:c r="L24" s="148" t="n">
        <x:f>L$23-'Monthly Drivers'!L$11-'Monthly Drivers'!L$12</x:f>
        <x:v>179.66648941127897</x:v>
      </x:c>
      <x:c r="M24" s="148" t="n">
        <x:f>M$23-'Monthly Drivers'!M$11-'Monthly Drivers'!M$12</x:f>
        <x:v>188.67813117599695</x:v>
      </x:c>
      <x:c r="N24" s="148" t="n">
        <x:f>N$23-'Monthly Drivers'!N$11-'Monthly Drivers'!N$12</x:f>
        <x:v>198.69805789659694</x:v>
      </x:c>
      <x:c r="O24" s="148" t="n">
        <x:f>O$23-'Monthly Drivers'!O$11-'Monthly Drivers'!O$12</x:f>
        <x:v>208.65882644918207</x:v>
      </x:c>
      <x:c r="P24" s="148" t="n">
        <x:f>P$23-'Monthly Drivers'!P$11-'Monthly Drivers'!P$12</x:f>
        <x:v>218.56191578795256</x:v>
      </x:c>
      <x:c r="Q24" s="148" t="n">
        <x:f>Q$23-'Monthly Drivers'!Q$11-'Monthly Drivers'!Q$12</x:f>
        <x:v>228.4087678932537</x:v>
      </x:c>
      <x:c r="R24" s="148" t="n">
        <x:f>R$23-'Monthly Drivers'!R$11-'Monthly Drivers'!R$12</x:f>
        <x:v>239.28280469592232</x:v>
      </x:c>
      <x:c r="S24" s="148" t="n">
        <x:f>S$23-'Monthly Drivers'!S$11-'Monthly Drivers'!S$12</x:f>
        <x:v>250.08428657852426</x:v>
      </x:c>
      <x:c r="T24" s="148" t="n">
        <x:f>T$23-'Monthly Drivers'!T$11-'Monthly Drivers'!T$12</x:f>
        <x:v>260.8150274140612</x:v>
      </x:c>
      <x:c r="U24" s="148" t="n">
        <x:f>U$23-'Monthly Drivers'!U$11-'Monthly Drivers'!U$12</x:f>
        <x:v>271.47679572870965</x:v>
      </x:c>
      <x:c r="V24" s="148" t="n">
        <x:f>V$23-'Monthly Drivers'!V$11-'Monthly Drivers'!V$12</x:f>
        <x:v>283.1851558354918</x:v>
      </x:c>
      <x:c r="W24" s="148" t="n">
        <x:f>W$23-'Monthly Drivers'!W$11-'Monthly Drivers'!W$12</x:f>
        <x:v>294.80805893960456</x:v>
      </x:c>
      <x:c r="X24" s="148" t="n">
        <x:f>X$23-'Monthly Drivers'!X$11-'Monthly Drivers'!X$12</x:f>
        <x:v>306.34764146611434</x:v>
      </x:c>
      <x:c r="Y24" s="148" t="n">
        <x:f>Y$23-'Monthly Drivers'!Y$11-'Monthly Drivers'!Y$12</x:f>
        <x:v>317.80598642946154</x:v>
      </x:c>
    </x:row>
    <x:row r="25">
      <x:c r="A25" s="138" t="str">
        <x:v>Opening cash</x:v>
      </x:c>
      <x:c r="B25" s="142" t="n">
        <x:f>'Assumptions'!$F$11</x:f>
        <x:v>800</x:v>
      </x:c>
      <x:c r="C25" s="142" t="n">
        <x:f>B$27</x:f>
        <x:v>897.71664</x:v>
      </x:c>
      <x:c r="D25" s="142" t="n">
        <x:f>C$27</x:f>
        <x:v>1002.734476</x:v>
      </x:c>
      <x:c r="E25" s="142" t="n">
        <x:f>D$27</x:f>
        <x:v>1115.0384500999999</x:v>
      </x:c>
      <x:c r="F25" s="142" t="n">
        <x:f>E$27</x:f>
        <x:v>1234.6138808474998</x:v>
      </x:c>
      <x:c r="G25" s="142" t="n">
        <x:f>F$27</x:f>
        <x:v>1362.4329978263122</x:v>
      </x:c>
      <x:c r="H25" s="142" t="n">
        <x:f>G$27</x:f>
        <x:v>1498.4651368806544</x:v>
      </x:c>
      <x:c r="I25" s="142" t="n">
        <x:f>H$27</x:f>
        <x:v>1642.6804004586381</x:v>
      </x:c>
      <x:c r="J25" s="142" t="n">
        <x:f>I$27</x:f>
        <x:v>1795.0496384471721</x:v>
      </x:c>
      <x:c r="K25" s="142" t="n">
        <x:f>J$27</x:f>
        <x:v>1956.5627974859929</x:v>
      </x:c>
      <x:c r="L25" s="142" t="n">
        <x:f>K$27</x:f>
        <x:v>2127.174663548843</x:v>
      </x:c>
      <x:c r="M25" s="142" t="n">
        <x:f>L$27</x:f>
        <x:v>2306.841152960122</x:v>
      </x:c>
      <x:c r="N25" s="142" t="n">
        <x:f>M$27</x:f>
        <x:v>2795.519284136119</x:v>
      </x:c>
      <x:c r="O25" s="142" t="n">
        <x:f>N$27</x:f>
        <x:v>2994.217342032716</x:v>
      </x:c>
      <x:c r="P25" s="142" t="n">
        <x:f>O$27</x:f>
        <x:v>3202.876168481898</x:v>
      </x:c>
      <x:c r="Q25" s="142" t="n">
        <x:f>P$27</x:f>
        <x:v>3421.43808426985</x:v>
      </x:c>
      <x:c r="R25" s="142" t="n">
        <x:f>Q$27</x:f>
        <x:v>3649.846852163104</x:v>
      </x:c>
      <x:c r="S25" s="142" t="n">
        <x:f>R$27</x:f>
        <x:v>3889.129656859026</x:v>
      </x:c>
      <x:c r="T25" s="142" t="n">
        <x:f>S$27</x:f>
        <x:v>4139.21394343755</x:v>
      </x:c>
      <x:c r="U25" s="142" t="n">
        <x:f>T$27</x:f>
        <x:v>4400.028970851612</x:v>
      </x:c>
      <x:c r="V25" s="142" t="n">
        <x:f>U$27</x:f>
        <x:v>4671.5057665803215</x:v>
      </x:c>
      <x:c r="W25" s="142" t="n">
        <x:f>V$27</x:f>
        <x:v>4954.6909224158135</x:v>
      </x:c>
      <x:c r="X25" s="142" t="n">
        <x:f>W$27</x:f>
        <x:v>5249.498981355418</x:v>
      </x:c>
      <x:c r="Y25" s="142" t="n">
        <x:f>X$27</x:f>
        <x:v>5555.846622821533</x:v>
      </x:c>
    </x:row>
    <x:row r="26">
      <x:c r="A26" s="138" t="str">
        <x:v>Explicit funding</x:v>
      </x:c>
      <x:c r="B26" s="142" t="n">
        <x:f>0</x:f>
        <x:v>0</x:v>
      </x:c>
      <x:c r="C26" s="142" t="n">
        <x:f>0</x:f>
        <x:v>0</x:v>
      </x:c>
      <x:c r="D26" s="142" t="n">
        <x:f>0</x:f>
        <x:v>0</x:v>
      </x:c>
      <x:c r="E26" s="142" t="n">
        <x:f>0</x:f>
        <x:v>0</x:v>
      </x:c>
      <x:c r="F26" s="142" t="n">
        <x:f>0</x:f>
        <x:v>0</x:v>
      </x:c>
      <x:c r="G26" s="142" t="n">
        <x:f>0</x:f>
        <x:v>0</x:v>
      </x:c>
      <x:c r="H26" s="142" t="n">
        <x:f>0</x:f>
        <x:v>0</x:v>
      </x:c>
      <x:c r="I26" s="142" t="n">
        <x:f>0</x:f>
        <x:v>0</x:v>
      </x:c>
      <x:c r="J26" s="142" t="n">
        <x:f>0</x:f>
        <x:v>0</x:v>
      </x:c>
      <x:c r="K26" s="142" t="n">
        <x:f>0</x:f>
        <x:v>0</x:v>
      </x:c>
      <x:c r="L26" s="142" t="n">
        <x:f>0</x:f>
        <x:v>0</x:v>
      </x:c>
      <x:c r="M26" s="142" t="n">
        <x:f>'Assumptions'!$F$12</x:f>
        <x:v>300</x:v>
      </x:c>
      <x:c r="N26" s="142" t="n">
        <x:f>0</x:f>
        <x:v>0</x:v>
      </x:c>
      <x:c r="O26" s="142" t="n">
        <x:f>0</x:f>
        <x:v>0</x:v>
      </x:c>
      <x:c r="P26" s="142" t="n">
        <x:f>0</x:f>
        <x:v>0</x:v>
      </x:c>
      <x:c r="Q26" s="142" t="n">
        <x:f>0</x:f>
        <x:v>0</x:v>
      </x:c>
      <x:c r="R26" s="142" t="n">
        <x:f>0</x:f>
        <x:v>0</x:v>
      </x:c>
      <x:c r="S26" s="142" t="n">
        <x:f>0</x:f>
        <x:v>0</x:v>
      </x:c>
      <x:c r="T26" s="142" t="n">
        <x:f>0</x:f>
        <x:v>0</x:v>
      </x:c>
      <x:c r="U26" s="142" t="n">
        <x:f>0</x:f>
        <x:v>0</x:v>
      </x:c>
      <x:c r="V26" s="142" t="n">
        <x:f>0</x:f>
        <x:v>0</x:v>
      </x:c>
      <x:c r="W26" s="142" t="n">
        <x:f>0</x:f>
        <x:v>0</x:v>
      </x:c>
      <x:c r="X26" s="142" t="n">
        <x:f>0</x:f>
        <x:v>0</x:v>
      </x:c>
      <x:c r="Y26" s="142" t="n">
        <x:f>0</x:f>
        <x:v>0</x:v>
      </x:c>
    </x:row>
    <x:row r="27">
      <x:c r="A27" s="143" t="str">
        <x:v>Closing cash</x:v>
      </x:c>
      <x:c r="B27" s="144" t="n">
        <x:f>B$25+B$24+B$26</x:f>
        <x:v>897.71664</x:v>
      </x:c>
      <x:c r="C27" s="144" t="n">
        <x:f>C$25+C$24+C$26</x:f>
        <x:v>1002.734476</x:v>
      </x:c>
      <x:c r="D27" s="144" t="n">
        <x:f>D$25+D$24+D$26</x:f>
        <x:v>1115.0384500999999</x:v>
      </x:c>
      <x:c r="E27" s="144" t="n">
        <x:f>E$25+E$24+E$26</x:f>
        <x:v>1234.6138808474998</x:v>
      </x:c>
      <x:c r="F27" s="144" t="n">
        <x:f>F$25+F$24+F$26</x:f>
        <x:v>1362.4329978263122</x:v>
      </x:c>
      <x:c r="G27" s="144" t="n">
        <x:f>G$25+G$24+G$26</x:f>
        <x:v>1498.4651368806544</x:v>
      </x:c>
      <x:c r="H27" s="144" t="n">
        <x:f>H$25+H$24+H$26</x:f>
        <x:v>1642.6804004586381</x:v>
      </x:c>
      <x:c r="I27" s="144" t="n">
        <x:f>I$25+I$24+I$26</x:f>
        <x:v>1795.0496384471721</x:v>
      </x:c>
      <x:c r="J27" s="144" t="n">
        <x:f>J$25+J$24+J$26</x:f>
        <x:v>1956.5627974859929</x:v>
      </x:c>
      <x:c r="K27" s="144" t="n">
        <x:f>K$25+K$24+K$26</x:f>
        <x:v>2127.174663548843</x:v>
      </x:c>
      <x:c r="L27" s="144" t="n">
        <x:f>L$25+L$24+L$26</x:f>
        <x:v>2306.841152960122</x:v>
      </x:c>
      <x:c r="M27" s="144" t="n">
        <x:f>M$25+M$24+M$26</x:f>
        <x:v>2795.519284136119</x:v>
      </x:c>
      <x:c r="N27" s="144" t="n">
        <x:f>N$25+N$24+N$26</x:f>
        <x:v>2994.217342032716</x:v>
      </x:c>
      <x:c r="O27" s="144" t="n">
        <x:f>O$25+O$24+O$26</x:f>
        <x:v>3202.876168481898</x:v>
      </x:c>
      <x:c r="P27" s="144" t="n">
        <x:f>P$25+P$24+P$26</x:f>
        <x:v>3421.43808426985</x:v>
      </x:c>
      <x:c r="Q27" s="144" t="n">
        <x:f>Q$25+Q$24+Q$26</x:f>
        <x:v>3649.846852163104</x:v>
      </x:c>
      <x:c r="R27" s="144" t="n">
        <x:f>R$25+R$24+R$26</x:f>
        <x:v>3889.129656859026</x:v>
      </x:c>
      <x:c r="S27" s="144" t="n">
        <x:f>S$25+S$24+S$26</x:f>
        <x:v>4139.21394343755</x:v>
      </x:c>
      <x:c r="T27" s="144" t="n">
        <x:f>T$25+T$24+T$26</x:f>
        <x:v>4400.028970851612</x:v>
      </x:c>
      <x:c r="U27" s="144" t="n">
        <x:f>U$25+U$24+U$26</x:f>
        <x:v>4671.5057665803215</x:v>
      </x:c>
      <x:c r="V27" s="144" t="n">
        <x:f>V$25+V$24+V$26</x:f>
        <x:v>4954.6909224158135</x:v>
      </x:c>
      <x:c r="W27" s="144" t="n">
        <x:f>W$25+W$24+W$26</x:f>
        <x:v>5249.498981355418</x:v>
      </x:c>
      <x:c r="X27" s="144" t="n">
        <x:f>X$25+X$24+X$26</x:f>
        <x:v>5555.846622821533</x:v>
      </x:c>
      <x:c r="Y27" s="144" t="n">
        <x:f>Y$25+Y$24+Y$26</x:f>
        <x:v>5873.652609250995</x:v>
      </x:c>
    </x:row>
    <x:row r="28">
      <x:c r="A28" s="138" t="str">
        <x:v>Net new ARR</x:v>
      </x:c>
      <x:c r="B28" s="149" t="n">
        <x:f>B$16-B$10*12</x:f>
        <x:v>140.25599999999986</x:v>
      </x:c>
      <x:c r="C28" s="149" t="n">
        <x:f>C$16-B$16</x:f>
        <x:v>140.01839999999947</x:v>
      </x:c>
      <x:c r="D28" s="149" t="n">
        <x:f>D$16-C$16</x:f>
        <x:v>139.78673999999955</x:v>
      </x:c>
      <x:c r="E28" s="149" t="n">
        <x:f>E$16-D$16</x:f>
        <x:v>139.56087150000076</x:v>
      </x:c>
      <x:c r="F28" s="149" t="n">
        <x:f>F$16-E$16</x:f>
        <x:v>154.51824971250062</x:v>
      </x:c>
      <x:c r="G28" s="149" t="n">
        <x:f>G$16-F$16</x:f>
        <x:v>154.04649346968745</x:v>
      </x:c>
      <x:c r="H28" s="149" t="n">
        <x:f>H$16-G$16</x:f>
        <x:v>153.58653113294486</x:v>
      </x:c>
      <x:c r="I28" s="149" t="n">
        <x:f>I$16-H$16</x:f>
        <x:v>153.13806785462066</x:v>
      </x:c>
      <x:c r="J28" s="149" t="n">
        <x:f>J$16-I$16</x:f>
        <x:v>168.36801615825698</x:v>
      </x:c>
      <x:c r="K28" s="149" t="n">
        <x:f>K$16-J$16</x:f>
        <x:v>167.67241575430035</x:v>
      </x:c>
      <x:c r="L28" s="149" t="n">
        <x:f>L$16-K$16</x:f>
        <x:v>166.99420536044272</x:v>
      </x:c>
      <x:c r="M28" s="149" t="n">
        <x:f>M$16-L$16</x:f>
        <x:v>166.3329502264305</x:v>
      </x:c>
      <x:c r="N28" s="149" t="n">
        <x:f>N$16-M$16</x:f>
        <x:v>181.84502647076897</x:v>
      </x:c>
      <x:c r="O28" s="149" t="n">
        <x:f>O$16-N$16</x:f>
        <x:v>180.9349008090021</x:v>
      </x:c>
      <x:c r="P28" s="149" t="n">
        <x:f>P$16-O$16</x:f>
        <x:v>180.04752828877645</x:v>
      </x:c>
      <x:c r="Q28" s="149" t="n">
        <x:f>Q$16-P$16</x:f>
        <x:v>179.1823400815565</x:v>
      </x:c>
      <x:c r="R28" s="149" t="n">
        <x:f>R$16-Q$16</x:f>
        <x:v>194.9851815795173</x:v>
      </x:c>
      <x:c r="S28" s="149" t="n">
        <x:f>S$16-R$16</x:f>
        <x:v>193.8689520400294</x:v>
      </x:c>
      <x:c r="T28" s="149" t="n">
        <x:f>T$16-S$16</x:f>
        <x:v>192.78062823902928</x:v>
      </x:c>
      <x:c r="U28" s="149" t="n">
        <x:f>U$16-T$16</x:f>
        <x:v>191.7195125330536</x:v>
      </x:c>
      <x:c r="V28" s="149" t="n">
        <x:f>V$16-U$16</x:f>
        <x:v>207.82092471972555</x:v>
      </x:c>
      <x:c r="W28" s="149" t="n">
        <x:f>W$16-V$16</x:f>
        <x:v>206.50620160173457</x:v>
      </x:c>
      <x:c r="X28" s="149" t="n">
        <x:f>X$16-W$16</x:f>
        <x:v>205.22434656168934</x:v>
      </x:c>
      <x:c r="Y28" s="149" t="n">
        <x:f>Y$16-X$16</x:f>
        <x:v>203.9745378976486</x:v>
      </x:c>
    </x:row>
    <x:row r="29">
      <x:c r="A29" s="138" t="str">
        <x:v>Net burn</x:v>
      </x:c>
      <x:c r="B29" s="149" t="n">
        <x:f>MAX(0,-B$24)</x:f>
        <x:v>0</x:v>
      </x:c>
      <x:c r="C29" s="149" t="n">
        <x:f>MAX(0,-C$24)</x:f>
        <x:v>0</x:v>
      </x:c>
      <x:c r="D29" s="149" t="n">
        <x:f>MAX(0,-D$24)</x:f>
        <x:v>0</x:v>
      </x:c>
      <x:c r="E29" s="149" t="n">
        <x:f>MAX(0,-E$24)</x:f>
        <x:v>0</x:v>
      </x:c>
      <x:c r="F29" s="149" t="n">
        <x:f>MAX(0,-F$24)</x:f>
        <x:v>0</x:v>
      </x:c>
      <x:c r="G29" s="149" t="n">
        <x:f>MAX(0,-G$24)</x:f>
        <x:v>0</x:v>
      </x:c>
      <x:c r="H29" s="149" t="n">
        <x:f>MAX(0,-H$24)</x:f>
        <x:v>0</x:v>
      </x:c>
      <x:c r="I29" s="149" t="n">
        <x:f>MAX(0,-I$24)</x:f>
        <x:v>0</x:v>
      </x:c>
      <x:c r="J29" s="149" t="n">
        <x:f>MAX(0,-J$24)</x:f>
        <x:v>0</x:v>
      </x:c>
      <x:c r="K29" s="149" t="n">
        <x:f>MAX(0,-K$24)</x:f>
        <x:v>0</x:v>
      </x:c>
      <x:c r="L29" s="149" t="n">
        <x:f>MAX(0,-L$24)</x:f>
        <x:v>0</x:v>
      </x:c>
      <x:c r="M29" s="149" t="n">
        <x:f>MAX(0,-M$24)</x:f>
        <x:v>0</x:v>
      </x:c>
      <x:c r="N29" s="149" t="n">
        <x:f>MAX(0,-N$24)</x:f>
        <x:v>0</x:v>
      </x:c>
      <x:c r="O29" s="149" t="n">
        <x:f>MAX(0,-O$24)</x:f>
        <x:v>0</x:v>
      </x:c>
      <x:c r="P29" s="149" t="n">
        <x:f>MAX(0,-P$24)</x:f>
        <x:v>0</x:v>
      </x:c>
      <x:c r="Q29" s="149" t="n">
        <x:f>MAX(0,-Q$24)</x:f>
        <x:v>0</x:v>
      </x:c>
      <x:c r="R29" s="149" t="n">
        <x:f>MAX(0,-R$24)</x:f>
        <x:v>0</x:v>
      </x:c>
      <x:c r="S29" s="149" t="n">
        <x:f>MAX(0,-S$24)</x:f>
        <x:v>0</x:v>
      </x:c>
      <x:c r="T29" s="149" t="n">
        <x:f>MAX(0,-T$24)</x:f>
        <x:v>0</x:v>
      </x:c>
      <x:c r="U29" s="149" t="n">
        <x:f>MAX(0,-U$24)</x:f>
        <x:v>0</x:v>
      </x:c>
      <x:c r="V29" s="149" t="n">
        <x:f>MAX(0,-V$24)</x:f>
        <x:v>0</x:v>
      </x:c>
      <x:c r="W29" s="149" t="n">
        <x:f>MAX(0,-W$24)</x:f>
        <x:v>0</x:v>
      </x:c>
      <x:c r="X29" s="149" t="n">
        <x:f>MAX(0,-X$24)</x:f>
        <x:v>0</x:v>
      </x:c>
      <x:c r="Y29" s="149" t="n">
        <x:f>MAX(0,-Y$24)</x:f>
        <x:v>0</x:v>
      </x:c>
    </x:row>
    <x:row r="30">
      <x:c r="A30" s="138" t="str">
        <x:v>Burn multiple</x:v>
      </x:c>
      <x:c r="B30" s="146" t="n">
        <x:f>IF(B$28=0,0,B$29*12/B$28)</x:f>
        <x:v>0</x:v>
      </x:c>
      <x:c r="C30" s="146" t="n">
        <x:f>IF(C$28=0,0,C$29*12/C$28)</x:f>
        <x:v>0</x:v>
      </x:c>
      <x:c r="D30" s="146" t="n">
        <x:f>IF(D$28=0,0,D$29*12/D$28)</x:f>
        <x:v>0</x:v>
      </x:c>
      <x:c r="E30" s="146" t="n">
        <x:f>IF(E$28=0,0,E$29*12/E$28)</x:f>
        <x:v>0</x:v>
      </x:c>
      <x:c r="F30" s="146" t="n">
        <x:f>IF(F$28=0,0,F$29*12/F$28)</x:f>
        <x:v>0</x:v>
      </x:c>
      <x:c r="G30" s="146" t="n">
        <x:f>IF(G$28=0,0,G$29*12/G$28)</x:f>
        <x:v>0</x:v>
      </x:c>
      <x:c r="H30" s="146" t="n">
        <x:f>IF(H$28=0,0,H$29*12/H$28)</x:f>
        <x:v>0</x:v>
      </x:c>
      <x:c r="I30" s="146" t="n">
        <x:f>IF(I$28=0,0,I$29*12/I$28)</x:f>
        <x:v>0</x:v>
      </x:c>
      <x:c r="J30" s="146" t="n">
        <x:f>IF(J$28=0,0,J$29*12/J$28)</x:f>
        <x:v>0</x:v>
      </x:c>
      <x:c r="K30" s="146" t="n">
        <x:f>IF(K$28=0,0,K$29*12/K$28)</x:f>
        <x:v>0</x:v>
      </x:c>
      <x:c r="L30" s="146" t="n">
        <x:f>IF(L$28=0,0,L$29*12/L$28)</x:f>
        <x:v>0</x:v>
      </x:c>
      <x:c r="M30" s="146" t="n">
        <x:f>IF(M$28=0,0,M$29*12/M$28)</x:f>
        <x:v>0</x:v>
      </x:c>
      <x:c r="N30" s="146" t="n">
        <x:f>IF(N$28=0,0,N$29*12/N$28)</x:f>
        <x:v>0</x:v>
      </x:c>
      <x:c r="O30" s="146" t="n">
        <x:f>IF(O$28=0,0,O$29*12/O$28)</x:f>
        <x:v>0</x:v>
      </x:c>
      <x:c r="P30" s="146" t="n">
        <x:f>IF(P$28=0,0,P$29*12/P$28)</x:f>
        <x:v>0</x:v>
      </x:c>
      <x:c r="Q30" s="146" t="n">
        <x:f>IF(Q$28=0,0,Q$29*12/Q$28)</x:f>
        <x:v>0</x:v>
      </x:c>
      <x:c r="R30" s="146" t="n">
        <x:f>IF(R$28=0,0,R$29*12/R$28)</x:f>
        <x:v>0</x:v>
      </x:c>
      <x:c r="S30" s="146" t="n">
        <x:f>IF(S$28=0,0,S$29*12/S$28)</x:f>
        <x:v>0</x:v>
      </x:c>
      <x:c r="T30" s="146" t="n">
        <x:f>IF(T$28=0,0,T$29*12/T$28)</x:f>
        <x:v>0</x:v>
      </x:c>
      <x:c r="U30" s="146" t="n">
        <x:f>IF(U$28=0,0,U$29*12/U$28)</x:f>
        <x:v>0</x:v>
      </x:c>
      <x:c r="V30" s="146" t="n">
        <x:f>IF(V$28=0,0,V$29*12/V$28)</x:f>
        <x:v>0</x:v>
      </x:c>
      <x:c r="W30" s="146" t="n">
        <x:f>IF(W$28=0,0,W$29*12/W$28)</x:f>
        <x:v>0</x:v>
      </x:c>
      <x:c r="X30" s="146" t="n">
        <x:f>IF(X$28=0,0,X$29*12/X$28)</x:f>
        <x:v>0</x:v>
      </x:c>
      <x:c r="Y30" s="146" t="n">
        <x:f>IF(Y$28=0,0,Y$29*12/Y$28)</x:f>
        <x:v>0</x:v>
      </x:c>
    </x:row>
    <x:row r="31">
      <x:c r="A31" s="150" t="str">
        <x:v>ARR bridge check</x:v>
      </x:c>
      <x:c r="B31" s="151" t="n">
        <x:f>B$16-B$15*12</x:f>
        <x:v>0</x:v>
      </x:c>
      <x:c r="C31" s="151" t="n">
        <x:f>C$16-C$15*12</x:f>
        <x:v>0</x:v>
      </x:c>
      <x:c r="D31" s="151" t="n">
        <x:f>D$16-D$15*12</x:f>
        <x:v>0</x:v>
      </x:c>
      <x:c r="E31" s="151" t="n">
        <x:f>E$16-E$15*12</x:f>
        <x:v>0</x:v>
      </x:c>
      <x:c r="F31" s="151" t="n">
        <x:f>F$16-F$15*12</x:f>
        <x:v>0</x:v>
      </x:c>
      <x:c r="G31" s="151" t="n">
        <x:f>G$16-G$15*12</x:f>
        <x:v>0</x:v>
      </x:c>
      <x:c r="H31" s="151" t="n">
        <x:f>H$16-H$15*12</x:f>
        <x:v>0</x:v>
      </x:c>
      <x:c r="I31" s="151" t="n">
        <x:f>I$16-I$15*12</x:f>
        <x:v>0</x:v>
      </x:c>
      <x:c r="J31" s="151" t="n">
        <x:f>J$16-J$15*12</x:f>
        <x:v>0</x:v>
      </x:c>
      <x:c r="K31" s="151" t="n">
        <x:f>K$16-K$15*12</x:f>
        <x:v>0</x:v>
      </x:c>
      <x:c r="L31" s="151" t="n">
        <x:f>L$16-L$15*12</x:f>
        <x:v>0</x:v>
      </x:c>
      <x:c r="M31" s="151" t="n">
        <x:f>M$16-M$15*12</x:f>
        <x:v>0</x:v>
      </x:c>
      <x:c r="N31" s="151" t="n">
        <x:f>N$16-N$15*12</x:f>
        <x:v>0</x:v>
      </x:c>
      <x:c r="O31" s="151" t="n">
        <x:f>O$16-O$15*12</x:f>
        <x:v>0</x:v>
      </x:c>
      <x:c r="P31" s="151" t="n">
        <x:f>P$16-P$15*12</x:f>
        <x:v>0</x:v>
      </x:c>
      <x:c r="Q31" s="151" t="n">
        <x:f>Q$16-Q$15*12</x:f>
        <x:v>0</x:v>
      </x:c>
      <x:c r="R31" s="151" t="n">
        <x:f>R$16-R$15*12</x:f>
        <x:v>0</x:v>
      </x:c>
      <x:c r="S31" s="151" t="n">
        <x:f>S$16-S$15*12</x:f>
        <x:v>0</x:v>
      </x:c>
      <x:c r="T31" s="151" t="n">
        <x:f>T$16-T$15*12</x:f>
        <x:v>0</x:v>
      </x:c>
      <x:c r="U31" s="151" t="n">
        <x:f>U$16-U$15*12</x:f>
        <x:v>0</x:v>
      </x:c>
      <x:c r="V31" s="151" t="n">
        <x:f>V$16-V$15*12</x:f>
        <x:v>0</x:v>
      </x:c>
      <x:c r="W31" s="151" t="n">
        <x:f>W$16-W$15*12</x:f>
        <x:v>0</x:v>
      </x:c>
      <x:c r="X31" s="151" t="n">
        <x:f>X$16-X$15*12</x:f>
        <x:v>0</x:v>
      </x:c>
      <x:c r="Y31" s="151" t="n">
        <x:f>Y$16-Y$15*12</x:f>
        <x:v>0</x:v>
      </x:c>
    </x:row>
    <x:row r="33">
      <x:c r="A33" s="42" t="str">
        <x:v>Review row definitions, sign convention, period basis, scenario mechanics, and every breakpoint before relying on the output.</x:v>
      </x:c>
      <x:c r="B33" s="43" t="str">
        <x:v>Review row definitions, sign convention, period basis, scenario mechanics, and every breakpoint before relying on the output.</x:v>
      </x:c>
      <x:c r="C33" s="43" t="str">
        <x:v>Review row definitions, sign convention, period basis, scenario mechanics, and every breakpoint before relying on the output.</x:v>
      </x:c>
      <x:c r="D33" s="43" t="str">
        <x:v>Review row definitions, sign convention, period basis, scenario mechanics, and every breakpoint before relying on the output.</x:v>
      </x:c>
      <x:c r="E33" s="43" t="str">
        <x:v>Review row definitions, sign convention, period basis, scenario mechanics, and every breakpoint before relying on the output.</x:v>
      </x:c>
      <x:c r="F33" s="43" t="str">
        <x:v>Review row definitions, sign convention, period basis, scenario mechanics, and every breakpoint before relying on the output.</x:v>
      </x:c>
      <x:c r="G33" s="43" t="str">
        <x:v>Review row definitions, sign convention, period basis, scenario mechanics, and every breakpoint before relying on the output.</x:v>
      </x:c>
      <x:c r="H33" s="43" t="str">
        <x:v>Review row definitions, sign convention, period basis, scenario mechanics, and every breakpoint before relying on the output.</x:v>
      </x:c>
      <x:c r="I33" s="43" t="str">
        <x:v>Review row definitions, sign convention, period basis, scenario mechanics, and every breakpoint before relying on the output.</x:v>
      </x:c>
      <x:c r="J33" s="43" t="str">
        <x:v>Review row definitions, sign convention, period basis, scenario mechanics, and every breakpoint before relying on the output.</x:v>
      </x:c>
      <x:c r="K33" s="43" t="str">
        <x:v>Review row definitions, sign convention, period basis, scenario mechanics, and every breakpoint before relying on the output.</x:v>
      </x:c>
      <x:c r="L33" s="43" t="str">
        <x:v>Review row definitions, sign convention, period basis, scenario mechanics, and every breakpoint before relying on the output.</x:v>
      </x:c>
      <x:c r="M33" s="43" t="str">
        <x:v>Review row definitions, sign convention, period basis, scenario mechanics, and every breakpoint before relying on the output.</x:v>
      </x:c>
      <x:c r="N33" s="43" t="str">
        <x:v>Review row definitions, sign convention, period basis, scenario mechanics, and every breakpoint before relying on the output.</x:v>
      </x:c>
      <x:c r="O33" s="43" t="str">
        <x:v>Review row definitions, sign convention, period basis, scenario mechanics, and every breakpoint before relying on the output.</x:v>
      </x:c>
      <x:c r="P33" s="43" t="str">
        <x:v>Review row definitions, sign convention, period basis, scenario mechanics, and every breakpoint before relying on the output.</x:v>
      </x:c>
      <x:c r="Q33" s="43" t="str">
        <x:v>Review row definitions, sign convention, period basis, scenario mechanics, and every breakpoint before relying on the output.</x:v>
      </x:c>
      <x:c r="R33" s="43" t="str">
        <x:v>Review row definitions, sign convention, period basis, scenario mechanics, and every breakpoint before relying on the output.</x:v>
      </x:c>
      <x:c r="S33" s="43" t="str">
        <x:v>Review row definitions, sign convention, period basis, scenario mechanics, and every breakpoint before relying on the output.</x:v>
      </x:c>
      <x:c r="T33" s="43" t="str">
        <x:v>Review row definitions, sign convention, period basis, scenario mechanics, and every breakpoint before relying on the output.</x:v>
      </x:c>
      <x:c r="U33" s="43" t="str">
        <x:v>Review row definitions, sign convention, period basis, scenario mechanics, and every breakpoint before relying on the output.</x:v>
      </x:c>
      <x:c r="V33" s="43" t="str">
        <x:v>Review row definitions, sign convention, period basis, scenario mechanics, and every breakpoint before relying on the output.</x:v>
      </x:c>
      <x:c r="W33" s="43" t="str">
        <x:v>Review row definitions, sign convention, period basis, scenario mechanics, and every breakpoint before relying on the output.</x:v>
      </x:c>
      <x:c r="X33" s="43" t="str">
        <x:v>Review row definitions, sign convention, period basis, scenario mechanics, and every breakpoint before relying on the output.</x:v>
      </x:c>
      <x:c r="Y33" s="44" t="str">
        <x:v>Review row definitions, sign convention, period basis, scenario mechanics, and every breakpoint before relying on the output.</x:v>
      </x:c>
    </x:row>
    <x:row r="34">
      <x:c r="A34" s="45" t="str">
        <x:v>Review row definitions, sign convention, period basis, scenario mechanics, and every breakpoint before relying on the output.</x:v>
      </x:c>
      <x:c r="B34" s="46" t="str">
        <x:v>Review row definitions, sign convention, period basis, scenario mechanics, and every breakpoint before relying on the output.</x:v>
      </x:c>
      <x:c r="C34" s="46" t="str">
        <x:v>Review row definitions, sign convention, period basis, scenario mechanics, and every breakpoint before relying on the output.</x:v>
      </x:c>
      <x:c r="D34" s="46" t="str">
        <x:v>Review row definitions, sign convention, period basis, scenario mechanics, and every breakpoint before relying on the output.</x:v>
      </x:c>
      <x:c r="E34" s="46" t="str">
        <x:v>Review row definitions, sign convention, period basis, scenario mechanics, and every breakpoint before relying on the output.</x:v>
      </x:c>
      <x:c r="F34" s="46" t="str">
        <x:v>Review row definitions, sign convention, period basis, scenario mechanics, and every breakpoint before relying on the output.</x:v>
      </x:c>
      <x:c r="G34" s="46" t="str">
        <x:v>Review row definitions, sign convention, period basis, scenario mechanics, and every breakpoint before relying on the output.</x:v>
      </x:c>
      <x:c r="H34" s="46" t="str">
        <x:v>Review row definitions, sign convention, period basis, scenario mechanics, and every breakpoint before relying on the output.</x:v>
      </x:c>
      <x:c r="I34" s="46" t="str">
        <x:v>Review row definitions, sign convention, period basis, scenario mechanics, and every breakpoint before relying on the output.</x:v>
      </x:c>
      <x:c r="J34" s="46" t="str">
        <x:v>Review row definitions, sign convention, period basis, scenario mechanics, and every breakpoint before relying on the output.</x:v>
      </x:c>
      <x:c r="K34" s="46" t="str">
        <x:v>Review row definitions, sign convention, period basis, scenario mechanics, and every breakpoint before relying on the output.</x:v>
      </x:c>
      <x:c r="L34" s="46" t="str">
        <x:v>Review row definitions, sign convention, period basis, scenario mechanics, and every breakpoint before relying on the output.</x:v>
      </x:c>
      <x:c r="M34" s="46" t="str">
        <x:v>Review row definitions, sign convention, period basis, scenario mechanics, and every breakpoint before relying on the output.</x:v>
      </x:c>
      <x:c r="N34" s="46" t="str">
        <x:v>Review row definitions, sign convention, period basis, scenario mechanics, and every breakpoint before relying on the output.</x:v>
      </x:c>
      <x:c r="O34" s="46" t="str">
        <x:v>Review row definitions, sign convention, period basis, scenario mechanics, and every breakpoint before relying on the output.</x:v>
      </x:c>
      <x:c r="P34" s="46" t="str">
        <x:v>Review row definitions, sign convention, period basis, scenario mechanics, and every breakpoint before relying on the output.</x:v>
      </x:c>
      <x:c r="Q34" s="46" t="str">
        <x:v>Review row definitions, sign convention, period basis, scenario mechanics, and every breakpoint before relying on the output.</x:v>
      </x:c>
      <x:c r="R34" s="46" t="str">
        <x:v>Review row definitions, sign convention, period basis, scenario mechanics, and every breakpoint before relying on the output.</x:v>
      </x:c>
      <x:c r="S34" s="46" t="str">
        <x:v>Review row definitions, sign convention, period basis, scenario mechanics, and every breakpoint before relying on the output.</x:v>
      </x:c>
      <x:c r="T34" s="46" t="str">
        <x:v>Review row definitions, sign convention, period basis, scenario mechanics, and every breakpoint before relying on the output.</x:v>
      </x:c>
      <x:c r="U34" s="46" t="str">
        <x:v>Review row definitions, sign convention, period basis, scenario mechanics, and every breakpoint before relying on the output.</x:v>
      </x:c>
      <x:c r="V34" s="46" t="str">
        <x:v>Review row definitions, sign convention, period basis, scenario mechanics, and every breakpoint before relying on the output.</x:v>
      </x:c>
      <x:c r="W34" s="46" t="str">
        <x:v>Review row definitions, sign convention, period basis, scenario mechanics, and every breakpoint before relying on the output.</x:v>
      </x:c>
      <x:c r="X34" s="46" t="str">
        <x:v>Review row definitions, sign convention, period basis, scenario mechanics, and every breakpoint before relying on the output.</x:v>
      </x:c>
      <x:c r="Y34" s="47" t="str">
        <x:v>Review row definitions, sign convention, period basis, scenario mechanics, and every breakpoint before relying on the output.</x:v>
      </x:c>
    </x:row>
    <x:row r="35">
      <x:c r="A35" s="48" t="str">
        <x:v>Review row definitions, sign convention, period basis, scenario mechanics, and every breakpoint before relying on the output.</x:v>
      </x:c>
      <x:c r="B35" s="49" t="str">
        <x:v>Review row definitions, sign convention, period basis, scenario mechanics, and every breakpoint before relying on the output.</x:v>
      </x:c>
      <x:c r="C35" s="49" t="str">
        <x:v>Review row definitions, sign convention, period basis, scenario mechanics, and every breakpoint before relying on the output.</x:v>
      </x:c>
      <x:c r="D35" s="49" t="str">
        <x:v>Review row definitions, sign convention, period basis, scenario mechanics, and every breakpoint before relying on the output.</x:v>
      </x:c>
      <x:c r="E35" s="49" t="str">
        <x:v>Review row definitions, sign convention, period basis, scenario mechanics, and every breakpoint before relying on the output.</x:v>
      </x:c>
      <x:c r="F35" s="49" t="str">
        <x:v>Review row definitions, sign convention, period basis, scenario mechanics, and every breakpoint before relying on the output.</x:v>
      </x:c>
      <x:c r="G35" s="49" t="str">
        <x:v>Review row definitions, sign convention, period basis, scenario mechanics, and every breakpoint before relying on the output.</x:v>
      </x:c>
      <x:c r="H35" s="49" t="str">
        <x:v>Review row definitions, sign convention, period basis, scenario mechanics, and every breakpoint before relying on the output.</x:v>
      </x:c>
      <x:c r="I35" s="49" t="str">
        <x:v>Review row definitions, sign convention, period basis, scenario mechanics, and every breakpoint before relying on the output.</x:v>
      </x:c>
      <x:c r="J35" s="49" t="str">
        <x:v>Review row definitions, sign convention, period basis, scenario mechanics, and every breakpoint before relying on the output.</x:v>
      </x:c>
      <x:c r="K35" s="49" t="str">
        <x:v>Review row definitions, sign convention, period basis, scenario mechanics, and every breakpoint before relying on the output.</x:v>
      </x:c>
      <x:c r="L35" s="49" t="str">
        <x:v>Review row definitions, sign convention, period basis, scenario mechanics, and every breakpoint before relying on the output.</x:v>
      </x:c>
      <x:c r="M35" s="49" t="str">
        <x:v>Review row definitions, sign convention, period basis, scenario mechanics, and every breakpoint before relying on the output.</x:v>
      </x:c>
      <x:c r="N35" s="49" t="str">
        <x:v>Review row definitions, sign convention, period basis, scenario mechanics, and every breakpoint before relying on the output.</x:v>
      </x:c>
      <x:c r="O35" s="49" t="str">
        <x:v>Review row definitions, sign convention, period basis, scenario mechanics, and every breakpoint before relying on the output.</x:v>
      </x:c>
      <x:c r="P35" s="49" t="str">
        <x:v>Review row definitions, sign convention, period basis, scenario mechanics, and every breakpoint before relying on the output.</x:v>
      </x:c>
      <x:c r="Q35" s="49" t="str">
        <x:v>Review row definitions, sign convention, period basis, scenario mechanics, and every breakpoint before relying on the output.</x:v>
      </x:c>
      <x:c r="R35" s="49" t="str">
        <x:v>Review row definitions, sign convention, period basis, scenario mechanics, and every breakpoint before relying on the output.</x:v>
      </x:c>
      <x:c r="S35" s="49" t="str">
        <x:v>Review row definitions, sign convention, period basis, scenario mechanics, and every breakpoint before relying on the output.</x:v>
      </x:c>
      <x:c r="T35" s="49" t="str">
        <x:v>Review row definitions, sign convention, period basis, scenario mechanics, and every breakpoint before relying on the output.</x:v>
      </x:c>
      <x:c r="U35" s="49" t="str">
        <x:v>Review row definitions, sign convention, period basis, scenario mechanics, and every breakpoint before relying on the output.</x:v>
      </x:c>
      <x:c r="V35" s="49" t="str">
        <x:v>Review row definitions, sign convention, period basis, scenario mechanics, and every breakpoint before relying on the output.</x:v>
      </x:c>
      <x:c r="W35" s="49" t="str">
        <x:v>Review row definitions, sign convention, period basis, scenario mechanics, and every breakpoint before relying on the output.</x:v>
      </x:c>
      <x:c r="X35" s="49" t="str">
        <x:v>Review row definitions, sign convention, period basis, scenario mechanics, and every breakpoint before relying on the output.</x:v>
      </x:c>
      <x:c r="Y35" s="50" t="str">
        <x:v>Review row definitions, sign convention, period basis, scenario mechanics, and every breakpoint before relying on the output.</x:v>
      </x:c>
    </x:row>
    <x:row r="37">
      <x:c r="A37" s="53" t="str">
        <x:v>TDAT Model Library  |  Trust builds the brand. Insight builds the decision.</x:v>
      </x:c>
      <x:c r="B37" s="53" t="str">
        <x:v>TDAT Model Library  |  Trust builds the brand. Insight builds the decision.</x:v>
      </x:c>
      <x:c r="C37" s="53" t="str">
        <x:v>TDAT Model Library  |  Trust builds the brand. Insight builds the decision.</x:v>
      </x:c>
      <x:c r="D37" s="53" t="str">
        <x:v>TDAT Model Library  |  Trust builds the brand. Insight builds the decision.</x:v>
      </x:c>
      <x:c r="E37" s="53" t="str">
        <x:v>TDAT Model Library  |  Trust builds the brand. Insight builds the decision.</x:v>
      </x:c>
      <x:c r="F37" s="53" t="str">
        <x:v>TDAT Model Library  |  Trust builds the brand. Insight builds the decision.</x:v>
      </x:c>
      <x:c r="G37" s="53" t="str">
        <x:v>TDAT Model Library  |  Trust builds the brand. Insight builds the decision.</x:v>
      </x:c>
      <x:c r="H37" s="53" t="str">
        <x:v>TDAT Model Library  |  Trust builds the brand. Insight builds the decision.</x:v>
      </x:c>
      <x:c r="I37" s="53" t="str">
        <x:v>TDAT Model Library  |  Trust builds the brand. Insight builds the decision.</x:v>
      </x:c>
      <x:c r="J37" s="53" t="str">
        <x:v>TDAT Model Library  |  Trust builds the brand. Insight builds the decision.</x:v>
      </x:c>
      <x:c r="K37" s="53" t="str">
        <x:v>TDAT Model Library  |  Trust builds the brand. Insight builds the decision.</x:v>
      </x:c>
      <x:c r="L37" s="53" t="str">
        <x:v>TDAT Model Library  |  Trust builds the brand. Insight builds the decision.</x:v>
      </x:c>
      <x:c r="M37" s="53" t="str">
        <x:v>TDAT Model Library  |  Trust builds the brand. Insight builds the decision.</x:v>
      </x:c>
      <x:c r="N37" s="53" t="str">
        <x:v>TDAT Model Library  |  Trust builds the brand. Insight builds the decision.</x:v>
      </x:c>
      <x:c r="O37" s="53" t="str">
        <x:v>TDAT Model Library  |  Trust builds the brand. Insight builds the decision.</x:v>
      </x:c>
      <x:c r="P37" s="53" t="str">
        <x:v>TDAT Model Library  |  Trust builds the brand. Insight builds the decision.</x:v>
      </x:c>
      <x:c r="Q37" s="53" t="str">
        <x:v>TDAT Model Library  |  Trust builds the brand. Insight builds the decision.</x:v>
      </x:c>
      <x:c r="R37" s="53" t="str">
        <x:v>TDAT Model Library  |  Trust builds the brand. Insight builds the decision.</x:v>
      </x:c>
      <x:c r="S37" s="53" t="str">
        <x:v>TDAT Model Library  |  Trust builds the brand. Insight builds the decision.</x:v>
      </x:c>
      <x:c r="T37" s="53" t="str">
        <x:v>TDAT Model Library  |  Trust builds the brand. Insight builds the decision.</x:v>
      </x:c>
      <x:c r="U37" s="53" t="str">
        <x:v>TDAT Model Library  |  Trust builds the brand. Insight builds the decision.</x:v>
      </x:c>
      <x:c r="V37" s="53" t="str">
        <x:v>TDAT Model Library  |  Trust builds the brand. Insight builds the decision.</x:v>
      </x:c>
      <x:c r="W37" s="53" t="str">
        <x:v>TDAT Model Library  |  Trust builds the brand. Insight builds the decision.</x:v>
      </x:c>
      <x:c r="X37" s="53" t="str">
        <x:v>TDAT Model Library  |  Trust builds the brand. Insight builds the decision.</x:v>
      </x:c>
      <x:c r="Y37" s="53" t="str">
        <x:v>TDAT Model Library  |  Trust builds the brand. Insight builds the decision.</x:v>
      </x:c>
    </x:row>
  </x:sheetData>
  <x:mergeCells>
    <x:mergeCell ref="A1:Y1"/>
    <x:mergeCell ref="A2:Y2"/>
    <x:mergeCell ref="A33:Y35"/>
    <x:mergeCell ref="A37:Y3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SCENARIOS &amp; SENSITIVITY</x:v>
      </x:c>
      <x:c r="B1" s="3" t="str">
        <x:v>SCENARIOS &amp; SENSITIVITY</x:v>
      </x:c>
      <x:c r="C1" s="3" t="str">
        <x:v>SCENARIOS &amp; SENSITIVITY</x:v>
      </x:c>
      <x:c r="D1" s="3" t="str">
        <x:v>SCENARIOS &amp; SENSITIVITY</x:v>
      </x:c>
      <x:c r="E1" s="3" t="str">
        <x:v>SCENARIOS &amp; SENSITIVITY</x:v>
      </x:c>
      <x:c r="F1" s="3" t="str">
        <x:v>SCENARIOS &amp; SENSITIVITY</x:v>
      </x:c>
      <x:c r="G1" s="3" t="str">
        <x:v>SCENARIOS &amp; SENSITIVITY</x:v>
      </x:c>
      <x:c r="H1" s="3" t="str">
        <x:v>SCENARIOS &amp; SENSITIVITY</x:v>
      </x:c>
      <x:c r="I1" s="3" t="str">
        <x:v>SCENARIOS &amp; SENSITIVITY</x:v>
      </x:c>
      <x:c r="J1" s="3" t="str">
        <x:v>SCENARIOS &amp; SENSITIVITY</x:v>
      </x:c>
    </x:row>
    <x:row r="2" ht="24" customHeight="1">
      <x:c r="A2" s="6" t="str">
        <x:v>SaaS Unit Economics  |  Formula-backed decision range</x:v>
      </x:c>
      <x:c r="B2" s="6" t="str">
        <x:v>SaaS Unit Economics  |  Formula-backed decision range</x:v>
      </x:c>
      <x:c r="C2" s="6" t="str">
        <x:v>SaaS Unit Economics  |  Formula-backed decision range</x:v>
      </x:c>
      <x:c r="D2" s="6" t="str">
        <x:v>SaaS Unit Economics  |  Formula-backed decision range</x:v>
      </x:c>
      <x:c r="E2" s="6" t="str">
        <x:v>SaaS Unit Economics  |  Formula-backed decision range</x:v>
      </x:c>
      <x:c r="F2" s="6" t="str">
        <x:v>SaaS Unit Economics  |  Formula-backed decision range</x:v>
      </x:c>
      <x:c r="G2" s="6" t="str">
        <x:v>SaaS Unit Economics  |  Formula-backed decision range</x:v>
      </x:c>
      <x:c r="H2" s="6" t="str">
        <x:v>SaaS Unit Economics  |  Formula-backed decision range</x:v>
      </x:c>
      <x:c r="I2" s="6" t="str">
        <x:v>SaaS Unit Economics  |  Formula-backed decision range</x:v>
      </x:c>
      <x:c r="J2" s="6" t="str">
        <x:v>SaaS Unit Economics  |  Formula-backed decision range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152" t="str">
        <x:v>LTV / CAC — Monthly churn by CAC</x:v>
      </x:c>
      <x:c r="B5" s="152" t="str">
        <x:v>LTV / CAC — Monthly churn by CAC</x:v>
      </x:c>
      <x:c r="C5" s="152" t="str">
        <x:v>LTV / CAC — Monthly churn by CAC</x:v>
      </x:c>
      <x:c r="D5" s="152" t="str">
        <x:v>LTV / CAC — Monthly churn by CAC</x:v>
      </x:c>
      <x:c r="E5" s="152" t="str">
        <x:v>LTV / CAC — Monthly churn by CAC</x:v>
      </x:c>
      <x:c r="F5" s="152" t="str">
        <x:v>LTV / CAC — Monthly churn by CAC</x:v>
      </x:c>
      <x:c r="G5" s="152" t="str">
        <x:v>LTV / CAC — Monthly churn by CAC</x:v>
      </x:c>
      <x:c r="H5" s="152" t="str">
        <x:v>LTV / CAC — Monthly churn by CAC</x:v>
      </x:c>
      <x:c r="I5" s="152" t="str">
        <x:v>LTV / CAC — Monthly churn by CAC</x:v>
      </x:c>
      <x:c r="J5" s="152" t="str">
        <x:v>LTV / CAC — Monthly churn by CAC</x:v>
      </x:c>
    </x:row>
    <x:row r="6">
      <x:c r="A6" t="str">
        <x:v>Monthly churn</x:v>
      </x:c>
      <x:c r="B6" t="str">
        <x:v>CAC</x:v>
      </x:c>
    </x:row>
    <x:row r="7">
      <x:c r="B7" s="76" t="n">
        <x:v>1</x:v>
      </x:c>
      <x:c r="C7" s="76" t="n">
        <x:v>1.5</x:v>
      </x:c>
      <x:c r="D7" s="76" t="n">
        <x:v>2</x:v>
      </x:c>
      <x:c r="E7" s="76" t="n">
        <x:v>2.5</x:v>
      </x:c>
      <x:c r="F7" s="76" t="n">
        <x:v>3</x:v>
      </x:c>
    </x:row>
    <x:row r="8">
      <x:c r="A8" s="80" t="n">
        <x:v>0.01</x:v>
      </x:c>
      <x:c r="B8" s="156" t="n">
        <x:f>IF($A8=0,0,('Monthly Drivers'!Y$7*'Assumptions'!$F$10/$A8)/B$7)</x:f>
        <x:v>111.53999999999999</x:v>
      </x:c>
      <x:c r="C8" s="156" t="n">
        <x:f>IF($A8=0,0,('Monthly Drivers'!Y$7*'Assumptions'!$F$10/$A8)/C$7)</x:f>
        <x:v>74.36</x:v>
      </x:c>
      <x:c r="D8" s="156" t="n">
        <x:f>IF($A8=0,0,('Monthly Drivers'!Y$7*'Assumptions'!$F$10/$A8)/D$7)</x:f>
        <x:v>55.769999999999996</x:v>
      </x:c>
      <x:c r="E8" s="156" t="n">
        <x:f>IF($A8=0,0,('Monthly Drivers'!Y$7*'Assumptions'!$F$10/$A8)/E$7)</x:f>
        <x:v>44.616</x:v>
      </x:c>
      <x:c r="F8" s="156" t="n">
        <x:f>IF($A8=0,0,('Monthly Drivers'!Y$7*'Assumptions'!$F$10/$A8)/F$7)</x:f>
        <x:v>37.18</x:v>
      </x:c>
    </x:row>
    <x:row r="9">
      <x:c r="A9" s="80" t="n">
        <x:v>0.02</x:v>
      </x:c>
      <x:c r="B9" s="156" t="n">
        <x:f>IF($A9=0,0,('Monthly Drivers'!Y$7*'Assumptions'!$F$10/$A9)/B$7)</x:f>
        <x:v>55.769999999999996</x:v>
      </x:c>
      <x:c r="C9" s="156" t="n">
        <x:f>IF($A9=0,0,('Monthly Drivers'!Y$7*'Assumptions'!$F$10/$A9)/C$7)</x:f>
        <x:v>37.18</x:v>
      </x:c>
      <x:c r="D9" s="156" t="n">
        <x:f>IF($A9=0,0,('Monthly Drivers'!Y$7*'Assumptions'!$F$10/$A9)/D$7)</x:f>
        <x:v>27.884999999999998</x:v>
      </x:c>
      <x:c r="E9" s="156" t="n">
        <x:f>IF($A9=0,0,('Monthly Drivers'!Y$7*'Assumptions'!$F$10/$A9)/E$7)</x:f>
        <x:v>22.308</x:v>
      </x:c>
      <x:c r="F9" s="156" t="n">
        <x:f>IF($A9=0,0,('Monthly Drivers'!Y$7*'Assumptions'!$F$10/$A9)/F$7)</x:f>
        <x:v>18.59</x:v>
      </x:c>
    </x:row>
    <x:row r="10">
      <x:c r="A10" s="80" t="n">
        <x:v>0.03</x:v>
      </x:c>
      <x:c r="B10" s="156" t="n">
        <x:f>IF($A10=0,0,('Monthly Drivers'!Y$7*'Assumptions'!$F$10/$A10)/B$7)</x:f>
        <x:v>37.18</x:v>
      </x:c>
      <x:c r="C10" s="156" t="n">
        <x:f>IF($A10=0,0,('Monthly Drivers'!Y$7*'Assumptions'!$F$10/$A10)/C$7)</x:f>
        <x:v>24.786666666666665</x:v>
      </x:c>
      <x:c r="D10" s="156" t="n">
        <x:f>IF($A10=0,0,('Monthly Drivers'!Y$7*'Assumptions'!$F$10/$A10)/D$7)</x:f>
        <x:v>18.59</x:v>
      </x:c>
      <x:c r="E10" s="156" t="n">
        <x:f>IF($A10=0,0,('Monthly Drivers'!Y$7*'Assumptions'!$F$10/$A10)/E$7)</x:f>
        <x:v>14.872</x:v>
      </x:c>
      <x:c r="F10" s="156" t="n">
        <x:f>IF($A10=0,0,('Monthly Drivers'!Y$7*'Assumptions'!$F$10/$A10)/F$7)</x:f>
        <x:v>12.393333333333333</x:v>
      </x:c>
    </x:row>
    <x:row r="11">
      <x:c r="A11" s="80" t="n">
        <x:v>0.04</x:v>
      </x:c>
      <x:c r="B11" s="156" t="n">
        <x:f>IF($A11=0,0,('Monthly Drivers'!Y$7*'Assumptions'!$F$10/$A11)/B$7)</x:f>
        <x:v>27.884999999999998</x:v>
      </x:c>
      <x:c r="C11" s="156" t="n">
        <x:f>IF($A11=0,0,('Monthly Drivers'!Y$7*'Assumptions'!$F$10/$A11)/C$7)</x:f>
        <x:v>18.59</x:v>
      </x:c>
      <x:c r="D11" s="156" t="n">
        <x:f>IF($A11=0,0,('Monthly Drivers'!Y$7*'Assumptions'!$F$10/$A11)/D$7)</x:f>
        <x:v>13.942499999999999</x:v>
      </x:c>
      <x:c r="E11" s="156" t="n">
        <x:f>IF($A11=0,0,('Monthly Drivers'!Y$7*'Assumptions'!$F$10/$A11)/E$7)</x:f>
        <x:v>11.154</x:v>
      </x:c>
      <x:c r="F11" s="156" t="n">
        <x:f>IF($A11=0,0,('Monthly Drivers'!Y$7*'Assumptions'!$F$10/$A11)/F$7)</x:f>
        <x:v>9.295</x:v>
      </x:c>
    </x:row>
    <x:row r="12">
      <x:c r="A12" s="80" t="n">
        <x:v>0.05</x:v>
      </x:c>
      <x:c r="B12" s="156" t="n">
        <x:f>IF($A12=0,0,('Monthly Drivers'!Y$7*'Assumptions'!$F$10/$A12)/B$7)</x:f>
        <x:v>22.307999999999996</x:v>
      </x:c>
      <x:c r="C12" s="156" t="n">
        <x:f>IF($A12=0,0,('Monthly Drivers'!Y$7*'Assumptions'!$F$10/$A12)/C$7)</x:f>
        <x:v>14.871999999999998</x:v>
      </x:c>
      <x:c r="D12" s="156" t="n">
        <x:f>IF($A12=0,0,('Monthly Drivers'!Y$7*'Assumptions'!$F$10/$A12)/D$7)</x:f>
        <x:v>11.153999999999998</x:v>
      </x:c>
      <x:c r="E12" s="156" t="n">
        <x:f>IF($A12=0,0,('Monthly Drivers'!Y$7*'Assumptions'!$F$10/$A12)/E$7)</x:f>
        <x:v>8.923199999999998</x:v>
      </x:c>
      <x:c r="F12" s="156" t="n">
        <x:f>IF($A12=0,0,('Monthly Drivers'!Y$7*'Assumptions'!$F$10/$A12)/F$7)</x:f>
        <x:v>7.435999999999999</x:v>
      </x:c>
    </x:row>
    <x:row r="16" ht="22" customHeight="1">
      <x:c r="A16" s="9" t="str">
        <x:v>SCENARIO OUTPUTS</x:v>
      </x:c>
      <x:c r="B16" s="9" t="str">
        <x:v>SCENARIO OUTPUTS</x:v>
      </x:c>
      <x:c r="C16" s="9" t="str">
        <x:v>SCENARIO OUTPUTS</x:v>
      </x:c>
      <x:c r="D16" s="9" t="str">
        <x:v>SCENARIO OUTPUTS</x:v>
      </x:c>
      <x:c r="E16" s="9" t="str">
        <x:v>SCENARIO OUTPUTS</x:v>
      </x:c>
      <x:c r="F16" s="9" t="str">
        <x:v>SCENARIO OUTPUTS</x:v>
      </x:c>
      <x:c r="G16" s="9" t="str">
        <x:v>SCENARIO OUTPUTS</x:v>
      </x:c>
      <x:c r="H16" s="9" t="str">
        <x:v>SCENARIO OUTPUTS</x:v>
      </x:c>
      <x:c r="I16" s="9" t="str">
        <x:v>SCENARIO OUTPUTS</x:v>
      </x:c>
      <x:c r="J16" s="9" t="str">
        <x:v>SCENARIO OUTPUTS</x:v>
      </x:c>
    </x:row>
    <x:row r="17" ht="24" customHeight="1">
      <x:c r="A17" s="66" t="str">
        <x:v>Case</x:v>
      </x:c>
      <x:c r="B17" s="67" t="str">
        <x:v>Narrative</x:v>
      </x:c>
      <x:c r="C17" s="67" t="str">
        <x:v>Selected driver set</x:v>
      </x:c>
      <x:c r="D17" s="68" t="str">
        <x:v>Review question</x:v>
      </x:c>
    </x:row>
    <x:row r="18">
      <x:c r="A18" s="166" t="str">
        <x:v>Base</x:v>
      </x:c>
      <x:c r="B18" s="167" t="str">
        <x:v>Most likely operating and finance assumptions.</x:v>
      </x:c>
      <x:c r="C18" s="167" t="str">
        <x:v>Base</x:v>
      </x:c>
      <x:c r="D18" s="168" t="str">
        <x:v>What must be true for the base case to hold?</x:v>
      </x:c>
    </x:row>
    <x:row r="19">
      <x:c r="A19" s="169" t="str">
        <x:v>Upside</x:v>
      </x:c>
      <x:c r="B19" s="170" t="str">
        <x:v>Stronger performance, faster conversion, or lower risk/cost.</x:v>
      </x:c>
      <x:c r="C19" s="170" t="str">
        <x:v>Upside</x:v>
      </x:c>
      <x:c r="D19" s="171" t="str">
        <x:v>Which actions unlock the upside?</x:v>
      </x:c>
    </x:row>
    <x:row r="20">
      <x:c r="A20" s="172" t="str">
        <x:v>Downside</x:v>
      </x:c>
      <x:c r="B20" s="173" t="str">
        <x:v>Slower activity, weaker conversion, or higher risk/cost.</x:v>
      </x:c>
      <x:c r="C20" s="173" t="str">
        <x:v>Downside</x:v>
      </x:c>
      <x:c r="D20" s="174" t="str">
        <x:v>What breaks first and who acts?</x:v>
      </x:c>
    </x:row>
    <x:row r="22">
      <x:c r="A22" s="42" t="str">
        <x:v>Sensitivity outputs are analytical ranges, not forecasts or guarantees. Recheck directionality, boundaries, source quality, and the business narrative behind each driver before decision use.</x:v>
      </x:c>
      <x:c r="B22" s="43" t="str">
        <x:v>Sensitivity outputs are analytical ranges, not forecasts or guarantees. Recheck directionality, boundaries, source quality, and the business narrative behind each driver before decision use.</x:v>
      </x:c>
      <x:c r="C22" s="43" t="str">
        <x:v>Sensitivity outputs are analytical ranges, not forecasts or guarantees. Recheck directionality, boundaries, source quality, and the business narrative behind each driver before decision use.</x:v>
      </x:c>
      <x:c r="D22" s="43" t="str">
        <x:v>Sensitivity outputs are analytical ranges, not forecasts or guarantees. Recheck directionality, boundaries, source quality, and the business narrative behind each driver before decision use.</x:v>
      </x:c>
      <x:c r="E22" s="43" t="str">
        <x:v>Sensitivity outputs are analytical ranges, not forecasts or guarantees. Recheck directionality, boundaries, source quality, and the business narrative behind each driver before decision use.</x:v>
      </x:c>
      <x:c r="F22" s="43" t="str">
        <x:v>Sensitivity outputs are analytical ranges, not forecasts or guarantees. Recheck directionality, boundaries, source quality, and the business narrative behind each driver before decision use.</x:v>
      </x:c>
      <x:c r="G22" s="43" t="str">
        <x:v>Sensitivity outputs are analytical ranges, not forecasts or guarantees. Recheck directionality, boundaries, source quality, and the business narrative behind each driver before decision use.</x:v>
      </x:c>
      <x:c r="H22" s="43" t="str">
        <x:v>Sensitivity outputs are analytical ranges, not forecasts or guarantees. Recheck directionality, boundaries, source quality, and the business narrative behind each driver before decision use.</x:v>
      </x:c>
      <x:c r="I22" s="43" t="str">
        <x:v>Sensitivity outputs are analytical ranges, not forecasts or guarantees. Recheck directionality, boundaries, source quality, and the business narrative behind each driver before decision use.</x:v>
      </x:c>
      <x:c r="J22" s="44" t="str">
        <x:v>Sensitivity outputs are analytical ranges, not forecasts or guarantees. Recheck directionality, boundaries, source quality, and the business narrative behind each driver before decision use.</x:v>
      </x:c>
    </x:row>
    <x:row r="23">
      <x:c r="A23" s="45" t="str">
        <x:v>Sensitivity outputs are analytical ranges, not forecasts or guarantees. Recheck directionality, boundaries, source quality, and the business narrative behind each driver before decision use.</x:v>
      </x:c>
      <x:c r="B23" s="46" t="str">
        <x:v>Sensitivity outputs are analytical ranges, not forecasts or guarantees. Recheck directionality, boundaries, source quality, and the business narrative behind each driver before decision use.</x:v>
      </x:c>
      <x:c r="C23" s="46" t="str">
        <x:v>Sensitivity outputs are analytical ranges, not forecasts or guarantees. Recheck directionality, boundaries, source quality, and the business narrative behind each driver before decision use.</x:v>
      </x:c>
      <x:c r="D23" s="46" t="str">
        <x:v>Sensitivity outputs are analytical ranges, not forecasts or guarantees. Recheck directionality, boundaries, source quality, and the business narrative behind each driver before decision use.</x:v>
      </x:c>
      <x:c r="E23" s="46" t="str">
        <x:v>Sensitivity outputs are analytical ranges, not forecasts or guarantees. Recheck directionality, boundaries, source quality, and the business narrative behind each driver before decision use.</x:v>
      </x:c>
      <x:c r="F23" s="46" t="str">
        <x:v>Sensitivity outputs are analytical ranges, not forecasts or guarantees. Recheck directionality, boundaries, source quality, and the business narrative behind each driver before decision use.</x:v>
      </x:c>
      <x:c r="G23" s="46" t="str">
        <x:v>Sensitivity outputs are analytical ranges, not forecasts or guarantees. Recheck directionality, boundaries, source quality, and the business narrative behind each driver before decision use.</x:v>
      </x:c>
      <x:c r="H23" s="46" t="str">
        <x:v>Sensitivity outputs are analytical ranges, not forecasts or guarantees. Recheck directionality, boundaries, source quality, and the business narrative behind each driver before decision use.</x:v>
      </x:c>
      <x:c r="I23" s="46" t="str">
        <x:v>Sensitivity outputs are analytical ranges, not forecasts or guarantees. Recheck directionality, boundaries, source quality, and the business narrative behind each driver before decision use.</x:v>
      </x:c>
      <x:c r="J23" s="47" t="str">
        <x:v>Sensitivity outputs are analytical ranges, not forecasts or guarantees. Recheck directionality, boundaries, source quality, and the business narrative behind each driver before decision use.</x:v>
      </x:c>
    </x:row>
    <x:row r="24">
      <x:c r="A24" s="48" t="str">
        <x:v>Sensitivity outputs are analytical ranges, not forecasts or guarantees. Recheck directionality, boundaries, source quality, and the business narrative behind each driver before decision use.</x:v>
      </x:c>
      <x:c r="B24" s="49" t="str">
        <x:v>Sensitivity outputs are analytical ranges, not forecasts or guarantees. Recheck directionality, boundaries, source quality, and the business narrative behind each driver before decision use.</x:v>
      </x:c>
      <x:c r="C24" s="49" t="str">
        <x:v>Sensitivity outputs are analytical ranges, not forecasts or guarantees. Recheck directionality, boundaries, source quality, and the business narrative behind each driver before decision use.</x:v>
      </x:c>
      <x:c r="D24" s="49" t="str">
        <x:v>Sensitivity outputs are analytical ranges, not forecasts or guarantees. Recheck directionality, boundaries, source quality, and the business narrative behind each driver before decision use.</x:v>
      </x:c>
      <x:c r="E24" s="49" t="str">
        <x:v>Sensitivity outputs are analytical ranges, not forecasts or guarantees. Recheck directionality, boundaries, source quality, and the business narrative behind each driver before decision use.</x:v>
      </x:c>
      <x:c r="F24" s="49" t="str">
        <x:v>Sensitivity outputs are analytical ranges, not forecasts or guarantees. Recheck directionality, boundaries, source quality, and the business narrative behind each driver before decision use.</x:v>
      </x:c>
      <x:c r="G24" s="49" t="str">
        <x:v>Sensitivity outputs are analytical ranges, not forecasts or guarantees. Recheck directionality, boundaries, source quality, and the business narrative behind each driver before decision use.</x:v>
      </x:c>
      <x:c r="H24" s="49" t="str">
        <x:v>Sensitivity outputs are analytical ranges, not forecasts or guarantees. Recheck directionality, boundaries, source quality, and the business narrative behind each driver before decision use.</x:v>
      </x:c>
      <x:c r="I24" s="49" t="str">
        <x:v>Sensitivity outputs are analytical ranges, not forecasts or guarantees. Recheck directionality, boundaries, source quality, and the business narrative behind each driver before decision use.</x:v>
      </x:c>
      <x:c r="J24" s="50" t="str">
        <x:v>Sensitivity outputs are analytical ranges, not forecasts or guarantees. Recheck directionality, boundaries, source quality, and the business narrative behind each driver before decision use.</x:v>
      </x:c>
    </x:row>
    <x:row r="26">
      <x:c r="A26" s="53" t="str">
        <x:v>TDAT Model Library  |  Trust builds the brand. Insight builds the decision.</x:v>
      </x:c>
      <x:c r="B26" s="53" t="str">
        <x:v>TDAT Model Library  |  Trust builds the brand. Insight builds the decision.</x:v>
      </x:c>
      <x:c r="C26" s="53" t="str">
        <x:v>TDAT Model Library  |  Trust builds the brand. Insight builds the decision.</x:v>
      </x:c>
      <x:c r="D26" s="53" t="str">
        <x:v>TDAT Model Library  |  Trust builds the brand. Insight builds the decision.</x:v>
      </x:c>
      <x:c r="E26" s="53" t="str">
        <x:v>TDAT Model Library  |  Trust builds the brand. Insight builds the decision.</x:v>
      </x:c>
      <x:c r="F26" s="53" t="str">
        <x:v>TDAT Model Library  |  Trust builds the brand. Insight builds the decision.</x:v>
      </x:c>
      <x:c r="G26" s="53" t="str">
        <x:v>TDAT Model Library  |  Trust builds the brand. Insight builds the decision.</x:v>
      </x:c>
      <x:c r="H26" s="53" t="str">
        <x:v>TDAT Model Library  |  Trust builds the brand. Insight builds the decision.</x:v>
      </x:c>
      <x:c r="I26" s="53" t="str">
        <x:v>TDAT Model Library  |  Trust builds the brand. Insight builds the decision.</x:v>
      </x:c>
      <x:c r="J26" s="53" t="str">
        <x:v>TDAT Model Library  |  Trust builds the brand. Insight builds the decision.</x:v>
      </x:c>
    </x:row>
  </x:sheetData>
  <x:mergeCells>
    <x:mergeCell ref="A1:J1"/>
    <x:mergeCell ref="A2:J2"/>
    <x:mergeCell ref="A5:J5"/>
    <x:mergeCell ref="A16:J16"/>
    <x:mergeCell ref="A22:J24"/>
    <x:mergeCell ref="A26:J26"/>
  </x:mergeCells>
  <x:conditionalFormatting sqref="B8:F12">
    <x:cfRule type="colorScale" priority="1">
      <x:colorScale>
        <x:cfvo type="min"/>
        <x:cfvo type="percentile" val="50"/>
        <x:cfvo type="max"/>
        <x:color rgb="FFFCE8E6"/>
        <x:color rgb="FFFFF4DB"/>
        <x:color rgb="FFE5F6F3"/>
      </x:colorScale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EXECUTIVE SUMMARY</x:v>
      </x:c>
      <x:c r="B1" s="3" t="str">
        <x:v>EXECUTIVE SUMMARY</x:v>
      </x:c>
      <x:c r="C1" s="3" t="str">
        <x:v>EXECUTIVE SUMMARY</x:v>
      </x:c>
      <x:c r="D1" s="3" t="str">
        <x:v>EXECUTIVE SUMMARY</x:v>
      </x:c>
      <x:c r="E1" s="3" t="str">
        <x:v>EXECUTIVE SUMMARY</x:v>
      </x:c>
      <x:c r="F1" s="3" t="str">
        <x:v>EXECUTIVE SUMMARY</x:v>
      </x:c>
      <x:c r="G1" s="3" t="str">
        <x:v>EXECUTIVE SUMMARY</x:v>
      </x:c>
      <x:c r="H1" s="3" t="str">
        <x:v>EXECUTIVE SUMMARY</x:v>
      </x:c>
      <x:c r="I1" s="3" t="str">
        <x:v>EXECUTIVE SUMMARY</x:v>
      </x:c>
      <x:c r="J1" s="3" t="str">
        <x:v>EXECUTIVE SUMMARY</x:v>
      </x:c>
    </x:row>
    <x:row r="2" ht="24" customHeight="1">
      <x:c r="A2" s="6" t="str">
        <x:v>SaaS Unit Economics  |  Decision outputs, trend, breakpoints, and action prompts</x:v>
      </x:c>
      <x:c r="B2" s="6" t="str">
        <x:v>SaaS Unit Economics  |  Decision outputs, trend, breakpoints, and action prompts</x:v>
      </x:c>
      <x:c r="C2" s="6" t="str">
        <x:v>SaaS Unit Economics  |  Decision outputs, trend, breakpoints, and action prompts</x:v>
      </x:c>
      <x:c r="D2" s="6" t="str">
        <x:v>SaaS Unit Economics  |  Decision outputs, trend, breakpoints, and action prompts</x:v>
      </x:c>
      <x:c r="E2" s="6" t="str">
        <x:v>SaaS Unit Economics  |  Decision outputs, trend, breakpoints, and action prompts</x:v>
      </x:c>
      <x:c r="F2" s="6" t="str">
        <x:v>SaaS Unit Economics  |  Decision outputs, trend, breakpoints, and action prompts</x:v>
      </x:c>
      <x:c r="G2" s="6" t="str">
        <x:v>SaaS Unit Economics  |  Decision outputs, trend, breakpoints, and action prompts</x:v>
      </x:c>
      <x:c r="H2" s="6" t="str">
        <x:v>SaaS Unit Economics  |  Decision outputs, trend, breakpoints, and action prompts</x:v>
      </x:c>
      <x:c r="I2" s="6" t="str">
        <x:v>SaaS Unit Economics  |  Decision outputs, trend, breakpoints, and action prompts</x:v>
      </x:c>
      <x:c r="J2" s="6" t="str">
        <x:v>SaaS Unit Economics  |  Decision outputs, trend, breakpoints, and action prompts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176" t="str">
        <x:v>ENDING ARR</x:v>
      </x:c>
      <x:c r="B5" s="176" t="str">
        <x:v>ENDING ARR</x:v>
      </x:c>
      <x:c r="C5" s="176" t="str">
        <x:v>ENDING ARR</x:v>
      </x:c>
      <x:c r="D5" s="176" t="str">
        <x:v>ENDING NRR</x:v>
      </x:c>
      <x:c r="E5" s="176" t="str">
        <x:v>ENDING NRR</x:v>
      </x:c>
      <x:c r="F5" s="176" t="str">
        <x:v>ENDING NRR</x:v>
      </x:c>
      <x:c r="G5" s="176" t="str">
        <x:v>CAC</x:v>
      </x:c>
      <x:c r="H5" s="176" t="str">
        <x:v>CAC</x:v>
      </x:c>
      <x:c r="I5" s="176" t="str">
        <x:v>CAC</x:v>
      </x:c>
      <x:c r="J5" s="192" t="str">
        <x:v>MODEL STATUS</x:v>
      </x:c>
    </x:row>
    <x:row r="6">
      <x:c r="A6" s="180" t="n">
        <x:f>'SaaS Engine'!Y$16</x:f>
        <x:v>6803.169021991715</x:v>
      </x:c>
      <x:c r="B6" s="180"/>
      <x:c r="C6" s="180"/>
      <x:c r="D6" s="186" t="n">
        <x:f>'SaaS Engine'!Y$18</x:f>
        <x:v>0.9858195023153348</x:v>
      </x:c>
      <x:c r="E6" s="186"/>
      <x:c r="F6" s="186"/>
      <x:c r="G6" s="180" t="n">
        <x:f>'SaaS Engine'!Y$19</x:f>
        <x:v>2.6758938869665516</x:v>
      </x:c>
      <x:c r="H6" s="180"/>
      <x:c r="I6" s="180"/>
      <x:c r="J6" s="196" t="str">
        <x:f>'Checks'!$B$5</x:f>
        <x:v>PASS</x:v>
      </x:c>
    </x:row>
    <x:row r="7">
      <x:c r="A7" s="180"/>
      <x:c r="B7" s="180"/>
      <x:c r="C7" s="180"/>
      <x:c r="D7" s="186"/>
      <x:c r="E7" s="186"/>
      <x:c r="F7" s="186"/>
      <x:c r="G7" s="180"/>
      <x:c r="H7" s="180"/>
      <x:c r="I7" s="180"/>
      <x:c r="J7" s="196"/>
    </x:row>
    <x:row r="9">
      <x:c r="A9" s="176" t="str">
        <x:v>LTV / CAC</x:v>
      </x:c>
      <x:c r="B9" s="176" t="str">
        <x:v>LTV / CAC</x:v>
      </x:c>
      <x:c r="C9" s="176" t="str">
        <x:v>LTV / CAC</x:v>
      </x:c>
      <x:c r="D9" s="176" t="str">
        <x:v>BURN MULTIPLE</x:v>
      </x:c>
      <x:c r="E9" s="176" t="str">
        <x:v>BURN MULTIPLE</x:v>
      </x:c>
      <x:c r="F9" s="176" t="str">
        <x:v>BURN MULTIPLE</x:v>
      </x:c>
      <x:c r="G9" s="176" t="str">
        <x:v>CLOSING CASH</x:v>
      </x:c>
      <x:c r="H9" s="176" t="str">
        <x:v>CLOSING CASH</x:v>
      </x:c>
      <x:c r="I9" s="176" t="str">
        <x:v>CLOSING CASH</x:v>
      </x:c>
      <x:c r="J9" s="192" t="str">
        <x:v>SCENARIO</x:v>
      </x:c>
    </x:row>
    <x:row r="10">
      <x:c r="A10" s="190" t="n">
        <x:f>'SaaS Engine'!Y$21</x:f>
        <x:v>16.67330689655172</x:v>
      </x:c>
      <x:c r="B10" s="190"/>
      <x:c r="C10" s="190"/>
      <x:c r="D10" s="190" t="n">
        <x:f>'SaaS Engine'!Y$30</x:f>
        <x:v>0</x:v>
      </x:c>
      <x:c r="E10" s="190"/>
      <x:c r="F10" s="190"/>
      <x:c r="G10" s="180" t="n">
        <x:f>'SaaS Engine'!Y$27</x:f>
        <x:v>5873.652609250995</x:v>
      </x:c>
      <x:c r="H10" s="180"/>
      <x:c r="I10" s="180"/>
      <x:c r="J10" s="199" t="str">
        <x:f>'Assumptions'!$B$3</x:f>
        <x:v>Base</x:v>
      </x:c>
    </x:row>
    <x:row r="11">
      <x:c r="A11" s="190"/>
      <x:c r="B11" s="190"/>
      <x:c r="C11" s="190"/>
      <x:c r="D11" s="190"/>
      <x:c r="E11" s="190"/>
      <x:c r="F11" s="190"/>
      <x:c r="G11" s="180"/>
      <x:c r="H11" s="180"/>
      <x:c r="I11" s="180"/>
      <x:c r="J11" s="199"/>
    </x:row>
    <x:row r="14" ht="22" customHeight="1">
      <x:c r="A14" s="9" t="str">
        <x:v>TREND</x:v>
      </x:c>
      <x:c r="B14" s="9" t="str">
        <x:v>TREND</x:v>
      </x:c>
      <x:c r="C14" s="9" t="str">
        <x:v>TREND</x:v>
      </x:c>
      <x:c r="D14" s="9" t="str">
        <x:v>TREND</x:v>
      </x:c>
      <x:c r="E14" s="9" t="str">
        <x:v>TREND</x:v>
      </x:c>
    </x:row>
    <x:row r="15" ht="24" customHeight="1">
      <x:c r="A15" s="66" t="str">
        <x:v>Period</x:v>
      </x:c>
      <x:c r="B15" s="67" t="str">
        <x:v>Ending ARR</x:v>
      </x:c>
      <x:c r="C15" s="68" t="str">
        <x:v>Closing cash</x:v>
      </x:c>
    </x:row>
    <x:row r="16">
      <x:c r="A16" t="str">
        <x:v>M1</x:v>
      </x:c>
      <x:c r="B16" s="201" t="n">
        <x:f>'SaaS Engine'!B$16</x:f>
        <x:v>2780.256</x:v>
      </x:c>
      <x:c r="C16" s="201" t="n">
        <x:f>'SaaS Engine'!B$27</x:f>
        <x:v>897.71664</x:v>
      </x:c>
    </x:row>
    <x:row r="17">
      <x:c r="A17" t="str">
        <x:v>M2</x:v>
      </x:c>
      <x:c r="B17" s="201" t="n">
        <x:f>'SaaS Engine'!C$16</x:f>
        <x:v>2920.2743999999993</x:v>
      </x:c>
      <x:c r="C17" s="201" t="n">
        <x:f>'SaaS Engine'!C$27</x:f>
        <x:v>1002.734476</x:v>
      </x:c>
    </x:row>
    <x:row r="18">
      <x:c r="A18" t="str">
        <x:v>M3</x:v>
      </x:c>
      <x:c r="B18" s="201" t="n">
        <x:f>'SaaS Engine'!D$16</x:f>
        <x:v>3060.061139999999</x:v>
      </x:c>
      <x:c r="C18" s="201" t="n">
        <x:f>'SaaS Engine'!D$27</x:f>
        <x:v>1115.0384500999999</x:v>
      </x:c>
    </x:row>
    <x:row r="19">
      <x:c r="A19" t="str">
        <x:v>M4</x:v>
      </x:c>
      <x:c r="B19" s="201" t="n">
        <x:f>'SaaS Engine'!E$16</x:f>
        <x:v>3199.6220114999996</x:v>
      </x:c>
      <x:c r="C19" s="201" t="n">
        <x:f>'SaaS Engine'!E$27</x:f>
        <x:v>1234.6138808474998</x:v>
      </x:c>
    </x:row>
    <x:row r="20">
      <x:c r="A20" t="str">
        <x:v>M5</x:v>
      </x:c>
      <x:c r="B20" s="201" t="n">
        <x:f>'SaaS Engine'!F$16</x:f>
        <x:v>3354.1402612125003</x:v>
      </x:c>
      <x:c r="C20" s="201" t="n">
        <x:f>'SaaS Engine'!F$27</x:f>
        <x:v>1362.4329978263122</x:v>
      </x:c>
    </x:row>
    <x:row r="21">
      <x:c r="A21" t="str">
        <x:v>M6</x:v>
      </x:c>
      <x:c r="B21" s="201" t="n">
        <x:f>'SaaS Engine'!G$16</x:f>
        <x:v>3508.1867546821877</x:v>
      </x:c>
      <x:c r="C21" s="201" t="n">
        <x:f>'SaaS Engine'!G$27</x:f>
        <x:v>1498.4651368806544</x:v>
      </x:c>
    </x:row>
    <x:row r="22">
      <x:c r="A22" t="str">
        <x:v>M7</x:v>
      </x:c>
      <x:c r="B22" s="201" t="n">
        <x:f>'SaaS Engine'!H$16</x:f>
        <x:v>3661.7732858151326</x:v>
      </x:c>
      <x:c r="C22" s="201" t="n">
        <x:f>'SaaS Engine'!H$27</x:f>
        <x:v>1642.6804004586381</x:v>
      </x:c>
    </x:row>
    <x:row r="23">
      <x:c r="A23" t="str">
        <x:v>M8</x:v>
      </x:c>
      <x:c r="B23" s="201" t="n">
        <x:f>'SaaS Engine'!I$16</x:f>
        <x:v>3814.911353669753</x:v>
      </x:c>
      <x:c r="C23" s="201" t="n">
        <x:f>'SaaS Engine'!I$27</x:f>
        <x:v>1795.0496384471721</x:v>
      </x:c>
    </x:row>
    <x:row r="24">
      <x:c r="A24" t="str">
        <x:v>M9</x:v>
      </x:c>
      <x:c r="B24" s="201" t="n">
        <x:f>'SaaS Engine'!J$16</x:f>
        <x:v>3983.27936982801</x:v>
      </x:c>
      <x:c r="C24" s="201" t="n">
        <x:f>'SaaS Engine'!J$27</x:f>
        <x:v>1956.5627974859929</x:v>
      </x:c>
    </x:row>
    <x:row r="25">
      <x:c r="A25" t="str">
        <x:v>M10</x:v>
      </x:c>
      <x:c r="B25" s="201" t="n">
        <x:f>'SaaS Engine'!K$16</x:f>
        <x:v>4150.951785582311</x:v>
      </x:c>
      <x:c r="C25" s="201" t="n">
        <x:f>'SaaS Engine'!K$27</x:f>
        <x:v>2127.174663548843</x:v>
      </x:c>
    </x:row>
    <x:row r="26">
      <x:c r="A26" t="str">
        <x:v>M11</x:v>
      </x:c>
      <x:c r="B26" s="201" t="n">
        <x:f>'SaaS Engine'!L$16</x:f>
        <x:v>4317.945990942753</x:v>
      </x:c>
      <x:c r="C26" s="201" t="n">
        <x:f>'SaaS Engine'!L$27</x:f>
        <x:v>2306.841152960122</x:v>
      </x:c>
    </x:row>
    <x:row r="27">
      <x:c r="A27" t="str">
        <x:v>M12</x:v>
      </x:c>
      <x:c r="B27" s="201" t="n">
        <x:f>'SaaS Engine'!M$16</x:f>
        <x:v>4484.278941169184</x:v>
      </x:c>
      <x:c r="C27" s="201" t="n">
        <x:f>'SaaS Engine'!M$27</x:f>
        <x:v>2795.519284136119</x:v>
      </x:c>
    </x:row>
    <x:row r="31" ht="22" customHeight="1">
      <x:c r="A31" s="9" t="str">
        <x:v>DECISION PROMPTS &amp; NEXT ACTIONS</x:v>
      </x:c>
      <x:c r="B31" s="9" t="str">
        <x:v>DECISION PROMPTS &amp; NEXT ACTIONS</x:v>
      </x:c>
      <x:c r="C31" s="9" t="str">
        <x:v>DECISION PROMPTS &amp; NEXT ACTIONS</x:v>
      </x:c>
      <x:c r="D31" s="9" t="str">
        <x:v>DECISION PROMPTS &amp; NEXT ACTIONS</x:v>
      </x:c>
      <x:c r="E31" s="9" t="str">
        <x:v>DECISION PROMPTS &amp; NEXT ACTIONS</x:v>
      </x:c>
      <x:c r="F31" s="9" t="str">
        <x:v>DECISION PROMPTS &amp; NEXT ACTIONS</x:v>
      </x:c>
      <x:c r="G31" s="9" t="str">
        <x:v>DECISION PROMPTS &amp; NEXT ACTIONS</x:v>
      </x:c>
      <x:c r="H31" s="9" t="str">
        <x:v>DECISION PROMPTS &amp; NEXT ACTIONS</x:v>
      </x:c>
      <x:c r="I31" s="9" t="str">
        <x:v>DECISION PROMPTS &amp; NEXT ACTIONS</x:v>
      </x:c>
      <x:c r="J31" s="9" t="str">
        <x:v>DECISION PROMPTS &amp; NEXT ACTIONS</x:v>
      </x:c>
    </x:row>
    <x:row r="32" ht="28" customHeight="1">
      <x:c r="A32" s="15" t="str">
        <x:v>Decision</x:v>
      </x:c>
      <x:c r="B32" s="17" t="str">
        <x:v>Is growth efficient enough when retention, CAC, LTV, burn, and payback are viewed together?</x:v>
      </x:c>
      <x:c r="C32" s="17" t="str"/>
      <x:c r="D32" s="17" t="str"/>
      <x:c r="E32" s="17" t="str"/>
      <x:c r="F32" s="17" t="str"/>
      <x:c r="G32" s="17" t="str"/>
      <x:c r="H32" s="203" t="str">
        <x:v>Decision owner</x:v>
      </x:c>
      <x:c r="I32" s="203" t="str"/>
      <x:c r="J32" s="203" t="str"/>
    </x:row>
    <x:row r="33" ht="28" customHeight="1">
      <x:c r="A33" s="15" t="str">
        <x:v>Driver</x:v>
      </x:c>
      <x:c r="B33" s="17" t="str">
        <x:v>Which assumption moves the answer most, and who owns it?</x:v>
      </x:c>
      <x:c r="C33" s="17" t="str"/>
      <x:c r="D33" s="17" t="str"/>
      <x:c r="E33" s="17" t="str"/>
      <x:c r="F33" s="17" t="str"/>
      <x:c r="G33" s="17" t="str"/>
      <x:c r="H33" s="203" t="str">
        <x:v>Finance / business owner</x:v>
      </x:c>
      <x:c r="I33" s="203" t="str"/>
      <x:c r="J33" s="203" t="str"/>
    </x:row>
    <x:row r="34" ht="28" customHeight="1">
      <x:c r="A34" s="15" t="str">
        <x:v>Downside</x:v>
      </x:c>
      <x:c r="B34" s="17" t="str">
        <x:v>What breaks first under Downside, and what action is triggered?</x:v>
      </x:c>
      <x:c r="C34" s="17" t="str"/>
      <x:c r="D34" s="17" t="str"/>
      <x:c r="E34" s="17" t="str"/>
      <x:c r="F34" s="17" t="str"/>
      <x:c r="G34" s="17" t="str"/>
      <x:c r="H34" s="203" t="str">
        <x:v>Finance leader</x:v>
      </x:c>
      <x:c r="I34" s="203" t="str"/>
      <x:c r="J34" s="203" t="str"/>
    </x:row>
    <x:row r="35" ht="28" customHeight="1">
      <x:c r="A35" s="15" t="str">
        <x:v>Source</x:v>
      </x:c>
      <x:c r="B35" s="17" t="str">
        <x:v>Are every material source, date, unit, and definition approved?</x:v>
      </x:c>
      <x:c r="C35" s="17" t="str"/>
      <x:c r="D35" s="17" t="str"/>
      <x:c r="E35" s="17" t="str"/>
      <x:c r="F35" s="17" t="str"/>
      <x:c r="G35" s="17" t="str"/>
      <x:c r="H35" s="203" t="str">
        <x:v>Model owner</x:v>
      </x:c>
      <x:c r="I35" s="203" t="str"/>
      <x:c r="J35" s="203" t="str"/>
    </x:row>
    <x:row r="36" ht="28" customHeight="1">
      <x:c r="A36" s="15" t="str">
        <x:v>Control</x:v>
      </x:c>
      <x:c r="B36" s="17" t="str">
        <x:v>Do all published checks pass after the latest input change?</x:v>
      </x:c>
      <x:c r="C36" s="17" t="str"/>
      <x:c r="D36" s="17" t="str"/>
      <x:c r="E36" s="17" t="str"/>
      <x:c r="F36" s="17" t="str"/>
      <x:c r="G36" s="17" t="str"/>
      <x:c r="H36" s="203" t="str">
        <x:v>Reviewer</x:v>
      </x:c>
      <x:c r="I36" s="203" t="str"/>
      <x:c r="J36" s="203" t="str"/>
    </x:row>
    <x:row r="37" ht="28" customHeight="1">
      <x:c r="A37" s="15" t="str">
        <x:v>Action</x:v>
      </x:c>
      <x:c r="B37" s="17" t="str">
        <x:v>What is the next action, owner, timing, and expected protection or upside?</x:v>
      </x:c>
      <x:c r="C37" s="17" t="str"/>
      <x:c r="D37" s="17" t="str"/>
      <x:c r="E37" s="17" t="str"/>
      <x:c r="F37" s="17" t="str"/>
      <x:c r="G37" s="17" t="str"/>
      <x:c r="H37" s="203" t="str">
        <x:v>Action owner</x:v>
      </x:c>
      <x:c r="I37" s="203" t="str"/>
      <x:c r="J37" s="203" t="str"/>
    </x:row>
    <x:row r="39">
      <x:c r="A39" s="42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39" s="44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0">
      <x:c r="A40" s="45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40" s="47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1">
      <x:c r="A41" s="48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41" s="50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3">
      <x:c r="A43" s="53" t="str">
        <x:v>TDAT Model Library  |  Trust builds the brand. Insight builds the decision.</x:v>
      </x:c>
      <x:c r="B43" s="53" t="str">
        <x:v>TDAT Model Library  |  Trust builds the brand. Insight builds the decision.</x:v>
      </x:c>
      <x:c r="C43" s="53" t="str">
        <x:v>TDAT Model Library  |  Trust builds the brand. Insight builds the decision.</x:v>
      </x:c>
      <x:c r="D43" s="53" t="str">
        <x:v>TDAT Model Library  |  Trust builds the brand. Insight builds the decision.</x:v>
      </x:c>
      <x:c r="E43" s="53" t="str">
        <x:v>TDAT Model Library  |  Trust builds the brand. Insight builds the decision.</x:v>
      </x:c>
      <x:c r="F43" s="53" t="str">
        <x:v>TDAT Model Library  |  Trust builds the brand. Insight builds the decision.</x:v>
      </x:c>
      <x:c r="G43" s="53" t="str">
        <x:v>TDAT Model Library  |  Trust builds the brand. Insight builds the decision.</x:v>
      </x:c>
      <x:c r="H43" s="53" t="str">
        <x:v>TDAT Model Library  |  Trust builds the brand. Insight builds the decision.</x:v>
      </x:c>
      <x:c r="I43" s="53" t="str">
        <x:v>TDAT Model Library  |  Trust builds the brand. Insight builds the decision.</x:v>
      </x:c>
      <x:c r="J43" s="53" t="str">
        <x:v>TDAT Model Library  |  Trust builds the brand. Insight builds the decision.</x:v>
      </x:c>
    </x:row>
  </x:sheetData>
  <x:mergeCells>
    <x:mergeCell ref="A1:J1"/>
    <x:mergeCell ref="A2:J2"/>
    <x:mergeCell ref="A5:C5"/>
    <x:mergeCell ref="A6:C7"/>
    <x:mergeCell ref="D5:F5"/>
    <x:mergeCell ref="D6:F7"/>
    <x:mergeCell ref="G5:I5"/>
    <x:mergeCell ref="G6:I7"/>
    <x:mergeCell ref="A9:C9"/>
    <x:mergeCell ref="A10:C11"/>
    <x:mergeCell ref="D9:F9"/>
    <x:mergeCell ref="D10:F11"/>
    <x:mergeCell ref="G9:I9"/>
    <x:mergeCell ref="G10:I11"/>
    <x:mergeCell ref="J6:J7"/>
    <x:mergeCell ref="J10:J11"/>
    <x:mergeCell ref="A14:E14"/>
    <x:mergeCell ref="A31:J31"/>
    <x:mergeCell ref="B32:G32"/>
    <x:mergeCell ref="B33:G33"/>
    <x:mergeCell ref="B34:G34"/>
    <x:mergeCell ref="B35:G35"/>
    <x:mergeCell ref="B36:G36"/>
    <x:mergeCell ref="B37:G37"/>
    <x:mergeCell ref="H32:J32"/>
    <x:mergeCell ref="H33:J33"/>
    <x:mergeCell ref="H34:J34"/>
    <x:mergeCell ref="H35:J35"/>
    <x:mergeCell ref="H36:J36"/>
    <x:mergeCell ref="H37:J37"/>
    <x:mergeCell ref="A39:J41"/>
    <x:mergeCell ref="A43:J43"/>
  </x:mergeCells>
  <x:pageMargins left="0.7" right="0.7" top="0.75" bottom="0.75" header="0.3" footer="0.3"/>
  <x:drawing xmlns:r="http://schemas.openxmlformats.org/officeDocument/2006/relationships" r:id="R9e92996b102a43be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3" hidden="0" customWidth="1"/>
    <x:col min="7" max="7" width="13" hidden="0" customWidth="1"/>
    <x:col min="8" max="8" width="30" hidden="0" customWidth="1"/>
    <x:col min="9" max="9" width="42" hidden="0" customWidth="1"/>
  </x:cols>
  <x:sheetData>
    <x:row r="1" ht="34" customHeight="1">
      <x:c r="A1" s="3" t="str">
        <x:v>MODEL CHECKS</x:v>
      </x:c>
      <x:c r="B1" s="3" t="str">
        <x:v>MODEL CHECKS</x:v>
      </x:c>
      <x:c r="C1" s="3" t="str">
        <x:v>MODEL CHECKS</x:v>
      </x:c>
      <x:c r="D1" s="3" t="str">
        <x:v>MODEL CHECKS</x:v>
      </x:c>
      <x:c r="E1" s="3" t="str">
        <x:v>MODEL CHECKS</x:v>
      </x:c>
      <x:c r="F1" s="3" t="str">
        <x:v>MODEL CHECKS</x:v>
      </x:c>
      <x:c r="G1" s="3" t="str">
        <x:v>MODEL CHECKS</x:v>
      </x:c>
      <x:c r="H1" s="3" t="str">
        <x:v>MODEL CHECKS</x:v>
      </x:c>
      <x:c r="I1" s="3" t="str">
        <x:v>MODEL CHECKS</x:v>
      </x:c>
    </x:row>
    <x:row r="2" ht="24" customHeight="1">
      <x:c r="A2" s="6" t="str">
        <x:v>SaaS Unit Economics  |  One assertion per row — investigate every FAIL</x:v>
      </x:c>
      <x:c r="B2" s="6" t="str">
        <x:v>SaaS Unit Economics  |  One assertion per row — investigate every FAIL</x:v>
      </x:c>
      <x:c r="C2" s="6" t="str">
        <x:v>SaaS Unit Economics  |  One assertion per row — investigate every FAIL</x:v>
      </x:c>
      <x:c r="D2" s="6" t="str">
        <x:v>SaaS Unit Economics  |  One assertion per row — investigate every FAIL</x:v>
      </x:c>
      <x:c r="E2" s="6" t="str">
        <x:v>SaaS Unit Economics  |  One assertion per row — investigate every FAIL</x:v>
      </x:c>
      <x:c r="F2" s="6" t="str">
        <x:v>SaaS Unit Economics  |  One assertion per row — investigate every FAIL</x:v>
      </x:c>
      <x:c r="G2" s="6" t="str">
        <x:v>SaaS Unit Economics  |  One assertion per row — investigate every FAIL</x:v>
      </x:c>
      <x:c r="H2" s="6" t="str">
        <x:v>SaaS Unit Economics  |  One assertion per row — investigate every FAIL</x:v>
      </x:c>
      <x:c r="I2" s="6" t="str">
        <x:v>SaaS Unit Economics  |  One assertion per row — investigate every FAIL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</x:row>
    <x:row r="5">
      <x:c r="A5" s="54" t="str">
        <x:v>MODEL STATUS</x:v>
      </x:c>
      <x:c r="B5" s="205" t="str">
        <x:f>IF(COUNTIF(G8:G17,"FAIL")=0,"PASS","FAIL")</x:f>
        <x:v>PASS</x:v>
      </x:c>
      <x:c r="C5" s="205"/>
      <x:c r="D5" s="207" t="str">
        <x:v>Published controls: 10. PASS means the listed calculations tie within tolerance; source and decision readiness remain separate.</x:v>
      </x:c>
      <x:c r="E5" s="207" t="str">
        <x:v>Published controls: 10. PASS means the listed calculations tie within tolerance; source and decision readiness remain separate.</x:v>
      </x:c>
      <x:c r="F5" s="207" t="str">
        <x:v>Published controls: 10. PASS means the listed calculations tie within tolerance; source and decision readiness remain separate.</x:v>
      </x:c>
      <x:c r="G5" s="207" t="str">
        <x:v>Published controls: 10. PASS means the listed calculations tie within tolerance; source and decision readiness remain separate.</x:v>
      </x:c>
      <x:c r="H5" s="207" t="str">
        <x:v>Published controls: 10. PASS means the listed calculations tie within tolerance; source and decision readiness remain separate.</x:v>
      </x:c>
      <x:c r="I5" s="207" t="str">
        <x:v>Published controls: 10. PASS means the listed calculations tie within tolerance; source and decision readiness remain separate.</x:v>
      </x:c>
    </x:row>
    <x:row r="7" ht="24" customHeight="1">
      <x:c r="A7" s="66" t="str">
        <x:v>Check</x:v>
      </x:c>
      <x:c r="B7" s="67" t="str">
        <x:v>Period</x:v>
      </x:c>
      <x:c r="C7" s="67" t="str">
        <x:v>Actual</x:v>
      </x:c>
      <x:c r="D7" s="67" t="str">
        <x:v>Expected</x:v>
      </x:c>
      <x:c r="E7" s="67" t="str">
        <x:v>Difference</x:v>
      </x:c>
      <x:c r="F7" s="67" t="str">
        <x:v>Tolerance</x:v>
      </x:c>
      <x:c r="G7" s="67" t="str">
        <x:v>Status</x:v>
      </x:c>
      <x:c r="H7" s="67" t="str">
        <x:v>Where to fix</x:v>
      </x:c>
      <x:c r="I7" s="68" t="str">
        <x:v>Notes</x:v>
      </x:c>
    </x:row>
    <x:row r="8">
      <x:c r="A8" s="216" t="str">
        <x:v>ARR equals closing MRR × 12</x:v>
      </x:c>
      <x:c r="B8" s="216" t="str">
        <x:v>Model</x:v>
      </x:c>
      <x:c r="C8" s="217" t="n">
        <x:f>SUM('SaaS Engine'!B31:Y31)</x:f>
        <x:v>0</x:v>
      </x:c>
      <x:c r="D8" s="217" t="n">
        <x:v>0</x:v>
      </x:c>
      <x:c r="E8" s="217" t="n">
        <x:f>C8-D8</x:f>
        <x:v>0</x:v>
      </x:c>
      <x:c r="F8" s="217" t="n">
        <x:v>0.01</x:v>
      </x:c>
      <x:c r="G8" s="218" t="str">
        <x:f>IF(ABS(E8)&lt;=F8,"PASS","FAIL")</x:f>
        <x:v>PASS</x:v>
      </x:c>
      <x:c r="H8" s="219" t="str">
        <x:v>SaaS Engine — ARR</x:v>
      </x:c>
      <x:c r="I8" s="219" t="str">
        <x:v>ARR must reconcile to monthly recurring revenue.</x:v>
      </x:c>
    </x:row>
    <x:row r="9">
      <x:c r="A9" s="220" t="str">
        <x:v>Closing logos are non-negative</x:v>
      </x:c>
      <x:c r="B9" s="220" t="str">
        <x:v>Model</x:v>
      </x:c>
      <x:c r="C9" s="221" t="n">
        <x:f>MAX(0,-MIN('SaaS Engine'!B9:Y9))</x:f>
        <x:v>0</x:v>
      </x:c>
      <x:c r="D9" s="221" t="n">
        <x:v>0</x:v>
      </x:c>
      <x:c r="E9" s="221" t="n">
        <x:f>C9-D9</x:f>
        <x:v>0</x:v>
      </x:c>
      <x:c r="F9" s="221" t="n">
        <x:v>0.01</x:v>
      </x:c>
      <x:c r="G9" s="222" t="str">
        <x:f>IF(ABS(E9)&lt;=F9,"PASS","FAIL")</x:f>
        <x:v>PASS</x:v>
      </x:c>
      <x:c r="H9" s="223" t="str">
        <x:v>SaaS Engine — logos</x:v>
      </x:c>
      <x:c r="I9" s="223" t="str">
        <x:v>Churn cannot reduce logos below zero.</x:v>
      </x:c>
    </x:row>
    <x:row r="10">
      <x:c r="A10" s="220" t="str">
        <x:v>GRR stays within 0%–100%</x:v>
      </x:c>
      <x:c r="B10" s="220" t="str">
        <x:v>Model</x:v>
      </x:c>
      <x:c r="C10" s="224" t="n">
        <x:f>MAX(0,-MIN('SaaS Engine'!B17:Y17))+MAX(0,MAX('SaaS Engine'!B17:Y17)-1)</x:f>
        <x:v>0</x:v>
      </x:c>
      <x:c r="D10" s="224" t="n">
        <x:v>0</x:v>
      </x:c>
      <x:c r="E10" s="224" t="n">
        <x:f>C10-D10</x:f>
        <x:v>0</x:v>
      </x:c>
      <x:c r="F10" s="224" t="n">
        <x:v>0.0001</x:v>
      </x:c>
      <x:c r="G10" s="222" t="str">
        <x:f>IF(ABS(E10)&lt;=F10,"PASS","FAIL")</x:f>
        <x:v>PASS</x:v>
      </x:c>
      <x:c r="H10" s="223" t="str">
        <x:v>SaaS Engine — GRR</x:v>
      </x:c>
      <x:c r="I10" s="223" t="str">
        <x:v>GRR excludes expansion and cannot exceed 100%.</x:v>
      </x:c>
    </x:row>
    <x:row r="11">
      <x:c r="A11" s="220" t="str">
        <x:v>CAC is non-negative</x:v>
      </x:c>
      <x:c r="B11" s="220" t="str">
        <x:v>Model</x:v>
      </x:c>
      <x:c r="C11" s="225" t="n">
        <x:f>MAX(0,-MIN('SaaS Engine'!B19:Y19))</x:f>
        <x:v>0</x:v>
      </x:c>
      <x:c r="D11" s="225" t="n">
        <x:v>0</x:v>
      </x:c>
      <x:c r="E11" s="225" t="n">
        <x:f>C11-D11</x:f>
        <x:v>0</x:v>
      </x:c>
      <x:c r="F11" s="225" t="n">
        <x:v>0.01</x:v>
      </x:c>
      <x:c r="G11" s="222" t="str">
        <x:f>IF(ABS(E11)&lt;=F11,"PASS","FAIL")</x:f>
        <x:v>PASS</x:v>
      </x:c>
      <x:c r="H11" s="223" t="str">
        <x:v>SaaS Engine — CAC</x:v>
      </x:c>
      <x:c r="I11" s="223" t="str">
        <x:v>Guard zero new-logo periods.</x:v>
      </x:c>
    </x:row>
    <x:row r="12">
      <x:c r="A12" s="220" t="str">
        <x:v>Scenario selector is valid</x:v>
      </x:c>
      <x:c r="B12" s="220" t="str">
        <x:v>Current</x:v>
      </x:c>
      <x:c r="C12" s="221" t="n">
        <x:f>COUNTIF('Assumptions'!$C$5:$E$5,'Assumptions'!$B$3)</x:f>
        <x:v>1</x:v>
      </x:c>
      <x:c r="D12" s="221" t="n">
        <x:v>1</x:v>
      </x:c>
      <x:c r="E12" s="221" t="n">
        <x:f>C12-D12</x:f>
        <x:v>0</x:v>
      </x:c>
      <x:c r="F12" s="221" t="n">
        <x:v>0</x:v>
      </x:c>
      <x:c r="G12" s="222" t="str">
        <x:f>IF(ABS(E12)&lt;=F12,"PASS","FAIL")</x:f>
        <x:v>PASS</x:v>
      </x:c>
      <x:c r="H12" s="223" t="str">
        <x:v>Assumptions B3</x:v>
      </x:c>
      <x:c r="I12" s="223" t="str">
        <x:v>Base, Upside, or Downside only.</x:v>
      </x:c>
    </x:row>
    <x:row r="13">
      <x:c r="A13" s="220" t="str">
        <x:v>Period headers are complete</x:v>
      </x:c>
      <x:c r="B13" s="220" t="str">
        <x:v>All periods</x:v>
      </x:c>
      <x:c r="C13" s="221" t="n">
        <x:f>COUNTA('Monthly Drivers'!B5:Y5)</x:f>
        <x:v>24</x:v>
      </x:c>
      <x:c r="D13" s="221" t="n">
        <x:v>24</x:v>
      </x:c>
      <x:c r="E13" s="221" t="n">
        <x:f>C13-D13</x:f>
        <x:v>0</x:v>
      </x:c>
      <x:c r="F13" s="221" t="n">
        <x:v>0</x:v>
      </x:c>
      <x:c r="G13" s="222" t="str">
        <x:f>IF(ABS(E13)&lt;=F13,"PASS","FAIL")</x:f>
        <x:v>PASS</x:v>
      </x:c>
      <x:c r="H13" s="223" t="str">
        <x:v>Monthly Drivers row 5</x:v>
      </x:c>
      <x:c r="I13" s="223" t="str">
        <x:v>All modeled periods must have a visible header.</x:v>
      </x:c>
    </x:row>
    <x:row r="14">
      <x:c r="A14" s="220" t="str">
        <x:v>Source input grid is complete</x:v>
      </x:c>
      <x:c r="B14" s="220" t="str">
        <x:v>All periods</x:v>
      </x:c>
      <x:c r="C14" s="221" t="n">
        <x:f>COUNTA('Monthly Drivers'!B6:Y12)</x:f>
        <x:v>168</x:v>
      </x:c>
      <x:c r="D14" s="221" t="n">
        <x:v>168</x:v>
      </x:c>
      <x:c r="E14" s="221" t="n">
        <x:f>C14-D14</x:f>
        <x:v>0</x:v>
      </x:c>
      <x:c r="F14" s="221" t="n">
        <x:v>0</x:v>
      </x:c>
      <x:c r="G14" s="222" t="str">
        <x:f>IF(ABS(E14)&lt;=F14,"PASS","FAIL")</x:f>
        <x:v>PASS</x:v>
      </x:c>
      <x:c r="H14" s="223" t="str">
        <x:v>Monthly Drivers</x:v>
      </x:c>
      <x:c r="I14" s="223" t="str">
        <x:v>Replace blanks with an approved value or an explicitly documented zero.</x:v>
      </x:c>
    </x:row>
    <x:row r="15">
      <x:c r="A15" s="220" t="str">
        <x:v>Selected assumptions are complete</x:v>
      </x:c>
      <x:c r="B15" s="220" t="str">
        <x:v>Current</x:v>
      </x:c>
      <x:c r="C15" s="221" t="n">
        <x:f>COUNT('Assumptions'!F6:F12)</x:f>
        <x:v>7</x:v>
      </x:c>
      <x:c r="D15" s="221" t="n">
        <x:v>7</x:v>
      </x:c>
      <x:c r="E15" s="221" t="n">
        <x:f>C15-D15</x:f>
        <x:v>0</x:v>
      </x:c>
      <x:c r="F15" s="221" t="n">
        <x:v>0</x:v>
      </x:c>
      <x:c r="G15" s="222" t="str">
        <x:f>IF(ABS(E15)&lt;=F15,"PASS","FAIL")</x:f>
        <x:v>PASS</x:v>
      </x:c>
      <x:c r="H15" s="223" t="str">
        <x:v>Assumptions column F</x:v>
      </x:c>
      <x:c r="I15" s="223" t="str">
        <x:v>Every scenario driver must resolve to a numeric selected value.</x:v>
      </x:c>
    </x:row>
    <x:row r="16">
      <x:c r="A16" s="220" t="str">
        <x:v>Core model cells calculate to numbers</x:v>
      </x:c>
      <x:c r="B16" s="220" t="str">
        <x:v>All periods</x:v>
      </x:c>
      <x:c r="C16" s="221" t="n">
        <x:f>COUNT('SaaS Engine'!B6:Y31)</x:f>
        <x:v>624</x:v>
      </x:c>
      <x:c r="D16" s="221" t="n">
        <x:v>624</x:v>
      </x:c>
      <x:c r="E16" s="221" t="n">
        <x:f>C16-D16</x:f>
        <x:v>0</x:v>
      </x:c>
      <x:c r="F16" s="221" t="n">
        <x:v>0</x:v>
      </x:c>
      <x:c r="G16" s="222" t="str">
        <x:f>IF(ABS(E16)&lt;=F16,"PASS","FAIL")</x:f>
        <x:v>PASS</x:v>
      </x:c>
      <x:c r="H16" s="223" t="str">
        <x:v>SaaS Engine</x:v>
      </x:c>
      <x:c r="I16" s="223" t="str">
        <x:v>No blank or text output is permitted inside the calculation block.</x:v>
      </x:c>
    </x:row>
    <x:row r="17">
      <x:c r="A17" s="226" t="str">
        <x:v>Headline output is non-negative</x:v>
      </x:c>
      <x:c r="B17" s="226" t="str">
        <x:v>All periods</x:v>
      </x:c>
      <x:c r="C17" s="227" t="n">
        <x:f>MAX(0,-MIN('SaaS Engine'!B16:Y16))</x:f>
        <x:v>0</x:v>
      </x:c>
      <x:c r="D17" s="227" t="n">
        <x:v>0</x:v>
      </x:c>
      <x:c r="E17" s="227" t="n">
        <x:f>C17-D17</x:f>
        <x:v>0</x:v>
      </x:c>
      <x:c r="F17" s="227" t="n">
        <x:v>0.01</x:v>
      </x:c>
      <x:c r="G17" s="228" t="str">
        <x:f>IF(ABS(E17)&lt;=F17,"PASS","FAIL")</x:f>
        <x:v>PASS</x:v>
      </x:c>
      <x:c r="H17" s="229" t="str">
        <x:v>SaaS Engine — arr</x:v>
      </x:c>
      <x:c r="I17" s="229" t="str">
        <x:v>Negative outputs require an explicit method and decision interpretation.</x:v>
      </x:c>
    </x:row>
    <x:row r="19">
      <x:c r="A19" s="42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19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19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19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19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19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19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19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19" s="44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0">
      <x:c r="A20" s="45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20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20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20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20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20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20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20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20" s="47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1">
      <x:c r="A21" s="48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21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21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21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21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21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21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21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21" s="50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3">
      <x:c r="A23" s="53" t="str">
        <x:v>TDAT Model Library  |  Trust builds the brand. Insight builds the decision.</x:v>
      </x:c>
      <x:c r="B23" s="53" t="str">
        <x:v>TDAT Model Library  |  Trust builds the brand. Insight builds the decision.</x:v>
      </x:c>
      <x:c r="C23" s="53" t="str">
        <x:v>TDAT Model Library  |  Trust builds the brand. Insight builds the decision.</x:v>
      </x:c>
      <x:c r="D23" s="53" t="str">
        <x:v>TDAT Model Library  |  Trust builds the brand. Insight builds the decision.</x:v>
      </x:c>
      <x:c r="E23" s="53" t="str">
        <x:v>TDAT Model Library  |  Trust builds the brand. Insight builds the decision.</x:v>
      </x:c>
      <x:c r="F23" s="53" t="str">
        <x:v>TDAT Model Library  |  Trust builds the brand. Insight builds the decision.</x:v>
      </x:c>
      <x:c r="G23" s="53" t="str">
        <x:v>TDAT Model Library  |  Trust builds the brand. Insight builds the decision.</x:v>
      </x:c>
      <x:c r="H23" s="53" t="str">
        <x:v>TDAT Model Library  |  Trust builds the brand. Insight builds the decision.</x:v>
      </x:c>
      <x:c r="I23" s="53" t="str">
        <x:v>TDAT Model Library  |  Trust builds the brand. Insight builds the decision.</x:v>
      </x:c>
    </x:row>
  </x:sheetData>
  <x:mergeCells>
    <x:mergeCell ref="A1:I1"/>
    <x:mergeCell ref="A2:I2"/>
    <x:mergeCell ref="B5:C5"/>
    <x:mergeCell ref="D5:I5"/>
    <x:mergeCell ref="A19:I21"/>
    <x:mergeCell ref="A23:I23"/>
  </x:mergeCells>
  <x:conditionalFormatting sqref="G8:G17">
    <x:cfRule type="containsText" dxfId="0" priority="1" operator="containsText" text="PASS"/>
    <x:cfRule type="containsText" dxfId="1" priority="2" operator="containsText" text="FAIL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8" hidden="0" customWidth="1"/>
    <x:col min="3" max="3" width="16" hidden="0" customWidth="1"/>
    <x:col min="4" max="4" width="16" hidden="0" customWidth="1"/>
    <x:col min="5" max="5" width="22" hidden="0" customWidth="1"/>
    <x:col min="6" max="6" width="28" hidden="0" customWidth="1"/>
    <x:col min="7" max="7" width="18" hidden="0" customWidth="1"/>
    <x:col min="8" max="8" width="18" hidden="0" customWidth="1"/>
    <x:col min="9" max="9" width="16" hidden="0" customWidth="1"/>
    <x:col min="10" max="10" width="30" hidden="0" customWidth="1"/>
  </x:cols>
  <x:sheetData>
    <x:row r="1" ht="34" customHeight="1">
      <x:c r="A1" s="3" t="str">
        <x:v>SOURCES &amp; VERSION</x:v>
      </x:c>
      <x:c r="B1" s="3" t="str">
        <x:v>SOURCES &amp; VERSION</x:v>
      </x:c>
      <x:c r="C1" s="3" t="str">
        <x:v>SOURCES &amp; VERSION</x:v>
      </x:c>
      <x:c r="D1" s="3" t="str">
        <x:v>SOURCES &amp; VERSION</x:v>
      </x:c>
      <x:c r="E1" s="3" t="str">
        <x:v>SOURCES &amp; VERSION</x:v>
      </x:c>
      <x:c r="F1" s="3" t="str">
        <x:v>SOURCES &amp; VERSION</x:v>
      </x:c>
      <x:c r="G1" s="3" t="str">
        <x:v>SOURCES &amp; VERSION</x:v>
      </x:c>
      <x:c r="H1" s="3" t="str">
        <x:v>SOURCES &amp; VERSION</x:v>
      </x:c>
      <x:c r="I1" s="3" t="str">
        <x:v>SOURCES &amp; VERSION</x:v>
      </x:c>
      <x:c r="J1" s="3" t="str">
        <x:v>SOURCES &amp; VERSION</x:v>
      </x:c>
    </x:row>
    <x:row r="2" ht="24" customHeight="1">
      <x:c r="A2" s="6" t="str">
        <x:v>SaaS Unit Economics  |  Assumption register, release facts, and distribution controls</x:v>
      </x:c>
      <x:c r="B2" s="6" t="str">
        <x:v>SaaS Unit Economics  |  Assumption register, release facts, and distribution controls</x:v>
      </x:c>
      <x:c r="C2" s="6" t="str">
        <x:v>SaaS Unit Economics  |  Assumption register, release facts, and distribution controls</x:v>
      </x:c>
      <x:c r="D2" s="6" t="str">
        <x:v>SaaS Unit Economics  |  Assumption register, release facts, and distribution controls</x:v>
      </x:c>
      <x:c r="E2" s="6" t="str">
        <x:v>SaaS Unit Economics  |  Assumption register, release facts, and distribution controls</x:v>
      </x:c>
      <x:c r="F2" s="6" t="str">
        <x:v>SaaS Unit Economics  |  Assumption register, release facts, and distribution controls</x:v>
      </x:c>
      <x:c r="G2" s="6" t="str">
        <x:v>SaaS Unit Economics  |  Assumption register, release facts, and distribution controls</x:v>
      </x:c>
      <x:c r="H2" s="6" t="str">
        <x:v>SaaS Unit Economics  |  Assumption register, release facts, and distribution controls</x:v>
      </x:c>
      <x:c r="I2" s="6" t="str">
        <x:v>SaaS Unit Economics  |  Assumption register, release facts, and distribution controls</x:v>
      </x:c>
      <x:c r="J2" s="6" t="str">
        <x:v>SaaS Unit Economics  |  Assumption register, release facts, and distribution controls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 ht="22" customHeight="1">
      <x:c r="A5" s="9" t="str">
        <x:v>SOURCE / ASSUMPTION REGISTER</x:v>
      </x:c>
      <x:c r="B5" s="9" t="str">
        <x:v>SOURCE / ASSUMPTION REGISTER</x:v>
      </x:c>
      <x:c r="C5" s="9" t="str">
        <x:v>SOURCE / ASSUMPTION REGISTER</x:v>
      </x:c>
      <x:c r="D5" s="9" t="str">
        <x:v>SOURCE / ASSUMPTION REGISTER</x:v>
      </x:c>
      <x:c r="E5" s="9" t="str">
        <x:v>SOURCE / ASSUMPTION REGISTER</x:v>
      </x:c>
      <x:c r="F5" s="9" t="str">
        <x:v>SOURCE / ASSUMPTION REGISTER</x:v>
      </x:c>
      <x:c r="G5" s="9" t="str">
        <x:v>SOURCE / ASSUMPTION REGISTER</x:v>
      </x:c>
      <x:c r="H5" s="9" t="str">
        <x:v>SOURCE / ASSUMPTION REGISTER</x:v>
      </x:c>
      <x:c r="I5" s="9" t="str">
        <x:v>SOURCE / ASSUMPTION REGISTER</x:v>
      </x:c>
    </x:row>
    <x:row r="6" ht="24" customHeight="1">
      <x:c r="A6" s="66" t="str">
        <x:v>Item</x:v>
      </x:c>
      <x:c r="B6" s="67" t="str">
        <x:v>Value / definition</x:v>
      </x:c>
      <x:c r="C6" s="67" t="str">
        <x:v>Units</x:v>
      </x:c>
      <x:c r="D6" s="67" t="str">
        <x:v>Period / as-of</x:v>
      </x:c>
      <x:c r="E6" s="67" t="str">
        <x:v>Source type</x:v>
      </x:c>
      <x:c r="F6" s="67" t="str">
        <x:v>Source / owner</x:v>
      </x:c>
      <x:c r="G6" s="67" t="str">
        <x:v>Ref</x:v>
      </x:c>
      <x:c r="H6" s="67" t="str">
        <x:v>Confidence</x:v>
      </x:c>
      <x:c r="I6" s="68" t="str">
        <x:v>Notes</x:v>
      </x:c>
    </x:row>
    <x:row r="7">
      <x:c r="A7" s="166" t="str">
        <x:v>Worked example</x:v>
      </x:c>
      <x:c r="B7" s="167" t="str">
        <x:v>Synthetic case values</x:v>
      </x:c>
      <x:c r="C7" s="167" t="str">
        <x:v>LCY thousands / customers</x:v>
      </x:c>
      <x:c r="D7" s="167" t="str">
        <x:v>2026-07-13</x:v>
      </x:c>
      <x:c r="E7" s="167" t="str">
        <x:v>Illustrative</x:v>
      </x:c>
      <x:c r="F7" s="167" t="str">
        <x:v>TDAT model build</x:v>
      </x:c>
      <x:c r="G7" s="167" t="str">
        <x:v>SYN-001</x:v>
      </x:c>
      <x:c r="H7" s="167" t="str">
        <x:v>Illustrative</x:v>
      </x:c>
      <x:c r="I7" s="168" t="str">
        <x:v>Replace before use.</x:v>
      </x:c>
    </x:row>
    <x:row r="8">
      <x:c r="A8" s="169" t="str">
        <x:v>Scenario drivers</x:v>
      </x:c>
      <x:c r="B8" s="170" t="str">
        <x:v>Base / Upside / Downside</x:v>
      </x:c>
      <x:c r="C8" s="170" t="str">
        <x:v>Mixed</x:v>
      </x:c>
      <x:c r="D8" s="170" t="str">
        <x:v>Model horizon</x:v>
      </x:c>
      <x:c r="E8" s="170" t="str">
        <x:v>Assumption</x:v>
      </x:c>
      <x:c r="F8" s="170" t="str">
        <x:v>User / finance owner</x:v>
      </x:c>
      <x:c r="G8" s="170" t="str">
        <x:v>ASM-001</x:v>
      </x:c>
      <x:c r="H8" s="170" t="str">
        <x:v>Open</x:v>
      </x:c>
      <x:c r="I8" s="171" t="str">
        <x:v>Confirm rationale and owner.</x:v>
      </x:c>
    </x:row>
    <x:row r="9">
      <x:c r="A9" s="172" t="str">
        <x:v>Method</x:v>
      </x:c>
      <x:c r="B9" s="173" t="str">
        <x:v>SaaS Engine</x:v>
      </x:c>
      <x:c r="C9" s="173" t="str">
        <x:v>Method</x:v>
      </x:c>
      <x:c r="D9" s="173" t="str">
        <x:v>Version 1.0.0</x:v>
      </x:c>
      <x:c r="E9" s="173" t="str">
        <x:v>Model method</x:v>
      </x:c>
      <x:c r="F9" s="173" t="str">
        <x:v>Model Guide</x:v>
      </x:c>
      <x:c r="G9" s="173" t="str">
        <x:v>MTH-001</x:v>
      </x:c>
      <x:c r="H9" s="173" t="str">
        <x:v>Template</x:v>
      </x:c>
      <x:c r="I9" s="174" t="str">
        <x:v>Validate for the intended use and jurisdiction.</x:v>
      </x:c>
    </x:row>
    <x:row r="11" ht="22" customHeight="1">
      <x:c r="A11" s="9" t="str">
        <x:v>RELEASE FACTS</x:v>
      </x:c>
      <x:c r="B11" s="9" t="str">
        <x:v>RELEASE FACTS</x:v>
      </x:c>
      <x:c r="C11" s="9" t="str">
        <x:v>RELEASE FACTS</x:v>
      </x:c>
      <x:c r="D11" s="9" t="str">
        <x:v>RELEASE FACTS</x:v>
      </x:c>
      <x:c r="E11" s="9" t="str">
        <x:v>RELEASE FACTS</x:v>
      </x:c>
      <x:c r="F11" s="9" t="str">
        <x:v>RELEASE FACTS</x:v>
      </x:c>
      <x:c r="G11" s="9" t="str">
        <x:v>RELEASE FACTS</x:v>
      </x:c>
      <x:c r="H11" s="9" t="str">
        <x:v>RELEASE FACTS</x:v>
      </x:c>
      <x:c r="I11" s="9" t="str">
        <x:v>RELEASE FACTS</x:v>
      </x:c>
    </x:row>
    <x:row r="12">
      <x:c r="A12" s="230" t="str">
        <x:v>Owner</x:v>
      </x:c>
      <x:c r="B12" s="167" t="str">
        <x:v>Truong Dinh Anh Tu</x:v>
      </x:c>
      <x:c r="C12" s="232" t="str">
        <x:v>Version</x:v>
      </x:c>
      <x:c r="D12" s="167" t="str">
        <x:v>1.0.0</x:v>
      </x:c>
      <x:c r="E12" s="232" t="str">
        <x:v>Standard</x:v>
      </x:c>
      <x:c r="F12" s="167" t="str">
        <x:v>TDAT Model Standard 1.0</x:v>
      </x:c>
      <x:c r="G12" s="232" t="str">
        <x:v>Last QA</x:v>
      </x:c>
      <x:c r="H12" s="167" t="str">
        <x:v>2026-07-13</x:v>
      </x:c>
      <x:c r="I12" s="232" t="str">
        <x:v>Status</x:v>
      </x:c>
      <x:c r="J12" s="168" t="str">
        <x:v>Available after release gates</x:v>
      </x:c>
    </x:row>
    <x:row r="13">
      <x:c r="A13" s="231" t="str">
        <x:v>Compatibility</x:v>
      </x:c>
      <x:c r="B13" s="173" t="str">
        <x:v>Excel 365</x:v>
      </x:c>
      <x:c r="C13" s="233" t="str">
        <x:v>Macros</x:v>
      </x:c>
      <x:c r="D13" s="173" t="str">
        <x:v>None</x:v>
      </x:c>
      <x:c r="E13" s="233" t="str">
        <x:v>External links</x:v>
      </x:c>
      <x:c r="F13" s="173" t="str">
        <x:v>None</x:v>
      </x:c>
      <x:c r="G13" s="233" t="str">
        <x:v>Circularity</x:v>
      </x:c>
      <x:c r="H13" s="173" t="str">
        <x:v>None</x:v>
      </x:c>
      <x:c r="I13" s="233" t="str">
        <x:v>Evidence</x:v>
      </x:c>
      <x:c r="J13" s="174" t="str">
        <x:v>Synthetic worked template</x:v>
      </x:c>
    </x:row>
    <x:row r="15" ht="22" customHeight="1">
      <x:c r="A15" s="9" t="str">
        <x:v>CHANGE LOG</x:v>
      </x:c>
      <x:c r="B15" s="9" t="str">
        <x:v>CHANGE LOG</x:v>
      </x:c>
      <x:c r="C15" s="9" t="str">
        <x:v>CHANGE LOG</x:v>
      </x:c>
      <x:c r="D15" s="9" t="str">
        <x:v>CHANGE LOG</x:v>
      </x:c>
      <x:c r="E15" s="9" t="str">
        <x:v>CHANGE LOG</x:v>
      </x:c>
      <x:c r="F15" s="9" t="str">
        <x:v>CHANGE LOG</x:v>
      </x:c>
      <x:c r="G15" s="9" t="str">
        <x:v>CHANGE LOG</x:v>
      </x:c>
      <x:c r="H15" s="9" t="str">
        <x:v>CHANGE LOG</x:v>
      </x:c>
      <x:c r="I15" s="9" t="str">
        <x:v>CHANGE LOG</x:v>
      </x:c>
    </x:row>
    <x:row r="16" ht="24" customHeight="1">
      <x:c r="A16" s="66" t="str">
        <x:v>Version</x:v>
      </x:c>
      <x:c r="B16" s="67" t="str">
        <x:v>Date</x:v>
      </x:c>
      <x:c r="C16" s="67" t="str">
        <x:v>Changed sheets</x:v>
      </x:c>
      <x:c r="D16" s="67" t="str">
        <x:v>Change</x:v>
      </x:c>
      <x:c r="E16" s="67" t="str">
        <x:v>Impact</x:v>
      </x:c>
      <x:c r="F16" s="67" t="str">
        <x:v>Migration note</x:v>
      </x:c>
      <x:c r="G16" s="67" t="str">
        <x:v>Owner</x:v>
      </x:c>
      <x:c r="H16" s="67" t="str">
        <x:v>Reviewer</x:v>
      </x:c>
      <x:c r="I16" s="68" t="str">
        <x:v>Status</x:v>
      </x:c>
    </x:row>
    <x:row r="17">
      <x:c r="A17" s="237" t="str">
        <x:v>1.0.0</x:v>
      </x:c>
      <x:c r="B17" s="238" t="str">
        <x:v>2026-07-13</x:v>
      </x:c>
      <x:c r="C17" s="238" t="str">
        <x:v>All</x:v>
      </x:c>
      <x:c r="D17" s="238" t="str">
        <x:v>Initial public reusable template</x:v>
      </x:c>
      <x:c r="E17" s="238" t="str">
        <x:v>New model release</x:v>
      </x:c>
      <x:c r="F17" s="238" t="str">
        <x:v>None</x:v>
      </x:c>
      <x:c r="G17" s="238" t="str">
        <x:v>Truong Dinh Anh Tu</x:v>
      </x:c>
      <x:c r="H17" s="238" t="str">
        <x:v>TDAT QA review</x:v>
      </x:c>
      <x:c r="I17" s="239" t="str">
        <x:v>Released</x:v>
      </x:c>
    </x:row>
    <x:row r="19" ht="22" customHeight="1">
      <x:c r="A19" s="9" t="str">
        <x:v>DISTRIBUTION &amp; PRIVACY</x:v>
      </x:c>
      <x:c r="B19" s="9" t="str">
        <x:v>DISTRIBUTION &amp; PRIVACY</x:v>
      </x:c>
      <x:c r="C19" s="9" t="str">
        <x:v>DISTRIBUTION &amp; PRIVACY</x:v>
      </x:c>
      <x:c r="D19" s="9" t="str">
        <x:v>DISTRIBUTION &amp; PRIVACY</x:v>
      </x:c>
      <x:c r="E19" s="9" t="str">
        <x:v>DISTRIBUTION &amp; PRIVACY</x:v>
      </x:c>
      <x:c r="F19" s="9" t="str">
        <x:v>DISTRIBUTION &amp; PRIVACY</x:v>
      </x:c>
      <x:c r="G19" s="9" t="str">
        <x:v>DISTRIBUTION &amp; PRIVACY</x:v>
      </x:c>
      <x:c r="H19" s="9" t="str">
        <x:v>DISTRIBUTION &amp; PRIVACY</x:v>
      </x:c>
      <x:c r="I19" s="9" t="str">
        <x:v>DISTRIBUTION &amp; PRIVACY</x:v>
      </x:c>
    </x:row>
    <x:row r="20" ht="32" customHeight="1">
      <x:c r="A20" s="21" t="str">
        <x:v>Public-safe evidence</x:v>
      </x:c>
      <x:c r="B20" s="17" t="str">
        <x:v>Synthetic company/case values only</x:v>
      </x:c>
      <x:c r="C20" s="17" t="str"/>
      <x:c r="D20" s="17" t="str"/>
      <x:c r="E20" s="17" t="str"/>
      <x:c r="F20" s="17" t="str"/>
      <x:c r="G20" s="17" t="str"/>
      <x:c r="H20" s="17" t="str"/>
      <x:c r="I20" s="17" t="str"/>
    </x:row>
    <x:row r="21" ht="32" customHeight="1">
      <x:c r="A21" s="21" t="str">
        <x:v>Excluded content</x:v>
      </x:c>
      <x:c r="B21" s="17" t="str">
        <x:v>No real customer, employee, vendor, borrower, issuer, position, policyholder, transaction, or household record</x:v>
      </x:c>
      <x:c r="C21" s="17" t="str"/>
      <x:c r="D21" s="17" t="str"/>
      <x:c r="E21" s="17" t="str"/>
      <x:c r="F21" s="17" t="str"/>
      <x:c r="G21" s="17" t="str"/>
      <x:c r="H21" s="17" t="str"/>
      <x:c r="I21" s="17" t="str"/>
    </x:row>
    <x:row r="22" ht="32" customHeight="1">
      <x:c r="A22" s="21" t="str">
        <x:v>Dependencies</x:v>
      </x:c>
      <x:c r="B22" s="17" t="str">
        <x:v>Macro-free .xlsx; no external workbooks, add-ins, live connections, or intentional circular references</x:v>
      </x:c>
      <x:c r="C22" s="17" t="str"/>
      <x:c r="D22" s="17" t="str"/>
      <x:c r="E22" s="17" t="str"/>
      <x:c r="F22" s="17" t="str"/>
      <x:c r="G22" s="17" t="str"/>
      <x:c r="H22" s="17" t="str"/>
      <x:c r="I22" s="17" t="str"/>
    </x:row>
    <x:row r="23" ht="32" customHeight="1">
      <x:c r="A23" s="21" t="str">
        <x:v>Usage</x:v>
      </x:c>
      <x:c r="B23" s="17" t="str">
        <x:v>Adapt for learning, interview cases, internal planning, or analysis. Do not resell an unchanged copy as your own product.</x:v>
      </x:c>
      <x:c r="C23" s="17" t="str"/>
      <x:c r="D23" s="17" t="str"/>
      <x:c r="E23" s="17" t="str"/>
      <x:c r="F23" s="17" t="str"/>
      <x:c r="G23" s="17" t="str"/>
      <x:c r="H23" s="17" t="str"/>
      <x:c r="I23" s="17" t="str"/>
    </x:row>
    <x:row r="24" ht="32" customHeight="1">
      <x:c r="A24" s="21" t="str">
        <x:v>Responsibility</x:v>
      </x:c>
      <x:c r="B24" s="17" t="str">
        <x:v>Validate sources, assumptions, formulas, methods, policies, and suitability before real-world use. Provided without warranty.</x:v>
      </x:c>
      <x:c r="C24" s="17" t="str"/>
      <x:c r="D24" s="17" t="str"/>
      <x:c r="E24" s="17" t="str"/>
      <x:c r="F24" s="17" t="str"/>
      <x:c r="G24" s="17" t="str"/>
      <x:c r="H24" s="17" t="str"/>
      <x:c r="I24" s="17" t="str"/>
    </x:row>
    <x:row r="26">
      <x:c r="A26" s="42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6" s="44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27">
      <x:c r="A27" s="45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7" s="47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28">
      <x:c r="A28" s="48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8" s="50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30">
      <x:c r="A30" s="53" t="str">
        <x:v>TDAT Model Library  |  Trust builds the brand. Insight builds the decision.</x:v>
      </x:c>
      <x:c r="B30" s="53" t="str">
        <x:v>TDAT Model Library  |  Trust builds the brand. Insight builds the decision.</x:v>
      </x:c>
      <x:c r="C30" s="53" t="str">
        <x:v>TDAT Model Library  |  Trust builds the brand. Insight builds the decision.</x:v>
      </x:c>
      <x:c r="D30" s="53" t="str">
        <x:v>TDAT Model Library  |  Trust builds the brand. Insight builds the decision.</x:v>
      </x:c>
      <x:c r="E30" s="53" t="str">
        <x:v>TDAT Model Library  |  Trust builds the brand. Insight builds the decision.</x:v>
      </x:c>
      <x:c r="F30" s="53" t="str">
        <x:v>TDAT Model Library  |  Trust builds the brand. Insight builds the decision.</x:v>
      </x:c>
      <x:c r="G30" s="53" t="str">
        <x:v>TDAT Model Library  |  Trust builds the brand. Insight builds the decision.</x:v>
      </x:c>
      <x:c r="H30" s="53" t="str">
        <x:v>TDAT Model Library  |  Trust builds the brand. Insight builds the decision.</x:v>
      </x:c>
      <x:c r="I30" s="53" t="str">
        <x:v>TDAT Model Library  |  Trust builds the brand. Insight builds the decision.</x:v>
      </x:c>
      <x:c r="J30" s="53" t="str">
        <x:v>TDAT Model Library  |  Trust builds the brand. Insight builds the decision.</x:v>
      </x:c>
    </x:row>
  </x:sheetData>
  <x:mergeCells>
    <x:mergeCell ref="A1:J1"/>
    <x:mergeCell ref="A2:J2"/>
    <x:mergeCell ref="A5:I5"/>
    <x:mergeCell ref="A11:I11"/>
    <x:mergeCell ref="A15:I15"/>
    <x:mergeCell ref="A19:I19"/>
    <x:mergeCell ref="B20:I20"/>
    <x:mergeCell ref="B21:I21"/>
    <x:mergeCell ref="B22:I22"/>
    <x:mergeCell ref="B23:I23"/>
    <x:mergeCell ref="B24:I24"/>
    <x:mergeCell ref="A26:I28"/>
    <x:mergeCell ref="A30:J30"/>
  </x:mergeCells>
  <x:pageMargins left="0.7" right="0.7" top="0.75" bottom="0.75" header="0.3" footer="0.3"/>
</x:worksheet>
</file>