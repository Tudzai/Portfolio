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87089b13f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8ebef15d04749b1"/>
    <x:sheet xmlns:r="http://schemas.openxmlformats.org/officeDocument/2006/relationships" name="Inputs" sheetId="2" r:id="Re2c483635c8f4cb5"/>
    <x:sheet xmlns:r="http://schemas.openxmlformats.org/officeDocument/2006/relationships" name="Model" sheetId="3" r:id="Rc3a2cf0adea04880"/>
    <x:sheet xmlns:r="http://schemas.openxmlformats.org/officeDocument/2006/relationships" name="Results" sheetId="4" r:id="R71b271c33b9e49a4"/>
    <x:sheet xmlns:r="http://schemas.openxmlformats.org/officeDocument/2006/relationships" name="Checks" sheetId="5" r:id="R6c1f3b667b31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#,##0;[Red](#,##0);-"/>
    <x:numFmt numFmtId="202" formatCode="0.0%;[Red](0.0%);-"/>
    <x:numFmt numFmtId="203" formatCode="0.00;[Red](0.00);-"/>
    <x:numFmt numFmtId="204" formatCode="0.0x;[Red](0.0x);-"/>
  </x:numFmts>
  <x:fonts count="15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202833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B5883A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0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bottom style="thin">
        <x:color rgb="FFB5883A"/>
      </x:bottom>
    </x:border>
    <x:border>
      <x:left style="thin">
        <x:color rgb="FFD7DBE0"/>
      </x:left>
      <x:bottom style="thin">
        <x:color rgb="FFB5883A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16" xfId="0" applyNumberFormat="1" applyFont="1" applyFill="1" applyBorder="1" applyAlignment="1">
      <x:alignment horizontal="left" vertical="center"/>
    </x:xf>
    <x:xf numFmtId="0" fontId="2" fillId="6" borderId="16" xfId="0" applyNumberFormat="1" applyFont="1" applyFill="1" applyBorder="1" applyAlignment="1">
      <x:alignment vertical="center"/>
    </x:xf>
    <x:xf numFmtId="0" fontId="2" fillId="6" borderId="16" xfId="0" applyNumberFormat="1" applyFont="1" applyFill="1" applyBorder="1" applyAlignment="1">
      <x:alignment horizontal="right"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horizontal="right"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horizontal="right"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horizontal="right" vertical="center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vertical="center"/>
    </x:xf>
    <x:xf numFmtId="203" fontId="8" fillId="8" borderId="0" xfId="0" applyNumberFormat="1" applyFont="1" applyFill="1" applyBorder="1" applyAlignment="1">
      <x:alignment horizontal="right" vertical="center"/>
    </x:xf>
    <x:xf numFmtId="204" fontId="7" fillId="8" borderId="0" xfId="0" applyNumberFormat="1" applyFont="1" applyFill="1" applyBorder="1" applyAlignment="1">
      <x:alignment vertical="center"/>
    </x:xf>
    <x:xf numFmtId="204" fontId="7" fillId="8" borderId="0" xfId="0" applyNumberFormat="1" applyFont="1" applyFill="1" applyBorder="1" applyAlignment="1">
      <x:alignment horizontal="right" vertical="center"/>
    </x:xf>
    <x:xf numFmtId="201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4" xfId="0" applyNumberFormat="1" applyFont="1" applyFill="1" applyBorder="1" applyAlignment="1">
      <x:alignment vertical="center"/>
    </x:xf>
    <x:xf numFmtId="0" fontId="5" fillId="10" borderId="5" xfId="0" applyNumberFormat="1" applyFont="1" applyFill="1" applyBorder="1" applyAlignment="1">
      <x:alignment vertical="center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0" fontId="2" fillId="6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horizontal="center" vertical="center"/>
    </x:xf>
    <x:xf numFmtId="0" fontId="2" fillId="3" borderId="19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20" xfId="0" applyNumberFormat="1" applyFont="1" applyFill="1" applyBorder="1" applyAlignment="1">
      <x:alignment vertical="center"/>
    </x:xf>
    <x:xf numFmtId="0" fontId="10" fillId="8" borderId="21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20" xfId="0" applyNumberFormat="1" applyFont="1" applyFill="1" applyBorder="1" applyAlignment="1">
      <x:alignment vertical="center"/>
    </x:xf>
    <x:xf numFmtId="200" fontId="10" fillId="8" borderId="21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20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20" xfId="0" applyNumberFormat="1" applyFont="1" applyFill="1" applyBorder="1" applyAlignment="1">
      <x:alignment horizontal="center" vertical="center"/>
    </x:xf>
    <x:xf numFmtId="200" fontId="10" fillId="8" borderId="21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4" fontId="10" fillId="8" borderId="1" xfId="0" applyNumberFormat="1" applyFont="1" applyFill="1" applyBorder="1" applyAlignment="1">
      <x:alignment vertical="center"/>
    </x:xf>
    <x:xf numFmtId="204" fontId="10" fillId="8" borderId="3" xfId="0" applyNumberFormat="1" applyFont="1" applyFill="1" applyBorder="1" applyAlignment="1">
      <x:alignment vertical="center"/>
    </x:xf>
    <x:xf numFmtId="204" fontId="10" fillId="8" borderId="20" xfId="0" applyNumberFormat="1" applyFont="1" applyFill="1" applyBorder="1" applyAlignment="1">
      <x:alignment vertical="center"/>
    </x:xf>
    <x:xf numFmtId="204" fontId="10" fillId="8" borderId="21" xfId="0" applyNumberFormat="1" applyFont="1" applyFill="1" applyBorder="1" applyAlignment="1">
      <x:alignment vertical="center"/>
    </x:xf>
    <x:xf numFmtId="204" fontId="10" fillId="8" borderId="4" xfId="0" applyNumberFormat="1" applyFont="1" applyFill="1" applyBorder="1" applyAlignment="1">
      <x:alignment vertical="center"/>
    </x:xf>
    <x:xf numFmtId="204" fontId="10" fillId="8" borderId="6" xfId="0" applyNumberFormat="1" applyFont="1" applyFill="1" applyBorder="1" applyAlignment="1">
      <x:alignment vertical="center"/>
    </x:xf>
    <x:xf numFmtId="204" fontId="10" fillId="8" borderId="1" xfId="0" applyNumberFormat="1" applyFont="1" applyFill="1" applyBorder="1" applyAlignment="1">
      <x:alignment horizontal="center" vertical="center"/>
    </x:xf>
    <x:xf numFmtId="204" fontId="10" fillId="8" borderId="3" xfId="0" applyNumberFormat="1" applyFont="1" applyFill="1" applyBorder="1" applyAlignment="1">
      <x:alignment horizontal="center" vertical="center"/>
    </x:xf>
    <x:xf numFmtId="204" fontId="10" fillId="8" borderId="20" xfId="0" applyNumberFormat="1" applyFont="1" applyFill="1" applyBorder="1" applyAlignment="1">
      <x:alignment horizontal="center" vertical="center"/>
    </x:xf>
    <x:xf numFmtId="204" fontId="10" fillId="8" borderId="21" xfId="0" applyNumberFormat="1" applyFont="1" applyFill="1" applyBorder="1" applyAlignment="1">
      <x:alignment horizontal="center" vertical="center"/>
    </x:xf>
    <x:xf numFmtId="204" fontId="10" fillId="8" borderId="4" xfId="0" applyNumberFormat="1" applyFont="1" applyFill="1" applyBorder="1" applyAlignment="1">
      <x:alignment horizontal="center" vertical="center"/>
    </x:xf>
    <x:xf numFmtId="204" fontId="10" fillId="8" borderId="6" xfId="0" applyNumberFormat="1" applyFont="1" applyFill="1" applyBorder="1" applyAlignment="1">
      <x:alignment horizontal="center" vertical="center"/>
    </x:xf>
    <x:xf numFmtId="203" fontId="10" fillId="8" borderId="1" xfId="0" applyNumberFormat="1" applyFont="1" applyFill="1" applyBorder="1" applyAlignment="1">
      <x:alignment vertical="center"/>
    </x:xf>
    <x:xf numFmtId="203" fontId="10" fillId="8" borderId="3" xfId="0" applyNumberFormat="1" applyFont="1" applyFill="1" applyBorder="1" applyAlignment="1">
      <x:alignment vertical="center"/>
    </x:xf>
    <x:xf numFmtId="203" fontId="10" fillId="8" borderId="20" xfId="0" applyNumberFormat="1" applyFont="1" applyFill="1" applyBorder="1" applyAlignment="1">
      <x:alignment vertical="center"/>
    </x:xf>
    <x:xf numFmtId="203" fontId="10" fillId="8" borderId="21" xfId="0" applyNumberFormat="1" applyFont="1" applyFill="1" applyBorder="1" applyAlignment="1">
      <x:alignment vertical="center"/>
    </x:xf>
    <x:xf numFmtId="203" fontId="10" fillId="8" borderId="4" xfId="0" applyNumberFormat="1" applyFont="1" applyFill="1" applyBorder="1" applyAlignment="1">
      <x:alignment vertical="center"/>
    </x:xf>
    <x:xf numFmtId="203" fontId="10" fillId="8" borderId="6" xfId="0" applyNumberFormat="1" applyFont="1" applyFill="1" applyBorder="1" applyAlignment="1">
      <x:alignment vertical="center"/>
    </x:xf>
    <x:xf numFmtId="203" fontId="10" fillId="8" borderId="1" xfId="0" applyNumberFormat="1" applyFont="1" applyFill="1" applyBorder="1" applyAlignment="1">
      <x:alignment horizontal="center" vertical="center"/>
    </x:xf>
    <x:xf numFmtId="203" fontId="10" fillId="8" borderId="3" xfId="0" applyNumberFormat="1" applyFont="1" applyFill="1" applyBorder="1" applyAlignment="1">
      <x:alignment horizontal="center" vertical="center"/>
    </x:xf>
    <x:xf numFmtId="203" fontId="10" fillId="8" borderId="20" xfId="0" applyNumberFormat="1" applyFont="1" applyFill="1" applyBorder="1" applyAlignment="1">
      <x:alignment horizontal="center" vertical="center"/>
    </x:xf>
    <x:xf numFmtId="203" fontId="10" fillId="8" borderId="21" xfId="0" applyNumberFormat="1" applyFont="1" applyFill="1" applyBorder="1" applyAlignment="1">
      <x:alignment horizontal="center" vertical="center"/>
    </x:xf>
    <x:xf numFmtId="203" fontId="10" fillId="8" borderId="4" xfId="0" applyNumberFormat="1" applyFont="1" applyFill="1" applyBorder="1" applyAlignment="1">
      <x:alignment horizontal="center" vertical="center"/>
    </x:xf>
    <x:xf numFmtId="203" fontId="10" fillId="8" borderId="6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22" xfId="0" applyNumberFormat="1" applyFont="1" applyFill="1" applyBorder="1" applyAlignment="1">
      <x:alignment vertical="center"/>
    </x:xf>
    <x:xf numFmtId="0" fontId="10" fillId="5" borderId="23" xfId="0" applyNumberFormat="1" applyFont="1" applyFill="1" applyBorder="1" applyAlignment="1">
      <x:alignment vertical="center"/>
    </x:xf>
    <x:xf numFmtId="0" fontId="10" fillId="5" borderId="24" xfId="0" applyNumberFormat="1" applyFont="1" applyFill="1" applyBorder="1" applyAlignment="1">
      <x:alignment vertical="center"/>
    </x:xf>
    <x:xf numFmtId="0" fontId="10" fillId="5" borderId="25" xfId="0" applyNumberFormat="1" applyFont="1" applyFill="1" applyBorder="1" applyAlignment="1">
      <x:alignment vertical="center"/>
    </x:xf>
    <x:xf numFmtId="0" fontId="10" fillId="5" borderId="16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vertical="center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10" fillId="5" borderId="24" xfId="0" applyNumberFormat="1" applyFont="1" applyFill="1" applyBorder="1" applyAlignment="1">
      <x:alignment vertical="center" wrapText="1"/>
    </x:xf>
    <x:xf numFmtId="0" fontId="10" fillId="5" borderId="25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26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horizontal="center" vertical="center" wrapText="1"/>
    </x:xf>
    <x:xf numFmtId="0" fontId="10" fillId="5" borderId="23" xfId="0" applyNumberFormat="1" applyFont="1" applyFill="1" applyBorder="1" applyAlignment="1">
      <x:alignment horizontal="center" vertical="center" wrapText="1"/>
    </x:xf>
    <x:xf numFmtId="0" fontId="10" fillId="5" borderId="24" xfId="0" applyNumberFormat="1" applyFont="1" applyFill="1" applyBorder="1" applyAlignment="1">
      <x:alignment horizontal="center" vertical="center" wrapText="1"/>
    </x:xf>
    <x:xf numFmtId="0" fontId="10" fillId="5" borderId="25" xfId="0" applyNumberFormat="1" applyFont="1" applyFill="1" applyBorder="1" applyAlignment="1">
      <x:alignment horizontal="center" vertical="center" wrapText="1"/>
    </x:xf>
    <x:xf numFmtId="0" fontId="10" fillId="5" borderId="16" xfId="0" applyNumberFormat="1" applyFont="1" applyFill="1" applyBorder="1" applyAlignment="1">
      <x:alignment horizontal="center" vertical="center" wrapText="1"/>
    </x:xf>
    <x:xf numFmtId="0" fontId="10" fillId="5" borderId="26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12" fillId="8" borderId="27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vertical="center"/>
    </x:xf>
    <x:xf numFmtId="0" fontId="12" fillId="8" borderId="27" xfId="0" applyNumberFormat="1" applyFont="1" applyFill="1" applyBorder="1" applyAlignment="1">
      <x:alignment horizontal="center" vertical="center"/>
    </x:xf>
    <x:xf numFmtId="0" fontId="12" fillId="8" borderId="28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27" xfId="0" applyNumberFormat="1" applyFont="1" applyFill="1" applyBorder="1" applyAlignment="1">
      <x:alignment vertical="center"/>
    </x:xf>
    <x:xf numFmtId="0" fontId="13" fillId="9" borderId="28" xfId="0" applyNumberFormat="1" applyFont="1" applyFill="1" applyBorder="1" applyAlignment="1">
      <x:alignment vertical="center"/>
    </x:xf>
    <x:xf numFmtId="0" fontId="13" fillId="9" borderId="27" xfId="0" applyNumberFormat="1" applyFont="1" applyFill="1" applyBorder="1" applyAlignment="1">
      <x:alignment vertical="center" wrapText="1"/>
    </x:xf>
    <x:xf numFmtId="0" fontId="13" fillId="9" borderId="28" xfId="0" applyNumberFormat="1" applyFont="1" applyFill="1" applyBorder="1" applyAlignment="1">
      <x:alignment vertical="center" wrapText="1"/>
    </x:xf>
    <x:xf numFmtId="0" fontId="13" fillId="9" borderId="27" xfId="0" applyNumberFormat="1" applyFont="1" applyFill="1" applyBorder="1" applyAlignment="1">
      <x:alignment horizontal="center" vertical="center" wrapText="1"/>
    </x:xf>
    <x:xf numFmtId="0" fontId="13" fillId="9" borderId="28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7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2" fillId="8" borderId="29" xfId="0" applyNumberFormat="1" applyFont="1" applyFill="1" applyBorder="1" applyAlignment="1">
      <x:alignment vertical="center"/>
    </x:xf>
    <x:xf numFmtId="0" fontId="12" fillId="8" borderId="29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3" fillId="5" borderId="20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2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21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4" xfId="0" applyNumberFormat="1" applyFont="1" applyFill="1" applyBorder="1" applyAlignment="1">
      <x:alignment vertical="center"/>
    </x:xf>
    <x:xf numFmtId="0" fontId="12" fillId="8" borderId="6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2" fillId="8" borderId="4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0" fillId="5" borderId="27" xfId="0" applyNumberFormat="1" applyFont="1" applyFill="1" applyBorder="1" applyAlignment="1">
      <x:alignment vertical="center"/>
    </x:xf>
    <x:xf numFmtId="0" fontId="10" fillId="5" borderId="28" xfId="0" applyNumberFormat="1" applyFont="1" applyFill="1" applyBorder="1" applyAlignment="1">
      <x:alignment vertical="center"/>
    </x:xf>
    <x:xf numFmtId="0" fontId="10" fillId="5" borderId="27" xfId="0" applyNumberFormat="1" applyFont="1" applyFill="1" applyBorder="1" applyAlignment="1">
      <x:alignment horizontal="center" vertical="center"/>
    </x:xf>
    <x:xf numFmtId="0" fontId="10" fillId="5" borderId="28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1ed4642544066" /><Relationship Type="http://schemas.openxmlformats.org/officeDocument/2006/relationships/theme" Target="/xl/theme/theme1.xml" Id="R87a520894d19489e" /><Relationship Type="http://schemas.openxmlformats.org/officeDocument/2006/relationships/sharedStrings" Target="/xl/sharedStrings.xml" Id="Rdcd128aa3ab3400b" /><Relationship Type="http://schemas.openxmlformats.org/officeDocument/2006/relationships/worksheet" Target="/xl/worksheets/sheet1.xml" Id="R98ebef15d04749b1" /><Relationship Type="http://schemas.openxmlformats.org/officeDocument/2006/relationships/worksheet" Target="/xl/worksheets/sheet2.xml" Id="Re2c483635c8f4cb5" /><Relationship Type="http://schemas.openxmlformats.org/officeDocument/2006/relationships/worksheet" Target="/xl/worksheets/sheet3.xml" Id="Rc3a2cf0adea04880" /><Relationship Type="http://schemas.openxmlformats.org/officeDocument/2006/relationships/worksheet" Target="/xl/worksheets/sheet4.xml" Id="R71b271c33b9e49a4" /><Relationship Type="http://schemas.openxmlformats.org/officeDocument/2006/relationships/worksheet" Target="/xl/worksheets/sheet5.xml" Id="R6c1f3b667b31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TDAT-FM-SME-002 · 12 months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48" t="str">
        <x:v>SaaS Unit Economics</x:v>
      </x:c>
      <x:c r="B5" s="249"/>
      <x:c r="C5" s="249"/>
      <x:c r="D5" s="249"/>
      <x:c r="E5" s="249"/>
      <x:c r="F5" s="250"/>
      <x:c r="G5" s="60" t="str">
        <x:v>MODEL STATUS</x:v>
      </x:c>
      <x:c r="H5" s="60"/>
    </x:row>
    <x:row r="6" ht="20" customHeight="1">
      <x:c r="A6" s="251"/>
      <x:c r="B6" s="252"/>
      <x:c r="C6" s="252"/>
      <x:c r="D6" s="252"/>
      <x:c r="E6" s="252"/>
      <x:c r="F6" s="253"/>
      <x:c r="G6" s="261" t="str">
        <x:f>'Checks'!B4</x:f>
        <x:v>PASS</x:v>
      </x:c>
      <x:c r="H6" s="262"/>
    </x:row>
    <x:row r="7" ht="20" customHeight="1">
      <x:c r="A7" s="254"/>
      <x:c r="B7" s="255"/>
      <x:c r="C7" s="255"/>
      <x:c r="D7" s="255"/>
      <x:c r="E7" s="255"/>
      <x:c r="F7" s="256"/>
      <x:c r="G7" s="263"/>
      <x:c r="H7" s="264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99" t="str">
        <x:v>Does a steady growth plan create efficient ARR without using too much cash?</x:v>
      </x:c>
      <x:c r="B10" s="200"/>
      <x:c r="C10" s="200"/>
      <x:c r="D10" s="200"/>
      <x:c r="E10" s="200"/>
      <x:c r="F10" s="200"/>
      <x:c r="G10" s="200"/>
      <x:c r="H10" s="201"/>
    </x:row>
    <x:row r="11" ht="20" customHeight="1">
      <x:c r="A11" s="202"/>
      <x:c r="B11" s="203"/>
      <x:c r="C11" s="203"/>
      <x:c r="D11" s="203"/>
      <x:c r="E11" s="203"/>
      <x:c r="F11" s="203"/>
      <x:c r="G11" s="203"/>
      <x:c r="H11" s="204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67" t="str">
        <x:v>1 · INPUTS</x:v>
      </x:c>
      <x:c r="B14" s="268"/>
      <x:c r="C14" s="267" t="str">
        <x:v>2 · MODEL</x:v>
      </x:c>
      <x:c r="D14" s="268"/>
      <x:c r="E14" s="267" t="str">
        <x:v>3 · RESULTS</x:v>
      </x:c>
      <x:c r="F14" s="268"/>
      <x:c r="G14" s="267" t="str">
        <x:v>4 · CHECKS</x:v>
      </x:c>
      <x:c r="H14" s="268"/>
    </x:row>
    <x:row r="15" ht="20" customHeight="1">
      <x:c r="A15" s="269" t="str">
        <x:v>Edit only blue cells</x:v>
      </x:c>
      <x:c r="B15" s="270"/>
      <x:c r="C15" s="269" t="str">
        <x:v>Trace schedules and formulas</x:v>
      </x:c>
      <x:c r="D15" s="270"/>
      <x:c r="E15" s="269" t="str">
        <x:v>Read the linked decision view</x:v>
      </x:c>
      <x:c r="F15" s="270"/>
      <x:c r="G15" s="269" t="str">
        <x:v>Resolve every FAIL</x:v>
      </x:c>
      <x:c r="H15" s="270"/>
    </x:row>
    <x:row r="16" ht="20" customHeight="1">
      <x:c r="A16" s="271"/>
      <x:c r="B16" s="272"/>
      <x:c r="C16" s="271"/>
      <x:c r="D16" s="272"/>
      <x:c r="E16" s="271"/>
      <x:c r="F16" s="272"/>
      <x:c r="G16" s="271"/>
      <x:c r="H16" s="272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78" t="str">
        <x:v>Forecast</x:v>
      </x:c>
      <x:c r="B19" s="178"/>
      <x:c r="C19" s="192" t="str">
        <x:v>12 months</x:v>
      </x:c>
      <x:c r="D19" s="192"/>
      <x:c r="E19" s="192"/>
      <x:c r="F19" s="192"/>
      <x:c r="G19" s="192"/>
      <x:c r="H19" s="192"/>
    </x:row>
    <x:row r="20" ht="20" customHeight="1">
      <x:c r="A20" s="178" t="str">
        <x:v>Editable inputs</x:v>
      </x:c>
      <x:c r="B20" s="178"/>
      <x:c r="C20" s="192" t="str">
        <x:v>8</x:v>
      </x:c>
      <x:c r="D20" s="192"/>
      <x:c r="E20" s="192"/>
      <x:c r="F20" s="192"/>
      <x:c r="G20" s="192"/>
      <x:c r="H20" s="192"/>
    </x:row>
    <x:row r="21" ht="20" customHeight="1">
      <x:c r="A21" s="178" t="str">
        <x:v>Visible sheets</x:v>
      </x:c>
      <x:c r="B21" s="178"/>
      <x:c r="C21" s="192" t="str">
        <x:v>5</x:v>
      </x:c>
      <x:c r="D21" s="192"/>
      <x:c r="E21" s="192"/>
      <x:c r="F21" s="192"/>
      <x:c r="G21" s="192"/>
      <x:c r="H21" s="192"/>
    </x:row>
    <x:row r="22" ht="20" customHeight="1">
      <x:c r="A22" s="178" t="str">
        <x:v>Setup</x:v>
      </x:c>
      <x:c r="B22" s="178"/>
      <x:c r="C22" s="192" t="str">
        <x:v>10–15 minutes</x:v>
      </x:c>
      <x:c r="D22" s="192"/>
      <x:c r="E22" s="192"/>
      <x:c r="F22" s="192"/>
      <x:c r="G22" s="192"/>
      <x:c r="H22" s="192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213" t="str">
        <x:v>Included: One steady twelve-month customer plan · ARR, CAC, LTV/CAC, payback, and burn · Monthly MRR, ARR, EBITDA, and cash roll-forward plus an annual bridge</x:v>
      </x:c>
      <x:c r="B25" s="214"/>
      <x:c r="C25" s="214"/>
      <x:c r="D25" s="214"/>
      <x:c r="E25" s="214"/>
      <x:c r="F25" s="214"/>
      <x:c r="G25" s="214"/>
      <x:c r="H25" s="215"/>
    </x:row>
    <x:row r="26" ht="20" customHeight="1">
      <x:c r="A26" s="219"/>
      <x:c r="B26" s="220"/>
      <x:c r="C26" s="220"/>
      <x:c r="D26" s="220"/>
      <x:c r="E26" s="220"/>
      <x:c r="F26" s="220"/>
      <x:c r="G26" s="220"/>
      <x:c r="H26" s="221"/>
    </x:row>
    <x:row r="27" ht="20" customHeight="1">
      <x:c r="A27" s="279" t="str">
        <x:v>Scope boundary: Cohorts, expansion, contraction, funding rounds, deferred revenue, GAAP revenue, and fundraising advice.</x:v>
      </x:c>
      <x:c r="B27" s="280"/>
      <x:c r="C27" s="280"/>
      <x:c r="D27" s="280"/>
      <x:c r="E27" s="280"/>
      <x:c r="F27" s="280"/>
      <x:c r="G27" s="280"/>
      <x:c r="H27" s="281"/>
    </x:row>
    <x:row r="28" ht="20" customHeight="1">
      <x:c r="A28" s="282"/>
      <x:c r="B28" s="283"/>
      <x:c r="C28" s="283"/>
      <x:c r="D28" s="283"/>
      <x:c r="E28" s="283"/>
      <x:c r="F28" s="283"/>
      <x:c r="G28" s="283"/>
      <x:c r="H28" s="284"/>
    </x:row>
    <x:row r="29" ht="20" customHeight="1">
      <x:c r="A29" s="286" t="str">
        <x:v>Synthetic demonstration only · Tested 2026-08-17 · Excel 365 · Macro-free · No external links</x:v>
      </x:c>
      <x:c r="B29" s="286"/>
      <x:c r="C29" s="286"/>
      <x:c r="D29" s="286"/>
      <x:c r="E29" s="286"/>
      <x:c r="F29" s="286"/>
      <x:c r="G29" s="286"/>
      <x:c r="H29" s="286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SaaS Unit Economics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SaaS Unit Economics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Opening MRR</x:v>
      </x:c>
      <x:c r="B10" s="39" t="n">
        <x:v>60</x:v>
      </x:c>
      <x:c r="C10" s="3" t="str">
        <x:v>LCY 000 / month</x:v>
      </x:c>
      <x:c r="D10" s="37" t="str">
        <x:v>Recurring revenue at the start</x:v>
      </x:c>
      <x:c r="E10" s="38"/>
      <x:c r="F10" s="38"/>
      <x:c r="G10" s="38"/>
      <x:c r="H10" s="38"/>
    </x:row>
    <x:row r="11" ht="20" customHeight="1">
      <x:c r="A11" s="3" t="str">
        <x:v>New customers</x:v>
      </x:c>
      <x:c r="B11" s="42" t="n">
        <x:v>5</x:v>
      </x:c>
      <x:c r="C11" s="3" t="str">
        <x:v>per month</x:v>
      </x:c>
      <x:c r="D11" s="37" t="str">
        <x:v>Same acquisition pace each month</x:v>
      </x:c>
      <x:c r="E11" s="38"/>
      <x:c r="F11" s="38"/>
      <x:c r="G11" s="38"/>
      <x:c r="H11" s="38"/>
    </x:row>
    <x:row r="12" ht="20" customHeight="1">
      <x:c r="A12" s="3" t="str">
        <x:v>Monthly ARPA</x:v>
      </x:c>
      <x:c r="B12" s="39" t="n">
        <x:v>1</x:v>
      </x:c>
      <x:c r="C12" s="3" t="str">
        <x:v>LCY 000 / customer</x:v>
      </x:c>
      <x:c r="D12" s="37" t="str">
        <x:v>Average recurring revenue per customer</x:v>
      </x:c>
      <x:c r="E12" s="38"/>
      <x:c r="F12" s="38"/>
      <x:c r="G12" s="38"/>
      <x:c r="H12" s="38"/>
    </x:row>
    <x:row r="13" ht="20" customHeight="1">
      <x:c r="A13" s="3" t="str">
        <x:v>Monthly churn</x:v>
      </x:c>
      <x:c r="B13" s="45" t="n">
        <x:v>0.03</x:v>
      </x:c>
      <x:c r="C13" s="3" t="str">
        <x:v>%</x:v>
      </x:c>
      <x:c r="D13" s="37" t="str">
        <x:v>Applied to customers and MRR</x:v>
      </x:c>
      <x:c r="E13" s="38"/>
      <x:c r="F13" s="38"/>
      <x:c r="G13" s="38"/>
      <x:c r="H13" s="38"/>
    </x:row>
    <x:row r="14" ht="20" customHeight="1">
      <x:c r="A14" s="3" t="str">
        <x:v>Gross margin</x:v>
      </x:c>
      <x:c r="B14" s="45" t="n">
        <x:v>0.8</x:v>
      </x:c>
      <x:c r="C14" s="3" t="str">
        <x:v>%</x:v>
      </x:c>
      <x:c r="D14" s="37" t="str">
        <x:v>Recurring revenue less cost of service</x:v>
      </x:c>
      <x:c r="E14" s="38"/>
      <x:c r="F14" s="38"/>
      <x:c r="G14" s="38"/>
      <x:c r="H14" s="38"/>
    </x:row>
    <x:row r="15" ht="20" customHeight="1">
      <x:c r="A15" s="3" t="str">
        <x:v>Sales &amp; marketing</x:v>
      </x:c>
      <x:c r="B15" s="39" t="n">
        <x:v>30</x:v>
      </x:c>
      <x:c r="C15" s="3" t="str">
        <x:v>LCY 000 / month</x:v>
      </x:c>
      <x:c r="D15" s="37" t="str">
        <x:v>Monthly acquisition spend</x:v>
      </x:c>
      <x:c r="E15" s="38"/>
      <x:c r="F15" s="38"/>
      <x:c r="G15" s="38"/>
      <x:c r="H15" s="38"/>
    </x:row>
    <x:row r="16" ht="20" customHeight="1">
      <x:c r="A16" s="3" t="str">
        <x:v>Other operating expense</x:v>
      </x:c>
      <x:c r="B16" s="39" t="n">
        <x:v>50</x:v>
      </x:c>
      <x:c r="C16" s="3" t="str">
        <x:v>LCY 000 / month</x:v>
      </x:c>
      <x:c r="D16" s="37" t="str">
        <x:v>All other monthly opex</x:v>
      </x:c>
      <x:c r="E16" s="38"/>
      <x:c r="F16" s="38"/>
      <x:c r="G16" s="38"/>
      <x:c r="H16" s="38"/>
    </x:row>
    <x:row r="17" ht="20" customHeight="1">
      <x:c r="A17" s="3" t="str">
        <x:v>Opening cash</x:v>
      </x:c>
      <x:c r="B17" s="39" t="n">
        <x:v>300</x:v>
      </x:c>
      <x:c r="C17" s="3" t="str">
        <x:v>LCY 000</x:v>
      </x:c>
      <x:c r="D17" s="37" t="str">
        <x:v>Cash available at the start</x:v>
      </x:c>
      <x:c r="E17" s="38"/>
      <x:c r="F17" s="38"/>
      <x:c r="G17" s="38"/>
      <x:c r="H17" s="38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</x:row>
    <x:row r="19" ht="20" customHeight="1">
      <x:c r="A19" s="54" t="str">
        <x:v>Synthetic example. Replace only the blue values, trace the calculation on Model, then review Results and Checks.</x:v>
      </x:c>
      <x:c r="B19" s="55"/>
      <x:c r="C19" s="55"/>
      <x:c r="D19" s="55"/>
      <x:c r="E19" s="55"/>
      <x:c r="F19" s="55"/>
      <x:c r="G19" s="55"/>
      <x:c r="H19" s="56"/>
    </x:row>
    <x:row r="20" ht="20" customHeight="1">
      <x:c r="A20" s="57"/>
      <x:c r="B20" s="58"/>
      <x:c r="C20" s="58"/>
      <x:c r="D20" s="58"/>
      <x:c r="E20" s="58"/>
      <x:c r="F20" s="58"/>
      <x:c r="G20" s="58"/>
      <x:c r="H20" s="59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0" t="str">
        <x:v>SaaS Unit Economics · 8 editable assumptions · v1.4.0</x:v>
      </x:c>
      <x:c r="B24" s="60"/>
      <x:c r="C24" s="60"/>
      <x:c r="D24" s="60"/>
      <x:c r="E24" s="60"/>
      <x:c r="F24" s="60"/>
      <x:c r="G24" s="60"/>
      <x:c r="H24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A19:H20"/>
    <x:mergeCell ref="A24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SaaS Unit Economics · Monthly customer, recurring-revenue, and cash path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4" t="str">
        <x:v>ENDING ARR</x:v>
      </x:c>
      <x:c r="B5" s="115"/>
      <x:c r="C5" s="114" t="str">
        <x:v>LTV / CAC</x:v>
      </x:c>
      <x:c r="D5" s="115"/>
      <x:c r="E5" s="114" t="str">
        <x:v>CAC PAYBACK</x:v>
      </x:c>
      <x:c r="F5" s="115"/>
      <x:c r="G5" s="114" t="str">
        <x:v>CLOSING CASH</x:v>
      </x:c>
      <x:c r="H5" s="115"/>
    </x:row>
    <x:row r="6" ht="20" customHeight="1">
      <x:c r="A6" s="129" t="n">
        <x:f>D23</x:f>
        <x:v>1111.8817779258395</x:v>
      </x:c>
      <x:c r="B6" s="130"/>
      <x:c r="C6" s="141" t="n">
        <x:f>F23</x:f>
        <x:v>4.444444444444445</x:v>
      </x:c>
      <x:c r="D6" s="142"/>
      <x:c r="E6" s="153" t="n">
        <x:f>B35</x:f>
        <x:v>7.5</x:v>
      </x:c>
      <x:c r="F6" s="154"/>
      <x:c r="G6" s="129" t="n">
        <x:f>H23</x:f>
        <x:v>95.27705647096857</x:v>
      </x:c>
      <x:c r="H6" s="130"/>
    </x:row>
    <x:row r="7" ht="20" customHeight="1">
      <x:c r="A7" s="131"/>
      <x:c r="B7" s="132"/>
      <x:c r="C7" s="143"/>
      <x:c r="D7" s="144"/>
      <x:c r="E7" s="155"/>
      <x:c r="F7" s="156"/>
      <x:c r="G7" s="131"/>
      <x:c r="H7" s="132"/>
    </x:row>
    <x:row r="8" ht="20" customHeight="1">
      <x:c r="A8" s="133"/>
      <x:c r="B8" s="134"/>
      <x:c r="C8" s="145"/>
      <x:c r="D8" s="146"/>
      <x:c r="E8" s="157"/>
      <x:c r="F8" s="158"/>
      <x:c r="G8" s="133"/>
      <x:c r="H8" s="134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2" t="str">
        <x:v>MONTHLY CUSTOMER, MRR &amp; CASH SCHEDULE</x:v>
      </x:c>
      <x:c r="B10" s="62"/>
      <x:c r="C10" s="62"/>
      <x:c r="D10" s="62"/>
      <x:c r="E10" s="62"/>
      <x:c r="F10" s="62"/>
      <x:c r="G10" s="62"/>
      <x:c r="H10" s="62"/>
    </x:row>
    <x:row r="11" ht="20" customHeight="1">
      <x:c r="A11" s="62" t="str">
        <x:v>Month</x:v>
      </x:c>
      <x:c r="B11" s="64" t="str">
        <x:v>Customers</x:v>
      </x:c>
      <x:c r="C11" s="64" t="str">
        <x:v>MRR</x:v>
      </x:c>
      <x:c r="D11" s="64" t="str">
        <x:v>ARR</x:v>
      </x:c>
      <x:c r="E11" s="64" t="str">
        <x:v>CAC</x:v>
      </x:c>
      <x:c r="F11" s="64" t="str">
        <x:v>LTV / CAC</x:v>
      </x:c>
      <x:c r="G11" s="64" t="str">
        <x:v>EBITDA</x:v>
      </x:c>
      <x:c r="H11" s="64" t="str">
        <x:v>Cash</x:v>
      </x:c>
    </x:row>
    <x:row r="12" ht="20" customHeight="1">
      <x:c r="A12" s="66" t="n">
        <x:v>1</x:v>
      </x:c>
      <x:c r="B12" s="68" t="n">
        <x:f>MAX(0,IF('Inputs'!$B$12&lt;=0,0,'Inputs'!$B$10/'Inputs'!$B$12)+'Inputs'!$B$11-IF('Inputs'!$B$12&lt;=0,0,'Inputs'!$B$10/'Inputs'!$B$12)*'Inputs'!$B$13)</x:f>
        <x:v>63.2</x:v>
      </x:c>
      <x:c r="C12" s="70" t="n">
        <x:f>MAX(0,'Inputs'!$B$10+'Inputs'!$B$11*'Inputs'!$B$12-'Inputs'!$B$10*'Inputs'!$B$13)</x:f>
        <x:v>63.2</x:v>
      </x:c>
      <x:c r="D12" s="70" t="n">
        <x:f>C12*12</x:f>
        <x:v>758.4000000000001</x:v>
      </x:c>
      <x:c r="E12" s="70" t="n">
        <x:f>IF('Inputs'!$B$11=0,0,'Inputs'!$B$15/'Inputs'!$B$11)</x:f>
        <x:v>6</x:v>
      </x:c>
      <x:c r="F12" s="72" t="n">
        <x:f>IF(OR('Inputs'!$B$13&lt;=0,E12=0),0,('Inputs'!$B$12*'Inputs'!$B$14/'Inputs'!$B$13)/E12)</x:f>
        <x:v>4.444444444444445</x:v>
      </x:c>
      <x:c r="G12" s="70" t="n">
        <x:f>C12*'Inputs'!$B$14-'Inputs'!$B$15-'Inputs'!$B$16</x:f>
        <x:v>-29.439999999999998</x:v>
      </x:c>
      <x:c r="H12" s="70" t="n">
        <x:f>'Inputs'!$B$17+G12</x:f>
        <x:v>270.56</x:v>
      </x:c>
    </x:row>
    <x:row r="13" ht="20" customHeight="1">
      <x:c r="A13" s="66" t="n">
        <x:v>2</x:v>
      </x:c>
      <x:c r="B13" s="68" t="n">
        <x:f>MAX(0,B12+'Inputs'!$B$11-B12*'Inputs'!$B$13)</x:f>
        <x:v>66.304</x:v>
      </x:c>
      <x:c r="C13" s="70" t="n">
        <x:f>MAX(0,C12+'Inputs'!$B$11*'Inputs'!$B$12-C12*'Inputs'!$B$13)</x:f>
        <x:v>66.304</x:v>
      </x:c>
      <x:c r="D13" s="70" t="n">
        <x:f>C13*12</x:f>
        <x:v>795.648</x:v>
      </x:c>
      <x:c r="E13" s="70" t="n">
        <x:f>IF('Inputs'!$B$11=0,0,'Inputs'!$B$15/'Inputs'!$B$11)</x:f>
        <x:v>6</x:v>
      </x:c>
      <x:c r="F13" s="72" t="n">
        <x:f>IF(OR('Inputs'!$B$13&lt;=0,E13=0),0,('Inputs'!$B$12*'Inputs'!$B$14/'Inputs'!$B$13)/E13)</x:f>
        <x:v>4.444444444444445</x:v>
      </x:c>
      <x:c r="G13" s="70" t="n">
        <x:f>C13*'Inputs'!$B$14-'Inputs'!$B$15-'Inputs'!$B$16</x:f>
        <x:v>-26.956799999999994</x:v>
      </x:c>
      <x:c r="H13" s="70" t="n">
        <x:f>H12+G13</x:f>
        <x:v>243.60320000000002</x:v>
      </x:c>
    </x:row>
    <x:row r="14" ht="20" customHeight="1">
      <x:c r="A14" s="66" t="n">
        <x:v>3</x:v>
      </x:c>
      <x:c r="B14" s="68" t="n">
        <x:f>MAX(0,B13+'Inputs'!$B$11-B13*'Inputs'!$B$13)</x:f>
        <x:v>69.31488</x:v>
      </x:c>
      <x:c r="C14" s="70" t="n">
        <x:f>MAX(0,C13+'Inputs'!$B$11*'Inputs'!$B$12-C13*'Inputs'!$B$13)</x:f>
        <x:v>69.31488</x:v>
      </x:c>
      <x:c r="D14" s="70" t="n">
        <x:f>C14*12</x:f>
        <x:v>831.77856</x:v>
      </x:c>
      <x:c r="E14" s="70" t="n">
        <x:f>IF('Inputs'!$B$11=0,0,'Inputs'!$B$15/'Inputs'!$B$11)</x:f>
        <x:v>6</x:v>
      </x:c>
      <x:c r="F14" s="72" t="n">
        <x:f>IF(OR('Inputs'!$B$13&lt;=0,E14=0),0,('Inputs'!$B$12*'Inputs'!$B$14/'Inputs'!$B$13)/E14)</x:f>
        <x:v>4.444444444444445</x:v>
      </x:c>
      <x:c r="G14" s="70" t="n">
        <x:f>C14*'Inputs'!$B$14-'Inputs'!$B$15-'Inputs'!$B$16</x:f>
        <x:v>-24.548095999999994</x:v>
      </x:c>
      <x:c r="H14" s="70" t="n">
        <x:f>H13+G14</x:f>
        <x:v>219.05510400000003</x:v>
      </x:c>
    </x:row>
    <x:row r="15" ht="20" customHeight="1">
      <x:c r="A15" s="66" t="n">
        <x:v>4</x:v>
      </x:c>
      <x:c r="B15" s="68" t="n">
        <x:f>MAX(0,B14+'Inputs'!$B$11-B14*'Inputs'!$B$13)</x:f>
        <x:v>72.23543360000001</x:v>
      </x:c>
      <x:c r="C15" s="70" t="n">
        <x:f>MAX(0,C14+'Inputs'!$B$11*'Inputs'!$B$12-C14*'Inputs'!$B$13)</x:f>
        <x:v>72.23543360000001</x:v>
      </x:c>
      <x:c r="D15" s="70" t="n">
        <x:f>C15*12</x:f>
        <x:v>866.8252032</x:v>
      </x:c>
      <x:c r="E15" s="70" t="n">
        <x:f>IF('Inputs'!$B$11=0,0,'Inputs'!$B$15/'Inputs'!$B$11)</x:f>
        <x:v>6</x:v>
      </x:c>
      <x:c r="F15" s="72" t="n">
        <x:f>IF(OR('Inputs'!$B$13&lt;=0,E15=0),0,('Inputs'!$B$12*'Inputs'!$B$14/'Inputs'!$B$13)/E15)</x:f>
        <x:v>4.444444444444445</x:v>
      </x:c>
      <x:c r="G15" s="70" t="n">
        <x:f>C15*'Inputs'!$B$14-'Inputs'!$B$15-'Inputs'!$B$16</x:f>
        <x:v>-22.211653119999994</x:v>
      </x:c>
      <x:c r="H15" s="70" t="n">
        <x:f>H14+G15</x:f>
        <x:v>196.84345088000003</x:v>
      </x:c>
    </x:row>
    <x:row r="16" ht="20" customHeight="1">
      <x:c r="A16" s="66" t="n">
        <x:v>5</x:v>
      </x:c>
      <x:c r="B16" s="68" t="n">
        <x:f>MAX(0,B15+'Inputs'!$B$11-B15*'Inputs'!$B$13)</x:f>
        <x:v>75.06837059200001</x:v>
      </x:c>
      <x:c r="C16" s="70" t="n">
        <x:f>MAX(0,C15+'Inputs'!$B$11*'Inputs'!$B$12-C15*'Inputs'!$B$13)</x:f>
        <x:v>75.06837059200001</x:v>
      </x:c>
      <x:c r="D16" s="70" t="n">
        <x:f>C16*12</x:f>
        <x:v>900.8204471040001</x:v>
      </x:c>
      <x:c r="E16" s="70" t="n">
        <x:f>IF('Inputs'!$B$11=0,0,'Inputs'!$B$15/'Inputs'!$B$11)</x:f>
        <x:v>6</x:v>
      </x:c>
      <x:c r="F16" s="72" t="n">
        <x:f>IF(OR('Inputs'!$B$13&lt;=0,E16=0),0,('Inputs'!$B$12*'Inputs'!$B$14/'Inputs'!$B$13)/E16)</x:f>
        <x:v>4.444444444444445</x:v>
      </x:c>
      <x:c r="G16" s="70" t="n">
        <x:f>C16*'Inputs'!$B$14-'Inputs'!$B$15-'Inputs'!$B$16</x:f>
        <x:v>-19.94530352639999</x:v>
      </x:c>
      <x:c r="H16" s="70" t="n">
        <x:f>H15+G16</x:f>
        <x:v>176.89814735360005</x:v>
      </x:c>
    </x:row>
    <x:row r="17" ht="20" customHeight="1">
      <x:c r="A17" s="66" t="n">
        <x:v>6</x:v>
      </x:c>
      <x:c r="B17" s="68" t="n">
        <x:f>MAX(0,B16+'Inputs'!$B$11-B16*'Inputs'!$B$13)</x:f>
        <x:v>77.81631947424</x:v>
      </x:c>
      <x:c r="C17" s="70" t="n">
        <x:f>MAX(0,C16+'Inputs'!$B$11*'Inputs'!$B$12-C16*'Inputs'!$B$13)</x:f>
        <x:v>77.81631947424</x:v>
      </x:c>
      <x:c r="D17" s="70" t="n">
        <x:f>C17*12</x:f>
        <x:v>933.79583369088</x:v>
      </x:c>
      <x:c r="E17" s="70" t="n">
        <x:f>IF('Inputs'!$B$11=0,0,'Inputs'!$B$15/'Inputs'!$B$11)</x:f>
        <x:v>6</x:v>
      </x:c>
      <x:c r="F17" s="72" t="n">
        <x:f>IF(OR('Inputs'!$B$13&lt;=0,E17=0),0,('Inputs'!$B$12*'Inputs'!$B$14/'Inputs'!$B$13)/E17)</x:f>
        <x:v>4.444444444444445</x:v>
      </x:c>
      <x:c r="G17" s="70" t="n">
        <x:f>C17*'Inputs'!$B$14-'Inputs'!$B$15-'Inputs'!$B$16</x:f>
        <x:v>-17.746944420607996</x:v>
      </x:c>
      <x:c r="H17" s="70" t="n">
        <x:f>H16+G17</x:f>
        <x:v>159.15120293299205</x:v>
      </x:c>
    </x:row>
    <x:row r="18" ht="20" customHeight="1">
      <x:c r="A18" s="66" t="n">
        <x:v>7</x:v>
      </x:c>
      <x:c r="B18" s="68" t="n">
        <x:f>MAX(0,B17+'Inputs'!$B$11-B17*'Inputs'!$B$13)</x:f>
        <x:v>80.4818298900128</x:v>
      </x:c>
      <x:c r="C18" s="70" t="n">
        <x:f>MAX(0,C17+'Inputs'!$B$11*'Inputs'!$B$12-C17*'Inputs'!$B$13)</x:f>
        <x:v>80.4818298900128</x:v>
      </x:c>
      <x:c r="D18" s="70" t="n">
        <x:f>C18*12</x:f>
        <x:v>965.7819586801536</x:v>
      </x:c>
      <x:c r="E18" s="70" t="n">
        <x:f>IF('Inputs'!$B$11=0,0,'Inputs'!$B$15/'Inputs'!$B$11)</x:f>
        <x:v>6</x:v>
      </x:c>
      <x:c r="F18" s="72" t="n">
        <x:f>IF(OR('Inputs'!$B$13&lt;=0,E18=0),0,('Inputs'!$B$12*'Inputs'!$B$14/'Inputs'!$B$13)/E18)</x:f>
        <x:v>4.444444444444445</x:v>
      </x:c>
      <x:c r="G18" s="70" t="n">
        <x:f>C18*'Inputs'!$B$14-'Inputs'!$B$15-'Inputs'!$B$16</x:f>
        <x:v>-15.614536087989748</x:v>
      </x:c>
      <x:c r="H18" s="70" t="n">
        <x:f>H17+G18</x:f>
        <x:v>143.5366668450023</x:v>
      </x:c>
    </x:row>
    <x:row r="19" ht="20" customHeight="1">
      <x:c r="A19" s="66" t="n">
        <x:v>8</x:v>
      </x:c>
      <x:c r="B19" s="68" t="n">
        <x:f>MAX(0,B18+'Inputs'!$B$11-B18*'Inputs'!$B$13)</x:f>
        <x:v>83.06737499331243</x:v>
      </x:c>
      <x:c r="C19" s="70" t="n">
        <x:f>MAX(0,C18+'Inputs'!$B$11*'Inputs'!$B$12-C18*'Inputs'!$B$13)</x:f>
        <x:v>83.06737499331243</x:v>
      </x:c>
      <x:c r="D19" s="70" t="n">
        <x:f>C19*12</x:f>
        <x:v>996.8084999197491</x:v>
      </x:c>
      <x:c r="E19" s="70" t="n">
        <x:f>IF('Inputs'!$B$11=0,0,'Inputs'!$B$15/'Inputs'!$B$11)</x:f>
        <x:v>6</x:v>
      </x:c>
      <x:c r="F19" s="72" t="n">
        <x:f>IF(OR('Inputs'!$B$13&lt;=0,E19=0),0,('Inputs'!$B$12*'Inputs'!$B$14/'Inputs'!$B$13)/E19)</x:f>
        <x:v>4.444444444444445</x:v>
      </x:c>
      <x:c r="G19" s="70" t="n">
        <x:f>C19*'Inputs'!$B$14-'Inputs'!$B$15-'Inputs'!$B$16</x:f>
        <x:v>-13.546100005350056</x:v>
      </x:c>
      <x:c r="H19" s="70" t="n">
        <x:f>H18+G19</x:f>
        <x:v>129.99056683965222</x:v>
      </x:c>
    </x:row>
    <x:row r="20" ht="20" customHeight="1">
      <x:c r="A20" s="66" t="n">
        <x:v>9</x:v>
      </x:c>
      <x:c r="B20" s="68" t="n">
        <x:f>MAX(0,B19+'Inputs'!$B$11-B19*'Inputs'!$B$13)</x:f>
        <x:v>85.57535374351305</x:v>
      </x:c>
      <x:c r="C20" s="70" t="n">
        <x:f>MAX(0,C19+'Inputs'!$B$11*'Inputs'!$B$12-C19*'Inputs'!$B$13)</x:f>
        <x:v>85.57535374351305</x:v>
      </x:c>
      <x:c r="D20" s="70" t="n">
        <x:f>C20*12</x:f>
        <x:v>1026.9042449221565</x:v>
      </x:c>
      <x:c r="E20" s="70" t="n">
        <x:f>IF('Inputs'!$B$11=0,0,'Inputs'!$B$15/'Inputs'!$B$11)</x:f>
        <x:v>6</x:v>
      </x:c>
      <x:c r="F20" s="72" t="n">
        <x:f>IF(OR('Inputs'!$B$13&lt;=0,E20=0),0,('Inputs'!$B$12*'Inputs'!$B$14/'Inputs'!$B$13)/E20)</x:f>
        <x:v>4.444444444444445</x:v>
      </x:c>
      <x:c r="G20" s="70" t="n">
        <x:f>C20*'Inputs'!$B$14-'Inputs'!$B$15-'Inputs'!$B$16</x:f>
        <x:v>-11.539717005189559</x:v>
      </x:c>
      <x:c r="H20" s="70" t="n">
        <x:f>H19+G20</x:f>
        <x:v>118.45084983446266</x:v>
      </x:c>
    </x:row>
    <x:row r="21" ht="20" customHeight="1">
      <x:c r="A21" s="66" t="n">
        <x:v>10</x:v>
      </x:c>
      <x:c r="B21" s="68" t="n">
        <x:f>MAX(0,B20+'Inputs'!$B$11-B20*'Inputs'!$B$13)</x:f>
        <x:v>88.00809313120766</x:v>
      </x:c>
      <x:c r="C21" s="70" t="n">
        <x:f>MAX(0,C20+'Inputs'!$B$11*'Inputs'!$B$12-C20*'Inputs'!$B$13)</x:f>
        <x:v>88.00809313120766</x:v>
      </x:c>
      <x:c r="D21" s="70" t="n">
        <x:f>C21*12</x:f>
        <x:v>1056.097117574492</x:v>
      </x:c>
      <x:c r="E21" s="70" t="n">
        <x:f>IF('Inputs'!$B$11=0,0,'Inputs'!$B$15/'Inputs'!$B$11)</x:f>
        <x:v>6</x:v>
      </x:c>
      <x:c r="F21" s="72" t="n">
        <x:f>IF(OR('Inputs'!$B$13&lt;=0,E21=0),0,('Inputs'!$B$12*'Inputs'!$B$14/'Inputs'!$B$13)/E21)</x:f>
        <x:v>4.444444444444445</x:v>
      </x:c>
      <x:c r="G21" s="70" t="n">
        <x:f>C21*'Inputs'!$B$14-'Inputs'!$B$15-'Inputs'!$B$16</x:f>
        <x:v>-9.593525495033873</x:v>
      </x:c>
      <x:c r="H21" s="70" t="n">
        <x:f>H20+G21</x:f>
        <x:v>108.85732433942879</x:v>
      </x:c>
    </x:row>
    <x:row r="22" ht="20" customHeight="1">
      <x:c r="A22" s="66" t="n">
        <x:v>11</x:v>
      </x:c>
      <x:c r="B22" s="68" t="n">
        <x:f>MAX(0,B21+'Inputs'!$B$11-B21*'Inputs'!$B$13)</x:f>
        <x:v>90.36785033727143</x:v>
      </x:c>
      <x:c r="C22" s="70" t="n">
        <x:f>MAX(0,C21+'Inputs'!$B$11*'Inputs'!$B$12-C21*'Inputs'!$B$13)</x:f>
        <x:v>90.36785033727143</x:v>
      </x:c>
      <x:c r="D22" s="70" t="n">
        <x:f>C22*12</x:f>
        <x:v>1084.4142040472573</x:v>
      </x:c>
      <x:c r="E22" s="70" t="n">
        <x:f>IF('Inputs'!$B$11=0,0,'Inputs'!$B$15/'Inputs'!$B$11)</x:f>
        <x:v>6</x:v>
      </x:c>
      <x:c r="F22" s="72" t="n">
        <x:f>IF(OR('Inputs'!$B$13&lt;=0,E22=0),0,('Inputs'!$B$12*'Inputs'!$B$14/'Inputs'!$B$13)/E22)</x:f>
        <x:v>4.444444444444445</x:v>
      </x:c>
      <x:c r="G22" s="70" t="n">
        <x:f>C22*'Inputs'!$B$14-'Inputs'!$B$15-'Inputs'!$B$16</x:f>
        <x:v>-7.7057197301828495</x:v>
      </x:c>
      <x:c r="H22" s="70" t="n">
        <x:f>H21+G22</x:f>
        <x:v>101.15160460924594</x:v>
      </x:c>
    </x:row>
    <x:row r="23" ht="20" customHeight="1">
      <x:c r="A23" s="66" t="n">
        <x:v>12</x:v>
      </x:c>
      <x:c r="B23" s="68" t="n">
        <x:f>MAX(0,B22+'Inputs'!$B$11-B22*'Inputs'!$B$13)</x:f>
        <x:v>92.6568148271533</x:v>
      </x:c>
      <x:c r="C23" s="70" t="n">
        <x:f>MAX(0,C22+'Inputs'!$B$11*'Inputs'!$B$12-C22*'Inputs'!$B$13)</x:f>
        <x:v>92.6568148271533</x:v>
      </x:c>
      <x:c r="D23" s="70" t="n">
        <x:f>C23*12</x:f>
        <x:v>1111.8817779258395</x:v>
      </x:c>
      <x:c r="E23" s="70" t="n">
        <x:f>IF('Inputs'!$B$11=0,0,'Inputs'!$B$15/'Inputs'!$B$11)</x:f>
        <x:v>6</x:v>
      </x:c>
      <x:c r="F23" s="72" t="n">
        <x:f>IF(OR('Inputs'!$B$13&lt;=0,E23=0),0,('Inputs'!$B$12*'Inputs'!$B$14/'Inputs'!$B$13)/E23)</x:f>
        <x:v>4.444444444444445</x:v>
      </x:c>
      <x:c r="G23" s="70" t="n">
        <x:f>C23*'Inputs'!$B$14-'Inputs'!$B$15-'Inputs'!$B$16</x:f>
        <x:v>-5.874548138277362</x:v>
      </x:c>
      <x:c r="H23" s="70" t="n">
        <x:f>H22+G23</x:f>
        <x:v>95.27705647096857</x:v>
      </x:c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62" t="str">
        <x:v>ANNUAL MRR &amp; CASH BRIDGE</x:v>
      </x:c>
      <x:c r="B25" s="62"/>
      <x:c r="C25" s="62"/>
      <x:c r="D25" s="62"/>
      <x:c r="E25" s="62"/>
      <x:c r="F25" s="62"/>
      <x:c r="G25" s="62"/>
      <x:c r="H25" s="62"/>
    </x:row>
    <x:row r="26" ht="20" customHeight="1">
      <x:c r="A26" s="63" t="str">
        <x:v>Metric</x:v>
      </x:c>
      <x:c r="B26" s="63" t="str">
        <x:v>Value</x:v>
      </x:c>
      <x:c r="C26" s="63" t="str">
        <x:v>Unit</x:v>
      </x:c>
      <x:c r="D26" s="111" t="str">
        <x:v>Notes</x:v>
      </x:c>
      <x:c r="E26" s="63"/>
      <x:c r="F26" s="63"/>
      <x:c r="G26" s="63"/>
      <x:c r="H26" s="63"/>
    </x:row>
    <x:row r="27" ht="20" customHeight="1">
      <x:c r="A27" s="29" t="str">
        <x:v>Ending MRR</x:v>
      </x:c>
      <x:c r="B27" s="77" t="n">
        <x:f>C23</x:f>
        <x:v>92.6568148271533</x:v>
      </x:c>
      <x:c r="C27" s="29" t="str">
        <x:v>LCY 000 / month</x:v>
      </x:c>
      <x:c r="D27" s="37" t="str">
        <x:v>Recurring revenue in month 12</x:v>
      </x:c>
      <x:c r="E27" s="38"/>
      <x:c r="F27" s="38"/>
      <x:c r="G27" s="38"/>
      <x:c r="H27" s="38"/>
    </x:row>
    <x:row r="28" ht="20" customHeight="1">
      <x:c r="A28" s="29" t="str">
        <x:v>Gross new MRR added</x:v>
      </x:c>
      <x:c r="B28" s="80" t="n">
        <x:f>12*'Inputs'!$B$11*'Inputs'!$B$12</x:f>
        <x:v>60</x:v>
      </x:c>
      <x:c r="C28" s="29" t="str">
        <x:v>LCY 000</x:v>
      </x:c>
      <x:c r="D28" s="37" t="str">
        <x:v>Twelve months of gross customer additions × ARPA</x:v>
      </x:c>
      <x:c r="E28" s="38"/>
      <x:c r="F28" s="38"/>
      <x:c r="G28" s="38"/>
      <x:c r="H28" s="38"/>
    </x:row>
    <x:row r="29" ht="20" customHeight="1">
      <x:c r="A29" s="29" t="str">
        <x:v>MRR lost to churn</x:v>
      </x:c>
      <x:c r="B29" s="80" t="n">
        <x:f>SUM('Inputs'!$B$10*'Inputs'!$B$13,C12*'Inputs'!$B$13,C13*'Inputs'!$B$13,C14*'Inputs'!$B$13,C15*'Inputs'!$B$13,C16*'Inputs'!$B$13,C17*'Inputs'!$B$13,C18*'Inputs'!$B$13,C19*'Inputs'!$B$13,C20*'Inputs'!$B$13,C21*'Inputs'!$B$13,C22*'Inputs'!$B$13)</x:f>
        <x:v>27.343185172846724</x:v>
      </x:c>
      <x:c r="C29" s="29" t="str">
        <x:v>LCY 000</x:v>
      </x:c>
      <x:c r="D29" s="37" t="str">
        <x:v>Monthly opening MRR × churn rate</x:v>
      </x:c>
      <x:c r="E29" s="38"/>
      <x:c r="F29" s="38"/>
      <x:c r="G29" s="38"/>
      <x:c r="H29" s="38"/>
    </x:row>
    <x:row r="30" ht="20" customHeight="1">
      <x:c r="A30" s="11" t="str">
        <x:v>Net new ARR</x:v>
      </x:c>
      <x:c r="B30" s="83" t="n">
        <x:f>(B27-'Inputs'!$B$10)*12</x:f>
        <x:v>391.8817779258396</x:v>
      </x:c>
      <x:c r="C30" s="11" t="str">
        <x:v>LCY 000</x:v>
      </x:c>
      <x:c r="D30" s="87" t="str">
        <x:v>Ending MRR less opening MRR, annualized</x:v>
      </x:c>
      <x:c r="E30" s="88"/>
      <x:c r="F30" s="88"/>
      <x:c r="G30" s="88"/>
      <x:c r="H30" s="88"/>
    </x:row>
    <x:row r="31" ht="20" customHeight="1">
      <x:c r="A31" s="29" t="str">
        <x:v>Twelve-month gross profit</x:v>
      </x:c>
      <x:c r="B31" s="80" t="n">
        <x:f>SUM(C12:C23)*'Inputs'!$B$14</x:f>
        <x:v>755.2770564709687</x:v>
      </x:c>
      <x:c r="C31" s="29" t="str">
        <x:v>LCY 000</x:v>
      </x:c>
      <x:c r="D31" s="37" t="str">
        <x:v>Monthly MRR × gross margin across the plan</x:v>
      </x:c>
      <x:c r="E31" s="38"/>
      <x:c r="F31" s="38"/>
      <x:c r="G31" s="38"/>
      <x:c r="H31" s="38"/>
    </x:row>
    <x:row r="32" ht="20" customHeight="1">
      <x:c r="A32" s="29" t="str">
        <x:v>Sales &amp; marketing spend</x:v>
      </x:c>
      <x:c r="B32" s="80" t="n">
        <x:f>12*'Inputs'!$B$15</x:f>
        <x:v>360</x:v>
      </x:c>
      <x:c r="C32" s="29" t="str">
        <x:v>LCY 000</x:v>
      </x:c>
      <x:c r="D32" s="37" t="str">
        <x:v>Monthly acquisition spend across twelve months</x:v>
      </x:c>
      <x:c r="E32" s="38"/>
      <x:c r="F32" s="38"/>
      <x:c r="G32" s="38"/>
      <x:c r="H32" s="38"/>
    </x:row>
    <x:row r="33" ht="20" customHeight="1">
      <x:c r="A33" s="29" t="str">
        <x:v>Other operating spend</x:v>
      </x:c>
      <x:c r="B33" s="80" t="n">
        <x:f>12*'Inputs'!$B$16</x:f>
        <x:v>600</x:v>
      </x:c>
      <x:c r="C33" s="29" t="str">
        <x:v>LCY 000</x:v>
      </x:c>
      <x:c r="D33" s="37" t="str">
        <x:v>Monthly other opex across twelve months</x:v>
      </x:c>
      <x:c r="E33" s="38"/>
      <x:c r="F33" s="38"/>
      <x:c r="G33" s="38"/>
      <x:c r="H33" s="38"/>
    </x:row>
    <x:row r="34" ht="20" customHeight="1">
      <x:c r="A34" s="11" t="str">
        <x:v>Twelve-month EBITDA</x:v>
      </x:c>
      <x:c r="B34" s="90" t="n">
        <x:f>SUM(G12:G23)</x:f>
        <x:v>-204.72294352903145</x:v>
      </x:c>
      <x:c r="C34" s="11" t="str">
        <x:v>LCY 000</x:v>
      </x:c>
      <x:c r="D34" s="87" t="str">
        <x:v>Gross profit less sales &amp; marketing and other opex</x:v>
      </x:c>
      <x:c r="E34" s="88"/>
      <x:c r="F34" s="88"/>
      <x:c r="G34" s="88"/>
      <x:c r="H34" s="88"/>
    </x:row>
    <x:row r="35" ht="20" customHeight="1">
      <x:c r="A35" s="29" t="str">
        <x:v>CAC payback</x:v>
      </x:c>
      <x:c r="B35" s="92" t="n">
        <x:f>IF('Inputs'!$B$12*'Inputs'!$B$14=0,0,E23/('Inputs'!$B$12*'Inputs'!$B$14))</x:f>
        <x:v>7.5</x:v>
      </x:c>
      <x:c r="C35" s="29" t="str">
        <x:v>months</x:v>
      </x:c>
      <x:c r="D35" s="37" t="str">
        <x:v>CAC divided by monthly gross profit per customer</x:v>
      </x:c>
      <x:c r="E35" s="38"/>
      <x:c r="F35" s="38"/>
      <x:c r="G35" s="38"/>
      <x:c r="H35" s="38"/>
    </x:row>
    <x:row r="36" ht="20" customHeight="1">
      <x:c r="A36" s="29" t="str">
        <x:v>Total burn</x:v>
      </x:c>
      <x:c r="B36" s="77" t="n">
        <x:f>-SUMIF(G12:G23,"&lt;0",G12:G23)</x:f>
        <x:v>204.72294352903145</x:v>
      </x:c>
      <x:c r="C36" s="29" t="str">
        <x:v>LCY 000</x:v>
      </x:c>
      <x:c r="D36" s="37" t="str">
        <x:v>Sum of negative monthly EBITDA</x:v>
      </x:c>
      <x:c r="E36" s="38"/>
      <x:c r="F36" s="38"/>
      <x:c r="G36" s="38"/>
      <x:c r="H36" s="38"/>
    </x:row>
    <x:row r="37" ht="20" customHeight="1">
      <x:c r="A37" s="29" t="str">
        <x:v>Burn multiple</x:v>
      </x:c>
      <x:c r="B37" s="94" t="n">
        <x:f>IF(B30&lt;=0,"N/A",B36/B30)</x:f>
        <x:v>0.5224099589743456</x:v>
      </x:c>
      <x:c r="C37" s="29" t="str">
        <x:v>x</x:v>
      </x:c>
      <x:c r="D37" s="37" t="str">
        <x:v>Total burn divided by net new ARR; N/A when ARR does not grow</x:v>
      </x:c>
      <x:c r="E37" s="38"/>
      <x:c r="F37" s="38"/>
      <x:c r="G37" s="38"/>
      <x:c r="H37" s="38"/>
    </x:row>
    <x:row r="38" ht="20" customHeight="1">
      <x:c r="A38" s="29" t="str">
        <x:v>First negative-cash month</x:v>
      </x:c>
      <x:c r="B38" s="96" t="n">
        <x:f>IF(COUNTIF(H12:H23,"&lt;0")=0,0,MINIFS(A12:A23,H12:H23,"&lt;0"))</x:f>
        <x:v>0</x:v>
      </x:c>
      <x:c r="C38" s="29" t="str">
        <x:v>month</x:v>
      </x:c>
      <x:c r="D38" s="37" t="str">
        <x:v>Zero means cash stays positive</x:v>
      </x:c>
      <x:c r="E38" s="38"/>
      <x:c r="F38" s="38"/>
      <x:c r="G38" s="38"/>
      <x:c r="H38" s="38"/>
    </x:row>
    <x:row r="39" ht="20" customHeight="1">
      <x:c r="A39" s="11" t="str">
        <x:v>Closing cash</x:v>
      </x:c>
      <x:c r="B39" s="90" t="n">
        <x:f>H23</x:f>
        <x:v>95.27705647096857</x:v>
      </x:c>
      <x:c r="C39" s="11" t="str">
        <x:v>LCY 000</x:v>
      </x:c>
      <x:c r="D39" s="87" t="str">
        <x:v>Opening cash plus the twelve monthly EBITDA results</x:v>
      </x:c>
      <x:c r="E39" s="88"/>
      <x:c r="F39" s="88"/>
      <x:c r="G39" s="88"/>
      <x:c r="H39" s="88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</x:row>
    <x:row r="42" ht="20" customHeight="1">
      <x:c r="A42" s="172" t="str">
        <x:f>IF(B38&gt;0,"CASH RUNS OUT IN THE PLAN",IF(H23&lt;'Inputs'!$B$17,"CASH DECLINES · monitor runway","CASH GROWS IN THIS PLAN"))</x:f>
        <x:v>CASH DECLINES · monitor runway</x:v>
      </x:c>
      <x:c r="B42" s="173"/>
      <x:c r="C42" s="173"/>
      <x:c r="D42" s="173"/>
      <x:c r="E42" s="173"/>
      <x:c r="F42" s="173"/>
      <x:c r="G42" s="173"/>
      <x:c r="H42" s="174"/>
    </x:row>
    <x:row r="43" ht="20" customHeight="1">
      <x:c r="A43" s="175"/>
      <x:c r="B43" s="176"/>
      <x:c r="C43" s="176"/>
      <x:c r="D43" s="176"/>
      <x:c r="E43" s="176"/>
      <x:c r="F43" s="176"/>
      <x:c r="G43" s="176"/>
      <x:c r="H43" s="177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</x:row>
    <x:row r="47" ht="20" customHeight="1">
      <x:c r="A47" s="60" t="str">
        <x:v>SaaS Unit Economics · Twelve monthly periods + annual MRR and cash bridge</x:v>
      </x:c>
      <x:c r="B47" s="60"/>
      <x:c r="C47" s="60"/>
      <x:c r="D47" s="60"/>
      <x:c r="E47" s="60"/>
      <x:c r="F47" s="60"/>
      <x:c r="G47" s="60"/>
      <x:c r="H47" s="60"/>
    </x:row>
  </x:sheetData>
  <x:mergeCells>
    <x:mergeCell ref="A1:H2"/>
    <x:mergeCell ref="A3:H3"/>
    <x:mergeCell ref="A10:H10"/>
    <x:mergeCell ref="A25:H25"/>
    <x:mergeCell ref="D26:H26"/>
    <x:mergeCell ref="D27:H27"/>
    <x:mergeCell ref="D28:H28"/>
    <x:mergeCell ref="D29:H29"/>
    <x:mergeCell ref="D30:H30"/>
    <x:mergeCell ref="D31:H31"/>
    <x:mergeCell ref="D32:H32"/>
    <x:mergeCell ref="D33:H33"/>
    <x:mergeCell ref="D34:H34"/>
    <x:mergeCell ref="D35:H35"/>
    <x:mergeCell ref="D36:H36"/>
    <x:mergeCell ref="D37:H37"/>
    <x:mergeCell ref="D38:H38"/>
    <x:mergeCell ref="D39:H39"/>
    <x:mergeCell ref="A5:B5"/>
    <x:mergeCell ref="A6:B8"/>
    <x:mergeCell ref="C5:D5"/>
    <x:mergeCell ref="C6:D8"/>
    <x:mergeCell ref="E5:F5"/>
    <x:mergeCell ref="E6:F8"/>
    <x:mergeCell ref="G5:H5"/>
    <x:mergeCell ref="G6:H8"/>
    <x:mergeCell ref="A42:H43"/>
    <x:mergeCell ref="A47:H4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SaaS Unit Economics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4" t="str">
        <x:v>ENDING ARR</x:v>
      </x:c>
      <x:c r="B5" s="115"/>
      <x:c r="C5" s="114" t="str">
        <x:v>LTV / CAC</x:v>
      </x:c>
      <x:c r="D5" s="115"/>
      <x:c r="E5" s="114" t="str">
        <x:v>CAC PAYBACK</x:v>
      </x:c>
      <x:c r="F5" s="115"/>
      <x:c r="G5" s="114" t="str">
        <x:v>CLOSING CASH</x:v>
      </x:c>
      <x:c r="H5" s="115"/>
    </x:row>
    <x:row r="6" ht="20" customHeight="1">
      <x:c r="A6" s="129" t="n">
        <x:f>'Model'!A6</x:f>
        <x:v>1111.8817779258395</x:v>
      </x:c>
      <x:c r="B6" s="130"/>
      <x:c r="C6" s="141" t="n">
        <x:f>'Model'!C6</x:f>
        <x:v>4.444444444444445</x:v>
      </x:c>
      <x:c r="D6" s="142"/>
      <x:c r="E6" s="153" t="n">
        <x:f>'Model'!E6</x:f>
        <x:v>7.5</x:v>
      </x:c>
      <x:c r="F6" s="154"/>
      <x:c r="G6" s="129" t="n">
        <x:f>'Model'!G6</x:f>
        <x:v>95.27705647096857</x:v>
      </x:c>
      <x:c r="H6" s="130"/>
    </x:row>
    <x:row r="7" ht="20" customHeight="1">
      <x:c r="A7" s="131"/>
      <x:c r="B7" s="132"/>
      <x:c r="C7" s="143"/>
      <x:c r="D7" s="144"/>
      <x:c r="E7" s="155"/>
      <x:c r="F7" s="156"/>
      <x:c r="G7" s="131"/>
      <x:c r="H7" s="132"/>
    </x:row>
    <x:row r="8" ht="20" customHeight="1">
      <x:c r="A8" s="133"/>
      <x:c r="B8" s="134"/>
      <x:c r="C8" s="145"/>
      <x:c r="D8" s="146"/>
      <x:c r="E8" s="157"/>
      <x:c r="F8" s="158"/>
      <x:c r="G8" s="133"/>
      <x:c r="H8" s="134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79" t="str">
        <x:v>CALCULATION STATUS</x:v>
      </x:c>
      <x:c r="B11" s="179"/>
      <x:c r="C11" s="183" t="str">
        <x:f>'Checks'!B4</x:f>
        <x:v>PASS</x:v>
      </x:c>
      <x:c r="D11" s="184"/>
      <x:c r="E11" s="179" t="str">
        <x:v>SAAS RUNWAY OUTCOME</x:v>
      </x:c>
      <x:c r="F11" s="179"/>
      <x:c r="G11" s="190" t="str">
        <x:f>'Model'!A42</x:f>
        <x:v>CASH DECLINES · monitor runway</x:v>
      </x:c>
      <x:c r="H11" s="191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99" t="str">
        <x:v>Does a steady growth plan create efficient ARR without using too much cash?</x:v>
      </x:c>
      <x:c r="B14" s="200"/>
      <x:c r="C14" s="200"/>
      <x:c r="D14" s="200"/>
      <x:c r="E14" s="200"/>
      <x:c r="F14" s="200"/>
      <x:c r="G14" s="200"/>
      <x:c r="H14" s="201"/>
    </x:row>
    <x:row r="15" ht="20" customHeight="1">
      <x:c r="A15" s="202"/>
      <x:c r="B15" s="203"/>
      <x:c r="C15" s="203"/>
      <x:c r="D15" s="203"/>
      <x:c r="E15" s="203"/>
      <x:c r="F15" s="203"/>
      <x:c r="G15" s="203"/>
      <x:c r="H15" s="204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78" t="str">
        <x:v>Forecast</x:v>
      </x:c>
      <x:c r="B18" s="178"/>
      <x:c r="C18" s="192" t="str">
        <x:v>12 months</x:v>
      </x:c>
      <x:c r="D18" s="192"/>
      <x:c r="E18" s="192"/>
      <x:c r="F18" s="192"/>
      <x:c r="G18" s="192"/>
      <x:c r="H18" s="192"/>
    </x:row>
    <x:row r="19" ht="20" customHeight="1">
      <x:c r="A19" s="178" t="str">
        <x:v>Editable inputs</x:v>
      </x:c>
      <x:c r="B19" s="178"/>
      <x:c r="C19" s="192" t="str">
        <x:v>8</x:v>
      </x:c>
      <x:c r="D19" s="192"/>
      <x:c r="E19" s="192"/>
      <x:c r="F19" s="192"/>
      <x:c r="G19" s="192"/>
      <x:c r="H19" s="192"/>
    </x:row>
    <x:row r="20" ht="20" customHeight="1">
      <x:c r="A20" s="178" t="str">
        <x:v>Calculation detail</x:v>
      </x:c>
      <x:c r="B20" s="178"/>
      <x:c r="C20" s="192" t="str">
        <x:v>Visible formulas, schedules, roll-forwards, and bridges</x:v>
      </x:c>
      <x:c r="D20" s="192"/>
      <x:c r="E20" s="192"/>
      <x:c r="F20" s="192"/>
      <x:c r="G20" s="192"/>
      <x:c r="H20" s="192"/>
    </x:row>
    <x:row r="21" ht="20" customHeight="1">
      <x:c r="A21" s="178" t="str">
        <x:v>Workbook flow</x:v>
      </x:c>
      <x:c r="B21" s="178"/>
      <x:c r="C21" s="192" t="str">
        <x:v>Start → Inputs → Model → Results → Checks</x:v>
      </x:c>
      <x:c r="D21" s="192"/>
      <x:c r="E21" s="192"/>
      <x:c r="F21" s="192"/>
      <x:c r="G21" s="192"/>
      <x:c r="H21" s="192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213" t="str">
        <x:v>Included: One steady twelve-month customer plan · ARR, CAC, LTV/CAC, payback, and burn · Monthly MRR, ARR, EBITDA, and cash roll-forward plus an annual bridge</x:v>
      </x:c>
      <x:c r="B24" s="214"/>
      <x:c r="C24" s="214"/>
      <x:c r="D24" s="214"/>
      <x:c r="E24" s="214"/>
      <x:c r="F24" s="214"/>
      <x:c r="G24" s="214"/>
      <x:c r="H24" s="215"/>
    </x:row>
    <x:row r="25" ht="20" customHeight="1">
      <x:c r="A25" s="216"/>
      <x:c r="B25" s="217"/>
      <x:c r="C25" s="217"/>
      <x:c r="D25" s="217"/>
      <x:c r="E25" s="217"/>
      <x:c r="F25" s="217"/>
      <x:c r="G25" s="217"/>
      <x:c r="H25" s="218"/>
    </x:row>
    <x:row r="26" ht="20" customHeight="1">
      <x:c r="A26" s="219"/>
      <x:c r="B26" s="220"/>
      <x:c r="C26" s="220"/>
      <x:c r="D26" s="220"/>
      <x:c r="E26" s="220"/>
      <x:c r="F26" s="220"/>
      <x:c r="G26" s="220"/>
      <x:c r="H26" s="221"/>
    </x:row>
    <x:row r="27" ht="20" customHeight="1">
      <x:c r="A27" s="54" t="str">
        <x:v>Outside this model: Cohorts, expansion, contraction, funding rounds, deferred revenue, GAAP revenue, and fundraising advice.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25" t="str">
        <x:v>Five visible tabs · No hidden calculations · Calculation status and business outcome are reported separately.</x:v>
      </x:c>
      <x:c r="B29" s="226"/>
      <x:c r="C29" s="226"/>
      <x:c r="D29" s="226"/>
      <x:c r="E29" s="226"/>
      <x:c r="F29" s="226"/>
      <x:c r="G29" s="226"/>
      <x:c r="H29" s="22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SaaS Unit Economics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SaaS Unit Economics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28" t="str">
        <x:f>IF(COUNTIF(F9:F18,"PASS")=10,"PASS","FAIL")</x:f>
        <x:v>PASS</x:v>
      </x:c>
      <x:c r="C4" s="228"/>
      <x:c r="D4" s="228"/>
      <x:c r="E4" s="228"/>
      <x:c r="F4" s="228"/>
      <x:c r="G4" s="228"/>
      <x:c r="H4" s="228"/>
    </x:row>
    <x:row r="5" ht="20" customHeight="1">
      <x:c r="A5" s="60" t="str">
        <x:v>MODEL STATUS</x:v>
      </x:c>
      <x:c r="B5" s="60"/>
      <x:c r="C5" s="183" t="str">
        <x:f>B4</x:f>
        <x:v>PASS</x:v>
      </x:c>
      <x:c r="D5" s="230"/>
      <x:c r="E5" s="230"/>
      <x:c r="F5" s="230"/>
      <x:c r="G5" s="230"/>
      <x:c r="H5" s="184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217" t="str">
        <x:v>All editable inputs are numeric</x:v>
      </x:c>
      <x:c r="B9" s="232" t="n">
        <x:f>ROUND(COUNT('Inputs'!B10,'Inputs'!B11,'Inputs'!B12,'Inputs'!B13,'Inputs'!B14,'Inputs'!B15,'Inputs'!B16,'Inputs'!B17),6)</x:f>
        <x:v>8</x:v>
      </x:c>
      <x:c r="C9" s="232" t="n">
        <x:f>8</x:f>
        <x:v>8</x:v>
      </x:c>
      <x:c r="D9" s="232" t="n">
        <x:f>ROUND(B9-C9,6)</x:f>
        <x:v>0</x:v>
      </x:c>
      <x:c r="E9" s="232" t="n">
        <x:f>0</x:f>
        <x:v>0</x:v>
      </x:c>
      <x:c r="F9" s="233" t="str">
        <x:f>IF(ABS(ROUND(D9,6))&lt;=E9,"PASS","FAIL")</x:f>
        <x:v>PASS</x:v>
      </x:c>
      <x:c r="G9" s="217" t="str">
        <x:v>Complete the blue cells on Inputs</x:v>
      </x:c>
      <x:c r="H9" s="217"/>
    </x:row>
    <x:row r="10" ht="26" customHeight="1">
      <x:c r="A10" s="217" t="str">
        <x:v>Results headline KPIs reconcile to Model</x:v>
      </x:c>
      <x:c r="B10" s="235" t="n">
        <x:f>ROUND(IFERROR(SUM(ABS('Results'!A6-'Model'!A6),ABS('Results'!C6-'Model'!C6),ABS('Results'!E6-'Model'!E6),ABS('Results'!G6-'Model'!G6)),1E+99),6)</x:f>
        <x:v>0</x:v>
      </x:c>
      <x:c r="C10" s="235" t="n">
        <x:f>0</x:f>
        <x:v>0</x:v>
      </x:c>
      <x:c r="D10" s="235" t="n">
        <x:f>ROUND(B10-C10,6)</x:f>
        <x:v>0</x:v>
      </x:c>
      <x:c r="E10" s="235" t="n">
        <x:f>0.0001</x:f>
        <x:v>0.0001</x:v>
      </x:c>
      <x:c r="F10" s="233" t="str">
        <x:f>IF(ABS(ROUND(D10,6))&lt;=E10,"PASS","FAIL")</x:f>
        <x:v>PASS</x:v>
      </x:c>
      <x:c r="G10" s="217" t="str">
        <x:v>Review Results-to-Model links</x:v>
      </x:c>
      <x:c r="H10" s="217"/>
    </x:row>
    <x:row r="11" ht="26" customHeight="1">
      <x:c r="A11" s="217" t="str">
        <x:v>SaaS assumptions are valid</x:v>
      </x:c>
      <x:c r="B11" s="235" t="n">
        <x:f>ROUND(IF(AND('Inputs'!$B$10&gt;=0,'Inputs'!$B$11&gt;=0,'Inputs'!$B$12&gt;0,'Inputs'!$B$13&gt;0,'Inputs'!$B$13&lt;=1,'Inputs'!$B$14&gt;=0,'Inputs'!$B$14&lt;=1,'Inputs'!$B$15&gt;=0,'Inputs'!$B$16&gt;=0,'Inputs'!$B$17&gt;=0),1,0),6)</x:f>
        <x:v>1</x:v>
      </x:c>
      <x:c r="C11" s="235" t="n">
        <x:f>1</x:f>
        <x:v>1</x:v>
      </x:c>
      <x:c r="D11" s="235" t="n">
        <x:f>ROUND(B11-C11,6)</x:f>
        <x:v>0</x:v>
      </x:c>
      <x:c r="E11" s="235" t="n">
        <x:f>0.0001</x:f>
        <x:v>0.0001</x:v>
      </x:c>
      <x:c r="F11" s="233" t="str">
        <x:f>IF(ABS(ROUND(D11,6))&lt;=E11,"PASS","FAIL")</x:f>
        <x:v>PASS</x:v>
      </x:c>
      <x:c r="G11" s="217" t="str">
        <x:v>Inputs: growth, churn, and spend</x:v>
      </x:c>
      <x:c r="H11" s="217"/>
    </x:row>
    <x:row r="12" ht="26" customHeight="1">
      <x:c r="A12" s="217" t="str">
        <x:v>ARR equals MRR × 12</x:v>
      </x:c>
      <x:c r="B12" s="237" t="n">
        <x:f>ROUND(SUM(ABS('Model'!D12-'Model'!C12*12),ABS('Model'!D13-'Model'!C13*12),ABS('Model'!D14-'Model'!C14*12),ABS('Model'!D15-'Model'!C15*12),ABS('Model'!D16-'Model'!C16*12),ABS('Model'!D17-'Model'!C17*12),ABS('Model'!D18-'Model'!C18*12),ABS('Model'!D19-'Model'!C19*12),ABS('Model'!D20-'Model'!C20*12),ABS('Model'!D21-'Model'!C21*12),ABS('Model'!D22-'Model'!C22*12),ABS('Model'!D23-'Model'!C23*12)),6)</x:f>
        <x:v>0</x:v>
      </x:c>
      <x:c r="C12" s="237" t="n">
        <x:f>0</x:f>
        <x:v>0</x:v>
      </x:c>
      <x:c r="D12" s="237" t="n">
        <x:f>ROUND(B12-C12,6)</x:f>
        <x:v>0</x:v>
      </x:c>
      <x:c r="E12" s="237" t="n">
        <x:f>0.0001</x:f>
        <x:v>0.0001</x:v>
      </x:c>
      <x:c r="F12" s="233" t="str">
        <x:f>IF(ABS(ROUND(D12,6))&lt;=E12,"PASS","FAIL")</x:f>
        <x:v>PASS</x:v>
      </x:c>
      <x:c r="G12" s="217" t="str">
        <x:v>Model: ARR roll-forward</x:v>
      </x:c>
      <x:c r="H12" s="217"/>
    </x:row>
    <x:row r="13" ht="26" customHeight="1">
      <x:c r="A13" s="217" t="str">
        <x:v>Customer, MRR, cash, and annual bridges tie</x:v>
      </x:c>
      <x:c r="B13" s="237" t="n">
        <x:f>ROUND(SUM(ABS('Model'!H12-('Inputs'!$B$17+'Model'!G12)),ABS('Model'!H13-('Model'!H12+'Model'!G13)),ABS('Model'!H14-('Model'!H13+'Model'!G14)),ABS('Model'!H15-('Model'!H14+'Model'!G15)),ABS('Model'!H16-('Model'!H15+'Model'!G16)),ABS('Model'!H17-('Model'!H16+'Model'!G17)),ABS('Model'!H18-('Model'!H17+'Model'!G18)),ABS('Model'!H19-('Model'!H18+'Model'!G19)),ABS('Model'!H20-('Model'!H19+'Model'!G20)),ABS('Model'!H21-('Model'!H20+'Model'!G21)),ABS('Model'!H22-('Model'!H21+'Model'!G22)),ABS('Model'!H23-('Model'!H22+'Model'!G23)))+SUM(ABS('Model'!B12-MAX(0,IF('Inputs'!$B$12&lt;=0,0,'Inputs'!$B$10/'Inputs'!$B$12)+'Inputs'!$B$11-IF('Inputs'!$B$12&lt;=0,0,'Inputs'!$B$10/'Inputs'!$B$12)*'Inputs'!$B$13)),ABS('Model'!B13-MAX(0,'Model'!B12+'Inputs'!$B$11-'Model'!B12*'Inputs'!$B$13)),ABS('Model'!B14-MAX(0,'Model'!B13+'Inputs'!$B$11-'Model'!B13*'Inputs'!$B$13)),ABS('Model'!B15-MAX(0,'Model'!B14+'Inputs'!$B$11-'Model'!B14*'Inputs'!$B$13)),ABS('Model'!B16-MAX(0,'Model'!B15+'Inputs'!$B$11-'Model'!B15*'Inputs'!$B$13)),ABS('Model'!B17-MAX(0,'Model'!B16+'Inputs'!$B$11-'Model'!B16*'Inputs'!$B$13)),ABS('Model'!B18-MAX(0,'Model'!B17+'Inputs'!$B$11-'Model'!B17*'Inputs'!$B$13)),ABS('Model'!B19-MAX(0,'Model'!B18+'Inputs'!$B$11-'Model'!B18*'Inputs'!$B$13)),ABS('Model'!B20-MAX(0,'Model'!B19+'Inputs'!$B$11-'Model'!B19*'Inputs'!$B$13)),ABS('Model'!B21-MAX(0,'Model'!B20+'Inputs'!$B$11-'Model'!B20*'Inputs'!$B$13)),ABS('Model'!B22-MAX(0,'Model'!B21+'Inputs'!$B$11-'Model'!B21*'Inputs'!$B$13)),ABS('Model'!B23-MAX(0,'Model'!B22+'Inputs'!$B$11-'Model'!B22*'Inputs'!$B$13)))+SUM(ABS('Model'!C12-MAX(0,'Inputs'!$B$10+'Inputs'!$B$11*'Inputs'!$B$12-'Inputs'!$B$10*'Inputs'!$B$13)),ABS('Model'!C13-MAX(0,'Model'!C12+'Inputs'!$B$11*'Inputs'!$B$12-'Model'!C12*'Inputs'!$B$13)),ABS('Model'!C14-MAX(0,'Model'!C13+'Inputs'!$B$11*'Inputs'!$B$12-'Model'!C13*'Inputs'!$B$13)),ABS('Model'!C15-MAX(0,'Model'!C14+'Inputs'!$B$11*'Inputs'!$B$12-'Model'!C14*'Inputs'!$B$13)),ABS('Model'!C16-MAX(0,'Model'!C15+'Inputs'!$B$11*'Inputs'!$B$12-'Model'!C15*'Inputs'!$B$13)),ABS('Model'!C17-MAX(0,'Model'!C16+'Inputs'!$B$11*'Inputs'!$B$12-'Model'!C16*'Inputs'!$B$13)),ABS('Model'!C18-MAX(0,'Model'!C17+'Inputs'!$B$11*'Inputs'!$B$12-'Model'!C17*'Inputs'!$B$13)),ABS('Model'!C19-MAX(0,'Model'!C18+'Inputs'!$B$11*'Inputs'!$B$12-'Model'!C18*'Inputs'!$B$13)),ABS('Model'!C20-MAX(0,'Model'!C19+'Inputs'!$B$11*'Inputs'!$B$12-'Model'!C19*'Inputs'!$B$13)),ABS('Model'!C21-MAX(0,'Model'!C20+'Inputs'!$B$11*'Inputs'!$B$12-'Model'!C20*'Inputs'!$B$13)),ABS('Model'!C22-MAX(0,'Model'!C21+'Inputs'!$B$11*'Inputs'!$B$12-'Model'!C21*'Inputs'!$B$13)),ABS('Model'!C23-MAX(0,'Model'!C22+'Inputs'!$B$11*'Inputs'!$B$12-'Model'!C22*'Inputs'!$B$13)))+ABS('Model'!B27-'Inputs'!$B$10-'Model'!B28+'Model'!B29)+ABS('Model'!B34-'Model'!B31+'Model'!B32+'Model'!B33)+MAX(0,-MIN('Model'!B12:B23))+MAX(0,-MIN('Model'!C12:C23)),6)</x:f>
        <x:v>0</x:v>
      </x:c>
      <x:c r="C13" s="237" t="n">
        <x:f>0</x:f>
        <x:v>0</x:v>
      </x:c>
      <x:c r="D13" s="237" t="n">
        <x:f>ROUND(B13-C13,6)</x:f>
        <x:v>0</x:v>
      </x:c>
      <x:c r="E13" s="237" t="n">
        <x:f>0.0001</x:f>
        <x:v>0.0001</x:v>
      </x:c>
      <x:c r="F13" s="233" t="str">
        <x:f>IF(ABS(ROUND(D13,6))&lt;=E13,"PASS","FAIL")</x:f>
        <x:v>PASS</x:v>
      </x:c>
      <x:c r="G13" s="217" t="str">
        <x:v>Model: customers, MRR, EBITDA, and cash</x:v>
      </x:c>
      <x:c r="H13" s="217"/>
    </x:row>
    <x:row r="14" ht="26" customHeight="1">
      <x:c r="A14" s="217" t="str">
        <x:v>Monthly CAC traces to acquisition spend</x:v>
      </x:c>
      <x:c r="B14" s="237" t="n">
        <x:f>ROUND(SUM(ABS('Model'!E12-IF('Inputs'!$B$11=0,0,'Inputs'!$B$15/'Inputs'!$B$11)),ABS('Model'!E13-IF('Inputs'!$B$11=0,0,'Inputs'!$B$15/'Inputs'!$B$11)),ABS('Model'!E14-IF('Inputs'!$B$11=0,0,'Inputs'!$B$15/'Inputs'!$B$11)),ABS('Model'!E15-IF('Inputs'!$B$11=0,0,'Inputs'!$B$15/'Inputs'!$B$11)),ABS('Model'!E16-IF('Inputs'!$B$11=0,0,'Inputs'!$B$15/'Inputs'!$B$11)),ABS('Model'!E17-IF('Inputs'!$B$11=0,0,'Inputs'!$B$15/'Inputs'!$B$11)),ABS('Model'!E18-IF('Inputs'!$B$11=0,0,'Inputs'!$B$15/'Inputs'!$B$11)),ABS('Model'!E19-IF('Inputs'!$B$11=0,0,'Inputs'!$B$15/'Inputs'!$B$11)),ABS('Model'!E20-IF('Inputs'!$B$11=0,0,'Inputs'!$B$15/'Inputs'!$B$11)),ABS('Model'!E21-IF('Inputs'!$B$11=0,0,'Inputs'!$B$15/'Inputs'!$B$11)),ABS('Model'!E22-IF('Inputs'!$B$11=0,0,'Inputs'!$B$15/'Inputs'!$B$11)),ABS('Model'!E23-IF('Inputs'!$B$11=0,0,'Inputs'!$B$15/'Inputs'!$B$11))),6)</x:f>
        <x:v>0</x:v>
      </x:c>
      <x:c r="C14" s="237" t="n">
        <x:f>0</x:f>
        <x:v>0</x:v>
      </x:c>
      <x:c r="D14" s="237" t="n">
        <x:f>ROUND(B14-C14,6)</x:f>
        <x:v>0</x:v>
      </x:c>
      <x:c r="E14" s="237" t="n">
        <x:f>0.0001</x:f>
        <x:v>0.0001</x:v>
      </x:c>
      <x:c r="F14" s="233" t="str">
        <x:f>IF(ABS(ROUND(D14,6))&lt;=E14,"PASS","FAIL")</x:f>
        <x:v>PASS</x:v>
      </x:c>
      <x:c r="G14" s="217" t="str">
        <x:v>Model: CAC schedule</x:v>
      </x:c>
      <x:c r="H14" s="217"/>
    </x:row>
    <x:row r="15" ht="26" customHeight="1">
      <x:c r="A15" s="217" t="str">
        <x:v>Monthly LTV / CAC traces</x:v>
      </x:c>
      <x:c r="B15" s="239" t="n">
        <x:f>ROUND(SUM(ABS('Model'!F12-IF(OR('Inputs'!$B$13&lt;=0,'Model'!E12=0),0,('Inputs'!$B$12*'Inputs'!$B$14/'Inputs'!$B$13)/'Model'!E12)),ABS('Model'!F13-IF(OR('Inputs'!$B$13&lt;=0,'Model'!E13=0),0,('Inputs'!$B$12*'Inputs'!$B$14/'Inputs'!$B$13)/'Model'!E13)),ABS('Model'!F14-IF(OR('Inputs'!$B$13&lt;=0,'Model'!E14=0),0,('Inputs'!$B$12*'Inputs'!$B$14/'Inputs'!$B$13)/'Model'!E14)),ABS('Model'!F15-IF(OR('Inputs'!$B$13&lt;=0,'Model'!E15=0),0,('Inputs'!$B$12*'Inputs'!$B$14/'Inputs'!$B$13)/'Model'!E15)),ABS('Model'!F16-IF(OR('Inputs'!$B$13&lt;=0,'Model'!E16=0),0,('Inputs'!$B$12*'Inputs'!$B$14/'Inputs'!$B$13)/'Model'!E16)),ABS('Model'!F17-IF(OR('Inputs'!$B$13&lt;=0,'Model'!E17=0),0,('Inputs'!$B$12*'Inputs'!$B$14/'Inputs'!$B$13)/'Model'!E17)),ABS('Model'!F18-IF(OR('Inputs'!$B$13&lt;=0,'Model'!E18=0),0,('Inputs'!$B$12*'Inputs'!$B$14/'Inputs'!$B$13)/'Model'!E18)),ABS('Model'!F19-IF(OR('Inputs'!$B$13&lt;=0,'Model'!E19=0),0,('Inputs'!$B$12*'Inputs'!$B$14/'Inputs'!$B$13)/'Model'!E19)),ABS('Model'!F20-IF(OR('Inputs'!$B$13&lt;=0,'Model'!E20=0),0,('Inputs'!$B$12*'Inputs'!$B$14/'Inputs'!$B$13)/'Model'!E20)),ABS('Model'!F21-IF(OR('Inputs'!$B$13&lt;=0,'Model'!E21=0),0,('Inputs'!$B$12*'Inputs'!$B$14/'Inputs'!$B$13)/'Model'!E21)),ABS('Model'!F22-IF(OR('Inputs'!$B$13&lt;=0,'Model'!E22=0),0,('Inputs'!$B$12*'Inputs'!$B$14/'Inputs'!$B$13)/'Model'!E22)),ABS('Model'!F23-IF(OR('Inputs'!$B$13&lt;=0,'Model'!E23=0),0,('Inputs'!$B$12*'Inputs'!$B$14/'Inputs'!$B$13)/'Model'!E23))),6)</x:f>
        <x:v>0</x:v>
      </x:c>
      <x:c r="C15" s="239" t="n">
        <x:f>0</x:f>
        <x:v>0</x:v>
      </x:c>
      <x:c r="D15" s="239" t="n">
        <x:f>ROUND(B15-C15,6)</x:f>
        <x:v>0</x:v>
      </x:c>
      <x:c r="E15" s="239" t="n">
        <x:f>0.0001</x:f>
        <x:v>0.0001</x:v>
      </x:c>
      <x:c r="F15" s="233" t="str">
        <x:f>IF(ABS(ROUND(D15,6))&lt;=E15,"PASS","FAIL")</x:f>
        <x:v>PASS</x:v>
      </x:c>
      <x:c r="G15" s="217" t="str">
        <x:v>Model: LTV / CAC schedule</x:v>
      </x:c>
      <x:c r="H15" s="217"/>
    </x:row>
    <x:row r="16" ht="26" customHeight="1">
      <x:c r="A16" s="217" t="str">
        <x:v>Monthly EBITDA traces</x:v>
      </x:c>
      <x:c r="B16" s="237" t="n">
        <x:f>ROUND(SUM(ABS('Model'!G12-('Model'!C12*'Inputs'!$B$14-'Inputs'!$B$15-'Inputs'!$B$16)),ABS('Model'!G13-('Model'!C13*'Inputs'!$B$14-'Inputs'!$B$15-'Inputs'!$B$16)),ABS('Model'!G14-('Model'!C14*'Inputs'!$B$14-'Inputs'!$B$15-'Inputs'!$B$16)),ABS('Model'!G15-('Model'!C15*'Inputs'!$B$14-'Inputs'!$B$15-'Inputs'!$B$16)),ABS('Model'!G16-('Model'!C16*'Inputs'!$B$14-'Inputs'!$B$15-'Inputs'!$B$16)),ABS('Model'!G17-('Model'!C17*'Inputs'!$B$14-'Inputs'!$B$15-'Inputs'!$B$16)),ABS('Model'!G18-('Model'!C18*'Inputs'!$B$14-'Inputs'!$B$15-'Inputs'!$B$16)),ABS('Model'!G19-('Model'!C19*'Inputs'!$B$14-'Inputs'!$B$15-'Inputs'!$B$16)),ABS('Model'!G20-('Model'!C20*'Inputs'!$B$14-'Inputs'!$B$15-'Inputs'!$B$16)),ABS('Model'!G21-('Model'!C21*'Inputs'!$B$14-'Inputs'!$B$15-'Inputs'!$B$16)),ABS('Model'!G22-('Model'!C22*'Inputs'!$B$14-'Inputs'!$B$15-'Inputs'!$B$16)),ABS('Model'!G23-('Model'!C23*'Inputs'!$B$14-'Inputs'!$B$15-'Inputs'!$B$16))),6)</x:f>
        <x:v>0</x:v>
      </x:c>
      <x:c r="C16" s="237" t="n">
        <x:f>0</x:f>
        <x:v>0</x:v>
      </x:c>
      <x:c r="D16" s="237" t="n">
        <x:f>ROUND(B16-C16,6)</x:f>
        <x:v>0</x:v>
      </x:c>
      <x:c r="E16" s="237" t="n">
        <x:f>0.0001</x:f>
        <x:v>0.0001</x:v>
      </x:c>
      <x:c r="F16" s="233" t="str">
        <x:f>IF(ABS(ROUND(D16,6))&lt;=E16,"PASS","FAIL")</x:f>
        <x:v>PASS</x:v>
      </x:c>
      <x:c r="G16" s="217" t="str">
        <x:v>Model: monthly EBITDA</x:v>
      </x:c>
      <x:c r="H16" s="217"/>
    </x:row>
    <x:row r="17" ht="26" customHeight="1">
      <x:c r="A17" s="217" t="str">
        <x:v>CAC payback summary traces</x:v>
      </x:c>
      <x:c r="B17" s="235" t="n">
        <x:f>ROUND('Model'!B35-IF('Inputs'!$B$12*'Inputs'!$B$14=0,0,'Model'!E23/('Inputs'!$B$12*'Inputs'!$B$14)),6)</x:f>
        <x:v>0</x:v>
      </x:c>
      <x:c r="C17" s="235" t="n">
        <x:f>0</x:f>
        <x:v>0</x:v>
      </x:c>
      <x:c r="D17" s="235" t="n">
        <x:f>ROUND(B17-C17,6)</x:f>
        <x:v>0</x:v>
      </x:c>
      <x:c r="E17" s="235" t="n">
        <x:f>0.0001</x:f>
        <x:v>0.0001</x:v>
      </x:c>
      <x:c r="F17" s="233" t="str">
        <x:f>IF(ABS(ROUND(D17,6))&lt;=E17,"PASS","FAIL")</x:f>
        <x:v>PASS</x:v>
      </x:c>
      <x:c r="G17" s="217" t="str">
        <x:v>Model: CAC payback</x:v>
      </x:c>
      <x:c r="H17" s="217"/>
    </x:row>
    <x:row r="18" ht="26" customHeight="1">
      <x:c r="A18" s="217" t="str">
        <x:v>Burn, runway, and closing-cash summaries trace</x:v>
      </x:c>
      <x:c r="B18" s="237" t="n">
        <x:f>ROUND(ABS('Model'!B36+SUMIF('Model'!G12:G23,"&lt;0",'Model'!G12:G23))+IF('Model'!B30&lt;=0,IF('Model'!B37="N/A",0,1),ABS('Model'!B37-'Model'!B36/'Model'!B30))+ABS('Model'!B38-IF(COUNTIF('Model'!H12:H23,"&lt;0")=0,0,MINIFS('Model'!A12:A23,'Model'!H12:H23,"&lt;0")))+ABS('Model'!B39-'Model'!H23),6)</x:f>
        <x:v>0</x:v>
      </x:c>
      <x:c r="C18" s="237" t="n">
        <x:f>0</x:f>
        <x:v>0</x:v>
      </x:c>
      <x:c r="D18" s="237" t="n">
        <x:f>ROUND(B18-C18,6)</x:f>
        <x:v>0</x:v>
      </x:c>
      <x:c r="E18" s="237" t="n">
        <x:f>0.0001</x:f>
        <x:v>0.0001</x:v>
      </x:c>
      <x:c r="F18" s="233" t="str">
        <x:f>IF(ABS(ROUND(D18,6))&lt;=E18,"PASS","FAIL")</x:f>
        <x:v>PASS</x:v>
      </x:c>
      <x:c r="G18" s="217" t="str">
        <x:v>Model: burn and cash summaries</x:v>
      </x:c>
      <x:c r="H18" s="217"/>
    </x:row>
    <x:row r="19" ht="20" customHeight="1">
      <x:c r="A19" s="243" t="str">
        <x:v>A warning business outcome can still pass these controls; review Model and Results before making a decision.</x:v>
      </x:c>
      <x:c r="B19" s="244"/>
      <x:c r="C19" s="244"/>
      <x:c r="D19" s="244"/>
      <x:c r="E19" s="244"/>
      <x:c r="F19" s="244"/>
      <x:c r="G19" s="244"/>
      <x:c r="H19" s="245"/>
    </x:row>
    <x:row r="20" ht="20" customHeight="1">
      <x:c r="A20" s="60" t="str">
        <x:v>SaaS Unit Economics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