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156b4107724b8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" sheetId="1" r:id="R8b5f554be9254f93"/>
    <x:sheet xmlns:r="http://schemas.openxmlformats.org/officeDocument/2006/relationships" name="Inputs" sheetId="2" r:id="R72771d40bd674313"/>
    <x:sheet xmlns:r="http://schemas.openxmlformats.org/officeDocument/2006/relationships" name="Model" sheetId="3" r:id="R5e8c48915d234e39"/>
    <x:sheet xmlns:r="http://schemas.openxmlformats.org/officeDocument/2006/relationships" name="Results" sheetId="4" r:id="Rc4bd32f086804a0d"/>
    <x:sheet xmlns:r="http://schemas.openxmlformats.org/officeDocument/2006/relationships" name="Checks" sheetId="5" r:id="Rdc3e6547c67e41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;[Red](#,##0.0);-"/>
    <x:numFmt numFmtId="201" formatCode="0.0%;[Red](0.0%);-"/>
    <x:numFmt numFmtId="202" formatCode="#,##0;[Red](#,##0);-"/>
    <x:numFmt numFmtId="203" formatCode="0.00;[Red](0.00);-"/>
  </x:numFmts>
  <x:fonts count="14">
    <x:font>
      <x:sz val="11"/>
      <x:name val="Carlito"/>
    </x:font>
    <x:font>
      <x:sz val="11"/>
      <x:color rgb="FF202833"/>
      <x:name val="Carlito"/>
    </x:font>
    <x:font>
      <x:b/>
      <x:sz val="11"/>
      <x:color rgb="FFFFFFFF"/>
      <x:name val="Carlito"/>
    </x:font>
    <x:font>
      <x:b/>
      <x:sz val="11"/>
      <x:color rgb="FF202833"/>
      <x:name val="Carlito"/>
    </x:font>
    <x:font>
      <x:b/>
      <x:sz val="11"/>
      <x:color rgb="FF0000FF"/>
      <x:name val="Carlito"/>
    </x:font>
    <x:font>
      <x:sz val="11"/>
      <x:color rgb="FF68717C"/>
      <x:name val="Carlito"/>
    </x:font>
    <x:font>
      <x:sz val="11"/>
      <x:color rgb="FF805C19"/>
      <x:name val="Carlito"/>
    </x:font>
    <x:font>
      <x:sz val="11"/>
      <x:color rgb="FF008000"/>
      <x:name val="Carlito"/>
    </x:font>
    <x:font>
      <x:b/>
      <x:sz val="11"/>
      <x:color rgb="FF68717C"/>
      <x:name val="Carlito"/>
    </x:font>
    <x:font>
      <x:sz val="11"/>
      <x:color rgb="FF202833"/>
      <x:name val="Carlito"/>
    </x:font>
    <x:font>
      <x:b/>
      <x:sz val="11"/>
      <x:color rgb="FFB5883A"/>
      <x:name val="Carlito"/>
    </x:font>
    <x:font>
      <x:b/>
      <x:sz val="11"/>
      <x:color rgb="FF247252"/>
      <x:name val="Carlito"/>
    </x:font>
    <x:font>
      <x:b/>
      <x:sz val="11"/>
      <x:color rgb="FF805C19"/>
      <x:name val="Carlito"/>
    </x:font>
    <x:font>
      <x:sz val="11"/>
      <x:color rgb="FFF5F6F8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F5F6F8"/>
      </x:patternFill>
    </x:fill>
    <x:fill>
      <x:patternFill patternType="solid">
        <x:fgColor rgb="FF1C2430"/>
      </x:patternFill>
    </x:fill>
    <x:fill>
      <x:patternFill patternType="solid">
        <x:fgColor rgb="FFB5883A"/>
      </x:patternFill>
    </x:fill>
    <x:fill>
      <x:patternFill patternType="solid">
        <x:fgColor rgb="FFF2E8D5"/>
      </x:patternFill>
    </x:fill>
    <x:fill>
      <x:patternFill patternType="solid">
        <x:fgColor rgb="FF303B49"/>
      </x:patternFill>
    </x:fill>
    <x:fill>
      <x:patternFill patternType="solid">
        <x:fgColor rgb="FFECEFF2"/>
      </x:patternFill>
    </x:fill>
    <x:fill>
      <x:patternFill patternType="solid">
        <x:fgColor rgb="FFFFFFFF"/>
      </x:patternFill>
    </x:fill>
    <x:fill>
      <x:patternFill patternType="solid">
        <x:fgColor rgb="FFF8EBCF"/>
      </x:patternFill>
    </x:fill>
    <x:fill>
      <x:patternFill patternType="solid">
        <x:fgColor rgb="FFE6F2EB"/>
      </x:patternFill>
    </x:fill>
  </x:fills>
  <x:borders count="31">
    <x:border/>
    <x:border>
      <x:left style="thin">
        <x:color rgb="FFD7DBE0"/>
      </x:left>
      <x:top style="thin">
        <x:color rgb="FFD7DBE0"/>
      </x:top>
    </x:border>
    <x:border>
      <x:top style="thin">
        <x:color rgb="FFD7DBE0"/>
      </x:top>
    </x:border>
    <x:border>
      <x:right style="thin">
        <x:color rgb="FFD7DBE0"/>
      </x:right>
      <x:top style="thin">
        <x:color rgb="FFD7DBE0"/>
      </x:top>
    </x:border>
    <x:border>
      <x:left style="thin">
        <x:color rgb="FFD7DBE0"/>
      </x:left>
      <x:bottom style="thin">
        <x:color rgb="FFD7DBE0"/>
      </x:bottom>
    </x:border>
    <x:border>
      <x:bottom style="thin">
        <x:color rgb="FFD7DBE0"/>
      </x:bottom>
    </x:border>
    <x:border>
      <x:right style="thin">
        <x:color rgb="FFD7DBE0"/>
      </x:right>
      <x:bottom style="thin">
        <x:color rgb="FFD7DBE0"/>
      </x:bottom>
    </x:border>
    <x:border>
      <x:bottom style="medium">
        <x:color rgb="FFB5883A"/>
      </x:bottom>
    </x:border>
    <x:border>
      <x:left style="thin">
        <x:color rgb="FFD3AE64"/>
      </x:left>
      <x:right style="thin">
        <x:color rgb="FFD3AE64"/>
      </x:right>
      <x:top style="thin">
        <x:color rgb="FFD3AE64"/>
      </x:top>
      <x:bottom style="thin">
        <x:color rgb="FFD3AE64"/>
      </x:bottom>
    </x:border>
    <x:border>
      <x:left style="thin">
        <x:color rgb="FFD3AE64"/>
      </x:left>
      <x:right style="thin">
        <x:color rgb="FFD3AE64"/>
      </x:right>
    </x:border>
    <x:border>
      <x:left style="thin">
        <x:color rgb="FFD3AE64"/>
      </x:left>
      <x:top style="thin">
        <x:color rgb="FFD3AE64"/>
      </x:top>
    </x:border>
    <x:border>
      <x:top style="thin">
        <x:color rgb="FFD3AE64"/>
      </x:top>
    </x:border>
    <x:border>
      <x:right style="thin">
        <x:color rgb="FFD3AE64"/>
      </x:right>
      <x:top style="thin">
        <x:color rgb="FFD3AE64"/>
      </x:top>
    </x:border>
    <x:border>
      <x:left style="thin">
        <x:color rgb="FFD3AE64"/>
      </x:left>
      <x:bottom style="thin">
        <x:color rgb="FFD3AE64"/>
      </x:bottom>
    </x:border>
    <x:border>
      <x:bottom style="thin">
        <x:color rgb="FFD3AE64"/>
      </x:bottom>
    </x:border>
    <x:border>
      <x:right style="thin">
        <x:color rgb="FFD3AE64"/>
      </x:right>
      <x:bottom style="thin">
        <x:color rgb="FFD3AE64"/>
      </x:bottom>
    </x:border>
    <x:border>
      <x:left style="thin">
        <x:color rgb="FF1C2430"/>
      </x:left>
      <x:top style="thin">
        <x:color rgb="FF1C2430"/>
      </x:top>
      <x:bottom style="thin">
        <x:color rgb="FF1C2430"/>
      </x:bottom>
    </x:border>
    <x:border>
      <x:right style="thin">
        <x:color rgb="FF1C2430"/>
      </x:right>
      <x:top style="thin">
        <x:color rgb="FF1C2430"/>
      </x:top>
      <x:bottom style="thin">
        <x:color rgb="FF1C2430"/>
      </x:bottom>
    </x:border>
    <x:border>
      <x:left style="thin">
        <x:color rgb="FFD7DBE0"/>
      </x:left>
    </x:border>
    <x:border>
      <x:right style="thin">
        <x:color rgb="FFD7DBE0"/>
      </x:right>
    </x:border>
    <x:border>
      <x:left style="thin">
        <x:color rgb="FFB5883A"/>
      </x:left>
      <x:top style="thin">
        <x:color rgb="FFB5883A"/>
      </x:top>
    </x:border>
    <x:border>
      <x:top style="thin">
        <x:color rgb="FFB5883A"/>
      </x:top>
    </x:border>
    <x:border>
      <x:right style="thin">
        <x:color rgb="FFB5883A"/>
      </x:right>
      <x:top style="thin">
        <x:color rgb="FFB5883A"/>
      </x:top>
    </x:border>
    <x:border>
      <x:left style="thin">
        <x:color rgb="FFB5883A"/>
      </x:left>
    </x:border>
    <x:border>
      <x:right style="thin">
        <x:color rgb="FFB5883A"/>
      </x:right>
    </x:border>
    <x:border>
      <x:left style="thin">
        <x:color rgb="FFB5883A"/>
      </x:left>
      <x:bottom style="thin">
        <x:color rgb="FFB5883A"/>
      </x:bottom>
    </x:border>
    <x:border>
      <x:bottom style="thin">
        <x:color rgb="FFB5883A"/>
      </x:bottom>
    </x:border>
    <x:border>
      <x:right style="thin">
        <x:color rgb="FFB5883A"/>
      </x:right>
      <x:bottom style="thin">
        <x:color rgb="FFB5883A"/>
      </x:bottom>
    </x:border>
    <x:border>
      <x:left style="thin">
        <x:color rgb="FFD7DBE0"/>
      </x:left>
      <x:top style="thin">
        <x:color rgb="FFD7DBE0"/>
      </x:top>
      <x:bottom style="thin">
        <x:color rgb="FFD7DBE0"/>
      </x:bottom>
    </x:border>
    <x:border>
      <x:right style="thin">
        <x:color rgb="FFD7DBE0"/>
      </x:right>
      <x:top style="thin">
        <x:color rgb="FFD7DBE0"/>
      </x:top>
      <x:bottom style="thin">
        <x:color rgb="FFD7DBE0"/>
      </x:bottom>
    </x:border>
    <x:border>
      <x:top style="thin">
        <x:color rgb="FFD7DBE0"/>
      </x:top>
      <x:bottom style="thin">
        <x:color rgb="FFD7DBE0"/>
      </x:bottom>
    </x:border>
  </x:borders>
  <x:cellStyleXfs count="1">
    <x:xf numFmtId="0" fontId="0" fillId="0" borderId="0"/>
  </x:cellStyleXfs>
  <x:cellXfs count="28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horizontal="left" vertical="center"/>
    </x:xf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horizontal="left"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/>
    </x:xf>
    <x:xf numFmtId="0" fontId="3" fillId="5" borderId="3" xfId="0" applyNumberFormat="1" applyFont="1" applyFill="1" applyBorder="1" applyAlignment="1">
      <x:alignment vertical="center"/>
    </x:xf>
    <x:xf numFmtId="0" fontId="3" fillId="5" borderId="4" xfId="0" applyNumberFormat="1" applyFont="1" applyFill="1" applyBorder="1" applyAlignment="1">
      <x:alignment vertical="center"/>
    </x:xf>
    <x:xf numFmtId="0" fontId="3" fillId="5" borderId="5" xfId="0" applyNumberFormat="1" applyFont="1" applyFill="1" applyBorder="1" applyAlignment="1">
      <x:alignment vertical="center"/>
    </x:xf>
    <x:xf numFmtId="0" fontId="3" fillId="5" borderId="6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  <x:xf numFmtId="0" fontId="3" fillId="5" borderId="4" xfId="0" applyNumberFormat="1" applyFont="1" applyFill="1" applyBorder="1" applyAlignment="1">
      <x:alignment vertical="center" wrapText="1"/>
    </x:xf>
    <x:xf numFmtId="0" fontId="3" fillId="5" borderId="5" xfId="0" applyNumberFormat="1" applyFont="1" applyFill="1" applyBorder="1" applyAlignment="1">
      <x:alignment vertical="center" wrapText="1"/>
    </x:xf>
    <x:xf numFmtId="0" fontId="3" fillId="5" borderId="6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2" fillId="6" borderId="0" xfId="0" applyNumberFormat="1" applyFont="1" applyFill="1" applyBorder="1" applyAlignment="1">
      <x:alignment vertical="center"/>
    </x:xf>
    <x:xf numFmtId="0" fontId="2" fillId="6" borderId="7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/>
    </x:xf>
    <x:xf numFmtId="0" fontId="4" fillId="8" borderId="0" xfId="0" applyNumberFormat="1" applyFont="1" applyFill="1" applyBorder="1" applyAlignment="1">
      <x:alignment vertical="center"/>
    </x:xf>
    <x:xf numFmtId="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vertical="center"/>
    </x:xf>
    <x:xf numFmtId="200" fontId="4" fillId="8" borderId="8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/>
    </x:xf>
    <x:xf numFmtId="0" fontId="5" fillId="8" borderId="5" xfId="0" applyNumberFormat="1" applyFont="1" applyFill="1" applyBorder="1" applyAlignment="1">
      <x:alignment vertical="center"/>
    </x:xf>
    <x:xf numFmtId="0" fontId="5" fillId="8" borderId="4" xfId="0" applyNumberFormat="1" applyFont="1" applyFill="1" applyBorder="1" applyAlignment="1">
      <x:alignment vertical="center" wrapText="1"/>
    </x:xf>
    <x:xf numFmtId="0" fontId="5" fillId="8" borderId="5" xfId="0" applyNumberFormat="1" applyFont="1" applyFill="1" applyBorder="1" applyAlignment="1">
      <x:alignment vertical="center" wrapText="1"/>
    </x:xf>
    <x:xf numFmtId="200" fontId="4" fillId="8" borderId="9" xfId="0" applyNumberFormat="1" applyFont="1" applyFill="1" applyBorder="1" applyAlignment="1">
      <x:alignment horizontal="right" vertical="center"/>
    </x:xf>
    <x:xf numFmtId="201" fontId="4" fillId="8" borderId="8" xfId="0" applyNumberFormat="1" applyFont="1" applyFill="1" applyBorder="1" applyAlignment="1">
      <x:alignment vertical="center"/>
    </x:xf>
    <x:xf numFmtId="201" fontId="4" fillId="8" borderId="8" xfId="0" applyNumberFormat="1" applyFont="1" applyFill="1" applyBorder="1" applyAlignment="1">
      <x:alignment horizontal="right" vertical="center"/>
    </x:xf>
    <x:xf numFmtId="201" fontId="4" fillId="8" borderId="9" xfId="0" applyNumberFormat="1" applyFont="1" applyFill="1" applyBorder="1" applyAlignment="1">
      <x:alignment horizontal="right" vertical="center"/>
    </x:xf>
    <x:xf numFmtId="202" fontId="4" fillId="8" borderId="8" xfId="0" applyNumberFormat="1" applyFont="1" applyFill="1" applyBorder="1" applyAlignment="1">
      <x:alignment vertical="center"/>
    </x:xf>
    <x:xf numFmtId="202" fontId="4" fillId="8" borderId="8" xfId="0" applyNumberFormat="1" applyFont="1" applyFill="1" applyBorder="1" applyAlignment="1">
      <x:alignment horizontal="right" vertical="center"/>
    </x:xf>
    <x:xf numFmtId="202" fontId="4" fillId="8" borderId="9" xfId="0" applyNumberFormat="1" applyFont="1" applyFill="1" applyBorder="1" applyAlignment="1">
      <x:alignment horizontal="right" vertical="center"/>
    </x:xf>
    <x:xf numFmtId="0" fontId="1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/>
    </x:xf>
    <x:xf numFmtId="0" fontId="6" fillId="9" borderId="11" xfId="0" applyNumberFormat="1" applyFont="1" applyFill="1" applyBorder="1" applyAlignment="1">
      <x:alignment vertical="center"/>
    </x:xf>
    <x:xf numFmtId="0" fontId="6" fillId="9" borderId="12" xfId="0" applyNumberFormat="1" applyFont="1" applyFill="1" applyBorder="1" applyAlignment="1">
      <x:alignment vertical="center"/>
    </x:xf>
    <x:xf numFmtId="0" fontId="6" fillId="9" borderId="13" xfId="0" applyNumberFormat="1" applyFont="1" applyFill="1" applyBorder="1" applyAlignment="1">
      <x:alignment vertical="center"/>
    </x:xf>
    <x:xf numFmtId="0" fontId="6" fillId="9" borderId="14" xfId="0" applyNumberFormat="1" applyFont="1" applyFill="1" applyBorder="1" applyAlignment="1">
      <x:alignment vertical="center"/>
    </x:xf>
    <x:xf numFmtId="0" fontId="6" fillId="9" borderId="15" xfId="0" applyNumberFormat="1" applyFont="1" applyFill="1" applyBorder="1" applyAlignment="1">
      <x:alignment vertical="center"/>
    </x:xf>
    <x:xf numFmtId="0" fontId="6" fillId="9" borderId="10" xfId="0" applyNumberFormat="1" applyFont="1" applyFill="1" applyBorder="1" applyAlignment="1">
      <x:alignment vertical="center" wrapText="1"/>
    </x:xf>
    <x:xf numFmtId="0" fontId="6" fillId="9" borderId="11" xfId="0" applyNumberFormat="1" applyFont="1" applyFill="1" applyBorder="1" applyAlignment="1">
      <x:alignment vertical="center" wrapText="1"/>
    </x:xf>
    <x:xf numFmtId="0" fontId="6" fillId="9" borderId="12" xfId="0" applyNumberFormat="1" applyFont="1" applyFill="1" applyBorder="1" applyAlignment="1">
      <x:alignment vertical="center" wrapText="1"/>
    </x:xf>
    <x:xf numFmtId="0" fontId="6" fillId="9" borderId="13" xfId="0" applyNumberFormat="1" applyFont="1" applyFill="1" applyBorder="1" applyAlignment="1">
      <x:alignment vertical="center" wrapText="1"/>
    </x:xf>
    <x:xf numFmtId="0" fontId="6" fillId="9" borderId="14" xfId="0" applyNumberFormat="1" applyFont="1" applyFill="1" applyBorder="1" applyAlignment="1">
      <x:alignment vertical="center" wrapText="1"/>
    </x:xf>
    <x:xf numFmtId="0" fontId="6" fillId="9" borderId="1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center" vertical="center"/>
    </x:xf>
    <x:xf numFmtId="0" fontId="2" fillId="6" borderId="7" xfId="0" applyNumberFormat="1" applyFont="1" applyFill="1" applyBorder="1" applyAlignment="1">
      <x:alignment horizontal="left" vertical="center"/>
    </x:xf>
    <x:xf numFmtId="0" fontId="3" fillId="7" borderId="4" xfId="0" applyNumberFormat="1" applyFont="1" applyFill="1" applyBorder="1" applyAlignment="1">
      <x:alignment vertical="center"/>
    </x:xf>
    <x:xf numFmtId="0" fontId="3" fillId="7" borderId="5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vertical="center"/>
    </x:xf>
    <x:xf numFmtId="200" fontId="7" fillId="8" borderId="0" xfId="0" applyNumberFormat="1" applyFont="1" applyFill="1" applyBorder="1" applyAlignment="1">
      <x:alignment horizontal="right" vertical="center"/>
    </x:xf>
    <x:xf numFmtId="200" fontId="3" fillId="5" borderId="0" xfId="0" applyNumberFormat="1" applyFont="1" applyFill="1" applyBorder="1" applyAlignment="1">
      <x:alignment vertical="center"/>
    </x:xf>
    <x:xf numFmtId="200" fontId="3" fillId="5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/>
    </x:xf>
    <x:xf numFmtId="0" fontId="5" fillId="5" borderId="5" xfId="0" applyNumberFormat="1" applyFont="1" applyFill="1" applyBorder="1" applyAlignment="1">
      <x:alignment vertical="center"/>
    </x:xf>
    <x:xf numFmtId="0" fontId="5" fillId="5" borderId="4" xfId="0" applyNumberFormat="1" applyFont="1" applyFill="1" applyBorder="1" applyAlignment="1">
      <x:alignment vertical="center" wrapText="1"/>
    </x:xf>
    <x:xf numFmtId="0" fontId="5" fillId="5" borderId="5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vertical="center"/>
    </x:xf>
    <x:xf numFmtId="200" fontId="3" fillId="2" borderId="0" xfId="0" applyNumberFormat="1" applyFont="1" applyFill="1" applyBorder="1" applyAlignment="1">
      <x:alignment horizontal="right"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left" vertical="center" wrapText="1"/>
    </x:xf>
    <x:xf numFmtId="200" fontId="3" fillId="8" borderId="0" xfId="0" applyNumberFormat="1" applyFont="1" applyFill="1" applyBorder="1" applyAlignment="1">
      <x:alignment horizontal="right" vertical="center"/>
    </x:xf>
    <x:xf numFmtId="0" fontId="5" fillId="8" borderId="0" xfId="0" applyNumberFormat="1" applyFont="1" applyFill="1" applyBorder="1" applyAlignment="1">
      <x:alignment horizontal="left" vertical="center" wrapText="1"/>
    </x:xf>
    <x:xf numFmtId="0" fontId="3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left" vertical="center" wrapText="1"/>
    </x:xf>
    <x:xf numFmtId="0" fontId="9" fillId="2" borderId="0" xfId="0" applyNumberFormat="1" applyFont="1" applyFill="1" applyBorder="1" applyAlignment="1">
      <x:alignment vertical="center"/>
    </x:xf>
    <x:xf numFmtId="200" fontId="9" fillId="2" borderId="0" xfId="0" applyNumberFormat="1" applyFont="1" applyFill="1" applyBorder="1" applyAlignment="1">
      <x:alignment vertical="center"/>
    </x:xf>
    <x:xf numFmtId="200" fontId="9" fillId="2" borderId="0" xfId="0" applyNumberFormat="1" applyFont="1" applyFill="1" applyBorder="1" applyAlignment="1">
      <x:alignment horizontal="right" vertical="center"/>
    </x:xf>
    <x:xf numFmtId="200" fontId="9" fillId="8" borderId="0" xfId="0" applyNumberFormat="1" applyFont="1" applyFill="1" applyBorder="1" applyAlignment="1">
      <x:alignment horizontal="right" vertical="center"/>
    </x:xf>
    <x:xf numFmtId="0" fontId="5" fillId="5" borderId="0" xfId="0" applyNumberFormat="1" applyFont="1" applyFill="1" applyBorder="1" applyAlignment="1">
      <x:alignment horizontal="left" vertical="center" wrapText="1"/>
    </x:xf>
    <x:xf numFmtId="0" fontId="8" fillId="5" borderId="0" xfId="0" applyNumberFormat="1" applyFont="1" applyFill="1" applyBorder="1" applyAlignment="1">
      <x:alignment horizontal="left" vertical="center" wrapText="1"/>
    </x:xf>
    <x:xf numFmtId="201" fontId="3" fillId="2" borderId="0" xfId="0" applyNumberFormat="1" applyFont="1" applyFill="1" applyBorder="1" applyAlignment="1">
      <x:alignment vertical="center"/>
    </x:xf>
    <x:xf numFmtId="201" fontId="3" fillId="2" borderId="0" xfId="0" applyNumberFormat="1" applyFont="1" applyFill="1" applyBorder="1" applyAlignment="1">
      <x:alignment horizontal="right" vertical="center"/>
    </x:xf>
    <x:xf numFmtId="201" fontId="3" fillId="8" borderId="0" xfId="0" applyNumberFormat="1" applyFont="1" applyFill="1" applyBorder="1" applyAlignment="1">
      <x:alignment horizontal="right" vertical="center"/>
    </x:xf>
    <x:xf numFmtId="200" fontId="3" fillId="9" borderId="0" xfId="0" applyNumberFormat="1" applyFont="1" applyFill="1" applyBorder="1" applyAlignment="1">
      <x:alignment horizontal="right" vertical="center"/>
    </x:xf>
    <x:xf numFmtId="0" fontId="5" fillId="9" borderId="0" xfId="0" applyNumberFormat="1" applyFont="1" applyFill="1" applyBorder="1" applyAlignment="1">
      <x:alignment horizontal="left" vertical="center" wrapText="1"/>
    </x:xf>
    <x:xf numFmtId="0" fontId="3" fillId="9" borderId="0" xfId="0" applyNumberFormat="1" applyFont="1" applyFill="1" applyBorder="1" applyAlignment="1">
      <x:alignment vertical="center"/>
    </x:xf>
    <x:xf numFmtId="0" fontId="8" fillId="9" borderId="0" xfId="0" applyNumberFormat="1" applyFont="1" applyFill="1" applyBorder="1" applyAlignment="1">
      <x:alignment horizontal="left" vertical="center" wrapText="1"/>
    </x:xf>
    <x:xf numFmtId="0" fontId="1" fillId="10" borderId="0" xfId="0" applyNumberFormat="1" applyFont="1" applyFill="1" applyBorder="1" applyAlignment="1">
      <x:alignment vertical="center"/>
    </x:xf>
    <x:xf numFmtId="200" fontId="3" fillId="10" borderId="0" xfId="0" applyNumberFormat="1" applyFont="1" applyFill="1" applyBorder="1" applyAlignment="1">
      <x:alignment horizontal="right" vertical="center"/>
    </x:xf>
    <x:xf numFmtId="0" fontId="5" fillId="10" borderId="0" xfId="0" applyNumberFormat="1" applyFont="1" applyFill="1" applyBorder="1" applyAlignment="1">
      <x:alignment horizontal="left" vertical="center" wrapText="1"/>
    </x:xf>
    <x:xf numFmtId="0" fontId="3" fillId="10" borderId="0" xfId="0" applyNumberFormat="1" applyFont="1" applyFill="1" applyBorder="1" applyAlignment="1">
      <x:alignment vertical="center"/>
    </x:xf>
    <x:xf numFmtId="0" fontId="8" fillId="10" borderId="0" xfId="0" applyNumberFormat="1" applyFont="1" applyFill="1" applyBorder="1" applyAlignment="1">
      <x:alignment horizontal="left" vertical="center" wrapText="1"/>
    </x:xf>
    <x:xf numFmtId="202" fontId="9" fillId="2" borderId="0" xfId="0" applyNumberFormat="1" applyFont="1" applyFill="1" applyBorder="1" applyAlignment="1">
      <x:alignment vertical="center"/>
    </x:xf>
    <x:xf numFmtId="202" fontId="9" fillId="2" borderId="0" xfId="0" applyNumberFormat="1" applyFont="1" applyFill="1" applyBorder="1" applyAlignment="1">
      <x:alignment horizontal="right" vertical="center"/>
    </x:xf>
    <x:xf numFmtId="202" fontId="9" fillId="8" borderId="0" xfId="0" applyNumberFormat="1" applyFont="1" applyFill="1" applyBorder="1" applyAlignment="1">
      <x:alignment horizontal="right" vertical="center"/>
    </x:xf>
    <x:xf numFmtId="202" fontId="3" fillId="5" borderId="0" xfId="0" applyNumberFormat="1" applyFont="1" applyFill="1" applyBorder="1" applyAlignment="1">
      <x:alignment vertical="center"/>
    </x:xf>
    <x:xf numFmtId="202" fontId="3" fillId="5" borderId="0" xfId="0" applyNumberFormat="1" applyFont="1" applyFill="1" applyBorder="1" applyAlignment="1">
      <x:alignment horizontal="right" vertical="center"/>
    </x:xf>
    <x:xf numFmtId="0" fontId="9" fillId="8" borderId="0" xfId="0" applyNumberFormat="1" applyFont="1" applyFill="1" applyBorder="1" applyAlignment="1">
      <x:alignment vertical="center"/>
    </x:xf>
    <x:xf numFmtId="200" fontId="9" fillId="8" borderId="0" xfId="0" applyNumberFormat="1" applyFont="1" applyFill="1" applyBorder="1" applyAlignment="1">
      <x:alignment vertical="center"/>
    </x:xf>
    <x:xf numFmtId="201" fontId="9" fillId="8" borderId="0" xfId="0" applyNumberFormat="1" applyFont="1" applyFill="1" applyBorder="1" applyAlignment="1">
      <x:alignment vertical="center"/>
    </x:xf>
    <x:xf numFmtId="201" fontId="9" fillId="8" borderId="0" xfId="0" applyNumberFormat="1" applyFont="1" applyFill="1" applyBorder="1" applyAlignment="1">
      <x:alignment horizontal="right" vertical="center"/>
    </x:xf>
    <x:xf numFmtId="0" fontId="2" fillId="3" borderId="16" xfId="0" applyNumberFormat="1" applyFont="1" applyFill="1" applyBorder="1" applyAlignment="1">
      <x:alignment vertical="center"/>
    </x:xf>
    <x:xf numFmtId="0" fontId="2" fillId="3" borderId="17" xfId="0" applyNumberFormat="1" applyFont="1" applyFill="1" applyBorder="1" applyAlignment="1">
      <x:alignment vertical="center"/>
    </x:xf>
    <x:xf numFmtId="0" fontId="2" fillId="3" borderId="16" xfId="0" applyNumberFormat="1" applyFont="1" applyFill="1" applyBorder="1" applyAlignment="1">
      <x:alignment horizontal="center" vertical="center"/>
    </x:xf>
    <x:xf numFmtId="0" fontId="2" fillId="3" borderId="17" xfId="0" applyNumberFormat="1" applyFont="1" applyFill="1" applyBorder="1" applyAlignment="1">
      <x:alignment horizontal="center" vertical="center"/>
    </x:xf>
    <x:xf numFmtId="0" fontId="10" fillId="8" borderId="0" xfId="0" applyNumberFormat="1" applyFont="1" applyFill="1" applyBorder="1" applyAlignment="1">
      <x:alignment vertical="center"/>
    </x:xf>
    <x:xf numFmtId="0" fontId="10" fillId="8" borderId="1" xfId="0" applyNumberFormat="1" applyFont="1" applyFill="1" applyBorder="1" applyAlignment="1">
      <x:alignment vertical="center"/>
    </x:xf>
    <x:xf numFmtId="0" fontId="10" fillId="8" borderId="3" xfId="0" applyNumberFormat="1" applyFont="1" applyFill="1" applyBorder="1" applyAlignment="1">
      <x:alignment vertical="center"/>
    </x:xf>
    <x:xf numFmtId="0" fontId="10" fillId="8" borderId="18" xfId="0" applyNumberFormat="1" applyFont="1" applyFill="1" applyBorder="1" applyAlignment="1">
      <x:alignment vertical="center"/>
    </x:xf>
    <x:xf numFmtId="0" fontId="10" fillId="8" borderId="19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/>
    </x:xf>
    <x:xf numFmtId="0" fontId="10" fillId="8" borderId="6" xfId="0" applyNumberFormat="1" applyFont="1" applyFill="1" applyBorder="1" applyAlignment="1">
      <x:alignment vertical="center"/>
    </x:xf>
    <x:xf numFmtId="202" fontId="10" fillId="8" borderId="1" xfId="0" applyNumberFormat="1" applyFont="1" applyFill="1" applyBorder="1" applyAlignment="1">
      <x:alignment vertical="center"/>
    </x:xf>
    <x:xf numFmtId="202" fontId="10" fillId="8" borderId="3" xfId="0" applyNumberFormat="1" applyFont="1" applyFill="1" applyBorder="1" applyAlignment="1">
      <x:alignment vertical="center"/>
    </x:xf>
    <x:xf numFmtId="202" fontId="10" fillId="8" borderId="18" xfId="0" applyNumberFormat="1" applyFont="1" applyFill="1" applyBorder="1" applyAlignment="1">
      <x:alignment vertical="center"/>
    </x:xf>
    <x:xf numFmtId="202" fontId="10" fillId="8" borderId="19" xfId="0" applyNumberFormat="1" applyFont="1" applyFill="1" applyBorder="1" applyAlignment="1">
      <x:alignment vertical="center"/>
    </x:xf>
    <x:xf numFmtId="202" fontId="10" fillId="8" borderId="4" xfId="0" applyNumberFormat="1" applyFont="1" applyFill="1" applyBorder="1" applyAlignment="1">
      <x:alignment vertical="center"/>
    </x:xf>
    <x:xf numFmtId="202" fontId="10" fillId="8" borderId="6" xfId="0" applyNumberFormat="1" applyFont="1" applyFill="1" applyBorder="1" applyAlignment="1">
      <x:alignment vertical="center"/>
    </x:xf>
    <x:xf numFmtId="202" fontId="10" fillId="8" borderId="1" xfId="0" applyNumberFormat="1" applyFont="1" applyFill="1" applyBorder="1" applyAlignment="1">
      <x:alignment horizontal="center" vertical="center"/>
    </x:xf>
    <x:xf numFmtId="202" fontId="10" fillId="8" borderId="3" xfId="0" applyNumberFormat="1" applyFont="1" applyFill="1" applyBorder="1" applyAlignment="1">
      <x:alignment horizontal="center" vertical="center"/>
    </x:xf>
    <x:xf numFmtId="202" fontId="10" fillId="8" borderId="18" xfId="0" applyNumberFormat="1" applyFont="1" applyFill="1" applyBorder="1" applyAlignment="1">
      <x:alignment horizontal="center" vertical="center"/>
    </x:xf>
    <x:xf numFmtId="202" fontId="10" fillId="8" borderId="19" xfId="0" applyNumberFormat="1" applyFont="1" applyFill="1" applyBorder="1" applyAlignment="1">
      <x:alignment horizontal="center" vertical="center"/>
    </x:xf>
    <x:xf numFmtId="202" fontId="10" fillId="8" borderId="4" xfId="0" applyNumberFormat="1" applyFont="1" applyFill="1" applyBorder="1" applyAlignment="1">
      <x:alignment horizontal="center" vertical="center"/>
    </x:xf>
    <x:xf numFmtId="202" fontId="10" fillId="8" borderId="6" xfId="0" applyNumberFormat="1" applyFont="1" applyFill="1" applyBorder="1" applyAlignment="1">
      <x:alignment horizontal="center" vertical="center"/>
    </x:xf>
    <x:xf numFmtId="200" fontId="10" fillId="8" borderId="1" xfId="0" applyNumberFormat="1" applyFont="1" applyFill="1" applyBorder="1" applyAlignment="1">
      <x:alignment vertical="center"/>
    </x:xf>
    <x:xf numFmtId="200" fontId="10" fillId="8" borderId="3" xfId="0" applyNumberFormat="1" applyFont="1" applyFill="1" applyBorder="1" applyAlignment="1">
      <x:alignment vertical="center"/>
    </x:xf>
    <x:xf numFmtId="200" fontId="10" fillId="8" borderId="18" xfId="0" applyNumberFormat="1" applyFont="1" applyFill="1" applyBorder="1" applyAlignment="1">
      <x:alignment vertical="center"/>
    </x:xf>
    <x:xf numFmtId="200" fontId="10" fillId="8" borderId="19" xfId="0" applyNumberFormat="1" applyFont="1" applyFill="1" applyBorder="1" applyAlignment="1">
      <x:alignment vertical="center"/>
    </x:xf>
    <x:xf numFmtId="200" fontId="10" fillId="8" borderId="4" xfId="0" applyNumberFormat="1" applyFont="1" applyFill="1" applyBorder="1" applyAlignment="1">
      <x:alignment vertical="center"/>
    </x:xf>
    <x:xf numFmtId="200" fontId="10" fillId="8" borderId="6" xfId="0" applyNumberFormat="1" applyFont="1" applyFill="1" applyBorder="1" applyAlignment="1">
      <x:alignment vertical="center"/>
    </x:xf>
    <x:xf numFmtId="200" fontId="10" fillId="8" borderId="1" xfId="0" applyNumberFormat="1" applyFont="1" applyFill="1" applyBorder="1" applyAlignment="1">
      <x:alignment horizontal="center" vertical="center"/>
    </x:xf>
    <x:xf numFmtId="200" fontId="10" fillId="8" borderId="3" xfId="0" applyNumberFormat="1" applyFont="1" applyFill="1" applyBorder="1" applyAlignment="1">
      <x:alignment horizontal="center" vertical="center"/>
    </x:xf>
    <x:xf numFmtId="200" fontId="10" fillId="8" borderId="18" xfId="0" applyNumberFormat="1" applyFont="1" applyFill="1" applyBorder="1" applyAlignment="1">
      <x:alignment horizontal="center" vertical="center"/>
    </x:xf>
    <x:xf numFmtId="200" fontId="10" fillId="8" borderId="19" xfId="0" applyNumberFormat="1" applyFont="1" applyFill="1" applyBorder="1" applyAlignment="1">
      <x:alignment horizontal="center" vertical="center"/>
    </x:xf>
    <x:xf numFmtId="200" fontId="10" fillId="8" borderId="4" xfId="0" applyNumberFormat="1" applyFont="1" applyFill="1" applyBorder="1" applyAlignment="1">
      <x:alignment horizontal="center" vertical="center"/>
    </x:xf>
    <x:xf numFmtId="200" fontId="10" fillId="8" borderId="6" xfId="0" applyNumberFormat="1" applyFont="1" applyFill="1" applyBorder="1" applyAlignment="1">
      <x:alignment horizontal="center" vertical="center"/>
    </x:xf>
    <x:xf numFmtId="0" fontId="10" fillId="5" borderId="0" xfId="0" applyNumberFormat="1" applyFont="1" applyFill="1" applyBorder="1" applyAlignment="1">
      <x:alignment vertical="center"/>
    </x:xf>
    <x:xf numFmtId="0" fontId="10" fillId="5" borderId="20" xfId="0" applyNumberFormat="1" applyFont="1" applyFill="1" applyBorder="1" applyAlignment="1">
      <x:alignment vertical="center"/>
    </x:xf>
    <x:xf numFmtId="0" fontId="10" fillId="5" borderId="21" xfId="0" applyNumberFormat="1" applyFont="1" applyFill="1" applyBorder="1" applyAlignment="1">
      <x:alignment vertical="center"/>
    </x:xf>
    <x:xf numFmtId="0" fontId="10" fillId="5" borderId="22" xfId="0" applyNumberFormat="1" applyFont="1" applyFill="1" applyBorder="1" applyAlignment="1">
      <x:alignment vertical="center"/>
    </x:xf>
    <x:xf numFmtId="0" fontId="10" fillId="5" borderId="23" xfId="0" applyNumberFormat="1" applyFont="1" applyFill="1" applyBorder="1" applyAlignment="1">
      <x:alignment vertical="center"/>
    </x:xf>
    <x:xf numFmtId="0" fontId="10" fillId="5" borderId="24" xfId="0" applyNumberFormat="1" applyFont="1" applyFill="1" applyBorder="1" applyAlignment="1">
      <x:alignment vertical="center"/>
    </x:xf>
    <x:xf numFmtId="0" fontId="10" fillId="5" borderId="25" xfId="0" applyNumberFormat="1" applyFont="1" applyFill="1" applyBorder="1" applyAlignment="1">
      <x:alignment vertical="center"/>
    </x:xf>
    <x:xf numFmtId="0" fontId="10" fillId="5" borderId="26" xfId="0" applyNumberFormat="1" applyFont="1" applyFill="1" applyBorder="1" applyAlignment="1">
      <x:alignment vertical="center"/>
    </x:xf>
    <x:xf numFmtId="0" fontId="10" fillId="5" borderId="27" xfId="0" applyNumberFormat="1" applyFont="1" applyFill="1" applyBorder="1" applyAlignment="1">
      <x:alignment vertical="center"/>
    </x:xf>
    <x:xf numFmtId="0" fontId="10" fillId="5" borderId="20" xfId="0" applyNumberFormat="1" applyFont="1" applyFill="1" applyBorder="1" applyAlignment="1">
      <x:alignment vertical="center" wrapText="1"/>
    </x:xf>
    <x:xf numFmtId="0" fontId="10" fillId="5" borderId="21" xfId="0" applyNumberFormat="1" applyFont="1" applyFill="1" applyBorder="1" applyAlignment="1">
      <x:alignment vertical="center" wrapText="1"/>
    </x:xf>
    <x:xf numFmtId="0" fontId="10" fillId="5" borderId="22" xfId="0" applyNumberFormat="1" applyFont="1" applyFill="1" applyBorder="1" applyAlignment="1">
      <x:alignment vertical="center" wrapText="1"/>
    </x:xf>
    <x:xf numFmtId="0" fontId="10" fillId="5" borderId="23" xfId="0" applyNumberFormat="1" applyFont="1" applyFill="1" applyBorder="1" applyAlignment="1">
      <x:alignment vertical="center" wrapText="1"/>
    </x:xf>
    <x:xf numFmtId="0" fontId="10" fillId="5" borderId="0" xfId="0" applyNumberFormat="1" applyFont="1" applyFill="1" applyBorder="1" applyAlignment="1">
      <x:alignment vertical="center" wrapText="1"/>
    </x:xf>
    <x:xf numFmtId="0" fontId="10" fillId="5" borderId="24" xfId="0" applyNumberFormat="1" applyFont="1" applyFill="1" applyBorder="1" applyAlignment="1">
      <x:alignment vertical="center" wrapText="1"/>
    </x:xf>
    <x:xf numFmtId="0" fontId="10" fillId="5" borderId="25" xfId="0" applyNumberFormat="1" applyFont="1" applyFill="1" applyBorder="1" applyAlignment="1">
      <x:alignment vertical="center" wrapText="1"/>
    </x:xf>
    <x:xf numFmtId="0" fontId="10" fillId="5" borderId="26" xfId="0" applyNumberFormat="1" applyFont="1" applyFill="1" applyBorder="1" applyAlignment="1">
      <x:alignment vertical="center" wrapText="1"/>
    </x:xf>
    <x:xf numFmtId="0" fontId="10" fillId="5" borderId="27" xfId="0" applyNumberFormat="1" applyFont="1" applyFill="1" applyBorder="1" applyAlignment="1">
      <x:alignment vertical="center" wrapText="1"/>
    </x:xf>
    <x:xf numFmtId="0" fontId="10" fillId="5" borderId="20" xfId="0" applyNumberFormat="1" applyFont="1" applyFill="1" applyBorder="1" applyAlignment="1">
      <x:alignment horizontal="center" vertical="center" wrapText="1"/>
    </x:xf>
    <x:xf numFmtId="0" fontId="10" fillId="5" borderId="21" xfId="0" applyNumberFormat="1" applyFont="1" applyFill="1" applyBorder="1" applyAlignment="1">
      <x:alignment horizontal="center" vertical="center" wrapText="1"/>
    </x:xf>
    <x:xf numFmtId="0" fontId="10" fillId="5" borderId="22" xfId="0" applyNumberFormat="1" applyFont="1" applyFill="1" applyBorder="1" applyAlignment="1">
      <x:alignment horizontal="center" vertical="center" wrapText="1"/>
    </x:xf>
    <x:xf numFmtId="0" fontId="10" fillId="5" borderId="23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 applyAlignment="1">
      <x:alignment horizontal="center" vertical="center" wrapText="1"/>
    </x:xf>
    <x:xf numFmtId="0" fontId="10" fillId="5" borderId="24" xfId="0" applyNumberFormat="1" applyFont="1" applyFill="1" applyBorder="1" applyAlignment="1">
      <x:alignment horizontal="center" vertical="center" wrapText="1"/>
    </x:xf>
    <x:xf numFmtId="0" fontId="10" fillId="5" borderId="25" xfId="0" applyNumberFormat="1" applyFont="1" applyFill="1" applyBorder="1" applyAlignment="1">
      <x:alignment horizontal="center" vertical="center" wrapText="1"/>
    </x:xf>
    <x:xf numFmtId="0" fontId="10" fillId="5" borderId="26" xfId="0" applyNumberFormat="1" applyFont="1" applyFill="1" applyBorder="1" applyAlignment="1">
      <x:alignment horizontal="center" vertical="center" wrapText="1"/>
    </x:xf>
    <x:xf numFmtId="0" fontId="10" fillId="5" borderId="27" xfId="0" applyNumberFormat="1" applyFont="1" applyFill="1" applyBorder="1" applyAlignment="1">
      <x:alignment horizontal="center"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8" fillId="7" borderId="0" xfId="0" applyNumberFormat="1" applyFont="1" applyFill="1" applyBorder="1" applyAlignment="1">
      <x:alignment horizontal="center" vertical="center"/>
    </x:xf>
    <x:xf numFmtId="0" fontId="11" fillId="8" borderId="0" xfId="0" applyNumberFormat="1" applyFont="1" applyFill="1" applyBorder="1" applyAlignment="1">
      <x:alignment vertical="center"/>
    </x:xf>
    <x:xf numFmtId="0" fontId="11" fillId="8" borderId="28" xfId="0" applyNumberFormat="1" applyFont="1" applyFill="1" applyBorder="1" applyAlignment="1">
      <x:alignment vertical="center"/>
    </x:xf>
    <x:xf numFmtId="0" fontId="11" fillId="8" borderId="29" xfId="0" applyNumberFormat="1" applyFont="1" applyFill="1" applyBorder="1" applyAlignment="1">
      <x:alignment vertical="center"/>
    </x:xf>
    <x:xf numFmtId="0" fontId="11" fillId="8" borderId="28" xfId="0" applyNumberFormat="1" applyFont="1" applyFill="1" applyBorder="1" applyAlignment="1">
      <x:alignment horizontal="center" vertical="center"/>
    </x:xf>
    <x:xf numFmtId="0" fontId="11" fillId="8" borderId="29" xfId="0" applyNumberFormat="1" applyFont="1" applyFill="1" applyBorder="1" applyAlignment="1">
      <x:alignment horizontal="center" vertical="center"/>
    </x:xf>
    <x:xf numFmtId="0" fontId="12" fillId="9" borderId="0" xfId="0" applyNumberFormat="1" applyFont="1" applyFill="1" applyBorder="1" applyAlignment="1">
      <x:alignment vertical="center"/>
    </x:xf>
    <x:xf numFmtId="0" fontId="12" fillId="9" borderId="28" xfId="0" applyNumberFormat="1" applyFont="1" applyFill="1" applyBorder="1" applyAlignment="1">
      <x:alignment vertical="center"/>
    </x:xf>
    <x:xf numFmtId="0" fontId="12" fillId="9" borderId="29" xfId="0" applyNumberFormat="1" applyFont="1" applyFill="1" applyBorder="1" applyAlignment="1">
      <x:alignment vertical="center"/>
    </x:xf>
    <x:xf numFmtId="0" fontId="12" fillId="9" borderId="28" xfId="0" applyNumberFormat="1" applyFont="1" applyFill="1" applyBorder="1" applyAlignment="1">
      <x:alignment vertical="center" wrapText="1"/>
    </x:xf>
    <x:xf numFmtId="0" fontId="12" fillId="9" borderId="29" xfId="0" applyNumberFormat="1" applyFont="1" applyFill="1" applyBorder="1" applyAlignment="1">
      <x:alignment vertical="center" wrapText="1"/>
    </x:xf>
    <x:xf numFmtId="0" fontId="12" fillId="9" borderId="28" xfId="0" applyNumberFormat="1" applyFont="1" applyFill="1" applyBorder="1" applyAlignment="1">
      <x:alignment horizontal="center" vertical="center" wrapText="1"/>
    </x:xf>
    <x:xf numFmtId="0" fontId="12" fillId="9" borderId="29" xfId="0" applyNumberFormat="1" applyFont="1" applyFill="1" applyBorder="1" applyAlignment="1">
      <x:alignment horizontal="center" vertical="center" wrapText="1"/>
    </x:xf>
    <x:xf numFmtId="0" fontId="3" fillId="8" borderId="1" xfId="0" applyNumberFormat="1" applyFont="1" applyFill="1" applyBorder="1" applyAlignment="1">
      <x:alignment vertical="center"/>
    </x:xf>
    <x:xf numFmtId="0" fontId="3" fillId="8" borderId="2" xfId="0" applyNumberFormat="1" applyFont="1" applyFill="1" applyBorder="1" applyAlignment="1">
      <x:alignment vertical="center"/>
    </x:xf>
    <x:xf numFmtId="0" fontId="3" fillId="8" borderId="3" xfId="0" applyNumberFormat="1" applyFont="1" applyFill="1" applyBorder="1" applyAlignment="1">
      <x:alignment vertical="center"/>
    </x:xf>
    <x:xf numFmtId="0" fontId="3" fillId="8" borderId="4" xfId="0" applyNumberFormat="1" applyFont="1" applyFill="1" applyBorder="1" applyAlignment="1">
      <x:alignment vertical="center"/>
    </x:xf>
    <x:xf numFmtId="0" fontId="3" fillId="8" borderId="5" xfId="0" applyNumberFormat="1" applyFont="1" applyFill="1" applyBorder="1" applyAlignment="1">
      <x:alignment vertical="center"/>
    </x:xf>
    <x:xf numFmtId="0" fontId="3" fillId="8" borderId="6" xfId="0" applyNumberFormat="1" applyFont="1" applyFill="1" applyBorder="1" applyAlignment="1">
      <x:alignment vertical="center"/>
    </x:xf>
    <x:xf numFmtId="0" fontId="3" fillId="8" borderId="1" xfId="0" applyNumberFormat="1" applyFont="1" applyFill="1" applyBorder="1" applyAlignment="1">
      <x:alignment vertical="center" wrapText="1"/>
    </x:xf>
    <x:xf numFmtId="0" fontId="3" fillId="8" borderId="2" xfId="0" applyNumberFormat="1" applyFont="1" applyFill="1" applyBorder="1" applyAlignment="1">
      <x:alignment vertical="center" wrapText="1"/>
    </x:xf>
    <x:xf numFmtId="0" fontId="3" fillId="8" borderId="3" xfId="0" applyNumberFormat="1" applyFont="1" applyFill="1" applyBorder="1" applyAlignment="1">
      <x:alignment vertical="center" wrapText="1"/>
    </x:xf>
    <x:xf numFmtId="0" fontId="3" fillId="8" borderId="4" xfId="0" applyNumberFormat="1" applyFont="1" applyFill="1" applyBorder="1" applyAlignment="1">
      <x:alignment vertical="center" wrapText="1"/>
    </x:xf>
    <x:xf numFmtId="0" fontId="3" fillId="8" borderId="5" xfId="0" applyNumberFormat="1" applyFont="1" applyFill="1" applyBorder="1" applyAlignment="1">
      <x:alignment vertical="center" wrapText="1"/>
    </x:xf>
    <x:xf numFmtId="0" fontId="3" fillId="8" borderId="6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/>
    </x:xf>
    <x:xf numFmtId="0" fontId="1" fillId="8" borderId="2" xfId="0" applyNumberFormat="1" applyFont="1" applyFill="1" applyBorder="1" applyAlignment="1">
      <x:alignment vertical="center"/>
    </x:xf>
    <x:xf numFmtId="0" fontId="1" fillId="8" borderId="3" xfId="0" applyNumberFormat="1" applyFont="1" applyFill="1" applyBorder="1" applyAlignment="1">
      <x:alignment vertical="center"/>
    </x:xf>
    <x:xf numFmtId="0" fontId="1" fillId="8" borderId="18" xfId="0" applyNumberFormat="1" applyFont="1" applyFill="1" applyBorder="1" applyAlignment="1">
      <x:alignment vertical="center"/>
    </x:xf>
    <x:xf numFmtId="0" fontId="1" fillId="8" borderId="19" xfId="0" applyNumberFormat="1" applyFont="1" applyFill="1" applyBorder="1" applyAlignment="1">
      <x:alignment vertical="center"/>
    </x:xf>
    <x:xf numFmtId="0" fontId="1" fillId="8" borderId="4" xfId="0" applyNumberFormat="1" applyFont="1" applyFill="1" applyBorder="1" applyAlignment="1">
      <x:alignment vertical="center"/>
    </x:xf>
    <x:xf numFmtId="0" fontId="1" fillId="8" borderId="5" xfId="0" applyNumberFormat="1" applyFont="1" applyFill="1" applyBorder="1" applyAlignment="1">
      <x:alignment vertical="center"/>
    </x:xf>
    <x:xf numFmtId="0" fontId="1" fillId="8" borderId="6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2" xfId="0" applyNumberFormat="1" applyFont="1" applyFill="1" applyBorder="1" applyAlignment="1">
      <x:alignment vertical="center" wrapText="1"/>
    </x:xf>
    <x:xf numFmtId="0" fontId="1" fillId="8" borderId="3" xfId="0" applyNumberFormat="1" applyFont="1" applyFill="1" applyBorder="1" applyAlignment="1">
      <x:alignment vertical="center" wrapText="1"/>
    </x:xf>
    <x:xf numFmtId="0" fontId="1" fillId="8" borderId="18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9" xfId="0" applyNumberFormat="1" applyFont="1" applyFill="1" applyBorder="1" applyAlignment="1">
      <x:alignment vertical="center" wrapText="1"/>
    </x:xf>
    <x:xf numFmtId="0" fontId="1" fillId="8" borderId="4" xfId="0" applyNumberFormat="1" applyFont="1" applyFill="1" applyBorder="1" applyAlignment="1">
      <x:alignment vertical="center" wrapText="1"/>
    </x:xf>
    <x:xf numFmtId="0" fontId="1" fillId="8" borderId="5" xfId="0" applyNumberFormat="1" applyFont="1" applyFill="1" applyBorder="1" applyAlignment="1">
      <x:alignment vertical="center" wrapText="1"/>
    </x:xf>
    <x:xf numFmtId="0" fontId="1" fillId="8" borderId="6" xfId="0" applyNumberFormat="1" applyFont="1" applyFill="1" applyBorder="1" applyAlignment="1">
      <x:alignment vertical="center" wrapText="1"/>
    </x:xf>
    <x:xf numFmtId="0" fontId="3" fillId="5" borderId="28" xfId="0" applyNumberFormat="1" applyFont="1" applyFill="1" applyBorder="1" applyAlignment="1">
      <x:alignment vertical="center"/>
    </x:xf>
    <x:xf numFmtId="0" fontId="3" fillId="5" borderId="30" xfId="0" applyNumberFormat="1" applyFont="1" applyFill="1" applyBorder="1" applyAlignment="1">
      <x:alignment vertical="center"/>
    </x:xf>
    <x:xf numFmtId="0" fontId="3" fillId="5" borderId="29" xfId="0" applyNumberFormat="1" applyFont="1" applyFill="1" applyBorder="1" applyAlignment="1">
      <x:alignment vertical="center"/>
    </x:xf>
    <x:xf numFmtId="0" fontId="3" fillId="5" borderId="28" xfId="0" applyNumberFormat="1" applyFont="1" applyFill="1" applyBorder="1" applyAlignment="1">
      <x:alignment horizontal="center" vertical="center"/>
    </x:xf>
    <x:xf numFmtId="0" fontId="3" fillId="5" borderId="30" xfId="0" applyNumberFormat="1" applyFont="1" applyFill="1" applyBorder="1" applyAlignment="1">
      <x:alignment horizontal="center" vertical="center"/>
    </x:xf>
    <x:xf numFmtId="0" fontId="3" fillId="5" borderId="29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vertical="center"/>
    </x:xf>
    <x:xf numFmtId="0" fontId="11" fillId="8" borderId="30" xfId="0" applyNumberFormat="1" applyFont="1" applyFill="1" applyBorder="1" applyAlignment="1">
      <x:alignment vertical="center"/>
    </x:xf>
    <x:xf numFmtId="0" fontId="11" fillId="8" borderId="30" xfId="0" applyNumberFormat="1" applyFont="1" applyFill="1" applyBorder="1" applyAlignment="1">
      <x:alignment horizontal="center" vertical="center"/>
    </x:xf>
    <x:xf numFmtId="202" fontId="1" fillId="2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/>
    </x:xf>
    <x:xf numFmtId="202" fontId="1" fillId="8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 wrapText="1"/>
    </x:xf>
    <x:xf numFmtId="0" fontId="6" fillId="9" borderId="28" xfId="0" applyNumberFormat="1" applyFont="1" applyFill="1" applyBorder="1" applyAlignment="1">
      <x:alignment vertical="center"/>
    </x:xf>
    <x:xf numFmtId="0" fontId="6" fillId="9" borderId="30" xfId="0" applyNumberFormat="1" applyFont="1" applyFill="1" applyBorder="1" applyAlignment="1">
      <x:alignment vertical="center"/>
    </x:xf>
    <x:xf numFmtId="0" fontId="6" fillId="9" borderId="29" xfId="0" applyNumberFormat="1" applyFont="1" applyFill="1" applyBorder="1" applyAlignment="1">
      <x:alignment vertical="center"/>
    </x:xf>
    <x:xf numFmtId="0" fontId="6" fillId="9" borderId="28" xfId="0" applyNumberFormat="1" applyFont="1" applyFill="1" applyBorder="1" applyAlignment="1">
      <x:alignment horizontal="center" vertical="center"/>
    </x:xf>
    <x:xf numFmtId="0" fontId="6" fillId="9" borderId="30" xfId="0" applyNumberFormat="1" applyFont="1" applyFill="1" applyBorder="1" applyAlignment="1">
      <x:alignment horizontal="center" vertical="center"/>
    </x:xf>
    <x:xf numFmtId="0" fontId="6" fillId="9" borderId="29" xfId="0" applyNumberFormat="1" applyFont="1" applyFill="1" applyBorder="1" applyAlignment="1">
      <x:alignment horizontal="center" vertical="center"/>
    </x:xf>
    <x:xf numFmtId="0" fontId="3" fillId="5" borderId="18" xfId="0" applyNumberFormat="1" applyFont="1" applyFill="1" applyBorder="1" applyAlignment="1">
      <x:alignment vertical="center"/>
    </x:xf>
    <x:xf numFmtId="0" fontId="3" fillId="5" borderId="19" xfId="0" applyNumberFormat="1" applyFont="1" applyFill="1" applyBorder="1" applyAlignment="1">
      <x:alignment vertical="center"/>
    </x:xf>
    <x:xf numFmtId="0" fontId="3" fillId="5" borderId="1" xfId="0" applyNumberFormat="1" applyFont="1" applyFill="1" applyBorder="1" applyAlignment="1">
      <x:alignment horizontal="left" vertical="center"/>
    </x:xf>
    <x:xf numFmtId="0" fontId="3" fillId="5" borderId="2" xfId="0" applyNumberFormat="1" applyFont="1" applyFill="1" applyBorder="1" applyAlignment="1">
      <x:alignment horizontal="left" vertical="center"/>
    </x:xf>
    <x:xf numFmtId="0" fontId="3" fillId="5" borderId="3" xfId="0" applyNumberFormat="1" applyFont="1" applyFill="1" applyBorder="1" applyAlignment="1">
      <x:alignment horizontal="left" vertical="center"/>
    </x:xf>
    <x:xf numFmtId="0" fontId="3" fillId="5" borderId="18" xfId="0" applyNumberFormat="1" applyFont="1" applyFill="1" applyBorder="1" applyAlignment="1">
      <x:alignment horizontal="left" vertical="center"/>
    </x:xf>
    <x:xf numFmtId="0" fontId="3" fillId="5" borderId="0" xfId="0" applyNumberFormat="1" applyFont="1" applyFill="1" applyBorder="1" applyAlignment="1">
      <x:alignment horizontal="left" vertical="center"/>
    </x:xf>
    <x:xf numFmtId="0" fontId="3" fillId="5" borderId="19" xfId="0" applyNumberFormat="1" applyFont="1" applyFill="1" applyBorder="1" applyAlignment="1">
      <x:alignment horizontal="left" vertical="center"/>
    </x:xf>
    <x:xf numFmtId="0" fontId="3" fillId="5" borderId="4" xfId="0" applyNumberFormat="1" applyFont="1" applyFill="1" applyBorder="1" applyAlignment="1">
      <x:alignment horizontal="left" vertical="center"/>
    </x:xf>
    <x:xf numFmtId="0" fontId="3" fillId="5" borderId="5" xfId="0" applyNumberFormat="1" applyFont="1" applyFill="1" applyBorder="1" applyAlignment="1">
      <x:alignment horizontal="left" vertical="center"/>
    </x:xf>
    <x:xf numFmtId="0" fontId="3" fillId="5" borderId="6" xfId="0" applyNumberFormat="1" applyFont="1" applyFill="1" applyBorder="1" applyAlignment="1">
      <x:alignment horizontal="left" vertical="center"/>
    </x:xf>
    <x:xf numFmtId="0" fontId="11" fillId="8" borderId="1" xfId="0" applyNumberFormat="1" applyFont="1" applyFill="1" applyBorder="1" applyAlignment="1">
      <x:alignment vertical="center"/>
    </x:xf>
    <x:xf numFmtId="0" fontId="11" fillId="8" borderId="3" xfId="0" applyNumberFormat="1" applyFont="1" applyFill="1" applyBorder="1" applyAlignment="1">
      <x:alignment vertical="center"/>
    </x:xf>
    <x:xf numFmtId="0" fontId="11" fillId="8" borderId="4" xfId="0" applyNumberFormat="1" applyFont="1" applyFill="1" applyBorder="1" applyAlignment="1">
      <x:alignment vertical="center"/>
    </x:xf>
    <x:xf numFmtId="0" fontId="11" fillId="8" borderId="6" xfId="0" applyNumberFormat="1" applyFont="1" applyFill="1" applyBorder="1" applyAlignment="1">
      <x:alignment vertical="center"/>
    </x:xf>
    <x:xf numFmtId="0" fontId="11" fillId="8" borderId="1" xfId="0" applyNumberFormat="1" applyFont="1" applyFill="1" applyBorder="1" applyAlignment="1">
      <x:alignment horizontal="center" vertical="center"/>
    </x:xf>
    <x:xf numFmtId="0" fontId="11" fillId="8" borderId="3" xfId="0" applyNumberFormat="1" applyFont="1" applyFill="1" applyBorder="1" applyAlignment="1">
      <x:alignment horizontal="center" vertical="center"/>
    </x:xf>
    <x:xf numFmtId="0" fontId="11" fillId="8" borderId="4" xfId="0" applyNumberFormat="1" applyFont="1" applyFill="1" applyBorder="1" applyAlignment="1">
      <x:alignment horizontal="center" vertical="center"/>
    </x:xf>
    <x:xf numFmtId="0" fontId="11" fillId="8" borderId="6" xfId="0" applyNumberFormat="1" applyFont="1" applyFill="1" applyBorder="1" applyAlignment="1">
      <x:alignment horizontal="center" vertical="center"/>
    </x:xf>
    <x:xf numFmtId="0" fontId="10" fillId="5" borderId="28" xfId="0" applyNumberFormat="1" applyFont="1" applyFill="1" applyBorder="1" applyAlignment="1">
      <x:alignment vertical="center"/>
    </x:xf>
    <x:xf numFmtId="0" fontId="10" fillId="5" borderId="29" xfId="0" applyNumberFormat="1" applyFont="1" applyFill="1" applyBorder="1" applyAlignment="1">
      <x:alignment vertical="center"/>
    </x:xf>
    <x:xf numFmtId="0" fontId="10" fillId="5" borderId="28" xfId="0" applyNumberFormat="1" applyFont="1" applyFill="1" applyBorder="1" applyAlignment="1">
      <x:alignment horizontal="center" vertical="center"/>
    </x:xf>
    <x:xf numFmtId="0" fontId="10" fillId="5" borderId="29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0" fontId="1" fillId="8" borderId="4" xfId="0" applyNumberFormat="1" applyFont="1" applyFill="1" applyBorder="1" applyAlignment="1">
      <x:alignment horizontal="center" vertical="center" wrapText="1"/>
    </x:xf>
    <x:xf numFmtId="0" fontId="1" fillId="8" borderId="6" xfId="0" applyNumberFormat="1" applyFont="1" applyFill="1" applyBorder="1" applyAlignment="1">
      <x:alignment horizontal="center" vertical="center" wrapText="1"/>
    </x:xf>
    <x:xf numFmtId="0" fontId="6" fillId="9" borderId="1" xfId="0" applyNumberFormat="1" applyFont="1" applyFill="1" applyBorder="1" applyAlignment="1">
      <x:alignment vertical="center"/>
    </x:xf>
    <x:xf numFmtId="0" fontId="6" fillId="9" borderId="2" xfId="0" applyNumberFormat="1" applyFont="1" applyFill="1" applyBorder="1" applyAlignment="1">
      <x:alignment vertical="center"/>
    </x:xf>
    <x:xf numFmtId="0" fontId="6" fillId="9" borderId="3" xfId="0" applyNumberFormat="1" applyFont="1" applyFill="1" applyBorder="1" applyAlignment="1">
      <x:alignment vertical="center"/>
    </x:xf>
    <x:xf numFmtId="0" fontId="6" fillId="9" borderId="4" xfId="0" applyNumberFormat="1" applyFont="1" applyFill="1" applyBorder="1" applyAlignment="1">
      <x:alignment vertical="center"/>
    </x:xf>
    <x:xf numFmtId="0" fontId="6" fillId="9" borderId="5" xfId="0" applyNumberFormat="1" applyFont="1" applyFill="1" applyBorder="1" applyAlignment="1">
      <x:alignment vertical="center"/>
    </x:xf>
    <x:xf numFmtId="0" fontId="6" fillId="9" borderId="6" xfId="0" applyNumberFormat="1" applyFont="1" applyFill="1" applyBorder="1" applyAlignment="1">
      <x:alignment vertical="center"/>
    </x:xf>
    <x:xf numFmtId="0" fontId="6" fillId="9" borderId="1" xfId="0" applyNumberFormat="1" applyFont="1" applyFill="1" applyBorder="1" applyAlignment="1">
      <x:alignment vertical="center" wrapText="1"/>
    </x:xf>
    <x:xf numFmtId="0" fontId="6" fillId="9" borderId="2" xfId="0" applyNumberFormat="1" applyFont="1" applyFill="1" applyBorder="1" applyAlignment="1">
      <x:alignment vertical="center" wrapText="1"/>
    </x:xf>
    <x:xf numFmtId="0" fontId="6" fillId="9" borderId="3" xfId="0" applyNumberFormat="1" applyFont="1" applyFill="1" applyBorder="1" applyAlignment="1">
      <x:alignment vertical="center" wrapText="1"/>
    </x:xf>
    <x:xf numFmtId="0" fontId="6" fillId="9" borderId="4" xfId="0" applyNumberFormat="1" applyFont="1" applyFill="1" applyBorder="1" applyAlignment="1">
      <x:alignment vertical="center" wrapText="1"/>
    </x:xf>
    <x:xf numFmtId="0" fontId="6" fillId="9" borderId="5" xfId="0" applyNumberFormat="1" applyFont="1" applyFill="1" applyBorder="1" applyAlignment="1">
      <x:alignment vertical="center" wrapText="1"/>
    </x:xf>
    <x:xf numFmtId="0" fontId="6" fillId="9" borderId="6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6"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  <x:dxf>
      <x:font>
        <x:b/>
        <x:color rgb="FFB42318"/>
      </x:font>
      <x:fill>
        <x:patternFill patternType="solid">
          <x:bgColor rgb="FFFDECEA"/>
        </x:patternFill>
      </x:fill>
    </x:dxf>
    <x:dxf>
      <x:font>
        <x:b/>
        <x:color rgb="FF247252"/>
      </x:font>
      <x:fill>
        <x:patternFill patternType="solid">
          <x:bgColor rgb="FFE6F2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0832ed54b24757" /><Relationship Type="http://schemas.openxmlformats.org/officeDocument/2006/relationships/theme" Target="/xl/theme/theme1.xml" Id="Ra7458074c77f4c44" /><Relationship Type="http://schemas.openxmlformats.org/officeDocument/2006/relationships/sharedStrings" Target="/xl/sharedStrings.xml" Id="R42d702b311d64fca" /><Relationship Type="http://schemas.openxmlformats.org/officeDocument/2006/relationships/worksheet" Target="/xl/worksheets/sheet1.xml" Id="R8b5f554be9254f93" /><Relationship Type="http://schemas.openxmlformats.org/officeDocument/2006/relationships/worksheet" Target="/xl/worksheets/sheet2.xml" Id="R72771d40bd674313" /><Relationship Type="http://schemas.openxmlformats.org/officeDocument/2006/relationships/worksheet" Target="/xl/worksheets/sheet3.xml" Id="R5e8c48915d234e39" /><Relationship Type="http://schemas.openxmlformats.org/officeDocument/2006/relationships/worksheet" Target="/xl/worksheets/sheet4.xml" Id="Rc4bd32f086804a0d" /><Relationship Type="http://schemas.openxmlformats.org/officeDocument/2006/relationships/worksheet" Target="/xl/worksheets/sheet5.xml" Id="Rdc3e6547c67e41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TDAT FINANCIAL MODEL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TDAT-FM-SME-001 · Twelve monthly forecast periods · v1.4.0 · Five visible tabs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244" t="str">
        <x:v>SME Integrated Forecast</x:v>
      </x:c>
      <x:c r="B5" s="245"/>
      <x:c r="C5" s="245"/>
      <x:c r="D5" s="245"/>
      <x:c r="E5" s="245"/>
      <x:c r="F5" s="246"/>
      <x:c r="G5" s="60" t="str">
        <x:v>MODEL STATUS</x:v>
      </x:c>
      <x:c r="H5" s="60"/>
    </x:row>
    <x:row r="6" ht="20" customHeight="1">
      <x:c r="A6" s="247"/>
      <x:c r="B6" s="248"/>
      <x:c r="C6" s="248"/>
      <x:c r="D6" s="248"/>
      <x:c r="E6" s="248"/>
      <x:c r="F6" s="249"/>
      <x:c r="G6" s="257" t="str">
        <x:f>'Checks'!B4</x:f>
        <x:v>PASS</x:v>
      </x:c>
      <x:c r="H6" s="258"/>
    </x:row>
    <x:row r="7" ht="20" customHeight="1">
      <x:c r="A7" s="250"/>
      <x:c r="B7" s="251"/>
      <x:c r="C7" s="251"/>
      <x:c r="D7" s="251"/>
      <x:c r="E7" s="251"/>
      <x:c r="F7" s="252"/>
      <x:c r="G7" s="259"/>
      <x:c r="H7" s="260"/>
    </x:row>
    <x:row r="8" ht="20" customHeight="1">
      <x:c r="A8" s="3"/>
      <x:c r="B8" s="3"/>
      <x:c r="C8" s="3"/>
      <x:c r="D8" s="3"/>
      <x:c r="E8" s="3"/>
      <x:c r="F8" s="3"/>
      <x:c r="G8" s="3"/>
      <x:c r="H8" s="3"/>
    </x:row>
    <x:row r="9" ht="20" customHeight="1">
      <x:c r="A9" s="61" t="str">
        <x:v>WHAT THIS MODEL IS FOR</x:v>
      </x:c>
      <x:c r="B9" s="61"/>
      <x:c r="C9" s="61"/>
      <x:c r="D9" s="61"/>
      <x:c r="E9" s="61"/>
      <x:c r="F9" s="61"/>
      <x:c r="G9" s="61"/>
      <x:c r="H9" s="61"/>
    </x:row>
    <x:row r="10" ht="20" customHeight="1">
      <x:c r="A10" s="194" t="str">
        <x:v>When does the business reach EBITDA break-even, and how much liquidity is required over the next 12 months?</x:v>
      </x:c>
      <x:c r="B10" s="195"/>
      <x:c r="C10" s="195"/>
      <x:c r="D10" s="195"/>
      <x:c r="E10" s="195"/>
      <x:c r="F10" s="195"/>
      <x:c r="G10" s="195"/>
      <x:c r="H10" s="196"/>
    </x:row>
    <x:row r="11" ht="20" customHeight="1">
      <x:c r="A11" s="197"/>
      <x:c r="B11" s="198"/>
      <x:c r="C11" s="198"/>
      <x:c r="D11" s="198"/>
      <x:c r="E11" s="198"/>
      <x:c r="F11" s="198"/>
      <x:c r="G11" s="198"/>
      <x:c r="H11" s="199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USE IT IN FOUR STEPS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263" t="str">
        <x:v>1 · INPUTS</x:v>
      </x:c>
      <x:c r="B14" s="264"/>
      <x:c r="C14" s="263" t="str">
        <x:v>2 · MODEL</x:v>
      </x:c>
      <x:c r="D14" s="264"/>
      <x:c r="E14" s="263" t="str">
        <x:v>3 · RESULTS</x:v>
      </x:c>
      <x:c r="F14" s="264"/>
      <x:c r="G14" s="263" t="str">
        <x:v>4 · CHECKS</x:v>
      </x:c>
      <x:c r="H14" s="264"/>
    </x:row>
    <x:row r="15" ht="20" customHeight="1">
      <x:c r="A15" s="265" t="str">
        <x:v>Edit only blue cells</x:v>
      </x:c>
      <x:c r="B15" s="266"/>
      <x:c r="C15" s="265" t="str">
        <x:v>Trace schedules and formulas</x:v>
      </x:c>
      <x:c r="D15" s="266"/>
      <x:c r="E15" s="265" t="str">
        <x:v>Read the linked decision view</x:v>
      </x:c>
      <x:c r="F15" s="266"/>
      <x:c r="G15" s="265" t="str">
        <x:v>Resolve every FAIL</x:v>
      </x:c>
      <x:c r="H15" s="266"/>
    </x:row>
    <x:row r="16" ht="20" customHeight="1">
      <x:c r="A16" s="267"/>
      <x:c r="B16" s="268"/>
      <x:c r="C16" s="267"/>
      <x:c r="D16" s="268"/>
      <x:c r="E16" s="267"/>
      <x:c r="F16" s="268"/>
      <x:c r="G16" s="267"/>
      <x:c r="H16" s="268"/>
    </x:row>
    <x:row r="17" ht="20" customHeight="1">
      <x:c r="A17" s="3"/>
      <x:c r="B17" s="3"/>
      <x:c r="C17" s="3"/>
      <x:c r="D17" s="3"/>
      <x:c r="E17" s="3"/>
      <x:c r="F17" s="3"/>
      <x:c r="G17" s="3"/>
      <x:c r="H17" s="3"/>
    </x:row>
    <x:row r="18" ht="20" customHeight="1">
      <x:c r="A18" s="61" t="str">
        <x:v>DEPTH WITHOUT EXTRA TABS</x:v>
      </x:c>
      <x:c r="B18" s="61"/>
      <x:c r="C18" s="61"/>
      <x:c r="D18" s="61"/>
      <x:c r="E18" s="61"/>
      <x:c r="F18" s="61"/>
      <x:c r="G18" s="61"/>
      <x:c r="H18" s="61"/>
    </x:row>
    <x:row r="19" ht="20" customHeight="1">
      <x:c r="A19" s="174" t="str">
        <x:v>Forecast</x:v>
      </x:c>
      <x:c r="B19" s="174"/>
      <x:c r="C19" s="83" t="str">
        <x:v>Twelve monthly forecast periods</x:v>
      </x:c>
      <x:c r="D19" s="83"/>
      <x:c r="E19" s="83"/>
      <x:c r="F19" s="83"/>
      <x:c r="G19" s="83"/>
      <x:c r="H19" s="83"/>
    </x:row>
    <x:row r="20" ht="20" customHeight="1">
      <x:c r="A20" s="174" t="str">
        <x:v>Editable inputs</x:v>
      </x:c>
      <x:c r="B20" s="174"/>
      <x:c r="C20" s="83" t="str">
        <x:v>10</x:v>
      </x:c>
      <x:c r="D20" s="83"/>
      <x:c r="E20" s="83"/>
      <x:c r="F20" s="83"/>
      <x:c r="G20" s="83"/>
      <x:c r="H20" s="83"/>
    </x:row>
    <x:row r="21" ht="20" customHeight="1">
      <x:c r="A21" s="174" t="str">
        <x:v>Visible sheets</x:v>
      </x:c>
      <x:c r="B21" s="174"/>
      <x:c r="C21" s="83" t="str">
        <x:v>5</x:v>
      </x:c>
      <x:c r="D21" s="83"/>
      <x:c r="E21" s="83"/>
      <x:c r="F21" s="83"/>
      <x:c r="G21" s="83"/>
      <x:c r="H21" s="83"/>
    </x:row>
    <x:row r="22" ht="20" customHeight="1">
      <x:c r="A22" s="174" t="str">
        <x:v>Setup</x:v>
      </x:c>
      <x:c r="B22" s="174"/>
      <x:c r="C22" s="83" t="str">
        <x:v>15–20 minutes</x:v>
      </x:c>
      <x:c r="D22" s="83"/>
      <x:c r="E22" s="83"/>
      <x:c r="F22" s="83"/>
      <x:c r="G22" s="83"/>
      <x:c r="H22" s="83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61" t="str">
        <x:v>FIT &amp; SCOPE</x:v>
      </x:c>
      <x:c r="B24" s="61"/>
      <x:c r="C24" s="61"/>
      <x:c r="D24" s="61"/>
      <x:c r="E24" s="61"/>
      <x:c r="F24" s="61"/>
      <x:c r="G24" s="61"/>
      <x:c r="H24" s="61"/>
    </x:row>
    <x:row r="25" ht="20" customHeight="1">
      <x:c r="A25" s="208" t="str">
        <x:v>Included: Monthly revenue, gross profit, and EBITDA forecast · Receivables, payables, and net-working-capital bridge · Cash roll-forward, minimum-cash funding, and break-even timing</x:v>
      </x:c>
      <x:c r="B25" s="209"/>
      <x:c r="C25" s="209"/>
      <x:c r="D25" s="209"/>
      <x:c r="E25" s="209"/>
      <x:c r="F25" s="209"/>
      <x:c r="G25" s="209"/>
      <x:c r="H25" s="210"/>
    </x:row>
    <x:row r="26" ht="20" customHeight="1">
      <x:c r="A26" s="214"/>
      <x:c r="B26" s="215"/>
      <x:c r="C26" s="215"/>
      <x:c r="D26" s="215"/>
      <x:c r="E26" s="215"/>
      <x:c r="F26" s="215"/>
      <x:c r="G26" s="215"/>
      <x:c r="H26" s="216"/>
    </x:row>
    <x:row r="27" ht="20" customHeight="1">
      <x:c r="A27" s="275" t="str">
        <x:v>Scope boundary: Detailed product mix, inventory, debt terms, tax schedules, seasonality, and a financing recommendation.</x:v>
      </x:c>
      <x:c r="B27" s="276"/>
      <x:c r="C27" s="276"/>
      <x:c r="D27" s="276"/>
      <x:c r="E27" s="276"/>
      <x:c r="F27" s="276"/>
      <x:c r="G27" s="276"/>
      <x:c r="H27" s="277"/>
    </x:row>
    <x:row r="28" ht="20" customHeight="1">
      <x:c r="A28" s="278"/>
      <x:c r="B28" s="279"/>
      <x:c r="C28" s="279"/>
      <x:c r="D28" s="279"/>
      <x:c r="E28" s="279"/>
      <x:c r="F28" s="279"/>
      <x:c r="G28" s="279"/>
      <x:c r="H28" s="280"/>
    </x:row>
    <x:row r="29" ht="20" customHeight="1">
      <x:c r="A29" s="282" t="str">
        <x:v>Synthetic demonstration only · Tested 2026-08-17 · Excel 365 · Macro-free · No external links</x:v>
      </x:c>
      <x:c r="B29" s="282"/>
      <x:c r="C29" s="282"/>
      <x:c r="D29" s="282"/>
      <x:c r="E29" s="282"/>
      <x:c r="F29" s="282"/>
      <x:c r="G29" s="282"/>
      <x:c r="H29" s="282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SME Integrated Forecast · Start → Inputs → Model → Results → Checks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F7"/>
    <x:mergeCell ref="G5:H5"/>
    <x:mergeCell ref="G6:H7"/>
    <x:mergeCell ref="A9:H9"/>
    <x:mergeCell ref="A10:H11"/>
    <x:mergeCell ref="A13:H13"/>
    <x:mergeCell ref="A14:B14"/>
    <x:mergeCell ref="A15:B16"/>
    <x:mergeCell ref="C14:D14"/>
    <x:mergeCell ref="C15:D16"/>
    <x:mergeCell ref="E14:F14"/>
    <x:mergeCell ref="E15:F16"/>
    <x:mergeCell ref="G14:H14"/>
    <x:mergeCell ref="G15:H16"/>
    <x:mergeCell ref="A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4:H24"/>
    <x:mergeCell ref="A25:H26"/>
    <x:mergeCell ref="A27:H28"/>
    <x:mergeCell ref="A29:H29"/>
    <x:mergeCell ref="A31:H31"/>
  </x:mergeCells>
  <x:conditionalFormatting sqref="G6:H7">
    <x:cfRule type="containsText" dxfId="24" priority="1" operator="containsText" text="FAIL"/>
    <x:cfRule type="containsText" dxfId="25" priority="2" operator="containsText" text="PASS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27" customHeight="1">
      <x:c r="A1" s="6" t="str">
        <x:v>INPUTS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SME Integrated Forecast · Only blue cells are editable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8" t="str">
        <x:v>Change the blue assumptions below. The Model sheet expands them into visible formulas, schedules, and roll-forwards.</x:v>
      </x:c>
      <x:c r="B5" s="19"/>
      <x:c r="C5" s="19"/>
      <x:c r="D5" s="19"/>
      <x:c r="E5" s="19"/>
      <x:c r="F5" s="19"/>
      <x:c r="G5" s="19"/>
      <x:c r="H5" s="20"/>
    </x:row>
    <x:row r="6" ht="20" customHeight="1">
      <x:c r="A6" s="21"/>
      <x:c r="B6" s="22"/>
      <x:c r="C6" s="22"/>
      <x:c r="D6" s="22"/>
      <x:c r="E6" s="22"/>
      <x:c r="F6" s="22"/>
      <x:c r="G6" s="22"/>
      <x:c r="H6" s="23"/>
    </x:row>
    <x:row r="7" ht="20" customHeight="1">
      <x:c r="A7" s="3"/>
      <x:c r="B7" s="3"/>
      <x:c r="C7" s="3"/>
      <x:c r="D7" s="3"/>
      <x:c r="E7" s="3"/>
      <x:c r="F7" s="3"/>
      <x:c r="G7" s="3"/>
      <x:c r="H7" s="3"/>
    </x:row>
    <x:row r="8" ht="20" customHeight="1">
      <x:c r="A8" s="26" t="str">
        <x:v>CORE ASSUMPTIONS</x:v>
      </x:c>
      <x:c r="B8" s="26"/>
      <x:c r="C8" s="26"/>
      <x:c r="D8" s="26"/>
      <x:c r="E8" s="26"/>
      <x:c r="F8" s="26"/>
      <x:c r="G8" s="26"/>
      <x:c r="H8" s="26"/>
    </x:row>
    <x:row r="9" ht="20" customHeight="1">
      <x:c r="A9" s="28" t="str">
        <x:v>Input</x:v>
      </x:c>
      <x:c r="B9" s="28" t="str">
        <x:v>Value</x:v>
      </x:c>
      <x:c r="C9" s="28" t="str">
        <x:v>Unit</x:v>
      </x:c>
      <x:c r="D9" s="28" t="str">
        <x:v>Purpose</x:v>
      </x:c>
      <x:c r="E9" s="28"/>
      <x:c r="F9" s="28"/>
      <x:c r="G9" s="28"/>
      <x:c r="H9" s="28"/>
    </x:row>
    <x:row r="10" ht="20" customHeight="1">
      <x:c r="A10" s="3" t="str">
        <x:v>Current monthly revenue</x:v>
      </x:c>
      <x:c r="B10" s="39" t="n">
        <x:v>80</x:v>
      </x:c>
      <x:c r="C10" s="3" t="str">
        <x:v>LCY m</x:v>
      </x:c>
      <x:c r="D10" s="37" t="str">
        <x:v>Run-rate revenue before Month 1</x:v>
      </x:c>
      <x:c r="E10" s="38"/>
      <x:c r="F10" s="38"/>
      <x:c r="G10" s="38"/>
      <x:c r="H10" s="38"/>
    </x:row>
    <x:row r="11" ht="20" customHeight="1">
      <x:c r="A11" s="3" t="str">
        <x:v>Monthly revenue growth</x:v>
      </x:c>
      <x:c r="B11" s="42" t="n">
        <x:v>0.035</x:v>
      </x:c>
      <x:c r="C11" s="3" t="str">
        <x:v>%</x:v>
      </x:c>
      <x:c r="D11" s="37" t="str">
        <x:v>Applied to each forecast month</x:v>
      </x:c>
      <x:c r="E11" s="38"/>
      <x:c r="F11" s="38"/>
      <x:c r="G11" s="38"/>
      <x:c r="H11" s="38"/>
    </x:row>
    <x:row r="12" ht="20" customHeight="1">
      <x:c r="A12" s="3" t="str">
        <x:v>Gross margin</x:v>
      </x:c>
      <x:c r="B12" s="42" t="n">
        <x:v>0.42</x:v>
      </x:c>
      <x:c r="C12" s="3" t="str">
        <x:v>%</x:v>
      </x:c>
      <x:c r="D12" s="37" t="str">
        <x:v>Held constant in the 12-month forecast</x:v>
      </x:c>
      <x:c r="E12" s="38"/>
      <x:c r="F12" s="38"/>
      <x:c r="G12" s="38"/>
      <x:c r="H12" s="38"/>
    </x:row>
    <x:row r="13" ht="20" customHeight="1">
      <x:c r="A13" s="3" t="str">
        <x:v>Monthly payroll</x:v>
      </x:c>
      <x:c r="B13" s="39" t="n">
        <x:v>32</x:v>
      </x:c>
      <x:c r="C13" s="3" t="str">
        <x:v>LCY m</x:v>
      </x:c>
      <x:c r="D13" s="37" t="str">
        <x:v>Recurring fixed people cost</x:v>
      </x:c>
      <x:c r="E13" s="38"/>
      <x:c r="F13" s="38"/>
      <x:c r="G13" s="38"/>
      <x:c r="H13" s="38"/>
    </x:row>
    <x:row r="14" ht="20" customHeight="1">
      <x:c r="A14" s="3" t="str">
        <x:v>Other monthly fixed opex</x:v>
      </x:c>
      <x:c r="B14" s="39" t="n">
        <x:v>18</x:v>
      </x:c>
      <x:c r="C14" s="3" t="str">
        <x:v>LCY m</x:v>
      </x:c>
      <x:c r="D14" s="37" t="str">
        <x:v>Recurring overhead excluding payroll</x:v>
      </x:c>
      <x:c r="E14" s="38"/>
      <x:c r="F14" s="38"/>
      <x:c r="G14" s="38"/>
      <x:c r="H14" s="38"/>
    </x:row>
    <x:row r="15" ht="20" customHeight="1">
      <x:c r="A15" s="3" t="str">
        <x:v>Customer collection days</x:v>
      </x:c>
      <x:c r="B15" s="45" t="n">
        <x:v>35</x:v>
      </x:c>
      <x:c r="C15" s="3" t="str">
        <x:v>days</x:v>
      </x:c>
      <x:c r="D15" s="37" t="str">
        <x:v>Receivables expressed on a 30-day month</x:v>
      </x:c>
      <x:c r="E15" s="38"/>
      <x:c r="F15" s="38"/>
      <x:c r="G15" s="38"/>
      <x:c r="H15" s="38"/>
    </x:row>
    <x:row r="16" ht="20" customHeight="1">
      <x:c r="A16" s="3" t="str">
        <x:v>Supplier payment days</x:v>
      </x:c>
      <x:c r="B16" s="45" t="n">
        <x:v>30</x:v>
      </x:c>
      <x:c r="C16" s="3" t="str">
        <x:v>days</x:v>
      </x:c>
      <x:c r="D16" s="37" t="str">
        <x:v>Payables based on monthly cost of goods sold</x:v>
      </x:c>
      <x:c r="E16" s="38"/>
      <x:c r="F16" s="38"/>
      <x:c r="G16" s="38"/>
      <x:c r="H16" s="38"/>
    </x:row>
    <x:row r="17" ht="20" customHeight="1">
      <x:c r="A17" s="3" t="str">
        <x:v>Opening cash</x:v>
      </x:c>
      <x:c r="B17" s="39" t="n">
        <x:v>90</x:v>
      </x:c>
      <x:c r="C17" s="3" t="str">
        <x:v>LCY m</x:v>
      </x:c>
      <x:c r="D17" s="37" t="str">
        <x:v>Cash available before Month 1</x:v>
      </x:c>
      <x:c r="E17" s="38"/>
      <x:c r="F17" s="38"/>
      <x:c r="G17" s="38"/>
      <x:c r="H17" s="38"/>
    </x:row>
    <x:row r="18" ht="20" customHeight="1">
      <x:c r="A18" s="3" t="str">
        <x:v>Minimum cash reserve</x:v>
      </x:c>
      <x:c r="B18" s="39" t="n">
        <x:v>30</x:v>
      </x:c>
      <x:c r="C18" s="3" t="str">
        <x:v>LCY m</x:v>
      </x:c>
      <x:c r="D18" s="37" t="str">
        <x:v>Any shortfall is funded in the same month</x:v>
      </x:c>
      <x:c r="E18" s="38"/>
      <x:c r="F18" s="38"/>
      <x:c r="G18" s="38"/>
      <x:c r="H18" s="38"/>
    </x:row>
    <x:row r="19" ht="20" customHeight="1">
      <x:c r="A19" s="3" t="str">
        <x:v>Month-1 capex</x:v>
      </x:c>
      <x:c r="B19" s="39" t="n">
        <x:v>15</x:v>
      </x:c>
      <x:c r="C19" s="3" t="str">
        <x:v>LCY m</x:v>
      </x:c>
      <x:c r="D19" s="37" t="str">
        <x:v>One-time investment; later months are nil</x:v>
      </x:c>
      <x:c r="E19" s="38"/>
      <x:c r="F19" s="38"/>
      <x:c r="G19" s="38"/>
      <x:c r="H19" s="38"/>
    </x:row>
    <x:row r="20" ht="20" customHeight="1">
      <x:c r="A20" s="3"/>
      <x:c r="B20" s="3"/>
      <x:c r="C20" s="3"/>
      <x:c r="D20" s="3"/>
      <x:c r="E20" s="3"/>
      <x:c r="F20" s="3"/>
      <x:c r="G20" s="3"/>
      <x:c r="H20" s="3"/>
    </x:row>
    <x:row r="21" ht="20" customHeight="1">
      <x:c r="A21" s="54" t="str">
        <x:v>Synthetic example. Replace only the blue values, trace the calculation on Model, then review Results and Checks.</x:v>
      </x:c>
      <x:c r="B21" s="55"/>
      <x:c r="C21" s="55"/>
      <x:c r="D21" s="55"/>
      <x:c r="E21" s="55"/>
      <x:c r="F21" s="55"/>
      <x:c r="G21" s="55"/>
      <x:c r="H21" s="56"/>
    </x:row>
    <x:row r="22" ht="20" customHeight="1">
      <x:c r="A22" s="57"/>
      <x:c r="B22" s="58"/>
      <x:c r="C22" s="58"/>
      <x:c r="D22" s="58"/>
      <x:c r="E22" s="58"/>
      <x:c r="F22" s="58"/>
      <x:c r="G22" s="58"/>
      <x:c r="H22" s="59"/>
    </x:row>
    <x:row r="23" ht="20" customHeight="1">
      <x:c r="A23" s="3"/>
      <x:c r="B23" s="3"/>
      <x:c r="C23" s="3"/>
      <x:c r="D23" s="3"/>
      <x:c r="E23" s="3"/>
      <x:c r="F23" s="3"/>
      <x:c r="G23" s="3"/>
      <x:c r="H23" s="3"/>
    </x:row>
    <x:row r="24" ht="20" customHeight="1">
      <x:c r="A24" s="3"/>
      <x:c r="B24" s="3"/>
      <x:c r="C24" s="3"/>
      <x:c r="D24" s="3"/>
      <x:c r="E24" s="3"/>
      <x:c r="F24" s="3"/>
      <x:c r="G24" s="3"/>
      <x:c r="H24" s="3"/>
    </x:row>
    <x:row r="25" ht="20" customHeight="1">
      <x:c r="A25" s="3"/>
      <x:c r="B25" s="3"/>
      <x:c r="C25" s="3"/>
      <x:c r="D25" s="3"/>
      <x:c r="E25" s="3"/>
      <x:c r="F25" s="3"/>
      <x:c r="G25" s="3"/>
      <x:c r="H25" s="3"/>
    </x:row>
    <x:row r="26" ht="20" customHeight="1">
      <x:c r="A26" s="60" t="str">
        <x:v>SME Integrated Forecast · 10 editable assumptions · v1.4.0</x:v>
      </x:c>
      <x:c r="B26" s="60"/>
      <x:c r="C26" s="60"/>
      <x:c r="D26" s="60"/>
      <x:c r="E26" s="60"/>
      <x:c r="F26" s="60"/>
      <x:c r="G26" s="60"/>
      <x:c r="H26" s="60"/>
    </x:row>
  </x:sheetData>
  <x:mergeCells>
    <x:mergeCell ref="A1:H2"/>
    <x:mergeCell ref="A3:H3"/>
    <x:mergeCell ref="A5:H6"/>
    <x:mergeCell ref="A8:H8"/>
    <x:mergeCell ref="D9:H9"/>
    <x:mergeCell ref="D10:H10"/>
    <x:mergeCell ref="D11:H11"/>
    <x:mergeCell ref="D12:H12"/>
    <x:mergeCell ref="D13:H13"/>
    <x:mergeCell ref="D14:H14"/>
    <x:mergeCell ref="D15:H15"/>
    <x:mergeCell ref="D16:H16"/>
    <x:mergeCell ref="D17:H17"/>
    <x:mergeCell ref="D18:H18"/>
    <x:mergeCell ref="D19:H19"/>
    <x:mergeCell ref="A21:H22"/>
    <x:mergeCell ref="A26:H2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4" hidden="0" customWidth="1"/>
    <x:col min="3" max="3" width="20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30" hidden="0" customWidth="1"/>
  </x:cols>
  <x:sheetData>
    <x:row r="1" ht="27" customHeight="1">
      <x:c r="A1" s="6" t="str">
        <x:v>MODEL DETAIL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</x:row>
    <x:row r="2" ht="27" customHeight="1">
      <x:c r="A2" s="6"/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3" ht="20" customHeight="1">
      <x:c r="A3" s="9" t="str">
        <x:v>SME Integrated Forecast · Monthly earnings, working capital, and cash</x:v>
      </x:c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</x:row>
    <x:row r="4" ht="20" customHeight="1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 ht="20" customHeight="1">
      <x:c r="A5" s="114" t="str">
        <x:v>BREAK-EVEN MONTH</x:v>
      </x:c>
      <x:c r="B5" s="115"/>
      <x:c r="C5" s="114" t="str">
        <x:v>TOTAL FUNDING</x:v>
      </x:c>
      <x:c r="D5" s="115"/>
      <x:c r="E5" s="114" t="str">
        <x:v>M12 EBITDA</x:v>
      </x:c>
      <x:c r="F5" s="115"/>
      <x:c r="G5" s="114" t="str">
        <x:v>M12 CLOSING CASH</x:v>
      </x:c>
      <x:c r="H5" s="115"/>
      <x:c r="I5" s="3"/>
      <x:c r="J5" s="3"/>
      <x:c r="K5" s="3"/>
      <x:c r="L5" s="3"/>
      <x:c r="M5" s="3"/>
      <x:c r="N5" s="3"/>
    </x:row>
    <x:row r="6" ht="20" customHeight="1">
      <x:c r="A6" s="129" t="n">
        <x:f>B44</x:f>
        <x:v>12</x:v>
      </x:c>
      <x:c r="B6" s="130"/>
      <x:c r="C6" s="141" t="n">
        <x:f>B45</x:f>
        <x:v>71.18833771211123</x:v>
      </x:c>
      <x:c r="D6" s="142"/>
      <x:c r="E6" s="141" t="n">
        <x:f>B47</x:f>
        <x:v>0.7719068868376979</x:v>
      </x:c>
      <x:c r="F6" s="142"/>
      <x:c r="G6" s="141" t="n">
        <x:f>B49</x:f>
        <x:v>30</x:v>
      </x:c>
      <x:c r="H6" s="142"/>
      <x:c r="I6" s="3"/>
      <x:c r="J6" s="3"/>
      <x:c r="K6" s="3"/>
      <x:c r="L6" s="3"/>
      <x:c r="M6" s="3"/>
      <x:c r="N6" s="3"/>
    </x:row>
    <x:row r="7" ht="20" customHeight="1">
      <x:c r="A7" s="131"/>
      <x:c r="B7" s="132"/>
      <x:c r="C7" s="143"/>
      <x:c r="D7" s="144"/>
      <x:c r="E7" s="143"/>
      <x:c r="F7" s="144"/>
      <x:c r="G7" s="143"/>
      <x:c r="H7" s="144"/>
      <x:c r="I7" s="3"/>
      <x:c r="J7" s="3"/>
      <x:c r="K7" s="3"/>
      <x:c r="L7" s="3"/>
      <x:c r="M7" s="3"/>
      <x:c r="N7" s="3"/>
    </x:row>
    <x:row r="8" ht="20" customHeight="1">
      <x:c r="A8" s="133"/>
      <x:c r="B8" s="134"/>
      <x:c r="C8" s="145"/>
      <x:c r="D8" s="146"/>
      <x:c r="E8" s="145"/>
      <x:c r="F8" s="146"/>
      <x:c r="G8" s="145"/>
      <x:c r="H8" s="146"/>
      <x:c r="I8" s="3"/>
      <x:c r="J8" s="3"/>
      <x:c r="K8" s="3"/>
      <x:c r="L8" s="3"/>
      <x:c r="M8" s="3"/>
      <x:c r="N8" s="3"/>
    </x:row>
    <x:row r="9" ht="20" customHeight="1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</x:row>
    <x:row r="10" ht="20" customHeight="1">
      <x:c r="A10" s="61" t="str">
        <x:v>OPENING WORKING-CAPITAL POSITION</x:v>
      </x:c>
      <x:c r="B10" s="61"/>
      <x:c r="C10" s="61"/>
      <x:c r="D10" s="61"/>
      <x:c r="E10" s="61"/>
      <x:c r="F10" s="61"/>
      <x:c r="G10" s="61"/>
      <x:c r="H10" s="61"/>
      <x:c r="I10" s="3"/>
      <x:c r="J10" s="3"/>
      <x:c r="K10" s="3"/>
      <x:c r="L10" s="3"/>
      <x:c r="M10" s="3"/>
      <x:c r="N10" s="3"/>
    </x:row>
    <x:row r="11" ht="20" customHeight="1">
      <x:c r="A11" s="28" t="str">
        <x:v>Metric</x:v>
      </x:c>
      <x:c r="B11" s="28" t="str">
        <x:v>Value</x:v>
      </x:c>
      <x:c r="C11" s="28" t="str">
        <x:v>Unit</x:v>
      </x:c>
      <x:c r="D11" s="62" t="str">
        <x:v>Notes</x:v>
      </x:c>
      <x:c r="E11" s="63"/>
      <x:c r="F11" s="63"/>
      <x:c r="G11" s="63"/>
      <x:c r="H11" s="63"/>
      <x:c r="I11" s="3"/>
      <x:c r="J11" s="3"/>
      <x:c r="K11" s="3"/>
      <x:c r="L11" s="3"/>
      <x:c r="M11" s="3"/>
      <x:c r="N11" s="3"/>
    </x:row>
    <x:row r="12" ht="20" customHeight="1">
      <x:c r="A12" s="29" t="str">
        <x:v>Current monthly revenue</x:v>
      </x:c>
      <x:c r="B12" s="66" t="n">
        <x:f>'Inputs'!$B$10</x:f>
        <x:v>80</x:v>
      </x:c>
      <x:c r="C12" s="29" t="str">
        <x:v>LCY m</x:v>
      </x:c>
      <x:c r="D12" s="37" t="str">
        <x:v>Pre-forecast run rate</x:v>
      </x:c>
      <x:c r="E12" s="38"/>
      <x:c r="F12" s="38"/>
      <x:c r="G12" s="38"/>
      <x:c r="H12" s="38"/>
      <x:c r="I12" s="3"/>
      <x:c r="J12" s="3"/>
      <x:c r="K12" s="3"/>
      <x:c r="L12" s="3"/>
      <x:c r="M12" s="3"/>
      <x:c r="N12" s="3"/>
    </x:row>
    <x:row r="13" ht="20" customHeight="1">
      <x:c r="A13" s="29" t="str">
        <x:v>Current monthly COGS</x:v>
      </x:c>
      <x:c r="B13" s="66" t="n">
        <x:f>B12*(1-'Inputs'!$B$12)</x:f>
        <x:v>46.400000000000006</x:v>
      </x:c>
      <x:c r="C13" s="29" t="str">
        <x:v>LCY m</x:v>
      </x:c>
      <x:c r="D13" s="37" t="str">
        <x:v>Revenue multiplied by one minus gross margin</x:v>
      </x:c>
      <x:c r="E13" s="38"/>
      <x:c r="F13" s="38"/>
      <x:c r="G13" s="38"/>
      <x:c r="H13" s="38"/>
      <x:c r="I13" s="3"/>
      <x:c r="J13" s="3"/>
      <x:c r="K13" s="3"/>
      <x:c r="L13" s="3"/>
      <x:c r="M13" s="3"/>
      <x:c r="N13" s="3"/>
    </x:row>
    <x:row r="14" ht="20" customHeight="1">
      <x:c r="A14" s="29" t="str">
        <x:v>Opening receivables</x:v>
      </x:c>
      <x:c r="B14" s="66" t="n">
        <x:f>B12*'Inputs'!$B$15/30</x:f>
        <x:v>93.33333333333333</x:v>
      </x:c>
      <x:c r="C14" s="29" t="str">
        <x:v>LCY m</x:v>
      </x:c>
      <x:c r="D14" s="37" t="str">
        <x:v>Revenue run rate × collection days / 30</x:v>
      </x:c>
      <x:c r="E14" s="38"/>
      <x:c r="F14" s="38"/>
      <x:c r="G14" s="38"/>
      <x:c r="H14" s="38"/>
      <x:c r="I14" s="3"/>
      <x:c r="J14" s="3"/>
      <x:c r="K14" s="3"/>
      <x:c r="L14" s="3"/>
      <x:c r="M14" s="3"/>
      <x:c r="N14" s="3"/>
    </x:row>
    <x:row r="15" ht="20" customHeight="1">
      <x:c r="A15" s="29" t="str">
        <x:v>Opening payables</x:v>
      </x:c>
      <x:c r="B15" s="66" t="n">
        <x:f>B13*'Inputs'!$B$16/30</x:f>
        <x:v>46.400000000000006</x:v>
      </x:c>
      <x:c r="C15" s="29" t="str">
        <x:v>LCY m</x:v>
      </x:c>
      <x:c r="D15" s="37" t="str">
        <x:v>COGS run rate × payment days / 30</x:v>
      </x:c>
      <x:c r="E15" s="38"/>
      <x:c r="F15" s="38"/>
      <x:c r="G15" s="38"/>
      <x:c r="H15" s="38"/>
      <x:c r="I15" s="3"/>
      <x:c r="J15" s="3"/>
      <x:c r="K15" s="3"/>
      <x:c r="L15" s="3"/>
      <x:c r="M15" s="3"/>
      <x:c r="N15" s="3"/>
    </x:row>
    <x:row r="16" ht="20" customHeight="1">
      <x:c r="A16" s="11" t="str">
        <x:v>Opening operating NWC</x:v>
      </x:c>
      <x:c r="B16" s="68" t="n">
        <x:f>B14-B15</x:f>
        <x:v>46.93333333333332</x:v>
      </x:c>
      <x:c r="C16" s="11" t="str">
        <x:v>LCY m</x:v>
      </x:c>
      <x:c r="D16" s="72" t="str">
        <x:v>Receivables less payables; inventory is excluded</x:v>
      </x:c>
      <x:c r="E16" s="73"/>
      <x:c r="F16" s="73"/>
      <x:c r="G16" s="73"/>
      <x:c r="H16" s="73"/>
      <x:c r="I16" s="3"/>
      <x:c r="J16" s="3"/>
      <x:c r="K16" s="3"/>
      <x:c r="L16" s="3"/>
      <x:c r="M16" s="3"/>
      <x:c r="N16" s="3"/>
    </x:row>
    <x:row r="17" ht="20" customHeight="1">
      <x:c r="A17" s="61" t="str">
        <x:v>TWELVE-MONTH FORECAST</x:v>
      </x:c>
      <x:c r="B17" s="61"/>
      <x:c r="C17" s="61"/>
      <x:c r="D17" s="61"/>
      <x:c r="E17" s="61"/>
      <x:c r="F17" s="61"/>
      <x:c r="G17" s="61"/>
      <x:c r="H17" s="61"/>
      <x:c r="I17" s="61"/>
      <x:c r="J17" s="61"/>
      <x:c r="K17" s="61"/>
      <x:c r="L17" s="61"/>
      <x:c r="M17" s="61"/>
      <x:c r="N17" s="61"/>
    </x:row>
    <x:row r="18" ht="20" customHeight="1">
      <x:c r="A18" s="6" t="str">
        <x:v>Metric</x:v>
      </x:c>
      <x:c r="B18" s="74" t="str">
        <x:v>M1</x:v>
      </x:c>
      <x:c r="C18" s="74" t="str">
        <x:v>M2</x:v>
      </x:c>
      <x:c r="D18" s="74" t="str">
        <x:v>M3</x:v>
      </x:c>
      <x:c r="E18" s="74" t="str">
        <x:v>M4</x:v>
      </x:c>
      <x:c r="F18" s="74" t="str">
        <x:v>M5</x:v>
      </x:c>
      <x:c r="G18" s="74" t="str">
        <x:v>M6</x:v>
      </x:c>
      <x:c r="H18" s="74" t="str">
        <x:v>M7</x:v>
      </x:c>
      <x:c r="I18" s="74" t="str">
        <x:v>M8</x:v>
      </x:c>
      <x:c r="J18" s="74" t="str">
        <x:v>M9</x:v>
      </x:c>
      <x:c r="K18" s="74" t="str">
        <x:v>M10</x:v>
      </x:c>
      <x:c r="L18" s="74" t="str">
        <x:v>M11</x:v>
      </x:c>
      <x:c r="M18" s="74" t="str">
        <x:v>M12</x:v>
      </x:c>
      <x:c r="N18" s="6" t="str">
        <x:v>How to read it</x:v>
      </x:c>
    </x:row>
    <x:row r="19" ht="42" customHeight="1">
      <x:c r="A19" s="83" t="str">
        <x:v>Revenue</x:v>
      </x:c>
      <x:c r="B19" s="81" t="n">
        <x:f>'Inputs'!$B$10*(1+'Inputs'!$B$11)</x:f>
        <x:v>82.8</x:v>
      </x:c>
      <x:c r="C19" s="81" t="n">
        <x:f>B19*(1+'Inputs'!$B$11)</x:f>
        <x:v>85.698</x:v>
      </x:c>
      <x:c r="D19" s="81" t="n">
        <x:f>C19*(1+'Inputs'!$B$11)</x:f>
        <x:v>88.69742999999998</x:v>
      </x:c>
      <x:c r="E19" s="81" t="n">
        <x:f>D19*(1+'Inputs'!$B$11)</x:f>
        <x:v>91.80184004999998</x:v>
      </x:c>
      <x:c r="F19" s="81" t="n">
        <x:f>E19*(1+'Inputs'!$B$11)</x:f>
        <x:v>95.01490445174997</x:v>
      </x:c>
      <x:c r="G19" s="81" t="n">
        <x:f>F19*(1+'Inputs'!$B$11)</x:f>
        <x:v>98.34042610756121</x:v>
      </x:c>
      <x:c r="H19" s="81" t="n">
        <x:f>G19*(1+'Inputs'!$B$11)</x:f>
        <x:v>101.78234102132585</x:v>
      </x:c>
      <x:c r="I19" s="81" t="n">
        <x:f>H19*(1+'Inputs'!$B$11)</x:f>
        <x:v>105.34472295707225</x:v>
      </x:c>
      <x:c r="J19" s="81" t="n">
        <x:f>I19*(1+'Inputs'!$B$11)</x:f>
        <x:v>109.03178826056977</x:v>
      </x:c>
      <x:c r="K19" s="81" t="n">
        <x:f>J19*(1+'Inputs'!$B$11)</x:f>
        <x:v>112.84790084968971</x:v>
      </x:c>
      <x:c r="L19" s="81" t="n">
        <x:f>K19*(1+'Inputs'!$B$11)</x:f>
        <x:v>116.79757737942884</x:v>
      </x:c>
      <x:c r="M19" s="81" t="n">
        <x:f>L19*(1+'Inputs'!$B$11)</x:f>
        <x:v>120.88549258770884</x:v>
      </x:c>
      <x:c r="N19" s="84" t="str">
        <x:v>Current run rate grows by the monthly assumption.</x:v>
      </x:c>
    </x:row>
    <x:row r="20" ht="42" customHeight="1">
      <x:c r="A20" s="29" t="str">
        <x:v>Cost of goods sold</x:v>
      </x:c>
      <x:c r="B20" s="88" t="n">
        <x:f>B19*(1-'Inputs'!$B$12)</x:f>
        <x:v>48.024</x:v>
      </x:c>
      <x:c r="C20" s="88" t="n">
        <x:f>C19*(1-'Inputs'!$B$12)</x:f>
        <x:v>49.704840000000004</x:v>
      </x:c>
      <x:c r="D20" s="88" t="n">
        <x:f>D19*(1-'Inputs'!$B$12)</x:f>
        <x:v>51.444509399999994</x:v>
      </x:c>
      <x:c r="E20" s="88" t="n">
        <x:f>E19*(1-'Inputs'!$B$12)</x:f>
        <x:v>53.24506722899999</x:v>
      </x:c>
      <x:c r="F20" s="88" t="n">
        <x:f>F19*(1-'Inputs'!$B$12)</x:f>
        <x:v>55.10864458201499</x:v>
      </x:c>
      <x:c r="G20" s="88" t="n">
        <x:f>G19*(1-'Inputs'!$B$12)</x:f>
        <x:v>57.03744714238551</x:v>
      </x:c>
      <x:c r="H20" s="88" t="n">
        <x:f>H19*(1-'Inputs'!$B$12)</x:f>
        <x:v>59.033757792369</x:v>
      </x:c>
      <x:c r="I20" s="88" t="n">
        <x:f>I19*(1-'Inputs'!$B$12)</x:f>
        <x:v>61.09993931510191</x:v>
      </x:c>
      <x:c r="J20" s="88" t="n">
        <x:f>J19*(1-'Inputs'!$B$12)</x:f>
        <x:v>63.23843719113047</x:v>
      </x:c>
      <x:c r="K20" s="88" t="n">
        <x:f>K19*(1-'Inputs'!$B$12)</x:f>
        <x:v>65.45178249282004</x:v>
      </x:c>
      <x:c r="L20" s="88" t="n">
        <x:f>L19*(1-'Inputs'!$B$12)</x:f>
        <x:v>67.74259488006874</x:v>
      </x:c>
      <x:c r="M20" s="88" t="n">
        <x:f>M19*(1-'Inputs'!$B$12)</x:f>
        <x:v>70.11358570087114</x:v>
      </x:c>
      <x:c r="N20" s="82" t="str">
        <x:v>Positive cost equal to revenue × one minus gross margin.</x:v>
      </x:c>
    </x:row>
    <x:row r="21" ht="28" customHeight="1">
      <x:c r="A21" s="83" t="str">
        <x:v>Gross profit</x:v>
      </x:c>
      <x:c r="B21" s="81" t="n">
        <x:f>B19-B20</x:f>
        <x:v>34.775999999999996</x:v>
      </x:c>
      <x:c r="C21" s="81" t="n">
        <x:f>C19-C20</x:f>
        <x:v>35.99315999999999</x:v>
      </x:c>
      <x:c r="D21" s="81" t="n">
        <x:f>D19-D20</x:f>
        <x:v>37.25292059999999</x:v>
      </x:c>
      <x:c r="E21" s="81" t="n">
        <x:f>E19-E20</x:f>
        <x:v>38.55677282099999</x:v>
      </x:c>
      <x:c r="F21" s="81" t="n">
        <x:f>F19-F20</x:f>
        <x:v>39.90625986973498</x:v>
      </x:c>
      <x:c r="G21" s="81" t="n">
        <x:f>G19-G20</x:f>
        <x:v>41.302978965175704</x:v>
      </x:c>
      <x:c r="H21" s="81" t="n">
        <x:f>H19-H20</x:f>
        <x:v>42.748583228956846</x:v>
      </x:c>
      <x:c r="I21" s="81" t="n">
        <x:f>I19-I20</x:f>
        <x:v>44.244783641970336</x:v>
      </x:c>
      <x:c r="J21" s="81" t="n">
        <x:f>J19-J20</x:f>
        <x:v>45.7933510694393</x:v>
      </x:c>
      <x:c r="K21" s="81" t="n">
        <x:f>K19-K20</x:f>
        <x:v>47.396118356869664</x:v>
      </x:c>
      <x:c r="L21" s="81" t="n">
        <x:f>L19-L20</x:f>
        <x:v>49.05498249936011</x:v>
      </x:c>
      <x:c r="M21" s="81" t="n">
        <x:f>M19-M20</x:f>
        <x:v>50.7719068868377</x:v>
      </x:c>
      <x:c r="N21" s="84" t="str">
        <x:v>Revenue less cost of goods sold.</x:v>
      </x:c>
    </x:row>
    <x:row r="22" ht="28" customHeight="1">
      <x:c r="A22" s="29" t="str">
        <x:v>Payroll</x:v>
      </x:c>
      <x:c r="B22" s="88" t="n">
        <x:f>'Inputs'!$B$13</x:f>
        <x:v>32</x:v>
      </x:c>
      <x:c r="C22" s="88" t="n">
        <x:f>'Inputs'!$B$13</x:f>
        <x:v>32</x:v>
      </x:c>
      <x:c r="D22" s="88" t="n">
        <x:f>'Inputs'!$B$13</x:f>
        <x:v>32</x:v>
      </x:c>
      <x:c r="E22" s="88" t="n">
        <x:f>'Inputs'!$B$13</x:f>
        <x:v>32</x:v>
      </x:c>
      <x:c r="F22" s="88" t="n">
        <x:f>'Inputs'!$B$13</x:f>
        <x:v>32</x:v>
      </x:c>
      <x:c r="G22" s="88" t="n">
        <x:f>'Inputs'!$B$13</x:f>
        <x:v>32</x:v>
      </x:c>
      <x:c r="H22" s="88" t="n">
        <x:f>'Inputs'!$B$13</x:f>
        <x:v>32</x:v>
      </x:c>
      <x:c r="I22" s="88" t="n">
        <x:f>'Inputs'!$B$13</x:f>
        <x:v>32</x:v>
      </x:c>
      <x:c r="J22" s="88" t="n">
        <x:f>'Inputs'!$B$13</x:f>
        <x:v>32</x:v>
      </x:c>
      <x:c r="K22" s="88" t="n">
        <x:f>'Inputs'!$B$13</x:f>
        <x:v>32</x:v>
      </x:c>
      <x:c r="L22" s="88" t="n">
        <x:f>'Inputs'!$B$13</x:f>
        <x:v>32</x:v>
      </x:c>
      <x:c r="M22" s="88" t="n">
        <x:f>'Inputs'!$B$13</x:f>
        <x:v>32</x:v>
      </x:c>
      <x:c r="N22" s="82" t="str">
        <x:v>Recurring monthly people cost.</x:v>
      </x:c>
    </x:row>
    <x:row r="23" ht="28" customHeight="1">
      <x:c r="A23" s="29" t="str">
        <x:v>Other fixed opex</x:v>
      </x:c>
      <x:c r="B23" s="88" t="n">
        <x:f>'Inputs'!$B$14</x:f>
        <x:v>18</x:v>
      </x:c>
      <x:c r="C23" s="88" t="n">
        <x:f>'Inputs'!$B$14</x:f>
        <x:v>18</x:v>
      </x:c>
      <x:c r="D23" s="88" t="n">
        <x:f>'Inputs'!$B$14</x:f>
        <x:v>18</x:v>
      </x:c>
      <x:c r="E23" s="88" t="n">
        <x:f>'Inputs'!$B$14</x:f>
        <x:v>18</x:v>
      </x:c>
      <x:c r="F23" s="88" t="n">
        <x:f>'Inputs'!$B$14</x:f>
        <x:v>18</x:v>
      </x:c>
      <x:c r="G23" s="88" t="n">
        <x:f>'Inputs'!$B$14</x:f>
        <x:v>18</x:v>
      </x:c>
      <x:c r="H23" s="88" t="n">
        <x:f>'Inputs'!$B$14</x:f>
        <x:v>18</x:v>
      </x:c>
      <x:c r="I23" s="88" t="n">
        <x:f>'Inputs'!$B$14</x:f>
        <x:v>18</x:v>
      </x:c>
      <x:c r="J23" s="88" t="n">
        <x:f>'Inputs'!$B$14</x:f>
        <x:v>18</x:v>
      </x:c>
      <x:c r="K23" s="88" t="n">
        <x:f>'Inputs'!$B$14</x:f>
        <x:v>18</x:v>
      </x:c>
      <x:c r="L23" s="88" t="n">
        <x:f>'Inputs'!$B$14</x:f>
        <x:v>18</x:v>
      </x:c>
      <x:c r="M23" s="88" t="n">
        <x:f>'Inputs'!$B$14</x:f>
        <x:v>18</x:v>
      </x:c>
      <x:c r="N23" s="82" t="str">
        <x:v>Recurring fixed overhead outside payroll.</x:v>
      </x:c>
    </x:row>
    <x:row r="24" ht="28" customHeight="1">
      <x:c r="A24" s="11" t="str">
        <x:v>EBITDA</x:v>
      </x:c>
      <x:c r="B24" s="68" t="n">
        <x:f>B21-B22-B23</x:f>
        <x:v>-15.224000000000004</x:v>
      </x:c>
      <x:c r="C24" s="68" t="n">
        <x:f>C21-C22-C23</x:f>
        <x:v>-14.006840000000011</x:v>
      </x:c>
      <x:c r="D24" s="68" t="n">
        <x:f>D21-D22-D23</x:f>
        <x:v>-12.747079400000011</x:v>
      </x:c>
      <x:c r="E24" s="68" t="n">
        <x:f>E21-E22-E23</x:f>
        <x:v>-11.443227179000012</x:v>
      </x:c>
      <x:c r="F24" s="68" t="n">
        <x:f>F21-F22-F23</x:f>
        <x:v>-10.093740130265019</x:v>
      </x:c>
      <x:c r="G24" s="68" t="n">
        <x:f>G21-G22-G23</x:f>
        <x:v>-8.697021034824296</x:v>
      </x:c>
      <x:c r="H24" s="68" t="n">
        <x:f>H21-H22-H23</x:f>
        <x:v>-7.251416771043154</x:v>
      </x:c>
      <x:c r="I24" s="68" t="n">
        <x:f>I21-I22-I23</x:f>
        <x:v>-5.755216358029664</x:v>
      </x:c>
      <x:c r="J24" s="68" t="n">
        <x:f>J21-J22-J23</x:f>
        <x:v>-4.2066489305607035</x:v>
      </x:c>
      <x:c r="K24" s="68" t="n">
        <x:f>K21-K22-K23</x:f>
        <x:v>-2.603881643130336</x:v>
      </x:c>
      <x:c r="L24" s="68" t="n">
        <x:f>L21-L22-L23</x:f>
        <x:v>-0.9450175006398922</x:v>
      </x:c>
      <x:c r="M24" s="68" t="n">
        <x:f>M21-M22-M23</x:f>
        <x:v>0.7719068868376979</x:v>
      </x:c>
      <x:c r="N24" s="90" t="str">
        <x:v>Gross profit less payroll and other fixed opex.</x:v>
      </x:c>
    </x:row>
    <x:row r="25" ht="28" customHeight="1">
      <x:c r="A25" s="83" t="str">
        <x:v>EBITDA margin</x:v>
      </x:c>
      <x:c r="B25" s="93" t="n">
        <x:f>IF(B19&lt;=0,0,B24/B19)</x:f>
        <x:v>-0.18386473429951697</x:v>
      </x:c>
      <x:c r="C25" s="93" t="n">
        <x:f>IF(C19&lt;=0,0,C24/C19)</x:f>
        <x:v>-0.163444187729002</x:v>
      </x:c>
      <x:c r="D25" s="93" t="n">
        <x:f>IF(D19&lt;=0,0,D24/D19)</x:f>
        <x:v>-0.143714191042514</x:v>
      </x:c>
      <x:c r="E25" s="93" t="n">
        <x:f>IF(E19&lt;=0,0,E24/E19)</x:f>
        <x:v>-0.12465139231160774</x:v>
      </x:c>
      <x:c r="F25" s="93" t="n">
        <x:f>IF(F19&lt;=0,0,F24/F19)</x:f>
        <x:v>-0.10623322928657762</x:v>
      </x:c>
      <x:c r="G25" s="93" t="n">
        <x:f>IF(G19&lt;=0,0,G24/G19)</x:f>
        <x:v>-0.08843790269234554</x:v>
      </x:c>
      <x:c r="H25" s="93" t="n">
        <x:f>IF(H19&lt;=0,0,H24/H19)</x:f>
        <x:v>-0.07124435042738708</x:v>
      </x:c>
      <x:c r="I25" s="93" t="n">
        <x:f>IF(I19&lt;=0,0,I24/I19)</x:f>
        <x:v>-0.0546322226351566</x:v>
      </x:c>
      <x:c r="J25" s="93" t="n">
        <x:f>IF(J19&lt;=0,0,J24/J19)</x:f>
        <x:v>-0.03858185761850881</x:v>
      </x:c>
      <x:c r="K25" s="93" t="n">
        <x:f>IF(K19&lt;=0,0,K24/K19)</x:f>
        <x:v>-0.02307425856860762</x:v>
      </x:c>
      <x:c r="L25" s="93" t="n">
        <x:f>IF(L19&lt;=0,0,L24/L19)</x:f>
        <x:v>-0.008091071080780266</x:v>
      </x:c>
      <x:c r="M25" s="93" t="n">
        <x:f>IF(M19&lt;=0,0,M24/M19)</x:f>
        <x:v>0.006385438569294314</x:v>
      </x:c>
      <x:c r="N25" s="84" t="str">
        <x:v>EBITDA divided by revenue.</x:v>
      </x:c>
    </x:row>
    <x:row r="26" ht="28" customHeight="1">
      <x:c r="A26" s="29" t="str">
        <x:v>Receivables</x:v>
      </x:c>
      <x:c r="B26" s="88" t="n">
        <x:f>B19*'Inputs'!$B$15/30</x:f>
        <x:v>96.6</x:v>
      </x:c>
      <x:c r="C26" s="88" t="n">
        <x:f>C19*'Inputs'!$B$15/30</x:f>
        <x:v>99.981</x:v>
      </x:c>
      <x:c r="D26" s="88" t="n">
        <x:f>D19*'Inputs'!$B$15/30</x:f>
        <x:v>103.48033499999998</x:v>
      </x:c>
      <x:c r="E26" s="88" t="n">
        <x:f>E19*'Inputs'!$B$15/30</x:f>
        <x:v>107.10214672499998</x:v>
      </x:c>
      <x:c r="F26" s="88" t="n">
        <x:f>F19*'Inputs'!$B$15/30</x:f>
        <x:v>110.85072186037496</x:v>
      </x:c>
      <x:c r="G26" s="88" t="n">
        <x:f>G19*'Inputs'!$B$15/30</x:f>
        <x:v>114.73049712548807</x:v>
      </x:c>
      <x:c r="H26" s="88" t="n">
        <x:f>H19*'Inputs'!$B$15/30</x:f>
        <x:v>118.74606452488017</x:v>
      </x:c>
      <x:c r="I26" s="88" t="n">
        <x:f>I19*'Inputs'!$B$15/30</x:f>
        <x:v>122.90217678325097</x:v>
      </x:c>
      <x:c r="J26" s="88" t="n">
        <x:f>J19*'Inputs'!$B$15/30</x:f>
        <x:v>127.20375297066472</x:v>
      </x:c>
      <x:c r="K26" s="88" t="n">
        <x:f>K19*'Inputs'!$B$15/30</x:f>
        <x:v>131.65588432463798</x:v>
      </x:c>
      <x:c r="L26" s="88" t="n">
        <x:f>L19*'Inputs'!$B$15/30</x:f>
        <x:v>136.2638402760003</x:v>
      </x:c>
      <x:c r="M26" s="88" t="n">
        <x:f>M19*'Inputs'!$B$15/30</x:f>
        <x:v>141.0330746856603</x:v>
      </x:c>
      <x:c r="N26" s="82" t="str">
        <x:v>Revenue × collection days / 30.</x:v>
      </x:c>
    </x:row>
    <x:row r="27" ht="28" customHeight="1">
      <x:c r="A27" s="29" t="str">
        <x:v>Payables</x:v>
      </x:c>
      <x:c r="B27" s="88" t="n">
        <x:f>B20*'Inputs'!$B$16/30</x:f>
        <x:v>48.024</x:v>
      </x:c>
      <x:c r="C27" s="88" t="n">
        <x:f>C20*'Inputs'!$B$16/30</x:f>
        <x:v>49.704840000000004</x:v>
      </x:c>
      <x:c r="D27" s="88" t="n">
        <x:f>D20*'Inputs'!$B$16/30</x:f>
        <x:v>51.444509399999994</x:v>
      </x:c>
      <x:c r="E27" s="88" t="n">
        <x:f>E20*'Inputs'!$B$16/30</x:f>
        <x:v>53.24506722899999</x:v>
      </x:c>
      <x:c r="F27" s="88" t="n">
        <x:f>F20*'Inputs'!$B$16/30</x:f>
        <x:v>55.10864458201499</x:v>
      </x:c>
      <x:c r="G27" s="88" t="n">
        <x:f>G20*'Inputs'!$B$16/30</x:f>
        <x:v>57.03744714238551</x:v>
      </x:c>
      <x:c r="H27" s="88" t="n">
        <x:f>H20*'Inputs'!$B$16/30</x:f>
        <x:v>59.033757792369</x:v>
      </x:c>
      <x:c r="I27" s="88" t="n">
        <x:f>I20*'Inputs'!$B$16/30</x:f>
        <x:v>61.09993931510191</x:v>
      </x:c>
      <x:c r="J27" s="88" t="n">
        <x:f>J20*'Inputs'!$B$16/30</x:f>
        <x:v>63.23843719113047</x:v>
      </x:c>
      <x:c r="K27" s="88" t="n">
        <x:f>K20*'Inputs'!$B$16/30</x:f>
        <x:v>65.45178249282004</x:v>
      </x:c>
      <x:c r="L27" s="88" t="n">
        <x:f>L20*'Inputs'!$B$16/30</x:f>
        <x:v>67.74259488006874</x:v>
      </x:c>
      <x:c r="M27" s="88" t="n">
        <x:f>M20*'Inputs'!$B$16/30</x:f>
        <x:v>70.11358570087114</x:v>
      </x:c>
      <x:c r="N27" s="82" t="str">
        <x:v>COGS × payment days / 30.</x:v>
      </x:c>
    </x:row>
    <x:row r="28" ht="42" customHeight="1">
      <x:c r="A28" s="83" t="str">
        <x:v>Operating NWC</x:v>
      </x:c>
      <x:c r="B28" s="81" t="n">
        <x:f>B26-B27</x:f>
        <x:v>48.57599999999999</x:v>
      </x:c>
      <x:c r="C28" s="81" t="n">
        <x:f>C26-C27</x:f>
        <x:v>50.27615999999999</x:v>
      </x:c>
      <x:c r="D28" s="81" t="n">
        <x:f>D26-D27</x:f>
        <x:v>52.03582559999999</x:v>
      </x:c>
      <x:c r="E28" s="81" t="n">
        <x:f>E26-E27</x:f>
        <x:v>53.85707949599999</x:v>
      </x:c>
      <x:c r="F28" s="81" t="n">
        <x:f>F26-F27</x:f>
        <x:v>55.74207727835997</x:v>
      </x:c>
      <x:c r="G28" s="81" t="n">
        <x:f>G26-G27</x:f>
        <x:v>57.69304998310256</x:v>
      </x:c>
      <x:c r="H28" s="81" t="n">
        <x:f>H26-H27</x:f>
        <x:v>59.712306732511166</x:v>
      </x:c>
      <x:c r="I28" s="81" t="n">
        <x:f>I26-I27</x:f>
        <x:v>61.80223746814905</x:v>
      </x:c>
      <x:c r="J28" s="81" t="n">
        <x:f>J26-J27</x:f>
        <x:v>63.96531577953425</x:v>
      </x:c>
      <x:c r="K28" s="81" t="n">
        <x:f>K26-K27</x:f>
        <x:v>66.20410183181794</x:v>
      </x:c>
      <x:c r="L28" s="81" t="n">
        <x:f>L26-L27</x:f>
        <x:v>68.52124539593157</x:v>
      </x:c>
      <x:c r="M28" s="81" t="n">
        <x:f>M26-M27</x:f>
        <x:v>70.91948898478915</x:v>
      </x:c>
      <x:c r="N28" s="84" t="str">
        <x:v>Receivables less payables; inventory is excluded.</x:v>
      </x:c>
    </x:row>
    <x:row r="29" ht="42" customHeight="1">
      <x:c r="A29" s="29" t="str">
        <x:v>Increase in NWC</x:v>
      </x:c>
      <x:c r="B29" s="88" t="n">
        <x:f>B28-B16</x:f>
        <x:v>1.6426666666666705</x:v>
      </x:c>
      <x:c r="C29" s="88" t="n">
        <x:f>C28-B28</x:f>
        <x:v>1.7001599999999968</x:v>
      </x:c>
      <x:c r="D29" s="88" t="n">
        <x:f>D28-C28</x:f>
        <x:v>1.7596655999999982</x:v>
      </x:c>
      <x:c r="E29" s="88" t="n">
        <x:f>E28-D28</x:f>
        <x:v>1.8212538960000018</x:v>
      </x:c>
      <x:c r="F29" s="88" t="n">
        <x:f>F28-E28</x:f>
        <x:v>1.8849977823599815</x:v>
      </x:c>
      <x:c r="G29" s="88" t="n">
        <x:f>G28-F28</x:f>
        <x:v>1.9509727047425898</x:v>
      </x:c>
      <x:c r="H29" s="88" t="n">
        <x:f>H28-G28</x:f>
        <x:v>2.019256749408605</x:v>
      </x:c>
      <x:c r="I29" s="88" t="n">
        <x:f>I28-H28</x:f>
        <x:v>2.0899307356378856</x:v>
      </x:c>
      <x:c r="J29" s="88" t="n">
        <x:f>J28-I28</x:f>
        <x:v>2.163078311385199</x:v>
      </x:c>
      <x:c r="K29" s="88" t="n">
        <x:f>K28-J28</x:f>
        <x:v>2.238786052283686</x:v>
      </x:c>
      <x:c r="L29" s="88" t="n">
        <x:f>L28-K28</x:f>
        <x:v>2.3171435641136355</x:v>
      </x:c>
      <x:c r="M29" s="88" t="n">
        <x:f>M28-L28</x:f>
        <x:v>2.398243588857582</x:v>
      </x:c>
      <x:c r="N29" s="82" t="str">
        <x:v>Current NWC less prior month; positive values consume cash.</x:v>
      </x:c>
    </x:row>
    <x:row r="30" ht="42" customHeight="1">
      <x:c r="A30" s="29" t="str">
        <x:v>Opening cash</x:v>
      </x:c>
      <x:c r="B30" s="88" t="n">
        <x:f>'Inputs'!$B$17</x:f>
        <x:v>90</x:v>
      </x:c>
      <x:c r="C30" s="88" t="n">
        <x:f>B34</x:f>
        <x:v>58.133333333333326</x:v>
      </x:c>
      <x:c r="D30" s="88" t="n">
        <x:f>C34</x:f>
        <x:v>42.42633333333332</x:v>
      </x:c>
      <x:c r="E30" s="88" t="n">
        <x:f>D34</x:f>
        <x:v>30</x:v>
      </x:c>
      <x:c r="F30" s="88" t="n">
        <x:f>E34</x:f>
        <x:v>30</x:v>
      </x:c>
      <x:c r="G30" s="88" t="n">
        <x:f>F34</x:f>
        <x:v>30</x:v>
      </x:c>
      <x:c r="H30" s="88" t="n">
        <x:f>G34</x:f>
        <x:v>30</x:v>
      </x:c>
      <x:c r="I30" s="88" t="n">
        <x:f>H34</x:f>
        <x:v>30</x:v>
      </x:c>
      <x:c r="J30" s="88" t="n">
        <x:f>I34</x:f>
        <x:v>30</x:v>
      </x:c>
      <x:c r="K30" s="88" t="n">
        <x:f>J34</x:f>
        <x:v>30</x:v>
      </x:c>
      <x:c r="L30" s="88" t="n">
        <x:f>K34</x:f>
        <x:v>30</x:v>
      </x:c>
      <x:c r="M30" s="88" t="n">
        <x:f>L34</x:f>
        <x:v>30</x:v>
      </x:c>
      <x:c r="N30" s="82" t="str">
        <x:v>Month 1 links to the input; later months roll from prior closing cash.</x:v>
      </x:c>
    </x:row>
    <x:row r="31" ht="42" customHeight="1">
      <x:c r="A31" s="29" t="str">
        <x:v>Capex</x:v>
      </x:c>
      <x:c r="B31" s="88" t="n">
        <x:f>'Inputs'!$B$19</x:f>
        <x:v>15</x:v>
      </x:c>
      <x:c r="C31" s="88" t="n">
        <x:f>0</x:f>
        <x:v>0</x:v>
      </x:c>
      <x:c r="D31" s="88" t="n">
        <x:f>0</x:f>
        <x:v>0</x:v>
      </x:c>
      <x:c r="E31" s="88" t="n">
        <x:f>0</x:f>
        <x:v>0</x:v>
      </x:c>
      <x:c r="F31" s="88" t="n">
        <x:f>0</x:f>
        <x:v>0</x:v>
      </x:c>
      <x:c r="G31" s="88" t="n">
        <x:f>0</x:f>
        <x:v>0</x:v>
      </x:c>
      <x:c r="H31" s="88" t="n">
        <x:f>0</x:f>
        <x:v>0</x:v>
      </x:c>
      <x:c r="I31" s="88" t="n">
        <x:f>0</x:f>
        <x:v>0</x:v>
      </x:c>
      <x:c r="J31" s="88" t="n">
        <x:f>0</x:f>
        <x:v>0</x:v>
      </x:c>
      <x:c r="K31" s="88" t="n">
        <x:f>0</x:f>
        <x:v>0</x:v>
      </x:c>
      <x:c r="L31" s="88" t="n">
        <x:f>0</x:f>
        <x:v>0</x:v>
      </x:c>
      <x:c r="M31" s="88" t="n">
        <x:f>0</x:f>
        <x:v>0</x:v>
      </x:c>
      <x:c r="N31" s="82" t="str">
        <x:v>The selected one-time investment occurs in Month 1.</x:v>
      </x:c>
    </x:row>
    <x:row r="32" ht="42" customHeight="1">
      <x:c r="A32" s="83" t="str">
        <x:v>Cash before funding</x:v>
      </x:c>
      <x:c r="B32" s="81" t="n">
        <x:f>B30+B24-B29-B31</x:f>
        <x:v>58.133333333333326</x:v>
      </x:c>
      <x:c r="C32" s="81" t="n">
        <x:f>C30+C24-C29-C31</x:f>
        <x:v>42.42633333333332</x:v>
      </x:c>
      <x:c r="D32" s="81" t="n">
        <x:f>D30+D24-D29-D31</x:f>
        <x:v>27.91958833333331</x:v>
      </x:c>
      <x:c r="E32" s="81" t="n">
        <x:f>E30+E24-E29-E31</x:f>
        <x:v>16.735518924999987</x:v>
      </x:c>
      <x:c r="F32" s="81" t="n">
        <x:f>F30+F24-F29-F31</x:f>
        <x:v>18.021262087375</x:v>
      </x:c>
      <x:c r="G32" s="81" t="n">
        <x:f>G30+G24-G29-G31</x:f>
        <x:v>19.352006260433114</x:v>
      </x:c>
      <x:c r="H32" s="81" t="n">
        <x:f>H30+H24-H29-H31</x:f>
        <x:v>20.72932647954824</x:v>
      </x:c>
      <x:c r="I32" s="81" t="n">
        <x:f>I30+I24-I29-I31</x:f>
        <x:v>22.15485290633245</x:v>
      </x:c>
      <x:c r="J32" s="81" t="n">
        <x:f>J30+J24-J29-J31</x:f>
        <x:v>23.630272758054097</x:v>
      </x:c>
      <x:c r="K32" s="81" t="n">
        <x:f>K30+K24-K29-K31</x:f>
        <x:v>25.157332304585978</x:v>
      </x:c>
      <x:c r="L32" s="81" t="n">
        <x:f>L30+L24-L29-L31</x:f>
        <x:v>26.737838935246472</x:v>
      </x:c>
      <x:c r="M32" s="81" t="n">
        <x:f>M30+M24-M29-M31</x:f>
        <x:v>28.373663297980116</x:v>
      </x:c>
      <x:c r="N32" s="84" t="str">
        <x:v>Opening cash plus EBITDA, less NWC investment and capex.</x:v>
      </x:c>
    </x:row>
    <x:row r="33" ht="42" customHeight="1">
      <x:c r="A33" s="96" t="str">
        <x:v>External funding required</x:v>
      </x:c>
      <x:c r="B33" s="94" t="n">
        <x:f>MAX(0,'Inputs'!$B$18-B32)</x:f>
        <x:v>0</x:v>
      </x:c>
      <x:c r="C33" s="94" t="n">
        <x:f>MAX(0,'Inputs'!$B$18-C32)</x:f>
        <x:v>0</x:v>
      </x:c>
      <x:c r="D33" s="94" t="n">
        <x:f>MAX(0,'Inputs'!$B$18-D32)</x:f>
        <x:v>2.0804116666666914</x:v>
      </x:c>
      <x:c r="E33" s="94" t="n">
        <x:f>MAX(0,'Inputs'!$B$18-E32)</x:f>
        <x:v>13.264481075000013</x:v>
      </x:c>
      <x:c r="F33" s="94" t="n">
        <x:f>MAX(0,'Inputs'!$B$18-F32)</x:f>
        <x:v>11.978737912625</x:v>
      </x:c>
      <x:c r="G33" s="94" t="n">
        <x:f>MAX(0,'Inputs'!$B$18-G32)</x:f>
        <x:v>10.647993739566886</x:v>
      </x:c>
      <x:c r="H33" s="94" t="n">
        <x:f>MAX(0,'Inputs'!$B$18-H32)</x:f>
        <x:v>9.270673520451759</x:v>
      </x:c>
      <x:c r="I33" s="94" t="n">
        <x:f>MAX(0,'Inputs'!$B$18-I32)</x:f>
        <x:v>7.845147093667549</x:v>
      </x:c>
      <x:c r="J33" s="94" t="n">
        <x:f>MAX(0,'Inputs'!$B$18-J32)</x:f>
        <x:v>6.369727241945903</x:v>
      </x:c>
      <x:c r="K33" s="94" t="n">
        <x:f>MAX(0,'Inputs'!$B$18-K32)</x:f>
        <x:v>4.842667695414022</x:v>
      </x:c>
      <x:c r="L33" s="94" t="n">
        <x:f>MAX(0,'Inputs'!$B$18-L32)</x:f>
        <x:v>3.2621610647535277</x:v>
      </x:c>
      <x:c r="M33" s="94" t="n">
        <x:f>MAX(0,'Inputs'!$B$18-M32)</x:f>
        <x:v>1.6263367020198842</x:v>
      </x:c>
      <x:c r="N33" s="97" t="str">
        <x:v>Same-month funding needed to restore the minimum cash reserve.</x:v>
      </x:c>
    </x:row>
    <x:row r="34" ht="28" customHeight="1">
      <x:c r="A34" s="101" t="str">
        <x:v>Closing cash</x:v>
      </x:c>
      <x:c r="B34" s="99" t="n">
        <x:f>B32+B33</x:f>
        <x:v>58.133333333333326</x:v>
      </x:c>
      <x:c r="C34" s="99" t="n">
        <x:f>C32+C33</x:f>
        <x:v>42.42633333333332</x:v>
      </x:c>
      <x:c r="D34" s="99" t="n">
        <x:f>D32+D33</x:f>
        <x:v>30</x:v>
      </x:c>
      <x:c r="E34" s="99" t="n">
        <x:f>E32+E33</x:f>
        <x:v>30</x:v>
      </x:c>
      <x:c r="F34" s="99" t="n">
        <x:f>F32+F33</x:f>
        <x:v>30</x:v>
      </x:c>
      <x:c r="G34" s="99" t="n">
        <x:f>G32+G33</x:f>
        <x:v>30</x:v>
      </x:c>
      <x:c r="H34" s="99" t="n">
        <x:f>H32+H33</x:f>
        <x:v>30</x:v>
      </x:c>
      <x:c r="I34" s="99" t="n">
        <x:f>I32+I33</x:f>
        <x:v>30</x:v>
      </x:c>
      <x:c r="J34" s="99" t="n">
        <x:f>J32+J33</x:f>
        <x:v>30</x:v>
      </x:c>
      <x:c r="K34" s="99" t="n">
        <x:f>K32+K33</x:f>
        <x:v>30</x:v>
      </x:c>
      <x:c r="L34" s="99" t="n">
        <x:f>L32+L33</x:f>
        <x:v>30</x:v>
      </x:c>
      <x:c r="M34" s="99" t="n">
        <x:f>M32+M33</x:f>
        <x:v>30</x:v>
      </x:c>
      <x:c r="N34" s="102" t="str">
        <x:v>Cash before funding plus external funding.</x:v>
      </x:c>
    </x:row>
    <x:row r="35" ht="28" customHeight="1">
      <x:c r="A35" s="29" t="str">
        <x:v>EBITDA break-even flag</x:v>
      </x:c>
      <x:c r="B35" s="105" t="n">
        <x:f>IF(B24&gt;=0,1,0)</x:f>
        <x:v>0</x:v>
      </x:c>
      <x:c r="C35" s="105" t="n">
        <x:f>IF(C24&gt;=0,1,0)</x:f>
        <x:v>0</x:v>
      </x:c>
      <x:c r="D35" s="105" t="n">
        <x:f>IF(D24&gt;=0,1,0)</x:f>
        <x:v>0</x:v>
      </x:c>
      <x:c r="E35" s="105" t="n">
        <x:f>IF(E24&gt;=0,1,0)</x:f>
        <x:v>0</x:v>
      </x:c>
      <x:c r="F35" s="105" t="n">
        <x:f>IF(F24&gt;=0,1,0)</x:f>
        <x:v>0</x:v>
      </x:c>
      <x:c r="G35" s="105" t="n">
        <x:f>IF(G24&gt;=0,1,0)</x:f>
        <x:v>0</x:v>
      </x:c>
      <x:c r="H35" s="105" t="n">
        <x:f>IF(H24&gt;=0,1,0)</x:f>
        <x:v>0</x:v>
      </x:c>
      <x:c r="I35" s="105" t="n">
        <x:f>IF(I24&gt;=0,1,0)</x:f>
        <x:v>0</x:v>
      </x:c>
      <x:c r="J35" s="105" t="n">
        <x:f>IF(J24&gt;=0,1,0)</x:f>
        <x:v>0</x:v>
      </x:c>
      <x:c r="K35" s="105" t="n">
        <x:f>IF(K24&gt;=0,1,0)</x:f>
        <x:v>0</x:v>
      </x:c>
      <x:c r="L35" s="105" t="n">
        <x:f>IF(L24&gt;=0,1,0)</x:f>
        <x:v>0</x:v>
      </x:c>
      <x:c r="M35" s="105" t="n">
        <x:f>IF(M24&gt;=0,1,0)</x:f>
        <x:v>1</x:v>
      </x:c>
      <x:c r="N35" s="82" t="str">
        <x:v>One indicates non-negative monthly EBITDA.</x:v>
      </x:c>
    </x:row>
    <x:row r="36" ht="42" customHeight="1">
      <x:c r="A36" s="29" t="str">
        <x:v>Revenue roll-forward check</x:v>
      </x:c>
      <x:c r="B36" s="88" t="n">
        <x:f>ROUND(B19-'Inputs'!$B$10*(1+'Inputs'!$B$11),6)</x:f>
        <x:v>0</x:v>
      </x:c>
      <x:c r="C36" s="88" t="n">
        <x:f>ROUND(C19-B19*(1+'Inputs'!$B$11),6)</x:f>
        <x:v>0</x:v>
      </x:c>
      <x:c r="D36" s="88" t="n">
        <x:f>ROUND(D19-C19*(1+'Inputs'!$B$11),6)</x:f>
        <x:v>0</x:v>
      </x:c>
      <x:c r="E36" s="88" t="n">
        <x:f>ROUND(E19-D19*(1+'Inputs'!$B$11),6)</x:f>
        <x:v>0</x:v>
      </x:c>
      <x:c r="F36" s="88" t="n">
        <x:f>ROUND(F19-E19*(1+'Inputs'!$B$11),6)</x:f>
        <x:v>0</x:v>
      </x:c>
      <x:c r="G36" s="88" t="n">
        <x:f>ROUND(G19-F19*(1+'Inputs'!$B$11),6)</x:f>
        <x:v>0</x:v>
      </x:c>
      <x:c r="H36" s="88" t="n">
        <x:f>ROUND(H19-G19*(1+'Inputs'!$B$11),6)</x:f>
        <x:v>0</x:v>
      </x:c>
      <x:c r="I36" s="88" t="n">
        <x:f>ROUND(I19-H19*(1+'Inputs'!$B$11),6)</x:f>
        <x:v>0</x:v>
      </x:c>
      <x:c r="J36" s="88" t="n">
        <x:f>ROUND(J19-I19*(1+'Inputs'!$B$11),6)</x:f>
        <x:v>0</x:v>
      </x:c>
      <x:c r="K36" s="88" t="n">
        <x:f>ROUND(K19-J19*(1+'Inputs'!$B$11),6)</x:f>
        <x:v>0</x:v>
      </x:c>
      <x:c r="L36" s="88" t="n">
        <x:f>ROUND(L19-K19*(1+'Inputs'!$B$11),6)</x:f>
        <x:v>0</x:v>
      </x:c>
      <x:c r="M36" s="88" t="n">
        <x:f>ROUND(M19-L19*(1+'Inputs'!$B$11),6)</x:f>
        <x:v>0</x:v>
      </x:c>
      <x:c r="N36" s="82" t="str">
        <x:v>Must equal zero against the monthly growth formula.</x:v>
      </x:c>
    </x:row>
    <x:row r="37" ht="28" customHeight="1">
      <x:c r="A37" s="29" t="str">
        <x:v>Gross profit / EBITDA check</x:v>
      </x:c>
      <x:c r="B37" s="88" t="n">
        <x:f>ROUND(ABS(B21-B19+B20)+ABS(B24-B21+B22+B23),6)</x:f>
        <x:v>0</x:v>
      </x:c>
      <x:c r="C37" s="88" t="n">
        <x:f>ROUND(ABS(C21-C19+C20)+ABS(C24-C21+C22+C23),6)</x:f>
        <x:v>0</x:v>
      </x:c>
      <x:c r="D37" s="88" t="n">
        <x:f>ROUND(ABS(D21-D19+D20)+ABS(D24-D21+D22+D23),6)</x:f>
        <x:v>0</x:v>
      </x:c>
      <x:c r="E37" s="88" t="n">
        <x:f>ROUND(ABS(E21-E19+E20)+ABS(E24-E21+E22+E23),6)</x:f>
        <x:v>0</x:v>
      </x:c>
      <x:c r="F37" s="88" t="n">
        <x:f>ROUND(ABS(F21-F19+F20)+ABS(F24-F21+F22+F23),6)</x:f>
        <x:v>0</x:v>
      </x:c>
      <x:c r="G37" s="88" t="n">
        <x:f>ROUND(ABS(G21-G19+G20)+ABS(G24-G21+G22+G23),6)</x:f>
        <x:v>0</x:v>
      </x:c>
      <x:c r="H37" s="88" t="n">
        <x:f>ROUND(ABS(H21-H19+H20)+ABS(H24-H21+H22+H23),6)</x:f>
        <x:v>0</x:v>
      </x:c>
      <x:c r="I37" s="88" t="n">
        <x:f>ROUND(ABS(I21-I19+I20)+ABS(I24-I21+I22+I23),6)</x:f>
        <x:v>0</x:v>
      </x:c>
      <x:c r="J37" s="88" t="n">
        <x:f>ROUND(ABS(J21-J19+J20)+ABS(J24-J21+J22+J23),6)</x:f>
        <x:v>0</x:v>
      </x:c>
      <x:c r="K37" s="88" t="n">
        <x:f>ROUND(ABS(K21-K19+K20)+ABS(K24-K21+K22+K23),6)</x:f>
        <x:v>0</x:v>
      </x:c>
      <x:c r="L37" s="88" t="n">
        <x:f>ROUND(ABS(L21-L19+L20)+ABS(L24-L21+L22+L23),6)</x:f>
        <x:v>0</x:v>
      </x:c>
      <x:c r="M37" s="88" t="n">
        <x:f>ROUND(ABS(M21-M19+M20)+ABS(M24-M21+M22+M23),6)</x:f>
        <x:v>0</x:v>
      </x:c>
      <x:c r="N37" s="82" t="str">
        <x:v>Combined control over both profit bridges.</x:v>
      </x:c>
    </x:row>
    <x:row r="38" ht="42" customHeight="1">
      <x:c r="A38" s="29" t="str">
        <x:v>NWC roll-forward check</x:v>
      </x:c>
      <x:c r="B38" s="88" t="n">
        <x:f>ROUND(ABS(B28-B26+B27)+ABS(B29-B28+B16),6)</x:f>
        <x:v>0</x:v>
      </x:c>
      <x:c r="C38" s="88" t="n">
        <x:f>ROUND(ABS(C28-C26+C27)+ABS(C29-C28+B28),6)</x:f>
        <x:v>0</x:v>
      </x:c>
      <x:c r="D38" s="88" t="n">
        <x:f>ROUND(ABS(D28-D26+D27)+ABS(D29-D28+C28),6)</x:f>
        <x:v>0</x:v>
      </x:c>
      <x:c r="E38" s="88" t="n">
        <x:f>ROUND(ABS(E28-E26+E27)+ABS(E29-E28+D28),6)</x:f>
        <x:v>0</x:v>
      </x:c>
      <x:c r="F38" s="88" t="n">
        <x:f>ROUND(ABS(F28-F26+F27)+ABS(F29-F28+E28),6)</x:f>
        <x:v>0</x:v>
      </x:c>
      <x:c r="G38" s="88" t="n">
        <x:f>ROUND(ABS(G28-G26+G27)+ABS(G29-G28+F28),6)</x:f>
        <x:v>0</x:v>
      </x:c>
      <x:c r="H38" s="88" t="n">
        <x:f>ROUND(ABS(H28-H26+H27)+ABS(H29-H28+G28),6)</x:f>
        <x:v>0</x:v>
      </x:c>
      <x:c r="I38" s="88" t="n">
        <x:f>ROUND(ABS(I28-I26+I27)+ABS(I29-I28+H28),6)</x:f>
        <x:v>0</x:v>
      </x:c>
      <x:c r="J38" s="88" t="n">
        <x:f>ROUND(ABS(J28-J26+J27)+ABS(J29-J28+I28),6)</x:f>
        <x:v>0</x:v>
      </x:c>
      <x:c r="K38" s="88" t="n">
        <x:f>ROUND(ABS(K28-K26+K27)+ABS(K29-K28+J28),6)</x:f>
        <x:v>0</x:v>
      </x:c>
      <x:c r="L38" s="88" t="n">
        <x:f>ROUND(ABS(L28-L26+L27)+ABS(L29-L28+K28),6)</x:f>
        <x:v>0</x:v>
      </x:c>
      <x:c r="M38" s="88" t="n">
        <x:f>ROUND(ABS(M28-M26+M27)+ABS(M29-M28+L28),6)</x:f>
        <x:v>0</x:v>
      </x:c>
      <x:c r="N38" s="82" t="str">
        <x:v>Combined control over NWC and its monthly change.</x:v>
      </x:c>
    </x:row>
    <x:row r="39" ht="42" customHeight="1">
      <x:c r="A39" s="29" t="str">
        <x:v>Cash roll-forward check</x:v>
      </x:c>
      <x:c r="B39" s="88" t="n">
        <x:f>ROUND(B34-B30-B24+B29+B31-B33,6)</x:f>
        <x:v>0</x:v>
      </x:c>
      <x:c r="C39" s="88" t="n">
        <x:f>ROUND(C34-C30-C24+C29+C31-C33,6)</x:f>
        <x:v>0</x:v>
      </x:c>
      <x:c r="D39" s="88" t="n">
        <x:f>ROUND(D34-D30-D24+D29+D31-D33,6)</x:f>
        <x:v>0</x:v>
      </x:c>
      <x:c r="E39" s="88" t="n">
        <x:f>ROUND(E34-E30-E24+E29+E31-E33,6)</x:f>
        <x:v>0</x:v>
      </x:c>
      <x:c r="F39" s="88" t="n">
        <x:f>ROUND(F34-F30-F24+F29+F31-F33,6)</x:f>
        <x:v>0</x:v>
      </x:c>
      <x:c r="G39" s="88" t="n">
        <x:f>ROUND(G34-G30-G24+G29+G31-G33,6)</x:f>
        <x:v>0</x:v>
      </x:c>
      <x:c r="H39" s="88" t="n">
        <x:f>ROUND(H34-H30-H24+H29+H31-H33,6)</x:f>
        <x:v>0</x:v>
      </x:c>
      <x:c r="I39" s="88" t="n">
        <x:f>ROUND(I34-I30-I24+I29+I31-I33,6)</x:f>
        <x:v>0</x:v>
      </x:c>
      <x:c r="J39" s="88" t="n">
        <x:f>ROUND(J34-J30-J24+J29+J31-J33,6)</x:f>
        <x:v>0</x:v>
      </x:c>
      <x:c r="K39" s="88" t="n">
        <x:f>ROUND(K34-K30-K24+K29+K31-K33,6)</x:f>
        <x:v>0</x:v>
      </x:c>
      <x:c r="L39" s="88" t="n">
        <x:f>ROUND(L34-L30-L24+L29+L31-L33,6)</x:f>
        <x:v>0</x:v>
      </x:c>
      <x:c r="M39" s="88" t="n">
        <x:f>ROUND(M34-M30-M24+M29+M31-M33,6)</x:f>
        <x:v>0</x:v>
      </x:c>
      <x:c r="N39" s="82" t="str">
        <x:v>Must equal zero after EBITDA, NWC, capex, and funding.</x:v>
      </x:c>
    </x:row>
    <x:row r="40" ht="20" customHeight="1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</x:row>
    <x:row r="41" ht="20" customHeight="1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</x:row>
    <x:row r="42" ht="20" customHeight="1">
      <x:c r="A42" s="61" t="str">
        <x:v>FORECAST SUMMARY</x:v>
      </x:c>
      <x:c r="B42" s="61"/>
      <x:c r="C42" s="61"/>
      <x:c r="D42" s="61"/>
      <x:c r="E42" s="61"/>
      <x:c r="F42" s="61"/>
      <x:c r="G42" s="61"/>
      <x:c r="H42" s="61"/>
      <x:c r="I42" s="3"/>
      <x:c r="J42" s="3"/>
      <x:c r="K42" s="3"/>
      <x:c r="L42" s="3"/>
      <x:c r="M42" s="3"/>
      <x:c r="N42" s="3"/>
    </x:row>
    <x:row r="43" ht="20" customHeight="1">
      <x:c r="A43" s="28" t="str">
        <x:v>Metric</x:v>
      </x:c>
      <x:c r="B43" s="28" t="str">
        <x:v>Value</x:v>
      </x:c>
      <x:c r="C43" s="28" t="str">
        <x:v>Unit</x:v>
      </x:c>
      <x:c r="D43" s="62" t="str">
        <x:v>Notes</x:v>
      </x:c>
      <x:c r="E43" s="63"/>
      <x:c r="F43" s="63"/>
      <x:c r="G43" s="63"/>
      <x:c r="H43" s="63"/>
      <x:c r="I43" s="3"/>
      <x:c r="J43" s="3"/>
      <x:c r="K43" s="3"/>
      <x:c r="L43" s="3"/>
      <x:c r="M43" s="3"/>
      <x:c r="N43" s="3"/>
    </x:row>
    <x:row r="44" ht="20" customHeight="1">
      <x:c r="A44" s="11" t="str">
        <x:v>First EBITDA break-even month</x:v>
      </x:c>
      <x:c r="B44" s="107" t="n">
        <x:f>IFERROR(MATCH(1,B35:M35,0),0)</x:f>
        <x:v>12</x:v>
      </x:c>
      <x:c r="C44" s="11" t="str">
        <x:v>month</x:v>
      </x:c>
      <x:c r="D44" s="72" t="str">
        <x:v>Zero means break-even is not reached in the forecast</x:v>
      </x:c>
      <x:c r="E44" s="73"/>
      <x:c r="F44" s="73"/>
      <x:c r="G44" s="73"/>
      <x:c r="H44" s="73"/>
      <x:c r="I44" s="3"/>
      <x:c r="J44" s="3"/>
      <x:c r="K44" s="3"/>
      <x:c r="L44" s="3"/>
      <x:c r="M44" s="3"/>
      <x:c r="N44" s="3"/>
    </x:row>
    <x:row r="45" ht="20" customHeight="1">
      <x:c r="A45" s="11" t="str">
        <x:v>Total external funding</x:v>
      </x:c>
      <x:c r="B45" s="68" t="n">
        <x:f>SUM(B33:M33)</x:f>
        <x:v>71.18833771211123</x:v>
      </x:c>
      <x:c r="C45" s="11" t="str">
        <x:v>LCY m</x:v>
      </x:c>
      <x:c r="D45" s="72" t="str">
        <x:v>Cumulative liquidity injected to maintain minimum cash</x:v>
      </x:c>
      <x:c r="E45" s="73"/>
      <x:c r="F45" s="73"/>
      <x:c r="G45" s="73"/>
      <x:c r="H45" s="73"/>
      <x:c r="I45" s="3"/>
      <x:c r="J45" s="3"/>
      <x:c r="K45" s="3"/>
      <x:c r="L45" s="3"/>
      <x:c r="M45" s="3"/>
      <x:c r="N45" s="3"/>
    </x:row>
    <x:row r="46" ht="20" customHeight="1">
      <x:c r="A46" s="29" t="str">
        <x:v>Month-12 revenue</x:v>
      </x:c>
      <x:c r="B46" s="88" t="n">
        <x:f>M19</x:f>
        <x:v>120.88549258770884</x:v>
      </x:c>
      <x:c r="C46" s="29" t="str">
        <x:v>LCY m</x:v>
      </x:c>
      <x:c r="D46" s="37" t="str">
        <x:v>End-of-horizon monthly revenue run rate</x:v>
      </x:c>
      <x:c r="E46" s="38"/>
      <x:c r="F46" s="38"/>
      <x:c r="G46" s="38"/>
      <x:c r="H46" s="38"/>
      <x:c r="I46" s="3"/>
      <x:c r="J46" s="3"/>
      <x:c r="K46" s="3"/>
      <x:c r="L46" s="3"/>
      <x:c r="M46" s="3"/>
      <x:c r="N46" s="3"/>
    </x:row>
    <x:row r="47" ht="20" customHeight="1">
      <x:c r="A47" s="29" t="str">
        <x:v>Month-12 EBITDA</x:v>
      </x:c>
      <x:c r="B47" s="88" t="n">
        <x:f>M24</x:f>
        <x:v>0.7719068868376979</x:v>
      </x:c>
      <x:c r="C47" s="29" t="str">
        <x:v>LCY m</x:v>
      </x:c>
      <x:c r="D47" s="37" t="str">
        <x:v>End-of-horizon monthly EBITDA</x:v>
      </x:c>
      <x:c r="E47" s="38"/>
      <x:c r="F47" s="38"/>
      <x:c r="G47" s="38"/>
      <x:c r="H47" s="38"/>
      <x:c r="I47" s="3"/>
      <x:c r="J47" s="3"/>
      <x:c r="K47" s="3"/>
      <x:c r="L47" s="3"/>
      <x:c r="M47" s="3"/>
      <x:c r="N47" s="3"/>
    </x:row>
    <x:row r="48" ht="20" customHeight="1">
      <x:c r="A48" s="29" t="str">
        <x:v>Month-12 EBITDA margin</x:v>
      </x:c>
      <x:c r="B48" s="111" t="n">
        <x:f>M25</x:f>
        <x:v>0.006385438569294314</x:v>
      </x:c>
      <x:c r="C48" s="29" t="str">
        <x:v>%</x:v>
      </x:c>
      <x:c r="D48" s="37" t="str">
        <x:v>End-of-horizon EBITDA / revenue</x:v>
      </x:c>
      <x:c r="E48" s="38"/>
      <x:c r="F48" s="38"/>
      <x:c r="G48" s="38"/>
      <x:c r="H48" s="38"/>
      <x:c r="I48" s="3"/>
      <x:c r="J48" s="3"/>
      <x:c r="K48" s="3"/>
      <x:c r="L48" s="3"/>
      <x:c r="M48" s="3"/>
      <x:c r="N48" s="3"/>
    </x:row>
    <x:row r="49" ht="20" customHeight="1">
      <x:c r="A49" s="29" t="str">
        <x:v>Month-12 closing cash</x:v>
      </x:c>
      <x:c r="B49" s="88" t="n">
        <x:f>M34</x:f>
        <x:v>30</x:v>
      </x:c>
      <x:c r="C49" s="29" t="str">
        <x:v>LCY m</x:v>
      </x:c>
      <x:c r="D49" s="37" t="str">
        <x:v>Cash after any required funding</x:v>
      </x:c>
      <x:c r="E49" s="38"/>
      <x:c r="F49" s="38"/>
      <x:c r="G49" s="38"/>
      <x:c r="H49" s="38"/>
      <x:c r="I49" s="3"/>
      <x:c r="J49" s="3"/>
      <x:c r="K49" s="3"/>
      <x:c r="L49" s="3"/>
      <x:c r="M49" s="3"/>
      <x:c r="N49" s="3"/>
    </x:row>
    <x:row r="50" ht="20" customHeight="1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</x:row>
    <x:row r="51" ht="20" customHeight="1">
      <x:c r="A51" s="165" t="str">
        <x:f>IF(B44&gt;0,"EBITDA BREAK-EVEN IN MONTH "&amp;TEXT(B44,"0"),"NO EBITDA BREAK-EVEN IN 12 MONTHS")&amp;" · TOTAL FUNDING "&amp;TEXT(B45,"#,##0.0")</x:f>
        <x:v>EBITDA BREAK-EVEN IN MONTH 12 · TOTAL FUNDING 71.2</x:v>
      </x:c>
      <x:c r="B51" s="166"/>
      <x:c r="C51" s="166"/>
      <x:c r="D51" s="166"/>
      <x:c r="E51" s="166"/>
      <x:c r="F51" s="166"/>
      <x:c r="G51" s="166"/>
      <x:c r="H51" s="166"/>
      <x:c r="I51" s="166"/>
      <x:c r="J51" s="166"/>
      <x:c r="K51" s="166"/>
      <x:c r="L51" s="166"/>
      <x:c r="M51" s="166"/>
      <x:c r="N51" s="167"/>
    </x:row>
    <x:row r="52" ht="20" customHeight="1">
      <x:c r="A52" s="168"/>
      <x:c r="B52" s="169"/>
      <x:c r="C52" s="169"/>
      <x:c r="D52" s="169"/>
      <x:c r="E52" s="169"/>
      <x:c r="F52" s="169"/>
      <x:c r="G52" s="169"/>
      <x:c r="H52" s="169"/>
      <x:c r="I52" s="169"/>
      <x:c r="J52" s="169"/>
      <x:c r="K52" s="169"/>
      <x:c r="L52" s="169"/>
      <x:c r="M52" s="169"/>
      <x:c r="N52" s="170"/>
    </x:row>
    <x:row r="53" ht="20" customHeight="1">
      <x:c r="A53" s="171"/>
      <x:c r="B53" s="172"/>
      <x:c r="C53" s="172"/>
      <x:c r="D53" s="172"/>
      <x:c r="E53" s="172"/>
      <x:c r="F53" s="172"/>
      <x:c r="G53" s="172"/>
      <x:c r="H53" s="172"/>
      <x:c r="I53" s="172"/>
      <x:c r="J53" s="172"/>
      <x:c r="K53" s="172"/>
      <x:c r="L53" s="172"/>
      <x:c r="M53" s="172"/>
      <x:c r="N53" s="173"/>
    </x:row>
    <x:row r="54" ht="20" customHeight="1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</x:row>
    <x:row r="55" ht="20" customHeight="1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</x:row>
    <x:row r="56" ht="20" customHeight="1">
      <x:c r="A56" s="60" t="str">
        <x:v>SME Integrated Forecast · Option C standard · 12-month operating and liquidity view</x:v>
      </x:c>
      <x:c r="B56" s="60"/>
      <x:c r="C56" s="60"/>
      <x:c r="D56" s="60"/>
      <x:c r="E56" s="60"/>
      <x:c r="F56" s="60"/>
      <x:c r="G56" s="60"/>
      <x:c r="H56" s="60"/>
      <x:c r="I56" s="60"/>
      <x:c r="J56" s="60"/>
      <x:c r="K56" s="60"/>
      <x:c r="L56" s="60"/>
      <x:c r="M56" s="60"/>
      <x:c r="N56" s="60"/>
    </x:row>
  </x:sheetData>
  <x:mergeCells>
    <x:mergeCell ref="A1:N2"/>
    <x:mergeCell ref="A3:N3"/>
    <x:mergeCell ref="A10:H10"/>
    <x:mergeCell ref="D11:H11"/>
    <x:mergeCell ref="D12:H12"/>
    <x:mergeCell ref="D13:H13"/>
    <x:mergeCell ref="D14:H14"/>
    <x:mergeCell ref="D15:H15"/>
    <x:mergeCell ref="D16:H16"/>
    <x:mergeCell ref="A17:N17"/>
    <x:mergeCell ref="A42:H42"/>
    <x:mergeCell ref="D43:H43"/>
    <x:mergeCell ref="D44:H44"/>
    <x:mergeCell ref="D45:H45"/>
    <x:mergeCell ref="D46:H46"/>
    <x:mergeCell ref="D47:H47"/>
    <x:mergeCell ref="D48:H48"/>
    <x:mergeCell ref="D49:H49"/>
    <x:mergeCell ref="A5:B5"/>
    <x:mergeCell ref="A6:B8"/>
    <x:mergeCell ref="C5:D5"/>
    <x:mergeCell ref="C6:D8"/>
    <x:mergeCell ref="E5:F5"/>
    <x:mergeCell ref="E6:F8"/>
    <x:mergeCell ref="G5:H5"/>
    <x:mergeCell ref="G6:H8"/>
    <x:mergeCell ref="A51:N53"/>
    <x:mergeCell ref="A56:N56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7" customHeight="1">
      <x:c r="A1" s="6" t="str">
        <x:v>RESULTS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SME Integrated Forecast · Decision view linked to the detailed Model sheet</x:v>
      </x:c>
      <x:c r="B3" s="9"/>
      <x:c r="C3" s="9"/>
      <x:c r="D3" s="9"/>
      <x:c r="E3" s="9"/>
      <x:c r="F3" s="9"/>
      <x:c r="G3" s="9"/>
      <x:c r="H3" s="9"/>
    </x:row>
    <x:row r="4" ht="20" customHeight="1">
      <x:c r="A4" s="3"/>
      <x:c r="B4" s="3"/>
      <x:c r="C4" s="3"/>
      <x:c r="D4" s="3"/>
      <x:c r="E4" s="3"/>
      <x:c r="F4" s="3"/>
      <x:c r="G4" s="3"/>
      <x:c r="H4" s="3"/>
    </x:row>
    <x:row r="5" ht="20" customHeight="1">
      <x:c r="A5" s="114" t="str">
        <x:v>BREAK-EVEN MONTH</x:v>
      </x:c>
      <x:c r="B5" s="115"/>
      <x:c r="C5" s="114" t="str">
        <x:v>TOTAL FUNDING</x:v>
      </x:c>
      <x:c r="D5" s="115"/>
      <x:c r="E5" s="114" t="str">
        <x:v>M12 EBITDA</x:v>
      </x:c>
      <x:c r="F5" s="115"/>
      <x:c r="G5" s="114" t="str">
        <x:v>M12 CLOSING CASH</x:v>
      </x:c>
      <x:c r="H5" s="115"/>
    </x:row>
    <x:row r="6" ht="20" customHeight="1">
      <x:c r="A6" s="129" t="n">
        <x:f>'Model'!A6</x:f>
        <x:v>12</x:v>
      </x:c>
      <x:c r="B6" s="130"/>
      <x:c r="C6" s="141" t="n">
        <x:f>'Model'!C6</x:f>
        <x:v>71.18833771211123</x:v>
      </x:c>
      <x:c r="D6" s="142"/>
      <x:c r="E6" s="141" t="n">
        <x:f>'Model'!E6</x:f>
        <x:v>0.7719068868376979</x:v>
      </x:c>
      <x:c r="F6" s="142"/>
      <x:c r="G6" s="141" t="n">
        <x:f>'Model'!G6</x:f>
        <x:v>30</x:v>
      </x:c>
      <x:c r="H6" s="142"/>
    </x:row>
    <x:row r="7" ht="20" customHeight="1">
      <x:c r="A7" s="131"/>
      <x:c r="B7" s="132"/>
      <x:c r="C7" s="143"/>
      <x:c r="D7" s="144"/>
      <x:c r="E7" s="143"/>
      <x:c r="F7" s="144"/>
      <x:c r="G7" s="143"/>
      <x:c r="H7" s="144"/>
    </x:row>
    <x:row r="8" ht="20" customHeight="1">
      <x:c r="A8" s="133"/>
      <x:c r="B8" s="134"/>
      <x:c r="C8" s="145"/>
      <x:c r="D8" s="146"/>
      <x:c r="E8" s="145"/>
      <x:c r="F8" s="146"/>
      <x:c r="G8" s="145"/>
      <x:c r="H8" s="146"/>
    </x:row>
    <x:row r="9" ht="20" customHeight="1">
      <x:c r="A9" s="3"/>
      <x:c r="B9" s="3"/>
      <x:c r="C9" s="3"/>
      <x:c r="D9" s="3"/>
      <x:c r="E9" s="3"/>
      <x:c r="F9" s="3"/>
      <x:c r="G9" s="3"/>
      <x:c r="H9" s="3"/>
    </x:row>
    <x:row r="10" ht="20" customHeight="1">
      <x:c r="A10" s="61" t="str">
        <x:v>DECISION VIEW</x:v>
      </x:c>
      <x:c r="B10" s="61"/>
      <x:c r="C10" s="61"/>
      <x:c r="D10" s="61"/>
      <x:c r="E10" s="61"/>
      <x:c r="F10" s="61"/>
      <x:c r="G10" s="61"/>
      <x:c r="H10" s="61"/>
    </x:row>
    <x:row r="11" ht="34" customHeight="1">
      <x:c r="A11" s="175" t="str">
        <x:v>CALCULATION STATUS</x:v>
      </x:c>
      <x:c r="B11" s="175"/>
      <x:c r="C11" s="179" t="str">
        <x:f>'Checks'!B4</x:f>
        <x:v>PASS</x:v>
      </x:c>
      <x:c r="D11" s="180"/>
      <x:c r="E11" s="175" t="str">
        <x:v>FORECAST OUTCOME</x:v>
      </x:c>
      <x:c r="F11" s="175"/>
      <x:c r="G11" s="186" t="str">
        <x:f>'Model'!A51</x:f>
        <x:v>EBITDA BREAK-EVEN IN MONTH 12 · TOTAL FUNDING 71.2</x:v>
      </x:c>
      <x:c r="H11" s="187"/>
    </x:row>
    <x:row r="12" ht="20" customHeight="1">
      <x:c r="A12" s="3"/>
      <x:c r="B12" s="3"/>
      <x:c r="C12" s="3"/>
      <x:c r="D12" s="3"/>
      <x:c r="E12" s="3"/>
      <x:c r="F12" s="3"/>
      <x:c r="G12" s="3"/>
      <x:c r="H12" s="3"/>
    </x:row>
    <x:row r="13" ht="20" customHeight="1">
      <x:c r="A13" s="61" t="str">
        <x:v>WHAT IT ANSWERS</x:v>
      </x:c>
      <x:c r="B13" s="61"/>
      <x:c r="C13" s="61"/>
      <x:c r="D13" s="61"/>
      <x:c r="E13" s="61"/>
      <x:c r="F13" s="61"/>
      <x:c r="G13" s="61"/>
      <x:c r="H13" s="61"/>
    </x:row>
    <x:row r="14" ht="20" customHeight="1">
      <x:c r="A14" s="194" t="str">
        <x:v>When does the business reach EBITDA break-even, and how much liquidity is required over the next 12 months?</x:v>
      </x:c>
      <x:c r="B14" s="195"/>
      <x:c r="C14" s="195"/>
      <x:c r="D14" s="195"/>
      <x:c r="E14" s="195"/>
      <x:c r="F14" s="195"/>
      <x:c r="G14" s="195"/>
      <x:c r="H14" s="196"/>
    </x:row>
    <x:row r="15" ht="20" customHeight="1">
      <x:c r="A15" s="197"/>
      <x:c r="B15" s="198"/>
      <x:c r="C15" s="198"/>
      <x:c r="D15" s="198"/>
      <x:c r="E15" s="198"/>
      <x:c r="F15" s="198"/>
      <x:c r="G15" s="198"/>
      <x:c r="H15" s="199"/>
    </x:row>
    <x:row r="16" ht="20" customHeight="1">
      <x:c r="A16" s="3"/>
      <x:c r="B16" s="3"/>
      <x:c r="C16" s="3"/>
      <x:c r="D16" s="3"/>
      <x:c r="E16" s="3"/>
      <x:c r="F16" s="3"/>
      <x:c r="G16" s="3"/>
      <x:c r="H16" s="3"/>
    </x:row>
    <x:row r="17" ht="20" customHeight="1">
      <x:c r="A17" s="61" t="str">
        <x:v>MODEL DEPTH</x:v>
      </x:c>
      <x:c r="B17" s="61"/>
      <x:c r="C17" s="61"/>
      <x:c r="D17" s="61"/>
      <x:c r="E17" s="61"/>
      <x:c r="F17" s="61"/>
      <x:c r="G17" s="61"/>
      <x:c r="H17" s="61"/>
    </x:row>
    <x:row r="18" ht="20" customHeight="1">
      <x:c r="A18" s="174" t="str">
        <x:v>Forecast</x:v>
      </x:c>
      <x:c r="B18" s="174"/>
      <x:c r="C18" s="83" t="str">
        <x:v>Twelve monthly forecast periods</x:v>
      </x:c>
      <x:c r="D18" s="83"/>
      <x:c r="E18" s="83"/>
      <x:c r="F18" s="83"/>
      <x:c r="G18" s="83"/>
      <x:c r="H18" s="83"/>
    </x:row>
    <x:row r="19" ht="20" customHeight="1">
      <x:c r="A19" s="174" t="str">
        <x:v>Editable inputs</x:v>
      </x:c>
      <x:c r="B19" s="174"/>
      <x:c r="C19" s="83" t="str">
        <x:v>10</x:v>
      </x:c>
      <x:c r="D19" s="83"/>
      <x:c r="E19" s="83"/>
      <x:c r="F19" s="83"/>
      <x:c r="G19" s="83"/>
      <x:c r="H19" s="83"/>
    </x:row>
    <x:row r="20" ht="20" customHeight="1">
      <x:c r="A20" s="174" t="str">
        <x:v>Calculation detail</x:v>
      </x:c>
      <x:c r="B20" s="174"/>
      <x:c r="C20" s="83" t="str">
        <x:v>Visible formulas, schedules, roll-forwards, and bridges</x:v>
      </x:c>
      <x:c r="D20" s="83"/>
      <x:c r="E20" s="83"/>
      <x:c r="F20" s="83"/>
      <x:c r="G20" s="83"/>
      <x:c r="H20" s="83"/>
    </x:row>
    <x:row r="21" ht="20" customHeight="1">
      <x:c r="A21" s="174" t="str">
        <x:v>Workbook flow</x:v>
      </x:c>
      <x:c r="B21" s="174"/>
      <x:c r="C21" s="83" t="str">
        <x:v>Start → Inputs → Model → Results → Checks</x:v>
      </x:c>
      <x:c r="D21" s="83"/>
      <x:c r="E21" s="83"/>
      <x:c r="F21" s="83"/>
      <x:c r="G21" s="83"/>
      <x:c r="H21" s="83"/>
    </x:row>
    <x:row r="22" ht="20" customHeight="1">
      <x:c r="A22" s="3"/>
      <x:c r="B22" s="3"/>
      <x:c r="C22" s="3"/>
      <x:c r="D22" s="3"/>
      <x:c r="E22" s="3"/>
      <x:c r="F22" s="3"/>
      <x:c r="G22" s="3"/>
      <x:c r="H22" s="3"/>
    </x:row>
    <x:row r="23" ht="20" customHeight="1">
      <x:c r="A23" s="61" t="str">
        <x:v>SCOPE</x:v>
      </x:c>
      <x:c r="B23" s="61"/>
      <x:c r="C23" s="61"/>
      <x:c r="D23" s="61"/>
      <x:c r="E23" s="61"/>
      <x:c r="F23" s="61"/>
      <x:c r="G23" s="61"/>
      <x:c r="H23" s="61"/>
    </x:row>
    <x:row r="24" ht="20" customHeight="1">
      <x:c r="A24" s="208" t="str">
        <x:v>Included: Monthly revenue, gross profit, and EBITDA forecast · Receivables, payables, and net-working-capital bridge · Cash roll-forward, minimum-cash funding, and break-even timing</x:v>
      </x:c>
      <x:c r="B24" s="209"/>
      <x:c r="C24" s="209"/>
      <x:c r="D24" s="209"/>
      <x:c r="E24" s="209"/>
      <x:c r="F24" s="209"/>
      <x:c r="G24" s="209"/>
      <x:c r="H24" s="210"/>
    </x:row>
    <x:row r="25" ht="20" customHeight="1">
      <x:c r="A25" s="211"/>
      <x:c r="B25" s="212"/>
      <x:c r="C25" s="212"/>
      <x:c r="D25" s="212"/>
      <x:c r="E25" s="212"/>
      <x:c r="F25" s="212"/>
      <x:c r="G25" s="212"/>
      <x:c r="H25" s="213"/>
    </x:row>
    <x:row r="26" ht="20" customHeight="1">
      <x:c r="A26" s="214"/>
      <x:c r="B26" s="215"/>
      <x:c r="C26" s="215"/>
      <x:c r="D26" s="215"/>
      <x:c r="E26" s="215"/>
      <x:c r="F26" s="215"/>
      <x:c r="G26" s="215"/>
      <x:c r="H26" s="216"/>
    </x:row>
    <x:row r="27" ht="20" customHeight="1">
      <x:c r="A27" s="54" t="str">
        <x:v>Outside this model: Detailed product mix, inventory, debt terms, tax schedules, seasonality, and a financing recommendation.</x:v>
      </x:c>
      <x:c r="B27" s="55"/>
      <x:c r="C27" s="55"/>
      <x:c r="D27" s="55"/>
      <x:c r="E27" s="55"/>
      <x:c r="F27" s="55"/>
      <x:c r="G27" s="55"/>
      <x:c r="H27" s="56"/>
    </x:row>
    <x:row r="28" ht="20" customHeight="1">
      <x:c r="A28" s="57"/>
      <x:c r="B28" s="58"/>
      <x:c r="C28" s="58"/>
      <x:c r="D28" s="58"/>
      <x:c r="E28" s="58"/>
      <x:c r="F28" s="58"/>
      <x:c r="G28" s="58"/>
      <x:c r="H28" s="59"/>
    </x:row>
    <x:row r="29" ht="20" customHeight="1">
      <x:c r="A29" s="220" t="str">
        <x:v>Five visible tabs · No hidden calculations · Calculation status and business outcome are reported separately.</x:v>
      </x:c>
      <x:c r="B29" s="221"/>
      <x:c r="C29" s="221"/>
      <x:c r="D29" s="221"/>
      <x:c r="E29" s="221"/>
      <x:c r="F29" s="221"/>
      <x:c r="G29" s="221"/>
      <x:c r="H29" s="222"/>
    </x:row>
    <x:row r="30" ht="20" customHeight="1">
      <x:c r="A30" s="3"/>
      <x:c r="B30" s="3"/>
      <x:c r="C30" s="3"/>
      <x:c r="D30" s="3"/>
      <x:c r="E30" s="3"/>
      <x:c r="F30" s="3"/>
      <x:c r="G30" s="3"/>
      <x:c r="H30" s="3"/>
    </x:row>
    <x:row r="31" ht="20" customHeight="1">
      <x:c r="A31" s="60" t="str">
        <x:v>SME Integrated Forecast · v1.4.0 · Linked summary only · Trace all formulas on Model</x:v>
      </x:c>
      <x:c r="B31" s="60"/>
      <x:c r="C31" s="60"/>
      <x:c r="D31" s="60"/>
      <x:c r="E31" s="60"/>
      <x:c r="F31" s="60"/>
      <x:c r="G31" s="60"/>
      <x:c r="H31" s="60"/>
    </x:row>
  </x:sheetData>
  <x:mergeCells>
    <x:mergeCell ref="A1:H2"/>
    <x:mergeCell ref="A3:H3"/>
    <x:mergeCell ref="A5:B5"/>
    <x:mergeCell ref="A6:B8"/>
    <x:mergeCell ref="C5:D5"/>
    <x:mergeCell ref="C6:D8"/>
    <x:mergeCell ref="E5:F5"/>
    <x:mergeCell ref="E6:F8"/>
    <x:mergeCell ref="G5:H5"/>
    <x:mergeCell ref="G6:H8"/>
    <x:mergeCell ref="A10:H10"/>
    <x:mergeCell ref="A11:B11"/>
    <x:mergeCell ref="C11:D11"/>
    <x:mergeCell ref="E11:F11"/>
    <x:mergeCell ref="G11:H11"/>
    <x:mergeCell ref="A13:H13"/>
    <x:mergeCell ref="A14:H15"/>
    <x:mergeCell ref="A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3:H23"/>
    <x:mergeCell ref="A24:H26"/>
    <x:mergeCell ref="A27:H28"/>
    <x:mergeCell ref="A29:H29"/>
    <x:mergeCell ref="A31:H31"/>
  </x:mergeCells>
  <x:conditionalFormatting sqref="C11:D11">
    <x:cfRule type="containsText" dxfId="0" priority="1" operator="containsText" text="FAIL"/>
    <x:cfRule type="containsText" dxfId="1" priority="2" operator="containsText" text="PASS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3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23" hidden="0" customWidth="1"/>
    <x:col min="8" max="8" width="16" hidden="0" customWidth="1"/>
  </x:cols>
  <x:sheetData>
    <x:row r="1" ht="27" customHeight="1">
      <x:c r="A1" s="6" t="str">
        <x:v>CHECKS</x:v>
      </x:c>
      <x:c r="B1" s="6"/>
      <x:c r="C1" s="6"/>
      <x:c r="D1" s="6"/>
      <x:c r="E1" s="6"/>
      <x:c r="F1" s="6"/>
      <x:c r="G1" s="6"/>
      <x:c r="H1" s="6"/>
    </x:row>
    <x:row r="2" ht="27" customHeight="1">
      <x:c r="A2" s="6"/>
      <x:c r="B2" s="6"/>
      <x:c r="C2" s="6"/>
      <x:c r="D2" s="6"/>
      <x:c r="E2" s="6"/>
      <x:c r="F2" s="6"/>
      <x:c r="G2" s="6"/>
      <x:c r="H2" s="6"/>
    </x:row>
    <x:row r="3" ht="20" customHeight="1">
      <x:c r="A3" s="9" t="str">
        <x:v>SME Integrated Forecast · Calculation controls only; business outcomes are shown separately</x:v>
      </x:c>
      <x:c r="B3" s="9"/>
      <x:c r="C3" s="9"/>
      <x:c r="D3" s="9"/>
      <x:c r="E3" s="9"/>
      <x:c r="F3" s="9"/>
      <x:c r="G3" s="9"/>
      <x:c r="H3" s="9"/>
    </x:row>
    <x:row r="4" ht="12" customHeight="1">
      <x:c r="A4" s="3"/>
      <x:c r="B4" s="223" t="str">
        <x:f>IF(COUNTIF(F9:F18,"PASS")=10,"PASS","FAIL")</x:f>
        <x:v>PASS</x:v>
      </x:c>
      <x:c r="C4" s="223"/>
      <x:c r="D4" s="223"/>
      <x:c r="E4" s="223"/>
      <x:c r="F4" s="223"/>
      <x:c r="G4" s="223"/>
      <x:c r="H4" s="223"/>
    </x:row>
    <x:row r="5" ht="20" customHeight="1">
      <x:c r="A5" s="60" t="str">
        <x:v>MODEL STATUS</x:v>
      </x:c>
      <x:c r="B5" s="60"/>
      <x:c r="C5" s="179" t="str">
        <x:f>B4</x:f>
        <x:v>PASS</x:v>
      </x:c>
      <x:c r="D5" s="225"/>
      <x:c r="E5" s="225"/>
      <x:c r="F5" s="225"/>
      <x:c r="G5" s="225"/>
      <x:c r="H5" s="180"/>
    </x:row>
    <x:row r="6" ht="20" customHeight="1">
      <x:c r="A6" s="3"/>
      <x:c r="B6" s="3"/>
      <x:c r="C6" s="3"/>
      <x:c r="D6" s="3"/>
      <x:c r="E6" s="3"/>
      <x:c r="F6" s="3"/>
      <x:c r="G6" s="3"/>
      <x:c r="H6" s="3"/>
    </x:row>
    <x:row r="7" ht="20" customHeight="1">
      <x:c r="A7" s="61" t="str">
        <x:v>10 CALCULATION CONTROLS</x:v>
      </x:c>
      <x:c r="B7" s="61"/>
      <x:c r="C7" s="61"/>
      <x:c r="D7" s="61"/>
      <x:c r="E7" s="61"/>
      <x:c r="F7" s="61"/>
      <x:c r="G7" s="61"/>
      <x:c r="H7" s="61"/>
    </x:row>
    <x:row r="8" ht="20" customHeight="1">
      <x:c r="A8" s="28" t="str">
        <x:v>Control</x:v>
      </x:c>
      <x:c r="B8" s="28" t="str">
        <x:v>Actual</x:v>
      </x:c>
      <x:c r="C8" s="28" t="str">
        <x:v>Expected</x:v>
      </x:c>
      <x:c r="D8" s="28" t="str">
        <x:v>Difference</x:v>
      </x:c>
      <x:c r="E8" s="28" t="str">
        <x:v>Tolerance</x:v>
      </x:c>
      <x:c r="F8" s="28" t="str">
        <x:v>Status</x:v>
      </x:c>
      <x:c r="G8" s="28" t="str">
        <x:v>Where to fix</x:v>
      </x:c>
      <x:c r="H8" s="28"/>
    </x:row>
    <x:row r="9" ht="26" customHeight="1">
      <x:c r="A9" s="212" t="str">
        <x:v>All editable inputs are numeric</x:v>
      </x:c>
      <x:c r="B9" s="228" t="n">
        <x:f>ROUND(COUNT('Inputs'!B10,'Inputs'!B11,'Inputs'!B12,'Inputs'!B13,'Inputs'!B14,'Inputs'!B15,'Inputs'!B16,'Inputs'!B17,'Inputs'!B18,'Inputs'!B19),6)</x:f>
        <x:v>10</x:v>
      </x:c>
      <x:c r="C9" s="228" t="n">
        <x:f>10</x:f>
        <x:v>10</x:v>
      </x:c>
      <x:c r="D9" s="228" t="n">
        <x:f>ROUND(B9-C9,6)</x:f>
        <x:v>0</x:v>
      </x:c>
      <x:c r="E9" s="228" t="n">
        <x:f>0</x:f>
        <x:v>0</x:v>
      </x:c>
      <x:c r="F9" s="229" t="str">
        <x:f>IF(ABS(ROUND(D9,6))&lt;=E9,"PASS","FAIL")</x:f>
        <x:v>PASS</x:v>
      </x:c>
      <x:c r="G9" s="212" t="str">
        <x:v>Complete the blue cells on Inputs</x:v>
      </x:c>
      <x:c r="H9" s="212"/>
    </x:row>
    <x:row r="10" ht="26" customHeight="1">
      <x:c r="A10" s="212" t="str">
        <x:v>Results headline KPIs reconcile to Model</x:v>
      </x:c>
      <x:c r="B10" s="232" t="n">
        <x:f>ROUND(IFERROR(SUM(ABS('Results'!A6-'Model'!A6),ABS('Results'!C6-'Model'!C6),ABS('Results'!E6-'Model'!E6),ABS('Results'!G6-'Model'!G6)),1E+99),6)</x:f>
        <x:v>0</x:v>
      </x:c>
      <x:c r="C10" s="232" t="n">
        <x:f>0</x:f>
        <x:v>0</x:v>
      </x:c>
      <x:c r="D10" s="232" t="n">
        <x:f>ROUND(B10-C10,6)</x:f>
        <x:v>0</x:v>
      </x:c>
      <x:c r="E10" s="232" t="n">
        <x:f>0.0001</x:f>
        <x:v>0.0001</x:v>
      </x:c>
      <x:c r="F10" s="229" t="str">
        <x:f>IF(ABS(ROUND(D10,6))&lt;=E10,"PASS","FAIL")</x:f>
        <x:v>PASS</x:v>
      </x:c>
      <x:c r="G10" s="212" t="str">
        <x:v>Review Results-to-Model links</x:v>
      </x:c>
      <x:c r="H10" s="212"/>
    </x:row>
    <x:row r="11" ht="26" customHeight="1">
      <x:c r="A11" s="212" t="str">
        <x:v>Growth, margin, working-capital, and cash inputs are valid</x:v>
      </x:c>
      <x:c r="B11" s="232" t="n">
        <x:f>ROUND(IF(AND('Inputs'!$B$10&gt;0,'Inputs'!$B$11&gt;-1,'Inputs'!$B$12&gt;0,'Inputs'!$B$12&lt;=1,'Inputs'!$B$13&gt;=0,'Inputs'!$B$14&gt;=0,'Inputs'!$B$15&gt;=0,'Inputs'!$B$15&lt;=365,'Inputs'!$B$16&gt;=0,'Inputs'!$B$16&lt;=365,'Inputs'!$B$17&gt;=0,'Inputs'!$B$18&gt;=0,'Inputs'!$B$19&gt;=0),1,0),6)</x:f>
        <x:v>1</x:v>
      </x:c>
      <x:c r="C11" s="232" t="n">
        <x:f>1</x:f>
        <x:v>1</x:v>
      </x:c>
      <x:c r="D11" s="232" t="n">
        <x:f>ROUND(B11-C11,6)</x:f>
        <x:v>0</x:v>
      </x:c>
      <x:c r="E11" s="232" t="n">
        <x:f>0.0001</x:f>
        <x:v>0.0001</x:v>
      </x:c>
      <x:c r="F11" s="229" t="str">
        <x:f>IF(ABS(ROUND(D11,6))&lt;=E11,"PASS","FAIL")</x:f>
        <x:v>PASS</x:v>
      </x:c>
      <x:c r="G11" s="212" t="str">
        <x:v>Inputs: operating, working-capital, and cash assumptions</x:v>
      </x:c>
      <x:c r="H11" s="212"/>
    </x:row>
    <x:row r="12" ht="26" customHeight="1">
      <x:c r="A12" s="212" t="str">
        <x:v>Opening working-capital bridge ties</x:v>
      </x:c>
      <x:c r="B12" s="235" t="n">
        <x:f>ROUND(ABS('Model'!B16-'Model'!B14+'Model'!B15),6)</x:f>
        <x:v>0</x:v>
      </x:c>
      <x:c r="C12" s="235" t="n">
        <x:f>0</x:f>
        <x:v>0</x:v>
      </x:c>
      <x:c r="D12" s="235" t="n">
        <x:f>ROUND(B12-C12,6)</x:f>
        <x:v>0</x:v>
      </x:c>
      <x:c r="E12" s="235" t="n">
        <x:f>0.01</x:f>
        <x:v>0.01</x:v>
      </x:c>
      <x:c r="F12" s="229" t="str">
        <x:f>IF(ABS(ROUND(D12,6))&lt;=E12,"PASS","FAIL")</x:f>
        <x:v>PASS</x:v>
      </x:c>
      <x:c r="G12" s="212" t="str">
        <x:v>Model: opening working capital</x:v>
      </x:c>
      <x:c r="H12" s="212"/>
    </x:row>
    <x:row r="13" ht="26" customHeight="1">
      <x:c r="A13" s="212" t="str">
        <x:v>Revenue roll-forward ties</x:v>
      </x:c>
      <x:c r="B13" s="235" t="n">
        <x:f>ROUND(MAX(ABS('Model'!B36),ABS('Model'!C36),ABS('Model'!D36),ABS('Model'!E36),ABS('Model'!F36),ABS('Model'!G36),ABS('Model'!H36),ABS('Model'!I36),ABS('Model'!J36),ABS('Model'!K36),ABS('Model'!L36),ABS('Model'!M36)),6)</x:f>
        <x:v>0</x:v>
      </x:c>
      <x:c r="C13" s="235" t="n">
        <x:f>0</x:f>
        <x:v>0</x:v>
      </x:c>
      <x:c r="D13" s="235" t="n">
        <x:f>ROUND(B13-C13,6)</x:f>
        <x:v>0</x:v>
      </x:c>
      <x:c r="E13" s="235" t="n">
        <x:f>0.01</x:f>
        <x:v>0.01</x:v>
      </x:c>
      <x:c r="F13" s="229" t="str">
        <x:f>IF(ABS(ROUND(D13,6))&lt;=E13,"PASS","FAIL")</x:f>
        <x:v>PASS</x:v>
      </x:c>
      <x:c r="G13" s="212" t="str">
        <x:v>Model: monthly revenue</x:v>
      </x:c>
      <x:c r="H13" s="212"/>
    </x:row>
    <x:row r="14" ht="26" customHeight="1">
      <x:c r="A14" s="212" t="str">
        <x:v>Gross profit and EBITDA bridges tie</x:v>
      </x:c>
      <x:c r="B14" s="235" t="n">
        <x:f>ROUND(MAX(ABS('Model'!B37),ABS('Model'!C37),ABS('Model'!D37),ABS('Model'!E37),ABS('Model'!F37),ABS('Model'!G37),ABS('Model'!H37),ABS('Model'!I37),ABS('Model'!J37),ABS('Model'!K37),ABS('Model'!L37),ABS('Model'!M37)),6)</x:f>
        <x:v>0</x:v>
      </x:c>
      <x:c r="C14" s="235" t="n">
        <x:f>0</x:f>
        <x:v>0</x:v>
      </x:c>
      <x:c r="D14" s="235" t="n">
        <x:f>ROUND(B14-C14,6)</x:f>
        <x:v>0</x:v>
      </x:c>
      <x:c r="E14" s="235" t="n">
        <x:f>0.01</x:f>
        <x:v>0.01</x:v>
      </x:c>
      <x:c r="F14" s="229" t="str">
        <x:f>IF(ABS(ROUND(D14,6))&lt;=E14,"PASS","FAIL")</x:f>
        <x:v>PASS</x:v>
      </x:c>
      <x:c r="G14" s="212" t="str">
        <x:v>Model: profit schedule</x:v>
      </x:c>
      <x:c r="H14" s="212"/>
    </x:row>
    <x:row r="15" ht="26" customHeight="1">
      <x:c r="A15" s="212" t="str">
        <x:v>Working-capital roll-forward ties</x:v>
      </x:c>
      <x:c r="B15" s="235" t="n">
        <x:f>ROUND(MAX(ABS('Model'!B38),ABS('Model'!C38),ABS('Model'!D38),ABS('Model'!E38),ABS('Model'!F38),ABS('Model'!G38),ABS('Model'!H38),ABS('Model'!I38),ABS('Model'!J38),ABS('Model'!K38),ABS('Model'!L38),ABS('Model'!M38)),6)</x:f>
        <x:v>0</x:v>
      </x:c>
      <x:c r="C15" s="235" t="n">
        <x:f>0</x:f>
        <x:v>0</x:v>
      </x:c>
      <x:c r="D15" s="235" t="n">
        <x:f>ROUND(B15-C15,6)</x:f>
        <x:v>0</x:v>
      </x:c>
      <x:c r="E15" s="235" t="n">
        <x:f>0.01</x:f>
        <x:v>0.01</x:v>
      </x:c>
      <x:c r="F15" s="229" t="str">
        <x:f>IF(ABS(ROUND(D15,6))&lt;=E15,"PASS","FAIL")</x:f>
        <x:v>PASS</x:v>
      </x:c>
      <x:c r="G15" s="212" t="str">
        <x:v>Model: working-capital schedule</x:v>
      </x:c>
      <x:c r="H15" s="212"/>
    </x:row>
    <x:row r="16" ht="26" customHeight="1">
      <x:c r="A16" s="212" t="str">
        <x:v>Cash roll-forward ties</x:v>
      </x:c>
      <x:c r="B16" s="235" t="n">
        <x:f>ROUND(MAX(ABS('Model'!B39),ABS('Model'!C39),ABS('Model'!D39),ABS('Model'!E39),ABS('Model'!F39),ABS('Model'!G39),ABS('Model'!H39),ABS('Model'!I39),ABS('Model'!J39),ABS('Model'!K39),ABS('Model'!L39),ABS('Model'!M39)),6)</x:f>
        <x:v>0</x:v>
      </x:c>
      <x:c r="C16" s="235" t="n">
        <x:f>0</x:f>
        <x:v>0</x:v>
      </x:c>
      <x:c r="D16" s="235" t="n">
        <x:f>ROUND(B16-C16,6)</x:f>
        <x:v>0</x:v>
      </x:c>
      <x:c r="E16" s="235" t="n">
        <x:f>0.01</x:f>
        <x:v>0.01</x:v>
      </x:c>
      <x:c r="F16" s="229" t="str">
        <x:f>IF(ABS(ROUND(D16,6))&lt;=E16,"PASS","FAIL")</x:f>
        <x:v>PASS</x:v>
      </x:c>
      <x:c r="G16" s="212" t="str">
        <x:v>Model: cash schedule</x:v>
      </x:c>
      <x:c r="H16" s="212"/>
    </x:row>
    <x:row r="17" ht="26" customHeight="1">
      <x:c r="A17" s="212" t="str">
        <x:v>Funding is non-negative and minimum cash is maintained</x:v>
      </x:c>
      <x:c r="B17" s="232" t="n">
        <x:f>ROUND(IF(AND(MIN('Model'!B33:M33)&gt;=0,MIN('Model'!B34:M34)&gt;='Inputs'!$B$18-0.01),1,0),6)</x:f>
        <x:v>1</x:v>
      </x:c>
      <x:c r="C17" s="232" t="n">
        <x:f>1</x:f>
        <x:v>1</x:v>
      </x:c>
      <x:c r="D17" s="232" t="n">
        <x:f>ROUND(B17-C17,6)</x:f>
        <x:v>0</x:v>
      </x:c>
      <x:c r="E17" s="232" t="n">
        <x:f>0.0001</x:f>
        <x:v>0.0001</x:v>
      </x:c>
      <x:c r="F17" s="229" t="str">
        <x:f>IF(ABS(ROUND(D17,6))&lt;=E17,"PASS","FAIL")</x:f>
        <x:v>PASS</x:v>
      </x:c>
      <x:c r="G17" s="212" t="str">
        <x:v>Model: funding and minimum-cash logic</x:v>
      </x:c>
      <x:c r="H17" s="212"/>
    </x:row>
    <x:row r="18" ht="26" customHeight="1">
      <x:c r="A18" s="212" t="str">
        <x:v>Break-even flags are complete and binary</x:v>
      </x:c>
      <x:c r="B18" s="232" t="n">
        <x:f>ROUND(IF(AND(COUNT('Model'!B35:M35)=12,MIN('Model'!B35:M35)&gt;=0,MAX('Model'!B35:M35)&lt;=1),1,0),6)</x:f>
        <x:v>1</x:v>
      </x:c>
      <x:c r="C18" s="232" t="n">
        <x:f>1</x:f>
        <x:v>1</x:v>
      </x:c>
      <x:c r="D18" s="232" t="n">
        <x:f>ROUND(B18-C18,6)</x:f>
        <x:v>0</x:v>
      </x:c>
      <x:c r="E18" s="232" t="n">
        <x:f>0.0001</x:f>
        <x:v>0.0001</x:v>
      </x:c>
      <x:c r="F18" s="229" t="str">
        <x:f>IF(ABS(ROUND(D18,6))&lt;=E18,"PASS","FAIL")</x:f>
        <x:v>PASS</x:v>
      </x:c>
      <x:c r="G18" s="212" t="str">
        <x:v>Model: break-even flags</x:v>
      </x:c>
      <x:c r="H18" s="212"/>
    </x:row>
    <x:row r="19" ht="20" customHeight="1">
      <x:c r="A19" s="239" t="str">
        <x:v>A warning business outcome can still pass these controls; review Model and Results before making a decision.</x:v>
      </x:c>
      <x:c r="B19" s="240"/>
      <x:c r="C19" s="240"/>
      <x:c r="D19" s="240"/>
      <x:c r="E19" s="240"/>
      <x:c r="F19" s="240"/>
      <x:c r="G19" s="240"/>
      <x:c r="H19" s="241"/>
    </x:row>
    <x:row r="20" ht="20" customHeight="1">
      <x:c r="A20" s="60" t="str">
        <x:v>SME Integrated Forecast · 10 / 10 controls should show PASS · v1.4.0</x:v>
      </x:c>
      <x:c r="B20" s="60"/>
      <x:c r="C20" s="60"/>
      <x:c r="D20" s="60"/>
      <x:c r="E20" s="60"/>
      <x:c r="F20" s="60"/>
      <x:c r="G20" s="60"/>
      <x:c r="H20" s="60"/>
    </x:row>
  </x:sheetData>
  <x:mergeCells>
    <x:mergeCell ref="A1:H2"/>
    <x:mergeCell ref="A3:H3"/>
    <x:mergeCell ref="B4:H4"/>
    <x:mergeCell ref="A5:B5"/>
    <x:mergeCell ref="C5:H5"/>
    <x:mergeCell ref="A7:H7"/>
    <x:mergeCell ref="G8:H8"/>
    <x:mergeCell ref="G9:H9"/>
    <x:mergeCell ref="G10:H10"/>
    <x:mergeCell ref="G11:H11"/>
    <x:mergeCell ref="G12:H12"/>
    <x:mergeCell ref="G13:H13"/>
    <x:mergeCell ref="G14:H14"/>
    <x:mergeCell ref="G15:H15"/>
    <x:mergeCell ref="G16:H16"/>
    <x:mergeCell ref="G17:H17"/>
    <x:mergeCell ref="G18:H18"/>
    <x:mergeCell ref="A19:H19"/>
    <x:mergeCell ref="A20:H20"/>
  </x:mergeCells>
  <x:conditionalFormatting sqref="C5:H5">
    <x:cfRule type="containsText" dxfId="2" priority="1" operator="containsText" text="FAIL"/>
    <x:cfRule type="containsText" dxfId="3" priority="2" operator="containsText" text="PASS"/>
  </x:conditionalFormatting>
  <x:conditionalFormatting sqref="F9:F9">
    <x:cfRule type="containsText" dxfId="4" priority="3" operator="containsText" text="FAIL"/>
    <x:cfRule type="containsText" dxfId="5" priority="4" operator="containsText" text="PASS"/>
  </x:conditionalFormatting>
  <x:conditionalFormatting sqref="F10:F10">
    <x:cfRule type="containsText" dxfId="6" priority="5" operator="containsText" text="FAIL"/>
    <x:cfRule type="containsText" dxfId="7" priority="6" operator="containsText" text="PASS"/>
  </x:conditionalFormatting>
  <x:conditionalFormatting sqref="F11:F11">
    <x:cfRule type="containsText" dxfId="8" priority="7" operator="containsText" text="FAIL"/>
    <x:cfRule type="containsText" dxfId="9" priority="8" operator="containsText" text="PASS"/>
  </x:conditionalFormatting>
  <x:conditionalFormatting sqref="F12:F12">
    <x:cfRule type="containsText" dxfId="10" priority="9" operator="containsText" text="FAIL"/>
    <x:cfRule type="containsText" dxfId="11" priority="10" operator="containsText" text="PASS"/>
  </x:conditionalFormatting>
  <x:conditionalFormatting sqref="F13:F13">
    <x:cfRule type="containsText" dxfId="12" priority="11" operator="containsText" text="FAIL"/>
    <x:cfRule type="containsText" dxfId="13" priority="12" operator="containsText" text="PASS"/>
  </x:conditionalFormatting>
  <x:conditionalFormatting sqref="F14:F14">
    <x:cfRule type="containsText" dxfId="14" priority="13" operator="containsText" text="FAIL"/>
    <x:cfRule type="containsText" dxfId="15" priority="14" operator="containsText" text="PASS"/>
  </x:conditionalFormatting>
  <x:conditionalFormatting sqref="F15:F15">
    <x:cfRule type="containsText" dxfId="16" priority="15" operator="containsText" text="FAIL"/>
    <x:cfRule type="containsText" dxfId="17" priority="16" operator="containsText" text="PASS"/>
  </x:conditionalFormatting>
  <x:conditionalFormatting sqref="F16:F16">
    <x:cfRule type="containsText" dxfId="18" priority="17" operator="containsText" text="FAIL"/>
    <x:cfRule type="containsText" dxfId="19" priority="18" operator="containsText" text="PASS"/>
  </x:conditionalFormatting>
  <x:conditionalFormatting sqref="F17:F17">
    <x:cfRule type="containsText" dxfId="20" priority="19" operator="containsText" text="FAIL"/>
    <x:cfRule type="containsText" dxfId="21" priority="20" operator="containsText" text="PASS"/>
  </x:conditionalFormatting>
  <x:conditionalFormatting sqref="F18:F18">
    <x:cfRule type="containsText" dxfId="22" priority="21" operator="containsText" text="FAIL"/>
    <x:cfRule type="containsText" dxfId="23" priority="22" operator="containsText" text="PASS"/>
  </x:conditionalFormatting>
  <x:pageMargins left="0.7" right="0.7" top="0.75" bottom="0.75" header="0.3" footer="0.3"/>
</x:worksheet>
</file>