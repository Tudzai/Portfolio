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e9dcee11a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8674545d226477f"/>
    <x:sheet xmlns:r="http://schemas.openxmlformats.org/officeDocument/2006/relationships" name="Guide" sheetId="2" r:id="R073924c0f87d4d75"/>
    <x:sheet xmlns:r="http://schemas.openxmlformats.org/officeDocument/2006/relationships" name="Assumptions" sheetId="3" r:id="Rf6d916c59df84cd0"/>
    <x:sheet xmlns:r="http://schemas.openxmlformats.org/officeDocument/2006/relationships" name="SME Inputs" sheetId="4" r:id="R4a4cbaaf40964a2f"/>
    <x:sheet xmlns:r="http://schemas.openxmlformats.org/officeDocument/2006/relationships" name="24-Month Forecast" sheetId="5" r:id="Ra531f5efc7494430"/>
    <x:sheet xmlns:r="http://schemas.openxmlformats.org/officeDocument/2006/relationships" name="Sensitivity" sheetId="6" r:id="R15a6c07ca0714c0d"/>
    <x:sheet xmlns:r="http://schemas.openxmlformats.org/officeDocument/2006/relationships" name="Summary" sheetId="7" r:id="R5240d38a5f9f4538"/>
    <x:sheet xmlns:r="http://schemas.openxmlformats.org/officeDocument/2006/relationships" name="Checks" sheetId="8" r:id="Rae16249198f04de1"/>
    <x:sheet xmlns:r="http://schemas.openxmlformats.org/officeDocument/2006/relationships" name="Sources &amp; Version" sheetId="9" r:id="R35b536eb64b7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-"/>
    <x:numFmt numFmtId="201" formatCode="0.0;(0.0);-"/>
    <x:numFmt numFmtId="202" formatCode="#,##0.0;(#,##0.0);-"/>
    <x:numFmt numFmtId="203" formatCode="#,##0;(#,##0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6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  <x:border>
      <x:top style="thin">
        <x:color rgb="FF101827"/>
      </x:top>
      <x:bottom style="thin">
        <x:color rgb="FFDBE4EF"/>
      </x:bottom>
    </x:border>
  </x:borders>
  <x:cellStyleXfs count="1">
    <x:xf numFmtId="0" fontId="0" fillId="0" borderId="0"/>
  </x:cellStyleXfs>
  <x:cellXfs count="2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/>
    <x:xf numFmtId="202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202" fontId="12" fillId="5" borderId="16" xfId="0" applyNumberFormat="1" applyFont="1" applyFill="1" applyBorder="1" applyAlignment="1">
      <x:alignment horizontal="right"/>
    </x:xf>
    <x:xf numFmtId="202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2" fontId="12" fillId="5" borderId="19" xfId="0" applyNumberFormat="1" applyFont="1" applyFill="1" applyBorder="1" applyAlignment="1">
      <x:alignment horizontal="right"/>
    </x:xf>
    <x:xf numFmtId="202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21" xfId="0" applyNumberFormat="1" applyFont="1" applyFill="1" applyBorder="1"/>
    <x:xf numFmtId="202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2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2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2" fontId="16" fillId="0" borderId="0" xfId="0" applyNumberFormat="1" applyFont="1" applyFill="1" applyBorder="1"/>
    <x:xf numFmtId="202" fontId="1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2" fontId="16" fillId="0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2" fontId="16" fillId="8" borderId="24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202" fontId="13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2" fontId="13" fillId="6" borderId="24" xfId="0" applyNumberFormat="1" applyFont="1" applyFill="1" applyBorder="1" applyAlignment="1">
      <x:alignment horizontal="right"/>
    </x:xf>
    <x:xf numFmtId="202" fontId="13" fillId="8" borderId="24" xfId="0" applyNumberFormat="1" applyFont="1" applyFill="1" applyBorder="1" applyAlignment="1">
      <x:alignment horizontal="right"/>
    </x:xf>
    <x:xf numFmtId="202" fontId="16" fillId="6" borderId="24" xfId="0" applyNumberFormat="1" applyFont="1" applyFill="1" applyBorder="1" applyAlignment="1">
      <x:alignment horizontal="right"/>
    </x:xf>
    <x:xf numFmtId="0" fontId="6" fillId="8" borderId="25" xfId="0" applyNumberFormat="1" applyFont="1" applyFill="1" applyBorder="1" applyAlignment="1">
      <x:alignment wrapText="1"/>
    </x:xf>
    <x:xf numFmtId="202" fontId="16" fillId="8" borderId="25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2" fontId="16" fillId="0" borderId="22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2" fontId="13" fillId="6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2" fontId="13" fillId="8" borderId="22" xfId="0" applyNumberFormat="1" applyFont="1" applyFill="1" applyBorder="1" applyAlignment="1">
      <x:alignment horizontal="right"/>
    </x:xf>
    <x:xf numFmtId="202" fontId="13" fillId="0" borderId="22" xfId="0" applyNumberFormat="1" applyFont="1" applyFill="1" applyBorder="1" applyAlignment="1">
      <x:alignment horizontal="right"/>
    </x:xf>
    <x:xf numFmtId="202" fontId="16" fillId="6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2" fontId="13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2" fontId="16" fillId="6" borderId="0" xfId="0" applyNumberFormat="1" applyFont="1" applyFill="1" applyBorder="1" applyAlignment="1">
      <x:alignment horizontal="right"/>
    </x:xf>
    <x:xf numFmtId="202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2" fontId="16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center"/>
    </x:xf>
    <x:xf numFmtId="202" fontId="18" fillId="5" borderId="0" xfId="0" applyNumberFormat="1" applyFont="1" applyFill="1" applyBorder="1" applyAlignment="1">
      <x:alignment horizontal="center" vertical="center"/>
    </x:xf>
    <x:xf numFmtId="202" fontId="16" fillId="8" borderId="0" xfId="0" applyNumberFormat="1" applyFont="1" applyFill="1" applyBorder="1" applyAlignment="1">
      <x:alignment horizontal="right"/>
    </x:xf>
    <x:xf numFmtId="202" fontId="19" fillId="8" borderId="0" xfId="0" applyNumberFormat="1" applyFont="1" applyFill="1" applyBorder="1" applyAlignment="1">
      <x:alignment horizontal="right"/>
    </x:xf>
    <x:xf numFmtId="202" fontId="19" fillId="8" borderId="0" xfId="0" applyNumberFormat="1" applyFont="1" applyFill="1" applyBorder="1" applyAlignment="1">
      <x:alignment horizontal="center"/>
    </x:xf>
    <x:xf numFmtId="202" fontId="19" fillId="8" borderId="0" xfId="0" applyNumberFormat="1" applyFont="1" applyFill="1" applyBorder="1" applyAlignment="1">
      <x:alignment horizontal="center" vertical="center"/>
    </x:xf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23" fillId="0" borderId="0" xfId="0" applyNumberFormat="1" applyFont="1" applyFill="1" applyBorder="1"/>
    <x:xf numFmtId="0" fontId="0" fillId="0" borderId="21" xfId="0" applyNumberFormat="1" applyFont="1" applyFill="1" applyBorder="1"/>
    <x:xf numFmtId="202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2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3" fontId="23" fillId="0" borderId="22" xfId="0" applyNumberFormat="1" applyFont="1" applyFill="1" applyBorder="1"/>
    <x:xf numFmtId="0" fontId="0" fillId="0" borderId="23" xfId="0" applyNumberFormat="1" applyFont="1" applyFill="1" applyBorder="1"/>
    <x:xf numFmtId="202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2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09f3ecbd94e35" /><Relationship Type="http://schemas.openxmlformats.org/officeDocument/2006/relationships/theme" Target="/xl/theme/theme1.xml" Id="R6d7b39531296454f" /><Relationship Type="http://schemas.openxmlformats.org/officeDocument/2006/relationships/sharedStrings" Target="/xl/sharedStrings.xml" Id="R2f1e16df41cb4eea" /><Relationship Type="http://schemas.openxmlformats.org/officeDocument/2006/relationships/worksheet" Target="/xl/worksheets/sheet1.xml" Id="Rd8674545d226477f" /><Relationship Type="http://schemas.openxmlformats.org/officeDocument/2006/relationships/worksheet" Target="/xl/worksheets/sheet2.xml" Id="R073924c0f87d4d75" /><Relationship Type="http://schemas.openxmlformats.org/officeDocument/2006/relationships/worksheet" Target="/xl/worksheets/sheet3.xml" Id="Rf6d916c59df84cd0" /><Relationship Type="http://schemas.openxmlformats.org/officeDocument/2006/relationships/worksheet" Target="/xl/worksheets/sheet4.xml" Id="R4a4cbaaf40964a2f" /><Relationship Type="http://schemas.openxmlformats.org/officeDocument/2006/relationships/worksheet" Target="/xl/worksheets/sheet5.xml" Id="Ra531f5efc7494430" /><Relationship Type="http://schemas.openxmlformats.org/officeDocument/2006/relationships/worksheet" Target="/xl/worksheets/sheet6.xml" Id="R15a6c07ca0714c0d" /><Relationship Type="http://schemas.openxmlformats.org/officeDocument/2006/relationships/worksheet" Target="/xl/worksheets/sheet7.xml" Id="R5240d38a5f9f4538" /><Relationship Type="http://schemas.openxmlformats.org/officeDocument/2006/relationships/worksheet" Target="/xl/worksheets/sheet8.xml" Id="Rae16249198f04de1" /><Relationship Type="http://schemas.openxmlformats.org/officeDocument/2006/relationships/worksheet" Target="/xl/worksheets/sheet9.xml" Id="R35b536eb64b749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5d3ffbce094b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vs break-even (LCY000)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'Summary'!$B$16:$B$27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Break-even monthly revenue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'Summary'!$C$16:$C$27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d3ffbce094b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fee202cd3894b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TDAT-FM-SME-001  |  Built to flex. Built to tie. Built to trust.</x:v>
      </x:c>
      <x:c r="B2" s="6" t="str">
        <x:v>TDAT-FM-SME-001  |  Built to flex. Built to tie. Built to trust.</x:v>
      </x:c>
      <x:c r="C2" s="6" t="str">
        <x:v>TDAT-FM-SME-001  |  Built to flex. Built to tie. Built to trust.</x:v>
      </x:c>
      <x:c r="D2" s="6" t="str">
        <x:v>TDAT-FM-SME-001  |  Built to flex. Built to tie. Built to trust.</x:v>
      </x:c>
      <x:c r="E2" s="6" t="str">
        <x:v>TDAT-FM-SME-001  |  Built to flex. Built to tie. Built to trust.</x:v>
      </x:c>
      <x:c r="F2" s="6" t="str">
        <x:v>TDAT-FM-SME-001  |  Built to flex. Built to tie. Built to trust.</x:v>
      </x:c>
      <x:c r="G2" s="6" t="str">
        <x:v>TDAT-FM-SME-001  |  Built to flex. Built to tie. Built to trust.</x:v>
      </x:c>
      <x:c r="H2" s="6" t="str">
        <x:v>TDAT-FM-SME-001  |  Built to flex. Built to tie. Built to trust.</x:v>
      </x:c>
      <x:c r="I2" s="6" t="str">
        <x:v>TDAT-FM-SME-001  |  Built to flex. Built to tie. Built to trust.</x:v>
      </x:c>
      <x:c r="J2" s="6" t="str">
        <x:v>TDAT-FM-SME-001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20" t="str">
        <x:v>SME Integrated Forecast</x:v>
      </x:c>
      <x:c r="B5" s="220" t="str">
        <x:v>SME Integrated Forecast</x:v>
      </x:c>
      <x:c r="C5" s="220" t="str">
        <x:v>SME Integrated Forecast</x:v>
      </x:c>
      <x:c r="D5" s="220" t="str">
        <x:v>SME Integrated Forecast</x:v>
      </x:c>
      <x:c r="E5" s="220" t="str">
        <x:v>SME Integrated Forecast</x:v>
      </x:c>
      <x:c r="F5" s="220" t="str">
        <x:v>SME Integrated Forecast</x:v>
      </x:c>
      <x:c r="G5" s="136" t="str">
        <x:v>CALCULATION INTEGRITY</x:v>
      </x:c>
      <x:c r="H5" s="136" t="str">
        <x:v>CALCULATION INTEGRITY</x:v>
      </x:c>
      <x:c r="I5" s="136" t="str">
        <x:v>CALCULATION INTEGRITY</x:v>
      </x:c>
      <x:c r="J5" s="136" t="str">
        <x:v>CALCULATION INTEGRITY</x:v>
      </x:c>
    </x:row>
    <x:row r="6">
      <x:c r="A6" s="220" t="str">
        <x:v>SME Integrated Forecast</x:v>
      </x:c>
      <x:c r="B6" s="220" t="str">
        <x:v>SME Integrated Forecast</x:v>
      </x:c>
      <x:c r="C6" s="220" t="str">
        <x:v>SME Integrated Forecast</x:v>
      </x:c>
      <x:c r="D6" s="220" t="str">
        <x:v>SME Integrated Forecast</x:v>
      </x:c>
      <x:c r="E6" s="220" t="str">
        <x:v>SME Integrated Forecast</x:v>
      </x:c>
      <x:c r="F6" s="220" t="str">
        <x:v>SME Integrated Forecast</x:v>
      </x:c>
      <x:c r="G6" s="223" t="str">
        <x:f>'Checks'!$B$5</x:f>
        <x:v>PASS</x:v>
      </x:c>
      <x:c r="H6" s="223"/>
      <x:c r="I6" s="223"/>
      <x:c r="J6" s="223"/>
    </x:row>
    <x:row r="7">
      <x:c r="A7" s="220" t="str">
        <x:v>SME Integrated Forecast</x:v>
      </x:c>
      <x:c r="B7" s="220" t="str">
        <x:v>SME Integrated Forecast</x:v>
      </x:c>
      <x:c r="C7" s="220" t="str">
        <x:v>SME Integrated Forecast</x:v>
      </x:c>
      <x:c r="D7" s="220" t="str">
        <x:v>SME Integrated Forecast</x:v>
      </x:c>
      <x:c r="E7" s="220" t="str">
        <x:v>SME Integrated Forecast</x:v>
      </x:c>
      <x:c r="F7" s="220" t="str">
        <x:v>SME Integrated Forecast</x:v>
      </x:c>
      <x:c r="G7" s="223"/>
      <x:c r="H7" s="223"/>
      <x:c r="I7" s="223"/>
      <x:c r="J7" s="223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27" t="str">
        <x:v>How long can the business operate, when does it break even, and what funding is required?</x:v>
      </x:c>
      <x:c r="B10" s="227" t="str">
        <x:v>How long can the business operate, when does it break even, and what funding is required?</x:v>
      </x:c>
      <x:c r="C10" s="227" t="str">
        <x:v>How long can the business operate, when does it break even, and what funding is required?</x:v>
      </x:c>
      <x:c r="D10" s="227" t="str">
        <x:v>How long can the business operate, when does it break even, and what funding is required?</x:v>
      </x:c>
      <x:c r="E10" s="227" t="str">
        <x:v>How long can the business operate, when does it break even, and what funding is required?</x:v>
      </x:c>
      <x:c r="F10" s="227" t="str">
        <x:v>How long can the business operate, when does it break even, and what funding is required?</x:v>
      </x:c>
      <x:c r="G10" s="227" t="str">
        <x:v>How long can the business operate, when does it break even, and what funding is required?</x:v>
      </x:c>
      <x:c r="H10" s="227" t="str">
        <x:v>How long can the business operate, when does it break even, and what funding is required?</x:v>
      </x:c>
      <x:c r="I10" s="227" t="str">
        <x:v>How long can the business operate, when does it break even, and what funding is required?</x:v>
      </x:c>
      <x:c r="J10" s="227" t="str">
        <x:v>How long can the business operate, when does it break even, and what funding is required?</x:v>
      </x:c>
    </x:row>
    <x:row r="11">
      <x:c r="A11" s="227" t="str">
        <x:v>How long can the business operate, when does it break even, and what funding is required?</x:v>
      </x:c>
      <x:c r="B11" s="227" t="str">
        <x:v>How long can the business operate, when does it break even, and what funding is required?</x:v>
      </x:c>
      <x:c r="C11" s="227" t="str">
        <x:v>How long can the business operate, when does it break even, and what funding is required?</x:v>
      </x:c>
      <x:c r="D11" s="227" t="str">
        <x:v>How long can the business operate, when does it break even, and what funding is required?</x:v>
      </x:c>
      <x:c r="E11" s="227" t="str">
        <x:v>How long can the business operate, when does it break even, and what funding is required?</x:v>
      </x:c>
      <x:c r="F11" s="227" t="str">
        <x:v>How long can the business operate, when does it break even, and what funding is required?</x:v>
      </x:c>
      <x:c r="G11" s="227" t="str">
        <x:v>How long can the business operate, when does it break even, and what funding is required?</x:v>
      </x:c>
      <x:c r="H11" s="227" t="str">
        <x:v>How long can the business operate, when does it break even, and what funding is required?</x:v>
      </x:c>
      <x:c r="I11" s="227" t="str">
        <x:v>How long can the business operate, when does it break even, and what funding is required?</x:v>
      </x:c>
      <x:c r="J11" s="227" t="str">
        <x:v>How long can the business operate, when does it break even, and what funding is required?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28" t="str">
        <x:v>Calculation integrity</x:v>
      </x:c>
      <x:c r="B14" s="229" t="str">
        <x:v>Decision readiness</x:v>
      </x:c>
      <x:c r="C14" s="234" t="str">
        <x:f>'Checks'!$B$5</x:f>
        <x:v>PASS</x:v>
      </x:c>
      <x:c r="D14" s="234"/>
      <x:c r="E14" s="234"/>
      <x:c r="F14" s="249" t="str">
        <x:v>TEMPLATE — VALIDATE INPUTS</x:v>
      </x:c>
      <x:c r="G14" s="249" t="str">
        <x:v>TEMPLATE — VALIDATE INPUTS</x:v>
      </x:c>
      <x:c r="H14" s="249" t="str">
        <x:v>TEMPLATE — VALIDATE INPUTS</x:v>
      </x:c>
      <x:c r="I14" s="249" t="str">
        <x:v>TEMPLATE — VALIDATE INPUTS</x:v>
      </x:c>
      <x:c r="J14" s="250" t="str">
        <x:v>TEMPLATE — VALIDATE INPUTS</x:v>
      </x:c>
    </x:row>
    <x:row r="15">
      <x:c r="A15" s="230" t="str">
        <x:v>Published checks</x:v>
      </x:c>
      <x:c r="B15" s="231" t="str">
        <x:v>Template posture</x:v>
      </x:c>
      <x:c r="C15" s="235" t="str">
        <x:f>"10 / 10 PASS"</x:f>
        <x:v>10 / 10 PASS</x:v>
      </x:c>
      <x:c r="D15" s="235"/>
      <x:c r="E15" s="235"/>
      <x:c r="F15" s="251" t="str">
        <x:v>Illustrative, screen-grade worked example</x:v>
      </x:c>
      <x:c r="G15" s="251" t="str">
        <x:v>Illustrative, screen-grade worked example</x:v>
      </x:c>
      <x:c r="H15" s="251" t="str">
        <x:v>Illustrative, screen-grade worked example</x:v>
      </x:c>
      <x:c r="I15" s="251" t="str">
        <x:v>Illustrative, screen-grade worked example</x:v>
      </x:c>
      <x:c r="J15" s="252" t="str">
        <x:v>Illustrative, screen-grade worked example</x:v>
      </x:c>
    </x:row>
    <x:row r="16">
      <x:c r="A16" s="230" t="str">
        <x:v>Scenario</x:v>
      </x:c>
      <x:c r="B16" s="231" t="str">
        <x:v>Evidence</x:v>
      </x:c>
      <x:c r="C16" s="235" t="str">
        <x:f>'Assumptions'!$B$3</x:f>
        <x:v>Base</x:v>
      </x:c>
      <x:c r="D16" s="235"/>
      <x:c r="E16" s="235"/>
      <x:c r="F16" s="251" t="str">
        <x:v>Synthetic / illustrative</x:v>
      </x:c>
      <x:c r="G16" s="251" t="str">
        <x:v>Synthetic / illustrative</x:v>
      </x:c>
      <x:c r="H16" s="251" t="str">
        <x:v>Synthetic / illustrative</x:v>
      </x:c>
      <x:c r="I16" s="251" t="str">
        <x:v>Synthetic / illustrative</x:v>
      </x:c>
      <x:c r="J16" s="252" t="str">
        <x:v>Synthetic / illustrative</x:v>
      </x:c>
    </x:row>
    <x:row r="17">
      <x:c r="A17" s="232" t="str">
        <x:v>Owner</x:v>
      </x:c>
      <x:c r="B17" s="233" t="str">
        <x:v>Use</x:v>
      </x:c>
      <x:c r="C17" s="236" t="str">
        <x:f>'Sources &amp; Version'!$B$12</x:f>
        <x:v>Truong Dinh Anh Tu</x:v>
      </x:c>
      <x:c r="D17" s="236"/>
      <x:c r="E17" s="236"/>
      <x:c r="F17" s="253" t="str">
        <x:v>SME Finance · Founder · Fractional CFO · FP&amp;A</x:v>
      </x:c>
      <x:c r="G17" s="253" t="str">
        <x:v>SME Finance · Founder · Fractional CFO · FP&amp;A</x:v>
      </x:c>
      <x:c r="H17" s="253" t="str">
        <x:v>SME Finance · Founder · Fractional CFO · FP&amp;A</x:v>
      </x:c>
      <x:c r="I17" s="253" t="str">
        <x:v>SME Finance · Founder · Fractional CFO · FP&amp;A</x:v>
      </x:c>
      <x:c r="J17" s="254" t="str">
        <x:v>SME Finance · Founder · Fractional CFO · FP&amp;A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209" t="str">
        <x:v>Model ID</x:v>
      </x:c>
      <x:c r="B20" s="149" t="str">
        <x:v>TDAT-FM-SME-001</x:v>
      </x:c>
      <x:c r="C20" s="211" t="str">
        <x:v>Version</x:v>
      </x:c>
      <x:c r="D20" s="149" t="str">
        <x:v>1.0.0</x:v>
      </x:c>
      <x:c r="E20" s="211" t="str">
        <x:v>Last QA</x:v>
      </x:c>
      <x:c r="F20" s="150" t="str">
        <x:v>2026-07-13</x:v>
      </x:c>
      <x:c r="G20" s="258" t="str">
        <x:v>Month 24 revenue</x:v>
      </x:c>
      <x:c r="H20" s="258" t="str">
        <x:v>Month 24 revenue</x:v>
      </x:c>
      <x:c r="I20" s="259" t="n">
        <x:f>'24-Month Forecast'!Y$6</x:f>
        <x:v>182.6662789771626</x:v>
      </x:c>
      <x:c r="J20" s="259"/>
    </x:row>
    <x:row r="21">
      <x:c r="A21" s="256" t="str">
        <x:v>Domain</x:v>
      </x:c>
      <x:c r="B21" s="152" t="str">
        <x:v>SME &amp; Startup</x:v>
      </x:c>
      <x:c r="C21" s="257" t="str">
        <x:v>Compatibility</x:v>
      </x:c>
      <x:c r="D21" s="152" t="str">
        <x:v>Excel 365</x:v>
      </x:c>
      <x:c r="E21" s="257" t="str">
        <x:v>Macros</x:v>
      </x:c>
      <x:c r="F21" s="153" t="str">
        <x:v>None</x:v>
      </x:c>
      <x:c r="G21" s="258" t="str">
        <x:v>Month 24 EBITDA</x:v>
      </x:c>
      <x:c r="H21" s="258" t="str">
        <x:v>Month 24 EBITDA</x:v>
      </x:c>
      <x:c r="I21" s="259" t="n">
        <x:f>'24-Month Forecast'!Y$11</x:f>
        <x:v>18.71983717040827</x:v>
      </x:c>
      <x:c r="J21" s="259"/>
    </x:row>
    <x:row r="22">
      <x:c r="A22" s="256" t="str">
        <x:v>Horizon</x:v>
      </x:c>
      <x:c r="B22" s="152" t="str">
        <x:v>13 weeks + 24 months</x:v>
      </x:c>
      <x:c r="C22" s="257" t="str">
        <x:v>Frequency</x:v>
      </x:c>
      <x:c r="D22" s="152" t="str">
        <x:v>Monthly</x:v>
      </x:c>
      <x:c r="E22" s="257" t="str">
        <x:v>External links</x:v>
      </x:c>
      <x:c r="F22" s="153" t="str">
        <x:v>None</x:v>
      </x:c>
      <x:c r="G22" s="258" t="str">
        <x:v>Closing cash</x:v>
      </x:c>
      <x:c r="H22" s="258" t="str">
        <x:v>Closing cash</x:v>
      </x:c>
      <x:c r="I22" s="259" t="n">
        <x:f>'24-Month Forecast'!Y$21</x:f>
        <x:v>86.5914460724754</x:v>
      </x:c>
      <x:c r="J22" s="259"/>
    </x:row>
    <x:row r="23">
      <x:c r="A23" s="256" t="str">
        <x:v>Currency</x:v>
      </x:c>
      <x:c r="B23" s="152" t="str">
        <x:v>LCY</x:v>
      </x:c>
      <x:c r="C23" s="257" t="str">
        <x:v>Units</x:v>
      </x:c>
      <x:c r="D23" s="152" t="str">
        <x:v>LCY thousands</x:v>
      </x:c>
      <x:c r="E23" s="257" t="str">
        <x:v>Scenario</x:v>
      </x:c>
      <x:c r="F23" s="153" t="str">
        <x:v>Base / Upside / Downside</x:v>
      </x:c>
      <x:c r="G23" s="258" t="str">
        <x:v>Total funding required</x:v>
      </x:c>
      <x:c r="H23" s="258" t="str">
        <x:v>Total funding required</x:v>
      </x:c>
      <x:c r="I23" s="259" t="n">
        <x:f>SUM('24-Month Forecast'!B20:Y20)</x:f>
        <x:v>162.64047817604916</x:v>
      </x:c>
      <x:c r="J23" s="259"/>
    </x:row>
    <x:row r="24">
      <x:c r="A24" s="210" t="str">
        <x:v>Owner</x:v>
      </x:c>
      <x:c r="B24" s="155" t="str">
        <x:v>Truong Dinh Anh Tu</x:v>
      </x:c>
      <x:c r="C24" s="212" t="str">
        <x:v>Standard</x:v>
      </x:c>
      <x:c r="D24" s="155" t="str">
        <x:v>TDAT Model Standard 1.0</x:v>
      </x:c>
      <x:c r="E24" s="212" t="str">
        <x:v>Evidence</x:v>
      </x:c>
      <x:c r="F24" s="156" t="str">
        <x:v>Synthetic worked template</x:v>
      </x:c>
      <x:c r="G24" s="258" t="str">
        <x:v>Break-even revenue</x:v>
      </x:c>
      <x:c r="H24" s="258" t="str">
        <x:v>Break-even revenue</x:v>
      </x:c>
      <x:c r="I24" s="259" t="n">
        <x:f>'24-Month Forecast'!Y$22</x:f>
        <x:v>138.0952380952381</x:v>
      </x:c>
      <x:c r="J24" s="259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79" t="str">
        <x:v>Blue font</x:v>
      </x:c>
      <x:c r="B27" s="271" t="str">
        <x:v>Editable hardcode</x:v>
      </x:c>
      <x:c r="C27" s="280" t="str">
        <x:v>Black font</x:v>
      </x:c>
      <x:c r="D27" s="271" t="str">
        <x:v>In-sheet formula</x:v>
      </x:c>
      <x:c r="E27" s="281" t="str">
        <x:v>Green font</x:v>
      </x:c>
      <x:c r="F27" s="271" t="str">
        <x:v>Cross-sheet formula</x:v>
      </x:c>
      <x:c r="G27" s="282" t="str">
        <x:v>Pale amber</x:v>
      </x:c>
      <x:c r="H27" s="282" t="str">
        <x:v>Scenario / review cue</x:v>
      </x:c>
      <x:c r="I27" s="283" t="str">
        <x:v>Teal</x:v>
      </x:c>
      <x:c r="J27" s="284" t="str">
        <x:v>PASS / trusted output</x:v>
      </x:c>
    </x:row>
    <x:row r="28">
      <x:c r="A28" s="273" t="str">
        <x:v>Actual</x:v>
      </x:c>
      <x:c r="B28" s="274" t="str">
        <x:v>Neutral period band</x:v>
      </x:c>
      <x:c r="C28" s="274" t="str">
        <x:v>Forecast</x:v>
      </x:c>
      <x:c r="D28" s="274" t="str">
        <x:v>Pale-blue period band</x:v>
      </x:c>
      <x:c r="E28" s="274" t="str">
        <x:v>Zero</x:v>
      </x:c>
      <x:c r="F28" s="274" t="str">
        <x:v>Displayed as an en dash</x:v>
      </x:c>
      <x:c r="G28" s="274" t="str">
        <x:v>Rule</x:v>
      </x:c>
      <x:c r="H28" s="274" t="str">
        <x:v>Keep formulas copy-across</x:v>
      </x:c>
      <x:c r="I28" s="274" t="str">
        <x:v>Rule</x:v>
      </x:c>
      <x:c r="J28" s="275" t="str">
        <x:v>Recheck after every change</x:v>
      </x:c>
    </x:row>
    <x:row r="29">
      <x:c r="A29" s="276" t="str">
        <x:v>Status</x:v>
      </x:c>
      <x:c r="B29" s="277" t="str">
        <x:v>PASS means controls tie</x:v>
      </x:c>
      <x:c r="C29" s="277" t="str">
        <x:v>Readiness</x:v>
      </x:c>
      <x:c r="D29" s="277" t="str">
        <x:v>Inputs still require review</x:v>
      </x:c>
      <x:c r="E29" s="277" t="str">
        <x:v>Privacy</x:v>
      </x:c>
      <x:c r="F29" s="277" t="str">
        <x:v>Public-safe example</x:v>
      </x:c>
      <x:c r="G29" s="277" t="str">
        <x:v>Use</x:v>
      </x:c>
      <x:c r="H29" s="277" t="str">
        <x:v>Adapt and validate</x:v>
      </x:c>
      <x:c r="I29" s="277" t="str">
        <x:v>Support</x:v>
      </x:c>
      <x:c r="J29" s="278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SME Integrated Forecast  |  Scope, setup, flexibility, and limitations</x:v>
      </x:c>
      <x:c r="B2" s="6" t="str">
        <x:v>SME Integrated Forecast  |  Scope, setup, flexibility, and limitations</x:v>
      </x:c>
      <x:c r="C2" s="6" t="str">
        <x:v>SME Integrated Forecast  |  Scope, setup, flexibility, and limitations</x:v>
      </x:c>
      <x:c r="D2" s="6" t="str">
        <x:v>SME Integrated Forecast  |  Scope, setup, flexibility, and limitations</x:v>
      </x:c>
      <x:c r="E2" s="6" t="str">
        <x:v>SME Integrated Forecast  |  Scope, setup, flexibility, and limitations</x:v>
      </x:c>
      <x:c r="F2" s="6" t="str">
        <x:v>SME Integrated Forecast  |  Scope, setup, flexibility, and limitations</x:v>
      </x:c>
      <x:c r="G2" s="6" t="str">
        <x:v>SME Integrated Forecast  |  Scope, setup, flexibility, and limitations</x:v>
      </x:c>
      <x:c r="H2" s="6" t="str">
        <x:v>SME Integrated Forecast  |  Scope, setup, flexibility, and limitations</x:v>
      </x:c>
      <x:c r="I2" s="6" t="str">
        <x:v>SME Integrated Forecast  |  Scope, setup, flexibility, and limitations</x:v>
      </x:c>
      <x:c r="J2" s="6" t="str">
        <x:v>SME Integrated Forecast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Sales, margin, payroll, working capital, 13-week cash, 24-month forecast, and funding runway.
Primary users: SME Finance, Founder, Fractional CFO, FP&amp;A. Typical use: Runway, Break-even, Funding.</x:v>
      </x:c>
      <x:c r="B6" s="12" t="str">
        <x:v>Sales, margin, payroll, working capital, 13-week cash, 24-month forecast, and funding runway.
Primary users: SME Finance, Founder, Fractional CFO, FP&amp;A. Typical use: Runway, Break-even, Funding.</x:v>
      </x:c>
      <x:c r="C6" s="12" t="str">
        <x:v>Sales, margin, payroll, working capital, 13-week cash, 24-month forecast, and funding runway.
Primary users: SME Finance, Founder, Fractional CFO, FP&amp;A. Typical use: Runway, Break-even, Funding.</x:v>
      </x:c>
      <x:c r="D6" s="12" t="str">
        <x:v>Sales, margin, payroll, working capital, 13-week cash, 24-month forecast, and funding runway.
Primary users: SME Finance, Founder, Fractional CFO, FP&amp;A. Typical use: Runway, Break-even, Funding.</x:v>
      </x:c>
      <x:c r="E6" s="12" t="str">
        <x:v>Sales, margin, payroll, working capital, 13-week cash, 24-month forecast, and funding runway.
Primary users: SME Finance, Founder, Fractional CFO, FP&amp;A. Typical use: Runway, Break-even, Funding.</x:v>
      </x:c>
      <x:c r="F6" s="12" t="str">
        <x:v>Sales, margin, payroll, working capital, 13-week cash, 24-month forecast, and funding runway.
Primary users: SME Finance, Founder, Fractional CFO, FP&amp;A. Typical use: Runway, Break-even, Funding.</x:v>
      </x:c>
      <x:c r="G6" s="12" t="str">
        <x:v>Sales, margin, payroll, working capital, 13-week cash, 24-month forecast, and funding runway.
Primary users: SME Finance, Founder, Fractional CFO, FP&amp;A. Typical use: Runway, Break-even, Funding.</x:v>
      </x:c>
      <x:c r="H6" s="12" t="str">
        <x:v>Sales, margin, payroll, working capital, 13-week cash, 24-month forecast, and funding runway.
Primary users: SME Finance, Founder, Fractional CFO, FP&amp;A. Typical use: Runway, Break-even, Funding.</x:v>
      </x:c>
      <x:c r="I6" s="12" t="str">
        <x:v>Sales, margin, payroll, working capital, 13-week cash, 24-month forecast, and funding runway.
Primary users: SME Finance, Founder, Fractional CFO, FP&amp;A. Typical use: Runway, Break-even, Funding.</x:v>
      </x:c>
      <x:c r="J6" s="12" t="str">
        <x:v>Sales, margin, payroll, working capital, 13-week cash, 24-month forecast, and funding runway.
Primary users: SME Finance, Founder, Fractional CFO, FP&amp;A. Typical use: Runway, Break-even, Funding.</x:v>
      </x:c>
    </x:row>
    <x:row r="7">
      <x:c r="A7" s="12" t="str">
        <x:v>Sales, margin, payroll, working capital, 13-week cash, 24-month forecast, and funding runway.
Primary users: SME Finance, Founder, Fractional CFO, FP&amp;A. Typical use: Runway, Break-even, Funding.</x:v>
      </x:c>
      <x:c r="B7" s="12" t="str">
        <x:v>Sales, margin, payroll, working capital, 13-week cash, 24-month forecast, and funding runway.
Primary users: SME Finance, Founder, Fractional CFO, FP&amp;A. Typical use: Runway, Break-even, Funding.</x:v>
      </x:c>
      <x:c r="C7" s="12" t="str">
        <x:v>Sales, margin, payroll, working capital, 13-week cash, 24-month forecast, and funding runway.
Primary users: SME Finance, Founder, Fractional CFO, FP&amp;A. Typical use: Runway, Break-even, Funding.</x:v>
      </x:c>
      <x:c r="D7" s="12" t="str">
        <x:v>Sales, margin, payroll, working capital, 13-week cash, 24-month forecast, and funding runway.
Primary users: SME Finance, Founder, Fractional CFO, FP&amp;A. Typical use: Runway, Break-even, Funding.</x:v>
      </x:c>
      <x:c r="E7" s="12" t="str">
        <x:v>Sales, margin, payroll, working capital, 13-week cash, 24-month forecast, and funding runway.
Primary users: SME Finance, Founder, Fractional CFO, FP&amp;A. Typical use: Runway, Break-even, Funding.</x:v>
      </x:c>
      <x:c r="F7" s="12" t="str">
        <x:v>Sales, margin, payroll, working capital, 13-week cash, 24-month forecast, and funding runway.
Primary users: SME Finance, Founder, Fractional CFO, FP&amp;A. Typical use: Runway, Break-even, Funding.</x:v>
      </x:c>
      <x:c r="G7" s="12" t="str">
        <x:v>Sales, margin, payroll, working capital, 13-week cash, 24-month forecast, and funding runway.
Primary users: SME Finance, Founder, Fractional CFO, FP&amp;A. Typical use: Runway, Break-even, Funding.</x:v>
      </x:c>
      <x:c r="H7" s="12" t="str">
        <x:v>Sales, margin, payroll, working capital, 13-week cash, 24-month forecast, and funding runway.
Primary users: SME Finance, Founder, Fractional CFO, FP&amp;A. Typical use: Runway, Break-even, Funding.</x:v>
      </x:c>
      <x:c r="I7" s="12" t="str">
        <x:v>Sales, margin, payroll, working capital, 13-week cash, 24-month forecast, and funding runway.
Primary users: SME Finance, Founder, Fractional CFO, FP&amp;A. Typical use: Runway, Break-even, Funding.</x:v>
      </x:c>
      <x:c r="J7" s="12" t="str">
        <x:v>Sales, margin, payroll, working capital, 13-week cash, 24-month forecast, and funding runway.
Primary users: SME Finance, Founder, Fractional CFO, FP&amp;A. Typical use: Runway, Break-even, Funding.</x:v>
      </x:c>
    </x:row>
    <x:row r="8">
      <x:c r="A8" s="12" t="str">
        <x:v>Sales, margin, payroll, working capital, 13-week cash, 24-month forecast, and funding runway.
Primary users: SME Finance, Founder, Fractional CFO, FP&amp;A. Typical use: Runway, Break-even, Funding.</x:v>
      </x:c>
      <x:c r="B8" s="12" t="str">
        <x:v>Sales, margin, payroll, working capital, 13-week cash, 24-month forecast, and funding runway.
Primary users: SME Finance, Founder, Fractional CFO, FP&amp;A. Typical use: Runway, Break-even, Funding.</x:v>
      </x:c>
      <x:c r="C8" s="12" t="str">
        <x:v>Sales, margin, payroll, working capital, 13-week cash, 24-month forecast, and funding runway.
Primary users: SME Finance, Founder, Fractional CFO, FP&amp;A. Typical use: Runway, Break-even, Funding.</x:v>
      </x:c>
      <x:c r="D8" s="12" t="str">
        <x:v>Sales, margin, payroll, working capital, 13-week cash, 24-month forecast, and funding runway.
Primary users: SME Finance, Founder, Fractional CFO, FP&amp;A. Typical use: Runway, Break-even, Funding.</x:v>
      </x:c>
      <x:c r="E8" s="12" t="str">
        <x:v>Sales, margin, payroll, working capital, 13-week cash, 24-month forecast, and funding runway.
Primary users: SME Finance, Founder, Fractional CFO, FP&amp;A. Typical use: Runway, Break-even, Funding.</x:v>
      </x:c>
      <x:c r="F8" s="12" t="str">
        <x:v>Sales, margin, payroll, working capital, 13-week cash, 24-month forecast, and funding runway.
Primary users: SME Finance, Founder, Fractional CFO, FP&amp;A. Typical use: Runway, Break-even, Funding.</x:v>
      </x:c>
      <x:c r="G8" s="12" t="str">
        <x:v>Sales, margin, payroll, working capital, 13-week cash, 24-month forecast, and funding runway.
Primary users: SME Finance, Founder, Fractional CFO, FP&amp;A. Typical use: Runway, Break-even, Funding.</x:v>
      </x:c>
      <x:c r="H8" s="12" t="str">
        <x:v>Sales, margin, payroll, working capital, 13-week cash, 24-month forecast, and funding runway.
Primary users: SME Finance, Founder, Fractional CFO, FP&amp;A. Typical use: Runway, Break-even, Funding.</x:v>
      </x:c>
      <x:c r="I8" s="12" t="str">
        <x:v>Sales, margin, payroll, working capital, 13-week cash, 24-month forecast, and funding runway.
Primary users: SME Finance, Founder, Fractional CFO, FP&amp;A. Typical use: Runway, Break-even, Funding.</x:v>
      </x:c>
      <x:c r="J8" s="12" t="str">
        <x:v>Sales, margin, payroll, working capital, 13-week cash, 24-month forecast, and funding runway.
Primary users: SME Finance, Founder, Fractional CFO, FP&amp;A. Typical use: Runway, Break-even, Funding.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How long can the business operate, when does it break even, and what funding is required?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SME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24-Month Forecast;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SME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24-Month Forecast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Monthly sales growth × Gross margin recalculation of Month 24 EBITDA.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SME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24-Month Forecast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No. It is an educational analytical template; obtain appropriate finance, accounting, tax, legal, regulatory, credit, actuarial, or investment review for real decisions.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B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C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D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E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F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G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H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I37" s="43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J37" s="44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</x:row>
    <x:row r="38">
      <x:c r="A38" s="45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B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C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D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E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F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G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H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I38" s="46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J38" s="47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</x:row>
    <x:row r="39">
      <x:c r="A39" s="48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B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C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D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E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F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G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H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I39" s="49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  <x:c r="J39" s="50" t="str">
        <x:v>Deliberately excluded in version 1.0.0: full three-statement accounting; tax calendar; invoice-level 13-week cash; investor term sheet; legal solvency analysis.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SME Integrated Forecast  |  One controlled selector and visible driver cases</x:v>
      </x:c>
      <x:c r="B2" s="6" t="str">
        <x:v>SME Integrated Forecast  |  One controlled selector and visible driver cases</x:v>
      </x:c>
      <x:c r="C2" s="6" t="str">
        <x:v>SME Integrated Forecast  |  One controlled selector and visible driver cases</x:v>
      </x:c>
      <x:c r="D2" s="6" t="str">
        <x:v>SME Integrated Forecast  |  One controlled selector and visible driver cases</x:v>
      </x:c>
      <x:c r="E2" s="6" t="str">
        <x:v>SME Integrated Forecast  |  One controlled selector and visible driver cases</x:v>
      </x:c>
      <x:c r="F2" s="6" t="str">
        <x:v>SME Integrated Forecast  |  One controlled selector and visible driver cases</x:v>
      </x:c>
      <x:c r="G2" s="6" t="str">
        <x:v>SME Integrated Forecast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4" t="str">
        <x:v>Monthly sales growth</x:v>
      </x:c>
      <x:c r="B6" s="85" t="str">
        <x:v>%</x:v>
      </x:c>
      <x:c r="C6" s="86" t="n">
        <x:v>0.035</x:v>
      </x:c>
      <x:c r="D6" s="86" t="n">
        <x:v>0.06</x:v>
      </x:c>
      <x:c r="E6" s="86" t="n">
        <x:v>-0.01</x:v>
      </x:c>
      <x:c r="F6" s="87" t="n">
        <x:f>IF($B$3="Base",C6,IF($B$3="Upside",D6,E6))</x:f>
        <x:v>0.035</x:v>
      </x:c>
      <x:c r="G6" s="88" t="str">
        <x:v>Replace with an approved, sourced assumption.</x:v>
      </x:c>
    </x:row>
    <x:row r="7">
      <x:c r="A7" s="89" t="str">
        <x:v>Gross margin</x:v>
      </x:c>
      <x:c r="B7" s="90" t="str">
        <x:v>%</x:v>
      </x:c>
      <x:c r="C7" s="91" t="n">
        <x:v>0.42</x:v>
      </x:c>
      <x:c r="D7" s="91" t="n">
        <x:v>0.46</x:v>
      </x:c>
      <x:c r="E7" s="91" t="n">
        <x:v>0.34</x:v>
      </x:c>
      <x:c r="F7" s="92" t="n">
        <x:f>IF($B$3="Base",C7,IF($B$3="Upside",D7,E7))</x:f>
        <x:v>0.42</x:v>
      </x:c>
      <x:c r="G7" s="93" t="str">
        <x:v>Replace with an approved, sourced assumption.</x:v>
      </x:c>
    </x:row>
    <x:row r="8">
      <x:c r="A8" s="89" t="str">
        <x:v>Collection days</x:v>
      </x:c>
      <x:c r="B8" s="90" t="str">
        <x:v>days</x:v>
      </x:c>
      <x:c r="C8" s="94" t="n">
        <x:v>35</x:v>
      </x:c>
      <x:c r="D8" s="94" t="n">
        <x:v>25</x:v>
      </x:c>
      <x:c r="E8" s="94" t="n">
        <x:v>55</x:v>
      </x:c>
      <x:c r="F8" s="95" t="n">
        <x:f>IF($B$3="Base",C8,IF($B$3="Upside",D8,E8))</x:f>
        <x:v>35</x:v>
      </x:c>
      <x:c r="G8" s="93" t="str">
        <x:v>Replace with an approved, sourced assumption.</x:v>
      </x:c>
    </x:row>
    <x:row r="9">
      <x:c r="A9" s="89" t="str">
        <x:v>Supplier payment days</x:v>
      </x:c>
      <x:c r="B9" s="90" t="str">
        <x:v>days</x:v>
      </x:c>
      <x:c r="C9" s="94" t="n">
        <x:v>30</x:v>
      </x:c>
      <x:c r="D9" s="94" t="n">
        <x:v>40</x:v>
      </x:c>
      <x:c r="E9" s="94" t="n">
        <x:v>20</x:v>
      </x:c>
      <x:c r="F9" s="95" t="n">
        <x:f>IF($B$3="Base",C9,IF($B$3="Upside",D9,E9))</x:f>
        <x:v>30</x:v>
      </x:c>
      <x:c r="G9" s="93" t="str">
        <x:v>Replace with an approved, sourced assumption.</x:v>
      </x:c>
    </x:row>
    <x:row r="10">
      <x:c r="A10" s="89" t="str">
        <x:v>Opening cash</x:v>
      </x:c>
      <x:c r="B10" s="90" t="str">
        <x:v>LCY000</x:v>
      </x:c>
      <x:c r="C10" s="96" t="n">
        <x:v>90</x:v>
      </x:c>
      <x:c r="D10" s="96" t="n">
        <x:v>120</x:v>
      </x:c>
      <x:c r="E10" s="96" t="n">
        <x:v>60</x:v>
      </x:c>
      <x:c r="F10" s="97" t="n">
        <x:f>IF($B$3="Base",C10,IF($B$3="Upside",D10,E10))</x:f>
        <x:v>90</x:v>
      </x:c>
      <x:c r="G10" s="93" t="str">
        <x:v>Replace with an approved, sourced assumption.</x:v>
      </x:c>
    </x:row>
    <x:row r="11">
      <x:c r="A11" s="98" t="str">
        <x:v>Minimum cash</x:v>
      </x:c>
      <x:c r="B11" s="99" t="str">
        <x:v>LCY000</x:v>
      </x:c>
      <x:c r="C11" s="100" t="n">
        <x:v>30</x:v>
      </x:c>
      <x:c r="D11" s="100" t="n">
        <x:v>25</x:v>
      </x:c>
      <x:c r="E11" s="100" t="n">
        <x:v>40</x:v>
      </x:c>
      <x:c r="F11" s="101" t="n">
        <x:f>IF($B$3="Base",C11,IF($B$3="Upside",D11,E11))</x:f>
        <x:v>30</x:v>
      </x:c>
      <x:c r="G11" s="102" t="str">
        <x:v>Replace with an approved, sourced assumption.</x:v>
      </x:c>
    </x:row>
    <x:row r="13">
      <x:c r="A13" s="42" t="str">
        <x:v>Scenario discipline: change a small number of decision-relevant drivers, preserve the core formula architecture, and document what changed, why, who owns it, and what action follows.</x:v>
      </x:c>
      <x:c r="B13" s="43" t="str">
        <x:v>Scenario discipline: change a small number of decision-relevant drivers, preserve the core formula architecture, and document what changed, why, who owns it, and what action follows.</x:v>
      </x:c>
      <x:c r="C13" s="43" t="str">
        <x:v>Scenario discipline: change a small number of decision-relevant drivers, preserve the core formula architecture, and document what changed, why, who owns it, and what action follows.</x:v>
      </x:c>
      <x:c r="D13" s="43" t="str">
        <x:v>Scenario discipline: change a small number of decision-relevant drivers, preserve the core formula architecture, and document what changed, why, who owns it, and what action follows.</x:v>
      </x:c>
      <x:c r="E13" s="43" t="str">
        <x:v>Scenario discipline: change a small number of decision-relevant drivers, preserve the core formula architecture, and document what changed, why, who owns it, and what action follows.</x:v>
      </x:c>
      <x:c r="F13" s="43" t="str">
        <x:v>Scenario discipline: change a small number of decision-relevant drivers, preserve the core formula architecture, and document what changed, why, who owns it, and what action follows.</x:v>
      </x:c>
      <x:c r="G13" s="44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45" t="str">
        <x:v>Scenario discipline: change a small number of decision-relevant drivers, preserve the core formula architecture, and document what changed, why, who owns it, and what action follows.</x:v>
      </x:c>
      <x:c r="B14" s="46" t="str">
        <x:v>Scenario discipline: change a small number of decision-relevant drivers, preserve the core formula architecture, and document what changed, why, who owns it, and what action follows.</x:v>
      </x:c>
      <x:c r="C14" s="46" t="str">
        <x:v>Scenario discipline: change a small number of decision-relevant drivers, preserve the core formula architecture, and document what changed, why, who owns it, and what action follows.</x:v>
      </x:c>
      <x:c r="D14" s="46" t="str">
        <x:v>Scenario discipline: change a small number of decision-relevant drivers, preserve the core formula architecture, and document what changed, why, who owns it, and what action follows.</x:v>
      </x:c>
      <x:c r="E14" s="46" t="str">
        <x:v>Scenario discipline: change a small number of decision-relevant drivers, preserve the core formula architecture, and document what changed, why, who owns it, and what action follows.</x:v>
      </x:c>
      <x:c r="F14" s="46" t="str">
        <x:v>Scenario discipline: change a small number of decision-relevant drivers, preserve the core formula architecture, and document what changed, why, who owns it, and what action follows.</x:v>
      </x:c>
      <x:c r="G14" s="47" t="str">
        <x:v>Scenario discipline: change a small number of decision-relevant drivers, preserve the core formula architecture, and document what changed, why, who owns it, and what action follows.</x:v>
      </x:c>
    </x:row>
    <x:row r="15">
      <x:c r="A15" s="48" t="str">
        <x:v>Scenario discipline: change a small number of decision-relevant drivers, preserve the core formula architecture, and document what changed, why, who owns it, and what action follows.</x:v>
      </x:c>
      <x:c r="B15" s="49" t="str">
        <x:v>Scenario discipline: change a small number of decision-relevant drivers, preserve the core formula architecture, and document what changed, why, who owns it, and what action follows.</x:v>
      </x:c>
      <x:c r="C15" s="49" t="str">
        <x:v>Scenario discipline: change a small number of decision-relevant drivers, preserve the core formula architecture, and document what changed, why, who owns it, and what action follows.</x:v>
      </x:c>
      <x:c r="D15" s="49" t="str">
        <x:v>Scenario discipline: change a small number of decision-relevant drivers, preserve the core formula architecture, and document what changed, why, who owns it, and what action follows.</x:v>
      </x:c>
      <x:c r="E15" s="49" t="str">
        <x:v>Scenario discipline: change a small number of decision-relevant drivers, preserve the core formula architecture, and document what changed, why, who owns it, and what action follows.</x:v>
      </x:c>
      <x:c r="F15" s="49" t="str">
        <x:v>Scenario discipline: change a small number of decision-relevant drivers, preserve the core formula architecture, and document what changed, why, who owns it, and what action follows.</x:v>
      </x:c>
      <x:c r="G15" s="50" t="str">
        <x:v>Scenario discipline: change a small number of decision-relevant drivers, preserve the core formula architecture, and document what changed, why, who owns it, and what action follows.</x:v>
      </x:c>
    </x:row>
    <x:row r="17">
      <x:c r="A17" s="53" t="str">
        <x:v>TDAT Model Library  |  Trust builds the brand. Insight builds the decision.</x:v>
      </x:c>
      <x:c r="B17" s="53" t="str">
        <x:v>TDAT Model Library  |  Trust builds the brand. Insight builds the decision.</x:v>
      </x:c>
      <x:c r="C17" s="53" t="str">
        <x:v>TDAT Model Library  |  Trust builds the brand. Insight builds the decision.</x:v>
      </x:c>
      <x:c r="D17" s="53" t="str">
        <x:v>TDAT Model Library  |  Trust builds the brand. Insight builds the decision.</x:v>
      </x:c>
      <x:c r="E17" s="53" t="str">
        <x:v>TDAT Model Library  |  Trust builds the brand. Insight builds the decision.</x:v>
      </x:c>
      <x:c r="F17" s="53" t="str">
        <x:v>TDAT Model Library  |  Trust builds the brand. Insight builds the decision.</x:v>
      </x:c>
      <x:c r="G17" s="53" t="str">
        <x:v>TDAT Model Library  |  Trust builds the brand. Insight builds the decision.</x:v>
      </x:c>
    </x:row>
  </x:sheetData>
  <x:mergeCells>
    <x:mergeCell ref="A1:G1"/>
    <x:mergeCell ref="A2:G2"/>
    <x:mergeCell ref="A13:G15"/>
    <x:mergeCell ref="A17:G17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4" customHeight="1">
      <x:c r="A1" s="3" t="str">
        <x:v>SME INPUTS</x:v>
      </x:c>
      <x:c r="B1" s="3" t="str">
        <x:v>SME INPUTS</x:v>
      </x:c>
      <x:c r="C1" s="3" t="str">
        <x:v>SME INPUTS</x:v>
      </x:c>
      <x:c r="D1" s="3" t="str">
        <x:v>SME INPUTS</x:v>
      </x:c>
      <x:c r="E1" s="3" t="str">
        <x:v>SME INPUTS</x:v>
      </x:c>
      <x:c r="F1" s="3" t="str">
        <x:v>SME INPUTS</x:v>
      </x:c>
      <x:c r="G1" s="3" t="str">
        <x:v>SME INPUTS</x:v>
      </x:c>
      <x:c r="H1" s="3" t="str">
        <x:v>SME INPUTS</x:v>
      </x:c>
      <x:c r="I1" s="3" t="str">
        <x:v>SME INPUTS</x:v>
      </x:c>
      <x:c r="J1" s="3" t="str">
        <x:v>SME INPUTS</x:v>
      </x:c>
      <x:c r="K1" s="3" t="str">
        <x:v>SME INPUTS</x:v>
      </x:c>
      <x:c r="L1" s="3" t="str">
        <x:v>SME INPUTS</x:v>
      </x:c>
      <x:c r="M1" s="3" t="str">
        <x:v>SME INPUTS</x:v>
      </x:c>
      <x:c r="N1" s="3" t="str">
        <x:v>SME INPUTS</x:v>
      </x:c>
      <x:c r="O1" s="3" t="str">
        <x:v>SME INPUTS</x:v>
      </x:c>
      <x:c r="P1" s="3" t="str">
        <x:v>SME INPUTS</x:v>
      </x:c>
      <x:c r="Q1" s="3" t="str">
        <x:v>SME INPUTS</x:v>
      </x:c>
      <x:c r="R1" s="3" t="str">
        <x:v>SME INPUTS</x:v>
      </x:c>
      <x:c r="S1" s="3" t="str">
        <x:v>SME INPUTS</x:v>
      </x:c>
      <x:c r="T1" s="3" t="str">
        <x:v>SME INPUTS</x:v>
      </x:c>
      <x:c r="U1" s="3" t="str">
        <x:v>SME INPUTS</x:v>
      </x:c>
      <x:c r="V1" s="3" t="str">
        <x:v>SME INPUTS</x:v>
      </x:c>
      <x:c r="W1" s="3" t="str">
        <x:v>SME INPUTS</x:v>
      </x:c>
      <x:c r="X1" s="3" t="str">
        <x:v>SME INPUTS</x:v>
      </x:c>
      <x:c r="Y1" s="3" t="str">
        <x:v>SME INPUTS</x:v>
      </x:c>
    </x:row>
    <x:row r="2" ht="24" customHeight="1">
      <x:c r="A2" s="6" t="str">
        <x:v>SME Integrated Forecast  |  Synthetic worked inputs — replace blue cells</x:v>
      </x:c>
      <x:c r="B2" s="6" t="str">
        <x:v>SME Integrated Forecast  |  Synthetic worked inputs — replace blue cells</x:v>
      </x:c>
      <x:c r="C2" s="6" t="str">
        <x:v>SME Integrated Forecast  |  Synthetic worked inputs — replace blue cells</x:v>
      </x:c>
      <x:c r="D2" s="6" t="str">
        <x:v>SME Integrated Forecast  |  Synthetic worked inputs — replace blue cells</x:v>
      </x:c>
      <x:c r="E2" s="6" t="str">
        <x:v>SME Integrated Forecast  |  Synthetic worked inputs — replace blue cells</x:v>
      </x:c>
      <x:c r="F2" s="6" t="str">
        <x:v>SME Integrated Forecast  |  Synthetic worked inputs — replace blue cells</x:v>
      </x:c>
      <x:c r="G2" s="6" t="str">
        <x:v>SME Integrated Forecast  |  Synthetic worked inputs — replace blue cells</x:v>
      </x:c>
      <x:c r="H2" s="6" t="str">
        <x:v>SME Integrated Forecast  |  Synthetic worked inputs — replace blue cells</x:v>
      </x:c>
      <x:c r="I2" s="6" t="str">
        <x:v>SME Integrated Forecast  |  Synthetic worked inputs — replace blue cells</x:v>
      </x:c>
      <x:c r="J2" s="6" t="str">
        <x:v>SME Integrated Forecast  |  Synthetic worked inputs — replace blue cells</x:v>
      </x:c>
      <x:c r="K2" s="6" t="str">
        <x:v>SME Integrated Forecast  |  Synthetic worked inputs — replace blue cells</x:v>
      </x:c>
      <x:c r="L2" s="6" t="str">
        <x:v>SME Integrated Forecast  |  Synthetic worked inputs — replace blue cells</x:v>
      </x:c>
      <x:c r="M2" s="6" t="str">
        <x:v>SME Integrated Forecast  |  Synthetic worked inputs — replace blue cells</x:v>
      </x:c>
      <x:c r="N2" s="6" t="str">
        <x:v>SME Integrated Forecast  |  Synthetic worked inputs — replace blue cells</x:v>
      </x:c>
      <x:c r="O2" s="6" t="str">
        <x:v>SME Integrated Forecast  |  Synthetic worked inputs — replace blue cells</x:v>
      </x:c>
      <x:c r="P2" s="6" t="str">
        <x:v>SME Integrated Forecast  |  Synthetic worked inputs — replace blue cells</x:v>
      </x:c>
      <x:c r="Q2" s="6" t="str">
        <x:v>SME Integrated Forecast  |  Synthetic worked inputs — replace blue cells</x:v>
      </x:c>
      <x:c r="R2" s="6" t="str">
        <x:v>SME Integrated Forecast  |  Synthetic worked inputs — replace blue cells</x:v>
      </x:c>
      <x:c r="S2" s="6" t="str">
        <x:v>SME Integrated Forecast  |  Synthetic worked inputs — replace blue cells</x:v>
      </x:c>
      <x:c r="T2" s="6" t="str">
        <x:v>SME Integrated Forecast  |  Synthetic worked inputs — replace blue cells</x:v>
      </x:c>
      <x:c r="U2" s="6" t="str">
        <x:v>SME Integrated Forecast  |  Synthetic worked inputs — replace blue cells</x:v>
      </x:c>
      <x:c r="V2" s="6" t="str">
        <x:v>SME Integrated Forecast  |  Synthetic worked inputs — replace blue cells</x:v>
      </x:c>
      <x:c r="W2" s="6" t="str">
        <x:v>SME Integrated Forecast  |  Synthetic worked inputs — replace blue cells</x:v>
      </x:c>
      <x:c r="X2" s="6" t="str">
        <x:v>SME Integrated Forecast  |  Synthetic worked inputs — replace blue cells</x:v>
      </x:c>
      <x:c r="Y2" s="6" t="str">
        <x:v>SME Integrated Forecast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5" ht="24" customHeight="1">
      <x:c r="A5" s="66" t="str">
        <x:v>Input / Period</x:v>
      </x:c>
      <x:c r="B5" s="67" t="str">
        <x:v>M1</x:v>
      </x:c>
      <x:c r="C5" s="67" t="str">
        <x:v>M2</x:v>
      </x:c>
      <x:c r="D5" s="67" t="str">
        <x:v>M3</x:v>
      </x:c>
      <x:c r="E5" s="67" t="str">
        <x:v>M4</x:v>
      </x:c>
      <x:c r="F5" s="67" t="str">
        <x:v>M5</x:v>
      </x:c>
      <x:c r="G5" s="67" t="str">
        <x:v>M6</x:v>
      </x:c>
      <x:c r="H5" s="67" t="str">
        <x:v>M7</x:v>
      </x:c>
      <x:c r="I5" s="67" t="str">
        <x:v>M8</x:v>
      </x:c>
      <x:c r="J5" s="67" t="str">
        <x:v>M9</x:v>
      </x:c>
      <x:c r="K5" s="67" t="str">
        <x:v>M10</x:v>
      </x:c>
      <x:c r="L5" s="67" t="str">
        <x:v>M11</x:v>
      </x:c>
      <x:c r="M5" s="67" t="str">
        <x:v>M12</x:v>
      </x:c>
      <x:c r="N5" s="67" t="str">
        <x:v>M13</x:v>
      </x:c>
      <x:c r="O5" s="67" t="str">
        <x:v>M14</x:v>
      </x:c>
      <x:c r="P5" s="67" t="str">
        <x:v>M15</x:v>
      </x:c>
      <x:c r="Q5" s="67" t="str">
        <x:v>M16</x:v>
      </x:c>
      <x:c r="R5" s="67" t="str">
        <x:v>M17</x:v>
      </x:c>
      <x:c r="S5" s="67" t="str">
        <x:v>M18</x:v>
      </x:c>
      <x:c r="T5" s="67" t="str">
        <x:v>M19</x:v>
      </x:c>
      <x:c r="U5" s="67" t="str">
        <x:v>M20</x:v>
      </x:c>
      <x:c r="V5" s="67" t="str">
        <x:v>M21</x:v>
      </x:c>
      <x:c r="W5" s="67" t="str">
        <x:v>M22</x:v>
      </x:c>
      <x:c r="X5" s="67" t="str">
        <x:v>M23</x:v>
      </x:c>
      <x:c r="Y5" s="68" t="str">
        <x:v>M24</x:v>
      </x:c>
    </x:row>
    <x:row r="6">
      <x:c r="A6" s="104" t="str">
        <x:v>Starting monthly sales run-rate</x:v>
      </x:c>
      <x:c r="B6" s="105" t="n">
        <x:v>80</x:v>
      </x:c>
      <x:c r="C6" s="105" t="n">
        <x:v>80</x:v>
      </x:c>
      <x:c r="D6" s="105" t="n">
        <x:v>80</x:v>
      </x:c>
      <x:c r="E6" s="105" t="n">
        <x:v>80</x:v>
      </x:c>
      <x:c r="F6" s="105" t="n">
        <x:v>80</x:v>
      </x:c>
      <x:c r="G6" s="105" t="n">
        <x:v>80</x:v>
      </x:c>
      <x:c r="H6" s="105" t="n">
        <x:v>80</x:v>
      </x:c>
      <x:c r="I6" s="105" t="n">
        <x:v>80</x:v>
      </x:c>
      <x:c r="J6" s="105" t="n">
        <x:v>80</x:v>
      </x:c>
      <x:c r="K6" s="105" t="n">
        <x:v>80</x:v>
      </x:c>
      <x:c r="L6" s="105" t="n">
        <x:v>80</x:v>
      </x:c>
      <x:c r="M6" s="105" t="n">
        <x:v>80</x:v>
      </x:c>
      <x:c r="N6" s="105" t="n">
        <x:v>80</x:v>
      </x:c>
      <x:c r="O6" s="105" t="n">
        <x:v>80</x:v>
      </x:c>
      <x:c r="P6" s="105" t="n">
        <x:v>80</x:v>
      </x:c>
      <x:c r="Q6" s="105" t="n">
        <x:v>80</x:v>
      </x:c>
      <x:c r="R6" s="105" t="n">
        <x:v>80</x:v>
      </x:c>
      <x:c r="S6" s="105" t="n">
        <x:v>80</x:v>
      </x:c>
      <x:c r="T6" s="105" t="n">
        <x:v>80</x:v>
      </x:c>
      <x:c r="U6" s="105" t="n">
        <x:v>80</x:v>
      </x:c>
      <x:c r="V6" s="105" t="n">
        <x:v>80</x:v>
      </x:c>
      <x:c r="W6" s="105" t="n">
        <x:v>80</x:v>
      </x:c>
      <x:c r="X6" s="105" t="n">
        <x:v>80</x:v>
      </x:c>
      <x:c r="Y6" s="105" t="n">
        <x:v>80</x:v>
      </x:c>
    </x:row>
    <x:row r="7">
      <x:c r="A7" s="106" t="str">
        <x:v>Monthly payroll</x:v>
      </x:c>
      <x:c r="B7" s="107" t="n">
        <x:v>32</x:v>
      </x:c>
      <x:c r="C7" s="107" t="n">
        <x:v>32</x:v>
      </x:c>
      <x:c r="D7" s="107" t="n">
        <x:v>32</x:v>
      </x:c>
      <x:c r="E7" s="107" t="n">
        <x:v>32</x:v>
      </x:c>
      <x:c r="F7" s="107" t="n">
        <x:v>32</x:v>
      </x:c>
      <x:c r="G7" s="107" t="n">
        <x:v>32</x:v>
      </x:c>
      <x:c r="H7" s="107" t="n">
        <x:v>32</x:v>
      </x:c>
      <x:c r="I7" s="107" t="n">
        <x:v>32</x:v>
      </x:c>
      <x:c r="J7" s="107" t="n">
        <x:v>32</x:v>
      </x:c>
      <x:c r="K7" s="107" t="n">
        <x:v>32</x:v>
      </x:c>
      <x:c r="L7" s="107" t="n">
        <x:v>32</x:v>
      </x:c>
      <x:c r="M7" s="107" t="n">
        <x:v>32</x:v>
      </x:c>
      <x:c r="N7" s="107" t="n">
        <x:v>38</x:v>
      </x:c>
      <x:c r="O7" s="107" t="n">
        <x:v>38</x:v>
      </x:c>
      <x:c r="P7" s="107" t="n">
        <x:v>38</x:v>
      </x:c>
      <x:c r="Q7" s="107" t="n">
        <x:v>38</x:v>
      </x:c>
      <x:c r="R7" s="107" t="n">
        <x:v>38</x:v>
      </x:c>
      <x:c r="S7" s="107" t="n">
        <x:v>38</x:v>
      </x:c>
      <x:c r="T7" s="107" t="n">
        <x:v>38</x:v>
      </x:c>
      <x:c r="U7" s="107" t="n">
        <x:v>38</x:v>
      </x:c>
      <x:c r="V7" s="107" t="n">
        <x:v>38</x:v>
      </x:c>
      <x:c r="W7" s="107" t="n">
        <x:v>38</x:v>
      </x:c>
      <x:c r="X7" s="107" t="n">
        <x:v>38</x:v>
      </x:c>
      <x:c r="Y7" s="107" t="n">
        <x:v>38</x:v>
      </x:c>
    </x:row>
    <x:row r="8">
      <x:c r="A8" s="106" t="str">
        <x:v>Monthly fixed opex</x:v>
      </x:c>
      <x:c r="B8" s="107" t="n">
        <x:v>18</x:v>
      </x:c>
      <x:c r="C8" s="107" t="n">
        <x:v>18</x:v>
      </x:c>
      <x:c r="D8" s="107" t="n">
        <x:v>18</x:v>
      </x:c>
      <x:c r="E8" s="107" t="n">
        <x:v>18</x:v>
      </x:c>
      <x:c r="F8" s="107" t="n">
        <x:v>18</x:v>
      </x:c>
      <x:c r="G8" s="107" t="n">
        <x:v>18</x:v>
      </x:c>
      <x:c r="H8" s="107" t="n">
        <x:v>18</x:v>
      </x:c>
      <x:c r="I8" s="107" t="n">
        <x:v>18</x:v>
      </x:c>
      <x:c r="J8" s="107" t="n">
        <x:v>18</x:v>
      </x:c>
      <x:c r="K8" s="107" t="n">
        <x:v>18</x:v>
      </x:c>
      <x:c r="L8" s="107" t="n">
        <x:v>18</x:v>
      </x:c>
      <x:c r="M8" s="107" t="n">
        <x:v>18</x:v>
      </x:c>
      <x:c r="N8" s="107" t="n">
        <x:v>20</x:v>
      </x:c>
      <x:c r="O8" s="107" t="n">
        <x:v>20</x:v>
      </x:c>
      <x:c r="P8" s="107" t="n">
        <x:v>20</x:v>
      </x:c>
      <x:c r="Q8" s="107" t="n">
        <x:v>20</x:v>
      </x:c>
      <x:c r="R8" s="107" t="n">
        <x:v>20</x:v>
      </x:c>
      <x:c r="S8" s="107" t="n">
        <x:v>20</x:v>
      </x:c>
      <x:c r="T8" s="107" t="n">
        <x:v>20</x:v>
      </x:c>
      <x:c r="U8" s="107" t="n">
        <x:v>20</x:v>
      </x:c>
      <x:c r="V8" s="107" t="n">
        <x:v>20</x:v>
      </x:c>
      <x:c r="W8" s="107" t="n">
        <x:v>20</x:v>
      </x:c>
      <x:c r="X8" s="107" t="n">
        <x:v>20</x:v>
      </x:c>
      <x:c r="Y8" s="107" t="n">
        <x:v>20</x:v>
      </x:c>
    </x:row>
    <x:row r="9">
      <x:c r="A9" s="108" t="str">
        <x:v>Capital expenditure</x:v>
      </x:c>
      <x:c r="B9" s="109" t="n">
        <x:v>15</x:v>
      </x:c>
      <x:c r="C9" s="109" t="n">
        <x:v>5</x:v>
      </x:c>
      <x:c r="D9" s="109" t="n">
        <x:v>0</x:v>
      </x:c>
      <x:c r="E9" s="109" t="n">
        <x:v>0</x:v>
      </x:c>
      <x:c r="F9" s="109" t="n">
        <x:v>0</x:v>
      </x:c>
      <x:c r="G9" s="109" t="n">
        <x:v>8</x:v>
      </x:c>
      <x:c r="H9" s="109" t="n">
        <x:v>0</x:v>
      </x:c>
      <x:c r="I9" s="109" t="n">
        <x:v>0</x:v>
      </x:c>
      <x:c r="J9" s="109" t="n">
        <x:v>0</x:v>
      </x:c>
      <x:c r="K9" s="109" t="n">
        <x:v>0</x:v>
      </x:c>
      <x:c r="L9" s="109" t="n">
        <x:v>0</x:v>
      </x:c>
      <x:c r="M9" s="109" t="n">
        <x:v>10</x:v>
      </x:c>
      <x:c r="N9" s="109" t="n">
        <x:v>0</x:v>
      </x:c>
      <x:c r="O9" s="109" t="n">
        <x:v>0</x:v>
      </x:c>
      <x:c r="P9" s="109" t="n">
        <x:v>0</x:v>
      </x:c>
      <x:c r="Q9" s="109" t="n">
        <x:v>0</x:v>
      </x:c>
      <x:c r="R9" s="109" t="n">
        <x:v>0</x:v>
      </x:c>
      <x:c r="S9" s="109" t="n">
        <x:v>0</x:v>
      </x:c>
      <x:c r="T9" s="109" t="n">
        <x:v>0</x:v>
      </x:c>
      <x:c r="U9" s="109" t="n">
        <x:v>0</x:v>
      </x:c>
      <x:c r="V9" s="109" t="n">
        <x:v>0</x:v>
      </x:c>
      <x:c r="W9" s="109" t="n">
        <x:v>0</x:v>
      </x:c>
      <x:c r="X9" s="109" t="n">
        <x:v>0</x:v>
      </x:c>
      <x:c r="Y9" s="109" t="n">
        <x:v>0</x:v>
      </x:c>
    </x:row>
    <x:row r="11">
      <x:c r="A11" s="42" t="str">
        <x:v>Synthetic input pack. Preserve source definitions, units, period basis, and sign convention when replacing values.</x:v>
      </x:c>
      <x:c r="B11" s="43" t="str">
        <x:v>Synthetic input pack. Preserve source definitions, units, period basis, and sign convention when replacing values.</x:v>
      </x:c>
      <x:c r="C11" s="43" t="str">
        <x:v>Synthetic input pack. Preserve source definitions, units, period basis, and sign convention when replacing values.</x:v>
      </x:c>
      <x:c r="D11" s="43" t="str">
        <x:v>Synthetic input pack. Preserve source definitions, units, period basis, and sign convention when replacing values.</x:v>
      </x:c>
      <x:c r="E11" s="43" t="str">
        <x:v>Synthetic input pack. Preserve source definitions, units, period basis, and sign convention when replacing values.</x:v>
      </x:c>
      <x:c r="F11" s="43" t="str">
        <x:v>Synthetic input pack. Preserve source definitions, units, period basis, and sign convention when replacing values.</x:v>
      </x:c>
      <x:c r="G11" s="43" t="str">
        <x:v>Synthetic input pack. Preserve source definitions, units, period basis, and sign convention when replacing values.</x:v>
      </x:c>
      <x:c r="H11" s="43" t="str">
        <x:v>Synthetic input pack. Preserve source definitions, units, period basis, and sign convention when replacing values.</x:v>
      </x:c>
      <x:c r="I11" s="43" t="str">
        <x:v>Synthetic input pack. Preserve source definitions, units, period basis, and sign convention when replacing values.</x:v>
      </x:c>
      <x:c r="J11" s="43" t="str">
        <x:v>Synthetic input pack. Preserve source definitions, units, period basis, and sign convention when replacing values.</x:v>
      </x:c>
      <x:c r="K11" s="43" t="str">
        <x:v>Synthetic input pack. Preserve source definitions, units, period basis, and sign convention when replacing values.</x:v>
      </x:c>
      <x:c r="L11" s="43" t="str">
        <x:v>Synthetic input pack. Preserve source definitions, units, period basis, and sign convention when replacing values.</x:v>
      </x:c>
      <x:c r="M11" s="43" t="str">
        <x:v>Synthetic input pack. Preserve source definitions, units, period basis, and sign convention when replacing values.</x:v>
      </x:c>
      <x:c r="N11" s="43" t="str">
        <x:v>Synthetic input pack. Preserve source definitions, units, period basis, and sign convention when replacing values.</x:v>
      </x:c>
      <x:c r="O11" s="43" t="str">
        <x:v>Synthetic input pack. Preserve source definitions, units, period basis, and sign convention when replacing values.</x:v>
      </x:c>
      <x:c r="P11" s="43" t="str">
        <x:v>Synthetic input pack. Preserve source definitions, units, period basis, and sign convention when replacing values.</x:v>
      </x:c>
      <x:c r="Q11" s="43" t="str">
        <x:v>Synthetic input pack. Preserve source definitions, units, period basis, and sign convention when replacing values.</x:v>
      </x:c>
      <x:c r="R11" s="43" t="str">
        <x:v>Synthetic input pack. Preserve source definitions, units, period basis, and sign convention when replacing values.</x:v>
      </x:c>
      <x:c r="S11" s="43" t="str">
        <x:v>Synthetic input pack. Preserve source definitions, units, period basis, and sign convention when replacing values.</x:v>
      </x:c>
      <x:c r="T11" s="43" t="str">
        <x:v>Synthetic input pack. Preserve source definitions, units, period basis, and sign convention when replacing values.</x:v>
      </x:c>
      <x:c r="U11" s="43" t="str">
        <x:v>Synthetic input pack. Preserve source definitions, units, period basis, and sign convention when replacing values.</x:v>
      </x:c>
      <x:c r="V11" s="43" t="str">
        <x:v>Synthetic input pack. Preserve source definitions, units, period basis, and sign convention when replacing values.</x:v>
      </x:c>
      <x:c r="W11" s="43" t="str">
        <x:v>Synthetic input pack. Preserve source definitions, units, period basis, and sign convention when replacing values.</x:v>
      </x:c>
      <x:c r="X11" s="43" t="str">
        <x:v>Synthetic input pack. Preserve source definitions, units, period basis, and sign convention when replacing values.</x:v>
      </x:c>
      <x:c r="Y11" s="44" t="str">
        <x:v>Synthetic input pack. Preserve source definitions, units, period basis, and sign convention when replacing values.</x:v>
      </x:c>
    </x:row>
    <x:row r="12">
      <x:c r="A12" s="45" t="str">
        <x:v>Synthetic input pack. Preserve source definitions, units, period basis, and sign convention when replacing values.</x:v>
      </x:c>
      <x:c r="B12" s="46" t="str">
        <x:v>Synthetic input pack. Preserve source definitions, units, period basis, and sign convention when replacing values.</x:v>
      </x:c>
      <x:c r="C12" s="46" t="str">
        <x:v>Synthetic input pack. Preserve source definitions, units, period basis, and sign convention when replacing values.</x:v>
      </x:c>
      <x:c r="D12" s="46" t="str">
        <x:v>Synthetic input pack. Preserve source definitions, units, period basis, and sign convention when replacing values.</x:v>
      </x:c>
      <x:c r="E12" s="46" t="str">
        <x:v>Synthetic input pack. Preserve source definitions, units, period basis, and sign convention when replacing values.</x:v>
      </x:c>
      <x:c r="F12" s="46" t="str">
        <x:v>Synthetic input pack. Preserve source definitions, units, period basis, and sign convention when replacing values.</x:v>
      </x:c>
      <x:c r="G12" s="46" t="str">
        <x:v>Synthetic input pack. Preserve source definitions, units, period basis, and sign convention when replacing values.</x:v>
      </x:c>
      <x:c r="H12" s="46" t="str">
        <x:v>Synthetic input pack. Preserve source definitions, units, period basis, and sign convention when replacing values.</x:v>
      </x:c>
      <x:c r="I12" s="46" t="str">
        <x:v>Synthetic input pack. Preserve source definitions, units, period basis, and sign convention when replacing values.</x:v>
      </x:c>
      <x:c r="J12" s="46" t="str">
        <x:v>Synthetic input pack. Preserve source definitions, units, period basis, and sign convention when replacing values.</x:v>
      </x:c>
      <x:c r="K12" s="46" t="str">
        <x:v>Synthetic input pack. Preserve source definitions, units, period basis, and sign convention when replacing values.</x:v>
      </x:c>
      <x:c r="L12" s="46" t="str">
        <x:v>Synthetic input pack. Preserve source definitions, units, period basis, and sign convention when replacing values.</x:v>
      </x:c>
      <x:c r="M12" s="46" t="str">
        <x:v>Synthetic input pack. Preserve source definitions, units, period basis, and sign convention when replacing values.</x:v>
      </x:c>
      <x:c r="N12" s="46" t="str">
        <x:v>Synthetic input pack. Preserve source definitions, units, period basis, and sign convention when replacing values.</x:v>
      </x:c>
      <x:c r="O12" s="46" t="str">
        <x:v>Synthetic input pack. Preserve source definitions, units, period basis, and sign convention when replacing values.</x:v>
      </x:c>
      <x:c r="P12" s="46" t="str">
        <x:v>Synthetic input pack. Preserve source definitions, units, period basis, and sign convention when replacing values.</x:v>
      </x:c>
      <x:c r="Q12" s="46" t="str">
        <x:v>Synthetic input pack. Preserve source definitions, units, period basis, and sign convention when replacing values.</x:v>
      </x:c>
      <x:c r="R12" s="46" t="str">
        <x:v>Synthetic input pack. Preserve source definitions, units, period basis, and sign convention when replacing values.</x:v>
      </x:c>
      <x:c r="S12" s="46" t="str">
        <x:v>Synthetic input pack. Preserve source definitions, units, period basis, and sign convention when replacing values.</x:v>
      </x:c>
      <x:c r="T12" s="46" t="str">
        <x:v>Synthetic input pack. Preserve source definitions, units, period basis, and sign convention when replacing values.</x:v>
      </x:c>
      <x:c r="U12" s="46" t="str">
        <x:v>Synthetic input pack. Preserve source definitions, units, period basis, and sign convention when replacing values.</x:v>
      </x:c>
      <x:c r="V12" s="46" t="str">
        <x:v>Synthetic input pack. Preserve source definitions, units, period basis, and sign convention when replacing values.</x:v>
      </x:c>
      <x:c r="W12" s="46" t="str">
        <x:v>Synthetic input pack. Preserve source definitions, units, period basis, and sign convention when replacing values.</x:v>
      </x:c>
      <x:c r="X12" s="46" t="str">
        <x:v>Synthetic input pack. Preserve source definitions, units, period basis, and sign convention when replacing values.</x:v>
      </x:c>
      <x:c r="Y12" s="47" t="str">
        <x:v>Synthetic input pack. Preserve source definitions, units, period basis, and sign convention when replacing values.</x:v>
      </x:c>
    </x:row>
    <x:row r="13">
      <x:c r="A13" s="48" t="str">
        <x:v>Synthetic input pack. Preserve source definitions, units, period basis, and sign convention when replacing values.</x:v>
      </x:c>
      <x:c r="B13" s="49" t="str">
        <x:v>Synthetic input pack. Preserve source definitions, units, period basis, and sign convention when replacing values.</x:v>
      </x:c>
      <x:c r="C13" s="49" t="str">
        <x:v>Synthetic input pack. Preserve source definitions, units, period basis, and sign convention when replacing values.</x:v>
      </x:c>
      <x:c r="D13" s="49" t="str">
        <x:v>Synthetic input pack. Preserve source definitions, units, period basis, and sign convention when replacing values.</x:v>
      </x:c>
      <x:c r="E13" s="49" t="str">
        <x:v>Synthetic input pack. Preserve source definitions, units, period basis, and sign convention when replacing values.</x:v>
      </x:c>
      <x:c r="F13" s="49" t="str">
        <x:v>Synthetic input pack. Preserve source definitions, units, period basis, and sign convention when replacing values.</x:v>
      </x:c>
      <x:c r="G13" s="49" t="str">
        <x:v>Synthetic input pack. Preserve source definitions, units, period basis, and sign convention when replacing values.</x:v>
      </x:c>
      <x:c r="H13" s="49" t="str">
        <x:v>Synthetic input pack. Preserve source definitions, units, period basis, and sign convention when replacing values.</x:v>
      </x:c>
      <x:c r="I13" s="49" t="str">
        <x:v>Synthetic input pack. Preserve source definitions, units, period basis, and sign convention when replacing values.</x:v>
      </x:c>
      <x:c r="J13" s="49" t="str">
        <x:v>Synthetic input pack. Preserve source definitions, units, period basis, and sign convention when replacing values.</x:v>
      </x:c>
      <x:c r="K13" s="49" t="str">
        <x:v>Synthetic input pack. Preserve source definitions, units, period basis, and sign convention when replacing values.</x:v>
      </x:c>
      <x:c r="L13" s="49" t="str">
        <x:v>Synthetic input pack. Preserve source definitions, units, period basis, and sign convention when replacing values.</x:v>
      </x:c>
      <x:c r="M13" s="49" t="str">
        <x:v>Synthetic input pack. Preserve source definitions, units, period basis, and sign convention when replacing values.</x:v>
      </x:c>
      <x:c r="N13" s="49" t="str">
        <x:v>Synthetic input pack. Preserve source definitions, units, period basis, and sign convention when replacing values.</x:v>
      </x:c>
      <x:c r="O13" s="49" t="str">
        <x:v>Synthetic input pack. Preserve source definitions, units, period basis, and sign convention when replacing values.</x:v>
      </x:c>
      <x:c r="P13" s="49" t="str">
        <x:v>Synthetic input pack. Preserve source definitions, units, period basis, and sign convention when replacing values.</x:v>
      </x:c>
      <x:c r="Q13" s="49" t="str">
        <x:v>Synthetic input pack. Preserve source definitions, units, period basis, and sign convention when replacing values.</x:v>
      </x:c>
      <x:c r="R13" s="49" t="str">
        <x:v>Synthetic input pack. Preserve source definitions, units, period basis, and sign convention when replacing values.</x:v>
      </x:c>
      <x:c r="S13" s="49" t="str">
        <x:v>Synthetic input pack. Preserve source definitions, units, period basis, and sign convention when replacing values.</x:v>
      </x:c>
      <x:c r="T13" s="49" t="str">
        <x:v>Synthetic input pack. Preserve source definitions, units, period basis, and sign convention when replacing values.</x:v>
      </x:c>
      <x:c r="U13" s="49" t="str">
        <x:v>Synthetic input pack. Preserve source definitions, units, period basis, and sign convention when replacing values.</x:v>
      </x:c>
      <x:c r="V13" s="49" t="str">
        <x:v>Synthetic input pack. Preserve source definitions, units, period basis, and sign convention when replacing values.</x:v>
      </x:c>
      <x:c r="W13" s="49" t="str">
        <x:v>Synthetic input pack. Preserve source definitions, units, period basis, and sign convention when replacing values.</x:v>
      </x:c>
      <x:c r="X13" s="49" t="str">
        <x:v>Synthetic input pack. Preserve source definitions, units, period basis, and sign convention when replacing values.</x:v>
      </x:c>
      <x:c r="Y13" s="50" t="str">
        <x:v>Synthetic input pack. Preserve source definitions, units, period basis, and sign convention when replacing values.</x:v>
      </x:c>
    </x:row>
    <x:row r="15">
      <x:c r="A15" s="53" t="str">
        <x:v>TDAT Model Library  |  Trust builds the brand. Insight builds the decision.</x:v>
      </x:c>
      <x:c r="B15" s="53" t="str">
        <x:v>TDAT Model Library  |  Trust builds the brand. Insight builds the decision.</x:v>
      </x:c>
      <x:c r="C15" s="53" t="str">
        <x:v>TDAT Model Library  |  Trust builds the brand. Insight builds the decision.</x:v>
      </x:c>
      <x:c r="D15" s="53" t="str">
        <x:v>TDAT Model Library  |  Trust builds the brand. Insight builds the decision.</x:v>
      </x:c>
      <x:c r="E15" s="53" t="str">
        <x:v>TDAT Model Library  |  Trust builds the brand. Insight builds the decision.</x:v>
      </x:c>
      <x:c r="F15" s="53" t="str">
        <x:v>TDAT Model Library  |  Trust builds the brand. Insight builds the decision.</x:v>
      </x:c>
      <x:c r="G15" s="53" t="str">
        <x:v>TDAT Model Library  |  Trust builds the brand. Insight builds the decision.</x:v>
      </x:c>
      <x:c r="H15" s="53" t="str">
        <x:v>TDAT Model Library  |  Trust builds the brand. Insight builds the decision.</x:v>
      </x:c>
      <x:c r="I15" s="53" t="str">
        <x:v>TDAT Model Library  |  Trust builds the brand. Insight builds the decision.</x:v>
      </x:c>
      <x:c r="J15" s="53" t="str">
        <x:v>TDAT Model Library  |  Trust builds the brand. Insight builds the decision.</x:v>
      </x:c>
      <x:c r="K15" s="53" t="str">
        <x:v>TDAT Model Library  |  Trust builds the brand. Insight builds the decision.</x:v>
      </x:c>
      <x:c r="L15" s="53" t="str">
        <x:v>TDAT Model Library  |  Trust builds the brand. Insight builds the decision.</x:v>
      </x:c>
      <x:c r="M15" s="53" t="str">
        <x:v>TDAT Model Library  |  Trust builds the brand. Insight builds the decision.</x:v>
      </x:c>
      <x:c r="N15" s="53" t="str">
        <x:v>TDAT Model Library  |  Trust builds the brand. Insight builds the decision.</x:v>
      </x:c>
      <x:c r="O15" s="53" t="str">
        <x:v>TDAT Model Library  |  Trust builds the brand. Insight builds the decision.</x:v>
      </x:c>
      <x:c r="P15" s="53" t="str">
        <x:v>TDAT Model Library  |  Trust builds the brand. Insight builds the decision.</x:v>
      </x:c>
      <x:c r="Q15" s="53" t="str">
        <x:v>TDAT Model Library  |  Trust builds the brand. Insight builds the decision.</x:v>
      </x:c>
      <x:c r="R15" s="53" t="str">
        <x:v>TDAT Model Library  |  Trust builds the brand. Insight builds the decision.</x:v>
      </x:c>
      <x:c r="S15" s="53" t="str">
        <x:v>TDAT Model Library  |  Trust builds the brand. Insight builds the decision.</x:v>
      </x:c>
      <x:c r="T15" s="53" t="str">
        <x:v>TDAT Model Library  |  Trust builds the brand. Insight builds the decision.</x:v>
      </x:c>
      <x:c r="U15" s="53" t="str">
        <x:v>TDAT Model Library  |  Trust builds the brand. Insight builds the decision.</x:v>
      </x:c>
      <x:c r="V15" s="53" t="str">
        <x:v>TDAT Model Library  |  Trust builds the brand. Insight builds the decision.</x:v>
      </x:c>
      <x:c r="W15" s="53" t="str">
        <x:v>TDAT Model Library  |  Trust builds the brand. Insight builds the decision.</x:v>
      </x:c>
      <x:c r="X15" s="53" t="str">
        <x:v>TDAT Model Library  |  Trust builds the brand. Insight builds the decision.</x:v>
      </x:c>
      <x:c r="Y15" s="53" t="str">
        <x:v>TDAT Model Library  |  Trust builds the brand. Insight builds the decision.</x:v>
      </x:c>
    </x:row>
  </x:sheetData>
  <x:mergeCells>
    <x:mergeCell ref="A1:Y1"/>
    <x:mergeCell ref="A2:Y2"/>
    <x:mergeCell ref="A11:Y13"/>
    <x:mergeCell ref="A15:Y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4" customHeight="1">
      <x:c r="A1" s="3" t="str">
        <x:v>24-MONTH FORECAST</x:v>
      </x:c>
      <x:c r="B1" s="3" t="str">
        <x:v>24-MONTH FORECAST</x:v>
      </x:c>
      <x:c r="C1" s="3" t="str">
        <x:v>24-MONTH FORECAST</x:v>
      </x:c>
      <x:c r="D1" s="3" t="str">
        <x:v>24-MONTH FORECAST</x:v>
      </x:c>
      <x:c r="E1" s="3" t="str">
        <x:v>24-MONTH FORECAST</x:v>
      </x:c>
      <x:c r="F1" s="3" t="str">
        <x:v>24-MONTH FORECAST</x:v>
      </x:c>
      <x:c r="G1" s="3" t="str">
        <x:v>24-MONTH FORECAST</x:v>
      </x:c>
      <x:c r="H1" s="3" t="str">
        <x:v>24-MONTH FORECAST</x:v>
      </x:c>
      <x:c r="I1" s="3" t="str">
        <x:v>24-MONTH FORECAST</x:v>
      </x:c>
      <x:c r="J1" s="3" t="str">
        <x:v>24-MONTH FORECAST</x:v>
      </x:c>
      <x:c r="K1" s="3" t="str">
        <x:v>24-MONTH FORECAST</x:v>
      </x:c>
      <x:c r="L1" s="3" t="str">
        <x:v>24-MONTH FORECAST</x:v>
      </x:c>
      <x:c r="M1" s="3" t="str">
        <x:v>24-MONTH FORECAST</x:v>
      </x:c>
      <x:c r="N1" s="3" t="str">
        <x:v>24-MONTH FORECAST</x:v>
      </x:c>
      <x:c r="O1" s="3" t="str">
        <x:v>24-MONTH FORECAST</x:v>
      </x:c>
      <x:c r="P1" s="3" t="str">
        <x:v>24-MONTH FORECAST</x:v>
      </x:c>
      <x:c r="Q1" s="3" t="str">
        <x:v>24-MONTH FORECAST</x:v>
      </x:c>
      <x:c r="R1" s="3" t="str">
        <x:v>24-MONTH FORECAST</x:v>
      </x:c>
      <x:c r="S1" s="3" t="str">
        <x:v>24-MONTH FORECAST</x:v>
      </x:c>
      <x:c r="T1" s="3" t="str">
        <x:v>24-MONTH FORECAST</x:v>
      </x:c>
      <x:c r="U1" s="3" t="str">
        <x:v>24-MONTH FORECAST</x:v>
      </x:c>
      <x:c r="V1" s="3" t="str">
        <x:v>24-MONTH FORECAST</x:v>
      </x:c>
      <x:c r="W1" s="3" t="str">
        <x:v>24-MONTH FORECAST</x:v>
      </x:c>
      <x:c r="X1" s="3" t="str">
        <x:v>24-MONTH FORECAST</x:v>
      </x:c>
      <x:c r="Y1" s="3" t="str">
        <x:v>24-MONTH FORECAST</x:v>
      </x:c>
    </x:row>
    <x:row r="2" ht="24" customHeight="1">
      <x:c r="A2" s="6" t="str">
        <x:v>SME Integrated Forecast  |  Formula-driven core mechanics</x:v>
      </x:c>
      <x:c r="B2" s="6" t="str">
        <x:v>SME Integrated Forecast  |  Formula-driven core mechanics</x:v>
      </x:c>
      <x:c r="C2" s="6" t="str">
        <x:v>SME Integrated Forecast  |  Formula-driven core mechanics</x:v>
      </x:c>
      <x:c r="D2" s="6" t="str">
        <x:v>SME Integrated Forecast  |  Formula-driven core mechanics</x:v>
      </x:c>
      <x:c r="E2" s="6" t="str">
        <x:v>SME Integrated Forecast  |  Formula-driven core mechanics</x:v>
      </x:c>
      <x:c r="F2" s="6" t="str">
        <x:v>SME Integrated Forecast  |  Formula-driven core mechanics</x:v>
      </x:c>
      <x:c r="G2" s="6" t="str">
        <x:v>SME Integrated Forecast  |  Formula-driven core mechanics</x:v>
      </x:c>
      <x:c r="H2" s="6" t="str">
        <x:v>SME Integrated Forecast  |  Formula-driven core mechanics</x:v>
      </x:c>
      <x:c r="I2" s="6" t="str">
        <x:v>SME Integrated Forecast  |  Formula-driven core mechanics</x:v>
      </x:c>
      <x:c r="J2" s="6" t="str">
        <x:v>SME Integrated Forecast  |  Formula-driven core mechanics</x:v>
      </x:c>
      <x:c r="K2" s="6" t="str">
        <x:v>SME Integrated Forecast  |  Formula-driven core mechanics</x:v>
      </x:c>
      <x:c r="L2" s="6" t="str">
        <x:v>SME Integrated Forecast  |  Formula-driven core mechanics</x:v>
      </x:c>
      <x:c r="M2" s="6" t="str">
        <x:v>SME Integrated Forecast  |  Formula-driven core mechanics</x:v>
      </x:c>
      <x:c r="N2" s="6" t="str">
        <x:v>SME Integrated Forecast  |  Formula-driven core mechanics</x:v>
      </x:c>
      <x:c r="O2" s="6" t="str">
        <x:v>SME Integrated Forecast  |  Formula-driven core mechanics</x:v>
      </x:c>
      <x:c r="P2" s="6" t="str">
        <x:v>SME Integrated Forecast  |  Formula-driven core mechanics</x:v>
      </x:c>
      <x:c r="Q2" s="6" t="str">
        <x:v>SME Integrated Forecast  |  Formula-driven core mechanics</x:v>
      </x:c>
      <x:c r="R2" s="6" t="str">
        <x:v>SME Integrated Forecast  |  Formula-driven core mechanics</x:v>
      </x:c>
      <x:c r="S2" s="6" t="str">
        <x:v>SME Integrated Forecast  |  Formula-driven core mechanics</x:v>
      </x:c>
      <x:c r="T2" s="6" t="str">
        <x:v>SME Integrated Forecast  |  Formula-driven core mechanics</x:v>
      </x:c>
      <x:c r="U2" s="6" t="str">
        <x:v>SME Integrated Forecast  |  Formula-driven core mechanics</x:v>
      </x:c>
      <x:c r="V2" s="6" t="str">
        <x:v>SME Integrated Forecast  |  Formula-driven core mechanics</x:v>
      </x:c>
      <x:c r="W2" s="6" t="str">
        <x:v>SME Integrated Forecast  |  Formula-driven core mechanics</x:v>
      </x:c>
      <x:c r="X2" s="6" t="str">
        <x:v>SME Integrated Forecast  |  Formula-driven core mechanics</x:v>
      </x:c>
      <x:c r="Y2" s="6" t="str">
        <x:v>SME Integrated Forecast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5" ht="24" customHeight="1">
      <x:c r="A5" s="66" t="str">
        <x:v>Calculation / Period</x:v>
      </x:c>
      <x:c r="B5" s="67" t="str">
        <x:v>M1</x:v>
      </x:c>
      <x:c r="C5" s="67" t="str">
        <x:v>M2</x:v>
      </x:c>
      <x:c r="D5" s="67" t="str">
        <x:v>M3</x:v>
      </x:c>
      <x:c r="E5" s="67" t="str">
        <x:v>M4</x:v>
      </x:c>
      <x:c r="F5" s="67" t="str">
        <x:v>M5</x:v>
      </x:c>
      <x:c r="G5" s="67" t="str">
        <x:v>M6</x:v>
      </x:c>
      <x:c r="H5" s="67" t="str">
        <x:v>M7</x:v>
      </x:c>
      <x:c r="I5" s="67" t="str">
        <x:v>M8</x:v>
      </x:c>
      <x:c r="J5" s="67" t="str">
        <x:v>M9</x:v>
      </x:c>
      <x:c r="K5" s="67" t="str">
        <x:v>M10</x:v>
      </x:c>
      <x:c r="L5" s="67" t="str">
        <x:v>M11</x:v>
      </x:c>
      <x:c r="M5" s="67" t="str">
        <x:v>M12</x:v>
      </x:c>
      <x:c r="N5" s="67" t="str">
        <x:v>M13</x:v>
      </x:c>
      <x:c r="O5" s="67" t="str">
        <x:v>M14</x:v>
      </x:c>
      <x:c r="P5" s="67" t="str">
        <x:v>M15</x:v>
      </x:c>
      <x:c r="Q5" s="67" t="str">
        <x:v>M16</x:v>
      </x:c>
      <x:c r="R5" s="67" t="str">
        <x:v>M17</x:v>
      </x:c>
      <x:c r="S5" s="67" t="str">
        <x:v>M18</x:v>
      </x:c>
      <x:c r="T5" s="67" t="str">
        <x:v>M19</x:v>
      </x:c>
      <x:c r="U5" s="67" t="str">
        <x:v>M20</x:v>
      </x:c>
      <x:c r="V5" s="67" t="str">
        <x:v>M21</x:v>
      </x:c>
      <x:c r="W5" s="67" t="str">
        <x:v>M22</x:v>
      </x:c>
      <x:c r="X5" s="67" t="str">
        <x:v>M23</x:v>
      </x:c>
      <x:c r="Y5" s="68" t="str">
        <x:v>M24</x:v>
      </x:c>
    </x:row>
    <x:row r="6">
      <x:c r="A6" s="124" t="str">
        <x:v>Revenue</x:v>
      </x:c>
      <x:c r="B6" s="125" t="n">
        <x:f>'SME Inputs'!B$6*(1+'Assumptions'!$F$6)</x:f>
        <x:v>82.8</x:v>
      </x:c>
      <x:c r="C6" s="125" t="n">
        <x:f>B$6*(1+'Assumptions'!$F$6)</x:f>
        <x:v>85.698</x:v>
      </x:c>
      <x:c r="D6" s="125" t="n">
        <x:f>C$6*(1+'Assumptions'!$F$6)</x:f>
        <x:v>88.69742999999998</x:v>
      </x:c>
      <x:c r="E6" s="125" t="n">
        <x:f>D$6*(1+'Assumptions'!$F$6)</x:f>
        <x:v>91.80184004999998</x:v>
      </x:c>
      <x:c r="F6" s="125" t="n">
        <x:f>E$6*(1+'Assumptions'!$F$6)</x:f>
        <x:v>95.01490445174997</x:v>
      </x:c>
      <x:c r="G6" s="125" t="n">
        <x:f>F$6*(1+'Assumptions'!$F$6)</x:f>
        <x:v>98.34042610756121</x:v>
      </x:c>
      <x:c r="H6" s="125" t="n">
        <x:f>G$6*(1+'Assumptions'!$F$6)</x:f>
        <x:v>101.78234102132585</x:v>
      </x:c>
      <x:c r="I6" s="125" t="n">
        <x:f>H$6*(1+'Assumptions'!$F$6)</x:f>
        <x:v>105.34472295707225</x:v>
      </x:c>
      <x:c r="J6" s="125" t="n">
        <x:f>I$6*(1+'Assumptions'!$F$6)</x:f>
        <x:v>109.03178826056977</x:v>
      </x:c>
      <x:c r="K6" s="125" t="n">
        <x:f>J$6*(1+'Assumptions'!$F$6)</x:f>
        <x:v>112.84790084968971</x:v>
      </x:c>
      <x:c r="L6" s="125" t="n">
        <x:f>K$6*(1+'Assumptions'!$F$6)</x:f>
        <x:v>116.79757737942884</x:v>
      </x:c>
      <x:c r="M6" s="125" t="n">
        <x:f>L$6*(1+'Assumptions'!$F$6)</x:f>
        <x:v>120.88549258770884</x:v>
      </x:c>
      <x:c r="N6" s="125" t="n">
        <x:f>M$6*(1+'Assumptions'!$F$6)</x:f>
        <x:v>125.11648482827864</x:v>
      </x:c>
      <x:c r="O6" s="125" t="n">
        <x:f>N$6*(1+'Assumptions'!$F$6)</x:f>
        <x:v>129.49556179726838</x:v>
      </x:c>
      <x:c r="P6" s="125" t="n">
        <x:f>O$6*(1+'Assumptions'!$F$6)</x:f>
        <x:v>134.02790646017277</x:v>
      </x:c>
      <x:c r="Q6" s="125" t="n">
        <x:f>P$6*(1+'Assumptions'!$F$6)</x:f>
        <x:v>138.71888318627882</x:v>
      </x:c>
      <x:c r="R6" s="125" t="n">
        <x:f>Q$6*(1+'Assumptions'!$F$6)</x:f>
        <x:v>143.57404409779858</x:v>
      </x:c>
      <x:c r="S6" s="125" t="n">
        <x:f>R$6*(1+'Assumptions'!$F$6)</x:f>
        <x:v>148.59913564122152</x:v>
      </x:c>
      <x:c r="T6" s="125" t="n">
        <x:f>S$6*(1+'Assumptions'!$F$6)</x:f>
        <x:v>153.80010538866426</x:v>
      </x:c>
      <x:c r="U6" s="125" t="n">
        <x:f>T$6*(1+'Assumptions'!$F$6)</x:f>
        <x:v>159.1831090772675</x:v>
      </x:c>
      <x:c r="V6" s="125" t="n">
        <x:f>U$6*(1+'Assumptions'!$F$6)</x:f>
        <x:v>164.75451789497183</x:v>
      </x:c>
      <x:c r="W6" s="125" t="n">
        <x:f>V$6*(1+'Assumptions'!$F$6)</x:f>
        <x:v>170.52092602129582</x:v>
      </x:c>
      <x:c r="X6" s="125" t="n">
        <x:f>W$6*(1+'Assumptions'!$F$6)</x:f>
        <x:v>176.48915843204117</x:v>
      </x:c>
      <x:c r="Y6" s="125" t="n">
        <x:f>X$6*(1+'Assumptions'!$F$6)</x:f>
        <x:v>182.6662789771626</x:v>
      </x:c>
    </x:row>
    <x:row r="7">
      <x:c r="A7" s="126" t="str">
        <x:v>COGS</x:v>
      </x:c>
      <x:c r="B7" s="127" t="n">
        <x:f>-B$6*(1-'Assumptions'!$F$7)</x:f>
        <x:v>-48.024</x:v>
      </x:c>
      <x:c r="C7" s="127" t="n">
        <x:f>-C$6*(1-'Assumptions'!$F$7)</x:f>
        <x:v>-49.704840000000004</x:v>
      </x:c>
      <x:c r="D7" s="127" t="n">
        <x:f>-D$6*(1-'Assumptions'!$F$7)</x:f>
        <x:v>-51.444509399999994</x:v>
      </x:c>
      <x:c r="E7" s="127" t="n">
        <x:f>-E$6*(1-'Assumptions'!$F$7)</x:f>
        <x:v>-53.24506722899999</x:v>
      </x:c>
      <x:c r="F7" s="127" t="n">
        <x:f>-F$6*(1-'Assumptions'!$F$7)</x:f>
        <x:v>-55.10864458201499</x:v>
      </x:c>
      <x:c r="G7" s="127" t="n">
        <x:f>-G$6*(1-'Assumptions'!$F$7)</x:f>
        <x:v>-57.03744714238551</x:v>
      </x:c>
      <x:c r="H7" s="127" t="n">
        <x:f>-H$6*(1-'Assumptions'!$F$7)</x:f>
        <x:v>-59.033757792369</x:v>
      </x:c>
      <x:c r="I7" s="127" t="n">
        <x:f>-I$6*(1-'Assumptions'!$F$7)</x:f>
        <x:v>-61.09993931510191</x:v>
      </x:c>
      <x:c r="J7" s="127" t="n">
        <x:f>-J$6*(1-'Assumptions'!$F$7)</x:f>
        <x:v>-63.23843719113047</x:v>
      </x:c>
      <x:c r="K7" s="127" t="n">
        <x:f>-K$6*(1-'Assumptions'!$F$7)</x:f>
        <x:v>-65.45178249282004</x:v>
      </x:c>
      <x:c r="L7" s="127" t="n">
        <x:f>-L$6*(1-'Assumptions'!$F$7)</x:f>
        <x:v>-67.74259488006874</x:v>
      </x:c>
      <x:c r="M7" s="127" t="n">
        <x:f>-M$6*(1-'Assumptions'!$F$7)</x:f>
        <x:v>-70.11358570087114</x:v>
      </x:c>
      <x:c r="N7" s="127" t="n">
        <x:f>-N$6*(1-'Assumptions'!$F$7)</x:f>
        <x:v>-72.56756120040163</x:v>
      </x:c>
      <x:c r="O7" s="127" t="n">
        <x:f>-O$6*(1-'Assumptions'!$F$7)</x:f>
        <x:v>-75.10742584241567</x:v>
      </x:c>
      <x:c r="P7" s="127" t="n">
        <x:f>-P$6*(1-'Assumptions'!$F$7)</x:f>
        <x:v>-77.73618574690022</x:v>
      </x:c>
      <x:c r="Q7" s="127" t="n">
        <x:f>-Q$6*(1-'Assumptions'!$F$7)</x:f>
        <x:v>-80.45695224804172</x:v>
      </x:c>
      <x:c r="R7" s="127" t="n">
        <x:f>-R$6*(1-'Assumptions'!$F$7)</x:f>
        <x:v>-83.27294557672319</x:v>
      </x:c>
      <x:c r="S7" s="127" t="n">
        <x:f>-S$6*(1-'Assumptions'!$F$7)</x:f>
        <x:v>-86.1874986719085</x:v>
      </x:c>
      <x:c r="T7" s="127" t="n">
        <x:f>-T$6*(1-'Assumptions'!$F$7)</x:f>
        <x:v>-89.20406112542528</x:v>
      </x:c>
      <x:c r="U7" s="127" t="n">
        <x:f>-U$6*(1-'Assumptions'!$F$7)</x:f>
        <x:v>-92.32620326481515</x:v>
      </x:c>
      <x:c r="V7" s="127" t="n">
        <x:f>-V$6*(1-'Assumptions'!$F$7)</x:f>
        <x:v>-95.55762037908367</x:v>
      </x:c>
      <x:c r="W7" s="127" t="n">
        <x:f>-W$6*(1-'Assumptions'!$F$7)</x:f>
        <x:v>-98.9021370923516</x:v>
      </x:c>
      <x:c r="X7" s="127" t="n">
        <x:f>-X$6*(1-'Assumptions'!$F$7)</x:f>
        <x:v>-102.36371189058389</x:v>
      </x:c>
      <x:c r="Y7" s="127" t="n">
        <x:f>-Y$6*(1-'Assumptions'!$F$7)</x:f>
        <x:v>-105.94644180675432</x:v>
      </x:c>
    </x:row>
    <x:row r="8">
      <x:c r="A8" s="128" t="str">
        <x:v>Gross profit</x:v>
      </x:c>
      <x:c r="B8" s="129" t="n">
        <x:f>B$6+B$7</x:f>
        <x:v>34.775999999999996</x:v>
      </x:c>
      <x:c r="C8" s="129" t="n">
        <x:f>C$6+C$7</x:f>
        <x:v>35.99315999999999</x:v>
      </x:c>
      <x:c r="D8" s="129" t="n">
        <x:f>D$6+D$7</x:f>
        <x:v>37.25292059999999</x:v>
      </x:c>
      <x:c r="E8" s="129" t="n">
        <x:f>E$6+E$7</x:f>
        <x:v>38.55677282099999</x:v>
      </x:c>
      <x:c r="F8" s="129" t="n">
        <x:f>F$6+F$7</x:f>
        <x:v>39.90625986973498</x:v>
      </x:c>
      <x:c r="G8" s="129" t="n">
        <x:f>G$6+G$7</x:f>
        <x:v>41.302978965175704</x:v>
      </x:c>
      <x:c r="H8" s="129" t="n">
        <x:f>H$6+H$7</x:f>
        <x:v>42.748583228956846</x:v>
      </x:c>
      <x:c r="I8" s="129" t="n">
        <x:f>I$6+I$7</x:f>
        <x:v>44.244783641970336</x:v>
      </x:c>
      <x:c r="J8" s="129" t="n">
        <x:f>J$6+J$7</x:f>
        <x:v>45.7933510694393</x:v>
      </x:c>
      <x:c r="K8" s="129" t="n">
        <x:f>K$6+K$7</x:f>
        <x:v>47.396118356869664</x:v>
      </x:c>
      <x:c r="L8" s="129" t="n">
        <x:f>L$6+L$7</x:f>
        <x:v>49.05498249936011</x:v>
      </x:c>
      <x:c r="M8" s="129" t="n">
        <x:f>M$6+M$7</x:f>
        <x:v>50.7719068868377</x:v>
      </x:c>
      <x:c r="N8" s="129" t="n">
        <x:f>N$6+N$7</x:f>
        <x:v>52.548923627877016</x:v>
      </x:c>
      <x:c r="O8" s="129" t="n">
        <x:f>O$6+O$7</x:f>
        <x:v>54.388135954852714</x:v>
      </x:c>
      <x:c r="P8" s="129" t="n">
        <x:f>P$6+P$7</x:f>
        <x:v>56.291720713272554</x:v>
      </x:c>
      <x:c r="Q8" s="129" t="n">
        <x:f>Q$6+Q$7</x:f>
        <x:v>58.2619309382371</x:v>
      </x:c>
      <x:c r="R8" s="129" t="n">
        <x:f>R$6+R$7</x:f>
        <x:v>60.30109852107539</x:v>
      </x:c>
      <x:c r="S8" s="129" t="n">
        <x:f>S$6+S$7</x:f>
        <x:v>62.41163696931302</x:v>
      </x:c>
      <x:c r="T8" s="129" t="n">
        <x:f>T$6+T$7</x:f>
        <x:v>64.59604426323898</x:v>
      </x:c>
      <x:c r="U8" s="129" t="n">
        <x:f>U$6+U$7</x:f>
        <x:v>66.85690581245234</x:v>
      </x:c>
      <x:c r="V8" s="129" t="n">
        <x:f>V$6+V$7</x:f>
        <x:v>69.19689751588815</x:v>
      </x:c>
      <x:c r="W8" s="129" t="n">
        <x:f>W$6+W$7</x:f>
        <x:v>71.61878892894423</x:v>
      </x:c>
      <x:c r="X8" s="129" t="n">
        <x:f>X$6+X$7</x:f>
        <x:v>74.12544654145728</x:v>
      </x:c>
      <x:c r="Y8" s="129" t="n">
        <x:f>Y$6+Y$7</x:f>
        <x:v>76.71983717040827</x:v>
      </x:c>
    </x:row>
    <x:row r="9">
      <x:c r="A9" s="126" t="str">
        <x:v>Payroll</x:v>
      </x:c>
      <x:c r="B9" s="127" t="n">
        <x:f>-'SME Inputs'!B$7</x:f>
        <x:v>-32</x:v>
      </x:c>
      <x:c r="C9" s="127" t="n">
        <x:f>-'SME Inputs'!C$7</x:f>
        <x:v>-32</x:v>
      </x:c>
      <x:c r="D9" s="127" t="n">
        <x:f>-'SME Inputs'!D$7</x:f>
        <x:v>-32</x:v>
      </x:c>
      <x:c r="E9" s="127" t="n">
        <x:f>-'SME Inputs'!E$7</x:f>
        <x:v>-32</x:v>
      </x:c>
      <x:c r="F9" s="127" t="n">
        <x:f>-'SME Inputs'!F$7</x:f>
        <x:v>-32</x:v>
      </x:c>
      <x:c r="G9" s="127" t="n">
        <x:f>-'SME Inputs'!G$7</x:f>
        <x:v>-32</x:v>
      </x:c>
      <x:c r="H9" s="127" t="n">
        <x:f>-'SME Inputs'!H$7</x:f>
        <x:v>-32</x:v>
      </x:c>
      <x:c r="I9" s="127" t="n">
        <x:f>-'SME Inputs'!I$7</x:f>
        <x:v>-32</x:v>
      </x:c>
      <x:c r="J9" s="127" t="n">
        <x:f>-'SME Inputs'!J$7</x:f>
        <x:v>-32</x:v>
      </x:c>
      <x:c r="K9" s="127" t="n">
        <x:f>-'SME Inputs'!K$7</x:f>
        <x:v>-32</x:v>
      </x:c>
      <x:c r="L9" s="127" t="n">
        <x:f>-'SME Inputs'!L$7</x:f>
        <x:v>-32</x:v>
      </x:c>
      <x:c r="M9" s="127" t="n">
        <x:f>-'SME Inputs'!M$7</x:f>
        <x:v>-32</x:v>
      </x:c>
      <x:c r="N9" s="127" t="n">
        <x:f>-'SME Inputs'!N$7</x:f>
        <x:v>-38</x:v>
      </x:c>
      <x:c r="O9" s="127" t="n">
        <x:f>-'SME Inputs'!O$7</x:f>
        <x:v>-38</x:v>
      </x:c>
      <x:c r="P9" s="127" t="n">
        <x:f>-'SME Inputs'!P$7</x:f>
        <x:v>-38</x:v>
      </x:c>
      <x:c r="Q9" s="127" t="n">
        <x:f>-'SME Inputs'!Q$7</x:f>
        <x:v>-38</x:v>
      </x:c>
      <x:c r="R9" s="127" t="n">
        <x:f>-'SME Inputs'!R$7</x:f>
        <x:v>-38</x:v>
      </x:c>
      <x:c r="S9" s="127" t="n">
        <x:f>-'SME Inputs'!S$7</x:f>
        <x:v>-38</x:v>
      </x:c>
      <x:c r="T9" s="127" t="n">
        <x:f>-'SME Inputs'!T$7</x:f>
        <x:v>-38</x:v>
      </x:c>
      <x:c r="U9" s="127" t="n">
        <x:f>-'SME Inputs'!U$7</x:f>
        <x:v>-38</x:v>
      </x:c>
      <x:c r="V9" s="127" t="n">
        <x:f>-'SME Inputs'!V$7</x:f>
        <x:v>-38</x:v>
      </x:c>
      <x:c r="W9" s="127" t="n">
        <x:f>-'SME Inputs'!W$7</x:f>
        <x:v>-38</x:v>
      </x:c>
      <x:c r="X9" s="127" t="n">
        <x:f>-'SME Inputs'!X$7</x:f>
        <x:v>-38</x:v>
      </x:c>
      <x:c r="Y9" s="127" t="n">
        <x:f>-'SME Inputs'!Y$7</x:f>
        <x:v>-38</x:v>
      </x:c>
    </x:row>
    <x:row r="10">
      <x:c r="A10" s="126" t="str">
        <x:v>Fixed opex</x:v>
      </x:c>
      <x:c r="B10" s="127" t="n">
        <x:f>-'SME Inputs'!B$8</x:f>
        <x:v>-18</x:v>
      </x:c>
      <x:c r="C10" s="127" t="n">
        <x:f>-'SME Inputs'!C$8</x:f>
        <x:v>-18</x:v>
      </x:c>
      <x:c r="D10" s="127" t="n">
        <x:f>-'SME Inputs'!D$8</x:f>
        <x:v>-18</x:v>
      </x:c>
      <x:c r="E10" s="127" t="n">
        <x:f>-'SME Inputs'!E$8</x:f>
        <x:v>-18</x:v>
      </x:c>
      <x:c r="F10" s="127" t="n">
        <x:f>-'SME Inputs'!F$8</x:f>
        <x:v>-18</x:v>
      </x:c>
      <x:c r="G10" s="127" t="n">
        <x:f>-'SME Inputs'!G$8</x:f>
        <x:v>-18</x:v>
      </x:c>
      <x:c r="H10" s="127" t="n">
        <x:f>-'SME Inputs'!H$8</x:f>
        <x:v>-18</x:v>
      </x:c>
      <x:c r="I10" s="127" t="n">
        <x:f>-'SME Inputs'!I$8</x:f>
        <x:v>-18</x:v>
      </x:c>
      <x:c r="J10" s="127" t="n">
        <x:f>-'SME Inputs'!J$8</x:f>
        <x:v>-18</x:v>
      </x:c>
      <x:c r="K10" s="127" t="n">
        <x:f>-'SME Inputs'!K$8</x:f>
        <x:v>-18</x:v>
      </x:c>
      <x:c r="L10" s="127" t="n">
        <x:f>-'SME Inputs'!L$8</x:f>
        <x:v>-18</x:v>
      </x:c>
      <x:c r="M10" s="127" t="n">
        <x:f>-'SME Inputs'!M$8</x:f>
        <x:v>-18</x:v>
      </x:c>
      <x:c r="N10" s="127" t="n">
        <x:f>-'SME Inputs'!N$8</x:f>
        <x:v>-20</x:v>
      </x:c>
      <x:c r="O10" s="127" t="n">
        <x:f>-'SME Inputs'!O$8</x:f>
        <x:v>-20</x:v>
      </x:c>
      <x:c r="P10" s="127" t="n">
        <x:f>-'SME Inputs'!P$8</x:f>
        <x:v>-20</x:v>
      </x:c>
      <x:c r="Q10" s="127" t="n">
        <x:f>-'SME Inputs'!Q$8</x:f>
        <x:v>-20</x:v>
      </x:c>
      <x:c r="R10" s="127" t="n">
        <x:f>-'SME Inputs'!R$8</x:f>
        <x:v>-20</x:v>
      </x:c>
      <x:c r="S10" s="127" t="n">
        <x:f>-'SME Inputs'!S$8</x:f>
        <x:v>-20</x:v>
      </x:c>
      <x:c r="T10" s="127" t="n">
        <x:f>-'SME Inputs'!T$8</x:f>
        <x:v>-20</x:v>
      </x:c>
      <x:c r="U10" s="127" t="n">
        <x:f>-'SME Inputs'!U$8</x:f>
        <x:v>-20</x:v>
      </x:c>
      <x:c r="V10" s="127" t="n">
        <x:f>-'SME Inputs'!V$8</x:f>
        <x:v>-20</x:v>
      </x:c>
      <x:c r="W10" s="127" t="n">
        <x:f>-'SME Inputs'!W$8</x:f>
        <x:v>-20</x:v>
      </x:c>
      <x:c r="X10" s="127" t="n">
        <x:f>-'SME Inputs'!X$8</x:f>
        <x:v>-20</x:v>
      </x:c>
      <x:c r="Y10" s="127" t="n">
        <x:f>-'SME Inputs'!Y$8</x:f>
        <x:v>-20</x:v>
      </x:c>
    </x:row>
    <x:row r="11">
      <x:c r="A11" s="130" t="str">
        <x:v>EBITDA</x:v>
      </x:c>
      <x:c r="B11" s="131" t="n">
        <x:f>SUM(B$8:B$10)</x:f>
        <x:v>-15.224000000000004</x:v>
      </x:c>
      <x:c r="C11" s="131" t="n">
        <x:f>SUM(C$8:C$10)</x:f>
        <x:v>-14.006840000000011</x:v>
      </x:c>
      <x:c r="D11" s="131" t="n">
        <x:f>SUM(D$8:D$10)</x:f>
        <x:v>-12.747079400000011</x:v>
      </x:c>
      <x:c r="E11" s="131" t="n">
        <x:f>SUM(E$8:E$10)</x:f>
        <x:v>-11.443227179000012</x:v>
      </x:c>
      <x:c r="F11" s="131" t="n">
        <x:f>SUM(F$8:F$10)</x:f>
        <x:v>-10.093740130265019</x:v>
      </x:c>
      <x:c r="G11" s="131" t="n">
        <x:f>SUM(G$8:G$10)</x:f>
        <x:v>-8.697021034824296</x:v>
      </x:c>
      <x:c r="H11" s="131" t="n">
        <x:f>SUM(H$8:H$10)</x:f>
        <x:v>-7.251416771043154</x:v>
      </x:c>
      <x:c r="I11" s="131" t="n">
        <x:f>SUM(I$8:I$10)</x:f>
        <x:v>-5.755216358029664</x:v>
      </x:c>
      <x:c r="J11" s="131" t="n">
        <x:f>SUM(J$8:J$10)</x:f>
        <x:v>-4.2066489305607035</x:v>
      </x:c>
      <x:c r="K11" s="131" t="n">
        <x:f>SUM(K$8:K$10)</x:f>
        <x:v>-2.603881643130336</x:v>
      </x:c>
      <x:c r="L11" s="131" t="n">
        <x:f>SUM(L$8:L$10)</x:f>
        <x:v>-0.9450175006398922</x:v>
      </x:c>
      <x:c r="M11" s="131" t="n">
        <x:f>SUM(M$8:M$10)</x:f>
        <x:v>0.7719068868376979</x:v>
      </x:c>
      <x:c r="N11" s="131" t="n">
        <x:f>SUM(N$8:N$10)</x:f>
        <x:v>-5.451076372122984</x:v>
      </x:c>
      <x:c r="O11" s="131" t="n">
        <x:f>SUM(O$8:O$10)</x:f>
        <x:v>-3.6118640451472857</x:v>
      </x:c>
      <x:c r="P11" s="131" t="n">
        <x:f>SUM(P$8:P$10)</x:f>
        <x:v>-1.7082792867274463</x:v>
      </x:c>
      <x:c r="Q11" s="131" t="n">
        <x:f>SUM(Q$8:Q$10)</x:f>
        <x:v>0.2619309382371</x:v>
      </x:c>
      <x:c r="R11" s="131" t="n">
        <x:f>SUM(R$8:R$10)</x:f>
        <x:v>2.3010985210753887</x:v>
      </x:c>
      <x:c r="S11" s="131" t="n">
        <x:f>SUM(S$8:S$10)</x:f>
        <x:v>4.411636969313022</x:v>
      </x:c>
      <x:c r="T11" s="131" t="n">
        <x:f>SUM(T$8:T$10)</x:f>
        <x:v>6.59604426323898</x:v>
      </x:c>
      <x:c r="U11" s="131" t="n">
        <x:f>SUM(U$8:U$10)</x:f>
        <x:v>8.85690581245234</x:v>
      </x:c>
      <x:c r="V11" s="131" t="n">
        <x:f>SUM(V$8:V$10)</x:f>
        <x:v>11.196897515888153</x:v>
      </x:c>
      <x:c r="W11" s="131" t="n">
        <x:f>SUM(W$8:W$10)</x:f>
        <x:v>13.618788928944227</x:v>
      </x:c>
      <x:c r="X11" s="131" t="n">
        <x:f>SUM(X$8:X$10)</x:f>
        <x:v>16.12544654145728</x:v>
      </x:c>
      <x:c r="Y11" s="131" t="n">
        <x:f>SUM(Y$8:Y$10)</x:f>
        <x:v>18.71983717040827</x:v>
      </x:c>
    </x:row>
    <x:row r="12">
      <x:c r="A12" s="126" t="str">
        <x:v>Accounts receivable</x:v>
      </x:c>
      <x:c r="B12" s="127" t="n">
        <x:f>B$6/30*'Assumptions'!$F$8</x:f>
        <x:v>96.6</x:v>
      </x:c>
      <x:c r="C12" s="127" t="n">
        <x:f>C$6/30*'Assumptions'!$F$8</x:f>
        <x:v>99.981</x:v>
      </x:c>
      <x:c r="D12" s="127" t="n">
        <x:f>D$6/30*'Assumptions'!$F$8</x:f>
        <x:v>103.48033499999998</x:v>
      </x:c>
      <x:c r="E12" s="127" t="n">
        <x:f>E$6/30*'Assumptions'!$F$8</x:f>
        <x:v>107.10214672499998</x:v>
      </x:c>
      <x:c r="F12" s="127" t="n">
        <x:f>F$6/30*'Assumptions'!$F$8</x:f>
        <x:v>110.85072186037496</x:v>
      </x:c>
      <x:c r="G12" s="127" t="n">
        <x:f>G$6/30*'Assumptions'!$F$8</x:f>
        <x:v>114.73049712548807</x:v>
      </x:c>
      <x:c r="H12" s="127" t="n">
        <x:f>H$6/30*'Assumptions'!$F$8</x:f>
        <x:v>118.74606452488017</x:v>
      </x:c>
      <x:c r="I12" s="127" t="n">
        <x:f>I$6/30*'Assumptions'!$F$8</x:f>
        <x:v>122.90217678325095</x:v>
      </x:c>
      <x:c r="J12" s="127" t="n">
        <x:f>J$6/30*'Assumptions'!$F$8</x:f>
        <x:v>127.20375297066472</x:v>
      </x:c>
      <x:c r="K12" s="127" t="n">
        <x:f>K$6/30*'Assumptions'!$F$8</x:f>
        <x:v>131.65588432463798</x:v>
      </x:c>
      <x:c r="L12" s="127" t="n">
        <x:f>L$6/30*'Assumptions'!$F$8</x:f>
        <x:v>136.2638402760003</x:v>
      </x:c>
      <x:c r="M12" s="127" t="n">
        <x:f>M$6/30*'Assumptions'!$F$8</x:f>
        <x:v>141.03307468566032</x:v>
      </x:c>
      <x:c r="N12" s="127" t="n">
        <x:f>N$6/30*'Assumptions'!$F$8</x:f>
        <x:v>145.96923229965842</x:v>
      </x:c>
      <x:c r="O12" s="127" t="n">
        <x:f>O$6/30*'Assumptions'!$F$8</x:f>
        <x:v>151.07815543014644</x:v>
      </x:c>
      <x:c r="P12" s="127" t="n">
        <x:f>P$6/30*'Assumptions'!$F$8</x:f>
        <x:v>156.36589087020158</x:v>
      </x:c>
      <x:c r="Q12" s="127" t="n">
        <x:f>Q$6/30*'Assumptions'!$F$8</x:f>
        <x:v>161.8386970506586</x:v>
      </x:c>
      <x:c r="R12" s="127" t="n">
        <x:f>R$6/30*'Assumptions'!$F$8</x:f>
        <x:v>167.5030514474317</x:v>
      </x:c>
      <x:c r="S12" s="127" t="n">
        <x:f>S$6/30*'Assumptions'!$F$8</x:f>
        <x:v>173.3656582480918</x:v>
      </x:c>
      <x:c r="T12" s="127" t="n">
        <x:f>T$6/30*'Assumptions'!$F$8</x:f>
        <x:v>179.43345628677497</x:v>
      </x:c>
      <x:c r="U12" s="127" t="n">
        <x:f>U$6/30*'Assumptions'!$F$8</x:f>
        <x:v>185.71362725681206</x:v>
      </x:c>
      <x:c r="V12" s="127" t="n">
        <x:f>V$6/30*'Assumptions'!$F$8</x:f>
        <x:v>192.21360421080047</x:v>
      </x:c>
      <x:c r="W12" s="127" t="n">
        <x:f>W$6/30*'Assumptions'!$F$8</x:f>
        <x:v>198.94108035817845</x:v>
      </x:c>
      <x:c r="X12" s="127" t="n">
        <x:f>X$6/30*'Assumptions'!$F$8</x:f>
        <x:v>205.9040181707147</x:v>
      </x:c>
      <x:c r="Y12" s="127" t="n">
        <x:f>Y$6/30*'Assumptions'!$F$8</x:f>
        <x:v>213.11065880668968</x:v>
      </x:c>
    </x:row>
    <x:row r="13">
      <x:c r="A13" s="126" t="str">
        <x:v>Accounts payable</x:v>
      </x:c>
      <x:c r="B13" s="127" t="n">
        <x:f>-B$7/30*'Assumptions'!$F$9</x:f>
        <x:v>48.024</x:v>
      </x:c>
      <x:c r="C13" s="127" t="n">
        <x:f>-C$7/30*'Assumptions'!$F$9</x:f>
        <x:v>49.704840000000004</x:v>
      </x:c>
      <x:c r="D13" s="127" t="n">
        <x:f>-D$7/30*'Assumptions'!$F$9</x:f>
        <x:v>51.444509399999994</x:v>
      </x:c>
      <x:c r="E13" s="127" t="n">
        <x:f>-E$7/30*'Assumptions'!$F$9</x:f>
        <x:v>53.24506722899999</x:v>
      </x:c>
      <x:c r="F13" s="127" t="n">
        <x:f>-F$7/30*'Assumptions'!$F$9</x:f>
        <x:v>55.10864458201499</x:v>
      </x:c>
      <x:c r="G13" s="127" t="n">
        <x:f>-G$7/30*'Assumptions'!$F$9</x:f>
        <x:v>57.03744714238551</x:v>
      </x:c>
      <x:c r="H13" s="127" t="n">
        <x:f>-H$7/30*'Assumptions'!$F$9</x:f>
        <x:v>59.033757792369</x:v>
      </x:c>
      <x:c r="I13" s="127" t="n">
        <x:f>-I$7/30*'Assumptions'!$F$9</x:f>
        <x:v>61.09993931510192</x:v>
      </x:c>
      <x:c r="J13" s="127" t="n">
        <x:f>-J$7/30*'Assumptions'!$F$9</x:f>
        <x:v>63.23843719113047</x:v>
      </x:c>
      <x:c r="K13" s="127" t="n">
        <x:f>-K$7/30*'Assumptions'!$F$9</x:f>
        <x:v>65.45178249282004</x:v>
      </x:c>
      <x:c r="L13" s="127" t="n">
        <x:f>-L$7/30*'Assumptions'!$F$9</x:f>
        <x:v>67.74259488006874</x:v>
      </x:c>
      <x:c r="M13" s="127" t="n">
        <x:f>-M$7/30*'Assumptions'!$F$9</x:f>
        <x:v>70.11358570087114</x:v>
      </x:c>
      <x:c r="N13" s="127" t="n">
        <x:f>-N$7/30*'Assumptions'!$F$9</x:f>
        <x:v>72.56756120040163</x:v>
      </x:c>
      <x:c r="O13" s="127" t="n">
        <x:f>-O$7/30*'Assumptions'!$F$9</x:f>
        <x:v>75.10742584241567</x:v>
      </x:c>
      <x:c r="P13" s="127" t="n">
        <x:f>-P$7/30*'Assumptions'!$F$9</x:f>
        <x:v>77.73618574690022</x:v>
      </x:c>
      <x:c r="Q13" s="127" t="n">
        <x:f>-Q$7/30*'Assumptions'!$F$9</x:f>
        <x:v>80.45695224804172</x:v>
      </x:c>
      <x:c r="R13" s="127" t="n">
        <x:f>-R$7/30*'Assumptions'!$F$9</x:f>
        <x:v>83.27294557672319</x:v>
      </x:c>
      <x:c r="S13" s="127" t="n">
        <x:f>-S$7/30*'Assumptions'!$F$9</x:f>
        <x:v>86.1874986719085</x:v>
      </x:c>
      <x:c r="T13" s="127" t="n">
        <x:f>-T$7/30*'Assumptions'!$F$9</x:f>
        <x:v>89.20406112542528</x:v>
      </x:c>
      <x:c r="U13" s="127" t="n">
        <x:f>-U$7/30*'Assumptions'!$F$9</x:f>
        <x:v>92.32620326481515</x:v>
      </x:c>
      <x:c r="V13" s="127" t="n">
        <x:f>-V$7/30*'Assumptions'!$F$9</x:f>
        <x:v>95.55762037908367</x:v>
      </x:c>
      <x:c r="W13" s="127" t="n">
        <x:f>-W$7/30*'Assumptions'!$F$9</x:f>
        <x:v>98.9021370923516</x:v>
      </x:c>
      <x:c r="X13" s="127" t="n">
        <x:f>-X$7/30*'Assumptions'!$F$9</x:f>
        <x:v>102.36371189058389</x:v>
      </x:c>
      <x:c r="Y13" s="127" t="n">
        <x:f>-Y$7/30*'Assumptions'!$F$9</x:f>
        <x:v>105.94644180675432</x:v>
      </x:c>
    </x:row>
    <x:row r="14">
      <x:c r="A14" s="126" t="str">
        <x:v>Net working capital</x:v>
      </x:c>
      <x:c r="B14" s="132" t="n">
        <x:f>B$12-B$13</x:f>
        <x:v>48.57599999999999</x:v>
      </x:c>
      <x:c r="C14" s="132" t="n">
        <x:f>C$12-C$13</x:f>
        <x:v>50.27615999999999</x:v>
      </x:c>
      <x:c r="D14" s="132" t="n">
        <x:f>D$12-D$13</x:f>
        <x:v>52.03582559999999</x:v>
      </x:c>
      <x:c r="E14" s="132" t="n">
        <x:f>E$12-E$13</x:f>
        <x:v>53.85707949599999</x:v>
      </x:c>
      <x:c r="F14" s="132" t="n">
        <x:f>F$12-F$13</x:f>
        <x:v>55.74207727835997</x:v>
      </x:c>
      <x:c r="G14" s="132" t="n">
        <x:f>G$12-G$13</x:f>
        <x:v>57.69304998310256</x:v>
      </x:c>
      <x:c r="H14" s="132" t="n">
        <x:f>H$12-H$13</x:f>
        <x:v>59.712306732511166</x:v>
      </x:c>
      <x:c r="I14" s="132" t="n">
        <x:f>I$12-I$13</x:f>
        <x:v>61.80223746814903</x:v>
      </x:c>
      <x:c r="J14" s="132" t="n">
        <x:f>J$12-J$13</x:f>
        <x:v>63.96531577953425</x:v>
      </x:c>
      <x:c r="K14" s="132" t="n">
        <x:f>K$12-K$13</x:f>
        <x:v>66.20410183181794</x:v>
      </x:c>
      <x:c r="L14" s="132" t="n">
        <x:f>L$12-L$13</x:f>
        <x:v>68.52124539593157</x:v>
      </x:c>
      <x:c r="M14" s="132" t="n">
        <x:f>M$12-M$13</x:f>
        <x:v>70.91948898478918</x:v>
      </x:c>
      <x:c r="N14" s="132" t="n">
        <x:f>N$12-N$13</x:f>
        <x:v>73.40167109925679</x:v>
      </x:c>
      <x:c r="O14" s="132" t="n">
        <x:f>O$12-O$13</x:f>
        <x:v>75.97072958773077</x:v>
      </x:c>
      <x:c r="P14" s="132" t="n">
        <x:f>P$12-P$13</x:f>
        <x:v>78.62970512330136</x:v>
      </x:c>
      <x:c r="Q14" s="132" t="n">
        <x:f>Q$12-Q$13</x:f>
        <x:v>81.38174480261688</x:v>
      </x:c>
      <x:c r="R14" s="132" t="n">
        <x:f>R$12-R$13</x:f>
        <x:v>84.2301058707085</x:v>
      </x:c>
      <x:c r="S14" s="132" t="n">
        <x:f>S$12-S$13</x:f>
        <x:v>87.17815957618329</x:v>
      </x:c>
      <x:c r="T14" s="132" t="n">
        <x:f>T$12-T$13</x:f>
        <x:v>90.22939516134969</x:v>
      </x:c>
      <x:c r="U14" s="132" t="n">
        <x:f>U$12-U$13</x:f>
        <x:v>93.38742399199691</x:v>
      </x:c>
      <x:c r="V14" s="132" t="n">
        <x:f>V$12-V$13</x:f>
        <x:v>96.6559838317168</x:v>
      </x:c>
      <x:c r="W14" s="132" t="n">
        <x:f>W$12-W$13</x:f>
        <x:v>100.03894326582686</x:v>
      </x:c>
      <x:c r="X14" s="132" t="n">
        <x:f>X$12-X$13</x:f>
        <x:v>103.5403062801308</x:v>
      </x:c>
      <x:c r="Y14" s="132" t="n">
        <x:f>Y$12-Y$13</x:f>
        <x:v>107.16421699993536</x:v>
      </x:c>
    </x:row>
    <x:row r="15">
      <x:c r="A15" s="126" t="str">
        <x:v>Change in NWC</x:v>
      </x:c>
      <x:c r="B15" s="132" t="n">
        <x:f>-B$14</x:f>
        <x:v>-48.57599999999999</x:v>
      </x:c>
      <x:c r="C15" s="132" t="n">
        <x:f>-(C$14-B$14)</x:f>
        <x:v>-1.7001599999999968</x:v>
      </x:c>
      <x:c r="D15" s="132" t="n">
        <x:f>-(D$14-C$14)</x:f>
        <x:v>-1.7596655999999982</x:v>
      </x:c>
      <x:c r="E15" s="132" t="n">
        <x:f>-(E$14-D$14)</x:f>
        <x:v>-1.8212538960000018</x:v>
      </x:c>
      <x:c r="F15" s="132" t="n">
        <x:f>-(F$14-E$14)</x:f>
        <x:v>-1.8849977823599815</x:v>
      </x:c>
      <x:c r="G15" s="132" t="n">
        <x:f>-(G$14-F$14)</x:f>
        <x:v>-1.9509727047425898</x:v>
      </x:c>
      <x:c r="H15" s="132" t="n">
        <x:f>-(H$14-G$14)</x:f>
        <x:v>-2.019256749408605</x:v>
      </x:c>
      <x:c r="I15" s="132" t="n">
        <x:f>-(I$14-H$14)</x:f>
        <x:v>-2.0899307356378642</x:v>
      </x:c>
      <x:c r="J15" s="132" t="n">
        <x:f>-(J$14-I$14)</x:f>
        <x:v>-2.1630783113852203</x:v>
      </x:c>
      <x:c r="K15" s="132" t="n">
        <x:f>-(K$14-J$14)</x:f>
        <x:v>-2.238786052283686</x:v>
      </x:c>
      <x:c r="L15" s="132" t="n">
        <x:f>-(L$14-K$14)</x:f>
        <x:v>-2.3171435641136355</x:v>
      </x:c>
      <x:c r="M15" s="132" t="n">
        <x:f>-(M$14-L$14)</x:f>
        <x:v>-2.3982435888576106</x:v>
      </x:c>
      <x:c r="N15" s="132" t="n">
        <x:f>-(N$14-M$14)</x:f>
        <x:v>-2.482182114467605</x:v>
      </x:c>
      <x:c r="O15" s="132" t="n">
        <x:f>-(O$14-N$14)</x:f>
        <x:v>-2.569058488473985</x:v>
      </x:c>
      <x:c r="P15" s="132" t="n">
        <x:f>-(P$14-O$14)</x:f>
        <x:v>-2.6589755355705904</x:v>
      </x:c>
      <x:c r="Q15" s="132" t="n">
        <x:f>-(Q$14-P$14)</x:f>
        <x:v>-2.7520396793155157</x:v>
      </x:c>
      <x:c r="R15" s="132" t="n">
        <x:f>-(R$14-Q$14)</x:f>
        <x:v>-2.84836106809162</x:v>
      </x:c>
      <x:c r="S15" s="132" t="n">
        <x:f>-(S$14-R$14)</x:f>
        <x:v>-2.9480537054747913</x:v>
      </x:c>
      <x:c r="T15" s="132" t="n">
        <x:f>-(T$14-S$14)</x:f>
        <x:v>-3.0512355851663955</x:v>
      </x:c>
      <x:c r="U15" s="132" t="n">
        <x:f>-(U$14-T$14)</x:f>
        <x:v>-3.1580288306472255</x:v>
      </x:c>
      <x:c r="V15" s="132" t="n">
        <x:f>-(V$14-U$14)</x:f>
        <x:v>-3.2685598397198845</x:v>
      </x:c>
      <x:c r="W15" s="132" t="n">
        <x:f>-(W$14-V$14)</x:f>
        <x:v>-3.382959434110063</x:v>
      </x:c>
      <x:c r="X15" s="132" t="n">
        <x:f>-(X$14-W$14)</x:f>
        <x:v>-3.501363014303948</x:v>
      </x:c>
      <x:c r="Y15" s="132" t="n">
        <x:f>-(Y$14-X$14)</x:f>
        <x:v>-3.623910719804556</x:v>
      </x:c>
    </x:row>
    <x:row r="16">
      <x:c r="A16" s="126" t="str">
        <x:v>Capex</x:v>
      </x:c>
      <x:c r="B16" s="127" t="n">
        <x:f>-'SME Inputs'!B$9</x:f>
        <x:v>-15</x:v>
      </x:c>
      <x:c r="C16" s="127" t="n">
        <x:f>-'SME Inputs'!C$9</x:f>
        <x:v>-5</x:v>
      </x:c>
      <x:c r="D16" s="127" t="n">
        <x:f>-'SME Inputs'!D$9</x:f>
        <x:v>0</x:v>
      </x:c>
      <x:c r="E16" s="127" t="n">
        <x:f>-'SME Inputs'!E$9</x:f>
        <x:v>0</x:v>
      </x:c>
      <x:c r="F16" s="127" t="n">
        <x:f>-'SME Inputs'!F$9</x:f>
        <x:v>0</x:v>
      </x:c>
      <x:c r="G16" s="127" t="n">
        <x:f>-'SME Inputs'!G$9</x:f>
        <x:v>-8</x:v>
      </x:c>
      <x:c r="H16" s="127" t="n">
        <x:f>-'SME Inputs'!H$9</x:f>
        <x:v>0</x:v>
      </x:c>
      <x:c r="I16" s="127" t="n">
        <x:f>-'SME Inputs'!I$9</x:f>
        <x:v>0</x:v>
      </x:c>
      <x:c r="J16" s="127" t="n">
        <x:f>-'SME Inputs'!J$9</x:f>
        <x:v>0</x:v>
      </x:c>
      <x:c r="K16" s="127" t="n">
        <x:f>-'SME Inputs'!K$9</x:f>
        <x:v>0</x:v>
      </x:c>
      <x:c r="L16" s="127" t="n">
        <x:f>-'SME Inputs'!L$9</x:f>
        <x:v>0</x:v>
      </x:c>
      <x:c r="M16" s="127" t="n">
        <x:f>-'SME Inputs'!M$9</x:f>
        <x:v>-10</x:v>
      </x:c>
      <x:c r="N16" s="127" t="n">
        <x:f>-'SME Inputs'!N$9</x:f>
        <x:v>0</x:v>
      </x:c>
      <x:c r="O16" s="127" t="n">
        <x:f>-'SME Inputs'!O$9</x:f>
        <x:v>0</x:v>
      </x:c>
      <x:c r="P16" s="127" t="n">
        <x:f>-'SME Inputs'!P$9</x:f>
        <x:v>0</x:v>
      </x:c>
      <x:c r="Q16" s="127" t="n">
        <x:f>-'SME Inputs'!Q$9</x:f>
        <x:v>0</x:v>
      </x:c>
      <x:c r="R16" s="127" t="n">
        <x:f>-'SME Inputs'!R$9</x:f>
        <x:v>0</x:v>
      </x:c>
      <x:c r="S16" s="127" t="n">
        <x:f>-'SME Inputs'!S$9</x:f>
        <x:v>0</x:v>
      </x:c>
      <x:c r="T16" s="127" t="n">
        <x:f>-'SME Inputs'!T$9</x:f>
        <x:v>0</x:v>
      </x:c>
      <x:c r="U16" s="127" t="n">
        <x:f>-'SME Inputs'!U$9</x:f>
        <x:v>0</x:v>
      </x:c>
      <x:c r="V16" s="127" t="n">
        <x:f>-'SME Inputs'!V$9</x:f>
        <x:v>0</x:v>
      </x:c>
      <x:c r="W16" s="127" t="n">
        <x:f>-'SME Inputs'!W$9</x:f>
        <x:v>0</x:v>
      </x:c>
      <x:c r="X16" s="127" t="n">
        <x:f>-'SME Inputs'!X$9</x:f>
        <x:v>0</x:v>
      </x:c>
      <x:c r="Y16" s="127" t="n">
        <x:f>-'SME Inputs'!Y$9</x:f>
        <x:v>0</x:v>
      </x:c>
    </x:row>
    <x:row r="17">
      <x:c r="A17" s="128" t="str">
        <x:v>Pre-funding cash movement</x:v>
      </x:c>
      <x:c r="B17" s="129" t="n">
        <x:f>SUM(B$11,B$15,B$16)</x:f>
        <x:v>-78.8</x:v>
      </x:c>
      <x:c r="C17" s="129" t="n">
        <x:f>SUM(C$11,C$15,C$16)</x:f>
        <x:v>-20.707000000000008</x:v>
      </x:c>
      <x:c r="D17" s="129" t="n">
        <x:f>SUM(D$11,D$15,D$16)</x:f>
        <x:v>-14.50674500000001</x:v>
      </x:c>
      <x:c r="E17" s="129" t="n">
        <x:f>SUM(E$11,E$15,E$16)</x:f>
        <x:v>-13.264481075000013</x:v>
      </x:c>
      <x:c r="F17" s="129" t="n">
        <x:f>SUM(F$11,F$15,F$16)</x:f>
        <x:v>-11.978737912625</x:v>
      </x:c>
      <x:c r="G17" s="129" t="n">
        <x:f>SUM(G$11,G$15,G$16)</x:f>
        <x:v>-18.647993739566886</x:v>
      </x:c>
      <x:c r="H17" s="129" t="n">
        <x:f>SUM(H$11,H$15,H$16)</x:f>
        <x:v>-9.270673520451759</x:v>
      </x:c>
      <x:c r="I17" s="129" t="n">
        <x:f>SUM(I$11,I$15,I$16)</x:f>
        <x:v>-7.845147093667528</x:v>
      </x:c>
      <x:c r="J17" s="129" t="n">
        <x:f>SUM(J$11,J$15,J$16)</x:f>
        <x:v>-6.369727241945924</x:v>
      </x:c>
      <x:c r="K17" s="129" t="n">
        <x:f>SUM(K$11,K$15,K$16)</x:f>
        <x:v>-4.842667695414022</x:v>
      </x:c>
      <x:c r="L17" s="129" t="n">
        <x:f>SUM(L$11,L$15,L$16)</x:f>
        <x:v>-3.2621610647535277</x:v>
      </x:c>
      <x:c r="M17" s="129" t="n">
        <x:f>SUM(M$11,M$15,M$16)</x:f>
        <x:v>-11.626336702019913</x:v>
      </x:c>
      <x:c r="N17" s="129" t="n">
        <x:f>SUM(N$11,N$15,N$16)</x:f>
        <x:v>-7.933258486590589</x:v>
      </x:c>
      <x:c r="O17" s="129" t="n">
        <x:f>SUM(O$11,O$15,O$16)</x:f>
        <x:v>-6.1809225336212705</x:v>
      </x:c>
      <x:c r="P17" s="129" t="n">
        <x:f>SUM(P$11,P$15,P$16)</x:f>
        <x:v>-4.367254822298037</x:v>
      </x:c>
      <x:c r="Q17" s="129" t="n">
        <x:f>SUM(Q$11,Q$15,Q$16)</x:f>
        <x:v>-2.4901087410784157</x:v>
      </x:c>
      <x:c r="R17" s="129" t="n">
        <x:f>SUM(R$11,R$15,R$16)</x:f>
        <x:v>-0.5472625470162313</x:v>
      </x:c>
      <x:c r="S17" s="129" t="n">
        <x:f>SUM(S$11,S$15,S$16)</x:f>
        <x:v>1.4635832638382311</x:v>
      </x:c>
      <x:c r="T17" s="129" t="n">
        <x:f>SUM(T$11,T$15,T$16)</x:f>
        <x:v>3.5448086780725845</x:v>
      </x:c>
      <x:c r="U17" s="129" t="n">
        <x:f>SUM(U$11,U$15,U$16)</x:f>
        <x:v>5.698876981805114</x:v>
      </x:c>
      <x:c r="V17" s="129" t="n">
        <x:f>SUM(V$11,V$15,V$16)</x:f>
        <x:v>7.928337676168269</x:v>
      </x:c>
      <x:c r="W17" s="129" t="n">
        <x:f>SUM(W$11,W$15,W$16)</x:f>
        <x:v>10.235829494834164</x:v>
      </x:c>
      <x:c r="X17" s="129" t="n">
        <x:f>SUM(X$11,X$15,X$16)</x:f>
        <x:v>12.624083527153331</x:v>
      </x:c>
      <x:c r="Y17" s="129" t="n">
        <x:f>SUM(Y$11,Y$15,Y$16)</x:f>
        <x:v>15.095926450603713</x:v>
      </x:c>
    </x:row>
    <x:row r="18">
      <x:c r="A18" s="126" t="str">
        <x:v>Opening cash</x:v>
      </x:c>
      <x:c r="B18" s="127" t="n">
        <x:f>'Assumptions'!$F$10</x:f>
        <x:v>90</x:v>
      </x:c>
      <x:c r="C18" s="127" t="n">
        <x:f>B$21</x:f>
        <x:v>30</x:v>
      </x:c>
      <x:c r="D18" s="127" t="n">
        <x:f>C$21</x:f>
        <x:v>30</x:v>
      </x:c>
      <x:c r="E18" s="127" t="n">
        <x:f>D$21</x:f>
        <x:v>30</x:v>
      </x:c>
      <x:c r="F18" s="127" t="n">
        <x:f>E$21</x:f>
        <x:v>30</x:v>
      </x:c>
      <x:c r="G18" s="127" t="n">
        <x:f>F$21</x:f>
        <x:v>30</x:v>
      </x:c>
      <x:c r="H18" s="127" t="n">
        <x:f>G$21</x:f>
        <x:v>30</x:v>
      </x:c>
      <x:c r="I18" s="127" t="n">
        <x:f>H$21</x:f>
        <x:v>30</x:v>
      </x:c>
      <x:c r="J18" s="127" t="n">
        <x:f>I$21</x:f>
        <x:v>30</x:v>
      </x:c>
      <x:c r="K18" s="127" t="n">
        <x:f>J$21</x:f>
        <x:v>30</x:v>
      </x:c>
      <x:c r="L18" s="127" t="n">
        <x:f>K$21</x:f>
        <x:v>30</x:v>
      </x:c>
      <x:c r="M18" s="127" t="n">
        <x:f>L$21</x:f>
        <x:v>30</x:v>
      </x:c>
      <x:c r="N18" s="127" t="n">
        <x:f>M$21</x:f>
        <x:v>30</x:v>
      </x:c>
      <x:c r="O18" s="127" t="n">
        <x:f>N$21</x:f>
        <x:v>30</x:v>
      </x:c>
      <x:c r="P18" s="127" t="n">
        <x:f>O$21</x:f>
        <x:v>30</x:v>
      </x:c>
      <x:c r="Q18" s="127" t="n">
        <x:f>P$21</x:f>
        <x:v>30</x:v>
      </x:c>
      <x:c r="R18" s="127" t="n">
        <x:f>Q$21</x:f>
        <x:v>30</x:v>
      </x:c>
      <x:c r="S18" s="127" t="n">
        <x:f>R$21</x:f>
        <x:v>30</x:v>
      </x:c>
      <x:c r="T18" s="127" t="n">
        <x:f>S$21</x:f>
        <x:v>31.46358326383823</x:v>
      </x:c>
      <x:c r="U18" s="127" t="n">
        <x:f>T$21</x:f>
        <x:v>35.008391941910816</x:v>
      </x:c>
      <x:c r="V18" s="127" t="n">
        <x:f>U$21</x:f>
        <x:v>40.70726892371593</x:v>
      </x:c>
      <x:c r="W18" s="127" t="n">
        <x:f>V$21</x:f>
        <x:v>48.6356065998842</x:v>
      </x:c>
      <x:c r="X18" s="127" t="n">
        <x:f>W$21</x:f>
        <x:v>58.87143609471836</x:v>
      </x:c>
      <x:c r="Y18" s="127" t="n">
        <x:f>X$21</x:f>
        <x:v>71.4955196218717</x:v>
      </x:c>
    </x:row>
    <x:row r="19">
      <x:c r="A19" s="126" t="str">
        <x:v>Pre-funding closing cash</x:v>
      </x:c>
      <x:c r="B19" s="132" t="n">
        <x:f>B$18+B$17</x:f>
        <x:v>11.200000000000003</x:v>
      </x:c>
      <x:c r="C19" s="132" t="n">
        <x:f>C$18+C$17</x:f>
        <x:v>9.292999999999992</x:v>
      </x:c>
      <x:c r="D19" s="132" t="n">
        <x:f>D$18+D$17</x:f>
        <x:v>15.49325499999999</x:v>
      </x:c>
      <x:c r="E19" s="132" t="n">
        <x:f>E$18+E$17</x:f>
        <x:v>16.735518924999987</x:v>
      </x:c>
      <x:c r="F19" s="132" t="n">
        <x:f>F$18+F$17</x:f>
        <x:v>18.021262087375</x:v>
      </x:c>
      <x:c r="G19" s="132" t="n">
        <x:f>G$18+G$17</x:f>
        <x:v>11.352006260433114</x:v>
      </x:c>
      <x:c r="H19" s="132" t="n">
        <x:f>H$18+H$17</x:f>
        <x:v>20.72932647954824</x:v>
      </x:c>
      <x:c r="I19" s="132" t="n">
        <x:f>I$18+I$17</x:f>
        <x:v>22.154852906332472</x:v>
      </x:c>
      <x:c r="J19" s="132" t="n">
        <x:f>J$18+J$17</x:f>
        <x:v>23.630272758054076</x:v>
      </x:c>
      <x:c r="K19" s="132" t="n">
        <x:f>K$18+K$17</x:f>
        <x:v>25.157332304585978</x:v>
      </x:c>
      <x:c r="L19" s="132" t="n">
        <x:f>L$18+L$17</x:f>
        <x:v>26.737838935246472</x:v>
      </x:c>
      <x:c r="M19" s="132" t="n">
        <x:f>M$18+M$17</x:f>
        <x:v>18.373663297980087</x:v>
      </x:c>
      <x:c r="N19" s="132" t="n">
        <x:f>N$18+N$17</x:f>
        <x:v>22.06674151340941</x:v>
      </x:c>
      <x:c r="O19" s="132" t="n">
        <x:f>O$18+O$17</x:f>
        <x:v>23.81907746637873</x:v>
      </x:c>
      <x:c r="P19" s="132" t="n">
        <x:f>P$18+P$17</x:f>
        <x:v>25.632745177701963</x:v>
      </x:c>
      <x:c r="Q19" s="132" t="n">
        <x:f>Q$18+Q$17</x:f>
        <x:v>27.509891258921584</x:v>
      </x:c>
      <x:c r="R19" s="132" t="n">
        <x:f>R$18+R$17</x:f>
        <x:v>29.45273745298377</x:v>
      </x:c>
      <x:c r="S19" s="132" t="n">
        <x:f>S$18+S$17</x:f>
        <x:v>31.46358326383823</x:v>
      </x:c>
      <x:c r="T19" s="132" t="n">
        <x:f>T$18+T$17</x:f>
        <x:v>35.008391941910816</x:v>
      </x:c>
      <x:c r="U19" s="132" t="n">
        <x:f>U$18+U$17</x:f>
        <x:v>40.70726892371593</x:v>
      </x:c>
      <x:c r="V19" s="132" t="n">
        <x:f>V$18+V$17</x:f>
        <x:v>48.6356065998842</x:v>
      </x:c>
      <x:c r="W19" s="132" t="n">
        <x:f>W$18+W$17</x:f>
        <x:v>58.87143609471836</x:v>
      </x:c>
      <x:c r="X19" s="132" t="n">
        <x:f>X$18+X$17</x:f>
        <x:v>71.4955196218717</x:v>
      </x:c>
      <x:c r="Y19" s="132" t="n">
        <x:f>Y$18+Y$17</x:f>
        <x:v>86.5914460724754</x:v>
      </x:c>
    </x:row>
    <x:row r="20">
      <x:c r="A20" s="128" t="str">
        <x:v>Funding required</x:v>
      </x:c>
      <x:c r="B20" s="133" t="n">
        <x:f>MAX(0,'Assumptions'!$F$11-B$19)</x:f>
        <x:v>18.799999999999997</x:v>
      </x:c>
      <x:c r="C20" s="133" t="n">
        <x:f>MAX(0,'Assumptions'!$F$11-C$19)</x:f>
        <x:v>20.707000000000008</x:v>
      </x:c>
      <x:c r="D20" s="133" t="n">
        <x:f>MAX(0,'Assumptions'!$F$11-D$19)</x:f>
        <x:v>14.50674500000001</x:v>
      </x:c>
      <x:c r="E20" s="133" t="n">
        <x:f>MAX(0,'Assumptions'!$F$11-E$19)</x:f>
        <x:v>13.264481075000013</x:v>
      </x:c>
      <x:c r="F20" s="133" t="n">
        <x:f>MAX(0,'Assumptions'!$F$11-F$19)</x:f>
        <x:v>11.978737912625</x:v>
      </x:c>
      <x:c r="G20" s="133" t="n">
        <x:f>MAX(0,'Assumptions'!$F$11-G$19)</x:f>
        <x:v>18.647993739566886</x:v>
      </x:c>
      <x:c r="H20" s="133" t="n">
        <x:f>MAX(0,'Assumptions'!$F$11-H$19)</x:f>
        <x:v>9.270673520451759</x:v>
      </x:c>
      <x:c r="I20" s="133" t="n">
        <x:f>MAX(0,'Assumptions'!$F$11-I$19)</x:f>
        <x:v>7.845147093667528</x:v>
      </x:c>
      <x:c r="J20" s="133" t="n">
        <x:f>MAX(0,'Assumptions'!$F$11-J$19)</x:f>
        <x:v>6.369727241945924</x:v>
      </x:c>
      <x:c r="K20" s="133" t="n">
        <x:f>MAX(0,'Assumptions'!$F$11-K$19)</x:f>
        <x:v>4.842667695414022</x:v>
      </x:c>
      <x:c r="L20" s="133" t="n">
        <x:f>MAX(0,'Assumptions'!$F$11-L$19)</x:f>
        <x:v>3.2621610647535277</x:v>
      </x:c>
      <x:c r="M20" s="133" t="n">
        <x:f>MAX(0,'Assumptions'!$F$11-M$19)</x:f>
        <x:v>11.626336702019913</x:v>
      </x:c>
      <x:c r="N20" s="133" t="n">
        <x:f>MAX(0,'Assumptions'!$F$11-N$19)</x:f>
        <x:v>7.933258486590589</x:v>
      </x:c>
      <x:c r="O20" s="133" t="n">
        <x:f>MAX(0,'Assumptions'!$F$11-O$19)</x:f>
        <x:v>6.1809225336212705</x:v>
      </x:c>
      <x:c r="P20" s="133" t="n">
        <x:f>MAX(0,'Assumptions'!$F$11-P$19)</x:f>
        <x:v>4.367254822298037</x:v>
      </x:c>
      <x:c r="Q20" s="133" t="n">
        <x:f>MAX(0,'Assumptions'!$F$11-Q$19)</x:f>
        <x:v>2.4901087410784157</x:v>
      </x:c>
      <x:c r="R20" s="133" t="n">
        <x:f>MAX(0,'Assumptions'!$F$11-R$19)</x:f>
        <x:v>0.5472625470162313</x:v>
      </x:c>
      <x:c r="S20" s="133" t="n">
        <x:f>MAX(0,'Assumptions'!$F$11-S$19)</x:f>
        <x:v>0</x:v>
      </x:c>
      <x:c r="T20" s="133" t="n">
        <x:f>MAX(0,'Assumptions'!$F$11-T$19)</x:f>
        <x:v>0</x:v>
      </x:c>
      <x:c r="U20" s="133" t="n">
        <x:f>MAX(0,'Assumptions'!$F$11-U$19)</x:f>
        <x:v>0</x:v>
      </x:c>
      <x:c r="V20" s="133" t="n">
        <x:f>MAX(0,'Assumptions'!$F$11-V$19)</x:f>
        <x:v>0</x:v>
      </x:c>
      <x:c r="W20" s="133" t="n">
        <x:f>MAX(0,'Assumptions'!$F$11-W$19)</x:f>
        <x:v>0</x:v>
      </x:c>
      <x:c r="X20" s="133" t="n">
        <x:f>MAX(0,'Assumptions'!$F$11-X$19)</x:f>
        <x:v>0</x:v>
      </x:c>
      <x:c r="Y20" s="133" t="n">
        <x:f>MAX(0,'Assumptions'!$F$11-Y$19)</x:f>
        <x:v>0</x:v>
      </x:c>
    </x:row>
    <x:row r="21">
      <x:c r="A21" s="130" t="str">
        <x:v>Closing cash after explicit funding</x:v>
      </x:c>
      <x:c r="B21" s="131" t="n">
        <x:f>B$19+B$20</x:f>
        <x:v>30</x:v>
      </x:c>
      <x:c r="C21" s="131" t="n">
        <x:f>C$19+C$20</x:f>
        <x:v>30</x:v>
      </x:c>
      <x:c r="D21" s="131" t="n">
        <x:f>D$19+D$20</x:f>
        <x:v>30</x:v>
      </x:c>
      <x:c r="E21" s="131" t="n">
        <x:f>E$19+E$20</x:f>
        <x:v>30</x:v>
      </x:c>
      <x:c r="F21" s="131" t="n">
        <x:f>F$19+F$20</x:f>
        <x:v>30</x:v>
      </x:c>
      <x:c r="G21" s="131" t="n">
        <x:f>G$19+G$20</x:f>
        <x:v>30</x:v>
      </x:c>
      <x:c r="H21" s="131" t="n">
        <x:f>H$19+H$20</x:f>
        <x:v>30</x:v>
      </x:c>
      <x:c r="I21" s="131" t="n">
        <x:f>I$19+I$20</x:f>
        <x:v>30</x:v>
      </x:c>
      <x:c r="J21" s="131" t="n">
        <x:f>J$19+J$20</x:f>
        <x:v>30</x:v>
      </x:c>
      <x:c r="K21" s="131" t="n">
        <x:f>K$19+K$20</x:f>
        <x:v>30</x:v>
      </x:c>
      <x:c r="L21" s="131" t="n">
        <x:f>L$19+L$20</x:f>
        <x:v>30</x:v>
      </x:c>
      <x:c r="M21" s="131" t="n">
        <x:f>M$19+M$20</x:f>
        <x:v>30</x:v>
      </x:c>
      <x:c r="N21" s="131" t="n">
        <x:f>N$19+N$20</x:f>
        <x:v>30</x:v>
      </x:c>
      <x:c r="O21" s="131" t="n">
        <x:f>O$19+O$20</x:f>
        <x:v>30</x:v>
      </x:c>
      <x:c r="P21" s="131" t="n">
        <x:f>P$19+P$20</x:f>
        <x:v>30</x:v>
      </x:c>
      <x:c r="Q21" s="131" t="n">
        <x:f>Q$19+Q$20</x:f>
        <x:v>30</x:v>
      </x:c>
      <x:c r="R21" s="131" t="n">
        <x:f>R$19+R$20</x:f>
        <x:v>30</x:v>
      </x:c>
      <x:c r="S21" s="131" t="n">
        <x:f>S$19+S$20</x:f>
        <x:v>31.46358326383823</x:v>
      </x:c>
      <x:c r="T21" s="131" t="n">
        <x:f>T$19+T$20</x:f>
        <x:v>35.008391941910816</x:v>
      </x:c>
      <x:c r="U21" s="131" t="n">
        <x:f>U$19+U$20</x:f>
        <x:v>40.70726892371593</x:v>
      </x:c>
      <x:c r="V21" s="131" t="n">
        <x:f>V$19+V$20</x:f>
        <x:v>48.6356065998842</x:v>
      </x:c>
      <x:c r="W21" s="131" t="n">
        <x:f>W$19+W$20</x:f>
        <x:v>58.87143609471836</x:v>
      </x:c>
      <x:c r="X21" s="131" t="n">
        <x:f>X$19+X$20</x:f>
        <x:v>71.4955196218717</x:v>
      </x:c>
      <x:c r="Y21" s="131" t="n">
        <x:f>Y$19+Y$20</x:f>
        <x:v>86.5914460724754</x:v>
      </x:c>
    </x:row>
    <x:row r="22">
      <x:c r="A22" s="126" t="str">
        <x:v>Break-even monthly revenue</x:v>
      </x:c>
      <x:c r="B22" s="127" t="n">
        <x:f>IF('Assumptions'!$F$7=0,0,('SME Inputs'!B$7+'SME Inputs'!B$8)/'Assumptions'!$F$7)</x:f>
        <x:v>119.04761904761905</x:v>
      </x:c>
      <x:c r="C22" s="127" t="n">
        <x:f>IF('Assumptions'!$F$7=0,0,('SME Inputs'!C$7+'SME Inputs'!C$8)/'Assumptions'!$F$7)</x:f>
        <x:v>119.04761904761905</x:v>
      </x:c>
      <x:c r="D22" s="127" t="n">
        <x:f>IF('Assumptions'!$F$7=0,0,('SME Inputs'!D$7+'SME Inputs'!D$8)/'Assumptions'!$F$7)</x:f>
        <x:v>119.04761904761905</x:v>
      </x:c>
      <x:c r="E22" s="127" t="n">
        <x:f>IF('Assumptions'!$F$7=0,0,('SME Inputs'!E$7+'SME Inputs'!E$8)/'Assumptions'!$F$7)</x:f>
        <x:v>119.04761904761905</x:v>
      </x:c>
      <x:c r="F22" s="127" t="n">
        <x:f>IF('Assumptions'!$F$7=0,0,('SME Inputs'!F$7+'SME Inputs'!F$8)/'Assumptions'!$F$7)</x:f>
        <x:v>119.04761904761905</x:v>
      </x:c>
      <x:c r="G22" s="127" t="n">
        <x:f>IF('Assumptions'!$F$7=0,0,('SME Inputs'!G$7+'SME Inputs'!G$8)/'Assumptions'!$F$7)</x:f>
        <x:v>119.04761904761905</x:v>
      </x:c>
      <x:c r="H22" s="127" t="n">
        <x:f>IF('Assumptions'!$F$7=0,0,('SME Inputs'!H$7+'SME Inputs'!H$8)/'Assumptions'!$F$7)</x:f>
        <x:v>119.04761904761905</x:v>
      </x:c>
      <x:c r="I22" s="127" t="n">
        <x:f>IF('Assumptions'!$F$7=0,0,('SME Inputs'!I$7+'SME Inputs'!I$8)/'Assumptions'!$F$7)</x:f>
        <x:v>119.04761904761905</x:v>
      </x:c>
      <x:c r="J22" s="127" t="n">
        <x:f>IF('Assumptions'!$F$7=0,0,('SME Inputs'!J$7+'SME Inputs'!J$8)/'Assumptions'!$F$7)</x:f>
        <x:v>119.04761904761905</x:v>
      </x:c>
      <x:c r="K22" s="127" t="n">
        <x:f>IF('Assumptions'!$F$7=0,0,('SME Inputs'!K$7+'SME Inputs'!K$8)/'Assumptions'!$F$7)</x:f>
        <x:v>119.04761904761905</x:v>
      </x:c>
      <x:c r="L22" s="127" t="n">
        <x:f>IF('Assumptions'!$F$7=0,0,('SME Inputs'!L$7+'SME Inputs'!L$8)/'Assumptions'!$F$7)</x:f>
        <x:v>119.04761904761905</x:v>
      </x:c>
      <x:c r="M22" s="127" t="n">
        <x:f>IF('Assumptions'!$F$7=0,0,('SME Inputs'!M$7+'SME Inputs'!M$8)/'Assumptions'!$F$7)</x:f>
        <x:v>119.04761904761905</x:v>
      </x:c>
      <x:c r="N22" s="127" t="n">
        <x:f>IF('Assumptions'!$F$7=0,0,('SME Inputs'!N$7+'SME Inputs'!N$8)/'Assumptions'!$F$7)</x:f>
        <x:v>138.0952380952381</x:v>
      </x:c>
      <x:c r="O22" s="127" t="n">
        <x:f>IF('Assumptions'!$F$7=0,0,('SME Inputs'!O$7+'SME Inputs'!O$8)/'Assumptions'!$F$7)</x:f>
        <x:v>138.0952380952381</x:v>
      </x:c>
      <x:c r="P22" s="127" t="n">
        <x:f>IF('Assumptions'!$F$7=0,0,('SME Inputs'!P$7+'SME Inputs'!P$8)/'Assumptions'!$F$7)</x:f>
        <x:v>138.0952380952381</x:v>
      </x:c>
      <x:c r="Q22" s="127" t="n">
        <x:f>IF('Assumptions'!$F$7=0,0,('SME Inputs'!Q$7+'SME Inputs'!Q$8)/'Assumptions'!$F$7)</x:f>
        <x:v>138.0952380952381</x:v>
      </x:c>
      <x:c r="R22" s="127" t="n">
        <x:f>IF('Assumptions'!$F$7=0,0,('SME Inputs'!R$7+'SME Inputs'!R$8)/'Assumptions'!$F$7)</x:f>
        <x:v>138.0952380952381</x:v>
      </x:c>
      <x:c r="S22" s="127" t="n">
        <x:f>IF('Assumptions'!$F$7=0,0,('SME Inputs'!S$7+'SME Inputs'!S$8)/'Assumptions'!$F$7)</x:f>
        <x:v>138.0952380952381</x:v>
      </x:c>
      <x:c r="T22" s="127" t="n">
        <x:f>IF('Assumptions'!$F$7=0,0,('SME Inputs'!T$7+'SME Inputs'!T$8)/'Assumptions'!$F$7)</x:f>
        <x:v>138.0952380952381</x:v>
      </x:c>
      <x:c r="U22" s="127" t="n">
        <x:f>IF('Assumptions'!$F$7=0,0,('SME Inputs'!U$7+'SME Inputs'!U$8)/'Assumptions'!$F$7)</x:f>
        <x:v>138.0952380952381</x:v>
      </x:c>
      <x:c r="V22" s="127" t="n">
        <x:f>IF('Assumptions'!$F$7=0,0,('SME Inputs'!V$7+'SME Inputs'!V$8)/'Assumptions'!$F$7)</x:f>
        <x:v>138.0952380952381</x:v>
      </x:c>
      <x:c r="W22" s="127" t="n">
        <x:f>IF('Assumptions'!$F$7=0,0,('SME Inputs'!W$7+'SME Inputs'!W$8)/'Assumptions'!$F$7)</x:f>
        <x:v>138.0952380952381</x:v>
      </x:c>
      <x:c r="X22" s="127" t="n">
        <x:f>IF('Assumptions'!$F$7=0,0,('SME Inputs'!X$7+'SME Inputs'!X$8)/'Assumptions'!$F$7)</x:f>
        <x:v>138.0952380952381</x:v>
      </x:c>
      <x:c r="Y22" s="127" t="n">
        <x:f>IF('Assumptions'!$F$7=0,0,('SME Inputs'!Y$7+'SME Inputs'!Y$8)/'Assumptions'!$F$7)</x:f>
        <x:v>138.0952380952381</x:v>
      </x:c>
    </x:row>
    <x:row r="23">
      <x:c r="A23" s="134" t="str">
        <x:v>Cash roll-forward check</x:v>
      </x:c>
      <x:c r="B23" s="135" t="n">
        <x:f>B$21-B$18-B$17-B$20</x:f>
        <x:v>0</x:v>
      </x:c>
      <x:c r="C23" s="135" t="n">
        <x:f>C$21-C$18-C$17-C$20</x:f>
        <x:v>0</x:v>
      </x:c>
      <x:c r="D23" s="135" t="n">
        <x:f>D$21-D$18-D$17-D$20</x:f>
        <x:v>0</x:v>
      </x:c>
      <x:c r="E23" s="135" t="n">
        <x:f>E$21-E$18-E$17-E$20</x:f>
        <x:v>0</x:v>
      </x:c>
      <x:c r="F23" s="135" t="n">
        <x:f>F$21-F$18-F$17-F$20</x:f>
        <x:v>0</x:v>
      </x:c>
      <x:c r="G23" s="135" t="n">
        <x:f>G$21-G$18-G$17-G$20</x:f>
        <x:v>0</x:v>
      </x:c>
      <x:c r="H23" s="135" t="n">
        <x:f>H$21-H$18-H$17-H$20</x:f>
        <x:v>0</x:v>
      </x:c>
      <x:c r="I23" s="135" t="n">
        <x:f>I$21-I$18-I$17-I$20</x:f>
        <x:v>0</x:v>
      </x:c>
      <x:c r="J23" s="135" t="n">
        <x:f>J$21-J$18-J$17-J$20</x:f>
        <x:v>0</x:v>
      </x:c>
      <x:c r="K23" s="135" t="n">
        <x:f>K$21-K$18-K$17-K$20</x:f>
        <x:v>0</x:v>
      </x:c>
      <x:c r="L23" s="135" t="n">
        <x:f>L$21-L$18-L$17-L$20</x:f>
        <x:v>0</x:v>
      </x:c>
      <x:c r="M23" s="135" t="n">
        <x:f>M$21-M$18-M$17-M$20</x:f>
        <x:v>0</x:v>
      </x:c>
      <x:c r="N23" s="135" t="n">
        <x:f>N$21-N$18-N$17-N$20</x:f>
        <x:v>0</x:v>
      </x:c>
      <x:c r="O23" s="135" t="n">
        <x:f>O$21-O$18-O$17-O$20</x:f>
        <x:v>0</x:v>
      </x:c>
      <x:c r="P23" s="135" t="n">
        <x:f>P$21-P$18-P$17-P$20</x:f>
        <x:v>0</x:v>
      </x:c>
      <x:c r="Q23" s="135" t="n">
        <x:f>Q$21-Q$18-Q$17-Q$20</x:f>
        <x:v>0</x:v>
      </x:c>
      <x:c r="R23" s="135" t="n">
        <x:f>R$21-R$18-R$17-R$20</x:f>
        <x:v>0</x:v>
      </x:c>
      <x:c r="S23" s="135" t="n">
        <x:f>S$21-S$18-S$17-S$20</x:f>
        <x:v>0</x:v>
      </x:c>
      <x:c r="T23" s="135" t="n">
        <x:f>T$21-T$18-T$17-T$20</x:f>
        <x:v>0</x:v>
      </x:c>
      <x:c r="U23" s="135" t="n">
        <x:f>U$21-U$18-U$17-U$20</x:f>
        <x:v>0</x:v>
      </x:c>
      <x:c r="V23" s="135" t="n">
        <x:f>V$21-V$18-V$17-V$20</x:f>
        <x:v>0</x:v>
      </x:c>
      <x:c r="W23" s="135" t="n">
        <x:f>W$21-W$18-W$17-W$20</x:f>
        <x:v>0</x:v>
      </x:c>
      <x:c r="X23" s="135" t="n">
        <x:f>X$21-X$18-X$17-X$20</x:f>
        <x:v>0</x:v>
      </x:c>
      <x:c r="Y23" s="135" t="n">
        <x:f>Y$21-Y$18-Y$17-Y$20</x:f>
        <x:v>0</x:v>
      </x:c>
    </x:row>
    <x:row r="25">
      <x:c r="A25" s="42" t="str">
        <x:v>Review row definitions, sign convention, period basis, scenario mechanics, and every breakpoint before relying on the output.</x:v>
      </x:c>
      <x:c r="B25" s="43" t="str">
        <x:v>Review row definitions, sign convention, period basis, scenario mechanics, and every breakpoint before relying on the output.</x:v>
      </x:c>
      <x:c r="C25" s="43" t="str">
        <x:v>Review row definitions, sign convention, period basis, scenario mechanics, and every breakpoint before relying on the output.</x:v>
      </x:c>
      <x:c r="D25" s="43" t="str">
        <x:v>Review row definitions, sign convention, period basis, scenario mechanics, and every breakpoint before relying on the output.</x:v>
      </x:c>
      <x:c r="E25" s="43" t="str">
        <x:v>Review row definitions, sign convention, period basis, scenario mechanics, and every breakpoint before relying on the output.</x:v>
      </x:c>
      <x:c r="F25" s="43" t="str">
        <x:v>Review row definitions, sign convention, period basis, scenario mechanics, and every breakpoint before relying on the output.</x:v>
      </x:c>
      <x:c r="G25" s="43" t="str">
        <x:v>Review row definitions, sign convention, period basis, scenario mechanics, and every breakpoint before relying on the output.</x:v>
      </x:c>
      <x:c r="H25" s="43" t="str">
        <x:v>Review row definitions, sign convention, period basis, scenario mechanics, and every breakpoint before relying on the output.</x:v>
      </x:c>
      <x:c r="I25" s="43" t="str">
        <x:v>Review row definitions, sign convention, period basis, scenario mechanics, and every breakpoint before relying on the output.</x:v>
      </x:c>
      <x:c r="J25" s="43" t="str">
        <x:v>Review row definitions, sign convention, period basis, scenario mechanics, and every breakpoint before relying on the output.</x:v>
      </x:c>
      <x:c r="K25" s="43" t="str">
        <x:v>Review row definitions, sign convention, period basis, scenario mechanics, and every breakpoint before relying on the output.</x:v>
      </x:c>
      <x:c r="L25" s="43" t="str">
        <x:v>Review row definitions, sign convention, period basis, scenario mechanics, and every breakpoint before relying on the output.</x:v>
      </x:c>
      <x:c r="M25" s="43" t="str">
        <x:v>Review row definitions, sign convention, period basis, scenario mechanics, and every breakpoint before relying on the output.</x:v>
      </x:c>
      <x:c r="N25" s="43" t="str">
        <x:v>Review row definitions, sign convention, period basis, scenario mechanics, and every breakpoint before relying on the output.</x:v>
      </x:c>
      <x:c r="O25" s="43" t="str">
        <x:v>Review row definitions, sign convention, period basis, scenario mechanics, and every breakpoint before relying on the output.</x:v>
      </x:c>
      <x:c r="P25" s="43" t="str">
        <x:v>Review row definitions, sign convention, period basis, scenario mechanics, and every breakpoint before relying on the output.</x:v>
      </x:c>
      <x:c r="Q25" s="43" t="str">
        <x:v>Review row definitions, sign convention, period basis, scenario mechanics, and every breakpoint before relying on the output.</x:v>
      </x:c>
      <x:c r="R25" s="43" t="str">
        <x:v>Review row definitions, sign convention, period basis, scenario mechanics, and every breakpoint before relying on the output.</x:v>
      </x:c>
      <x:c r="S25" s="43" t="str">
        <x:v>Review row definitions, sign convention, period basis, scenario mechanics, and every breakpoint before relying on the output.</x:v>
      </x:c>
      <x:c r="T25" s="43" t="str">
        <x:v>Review row definitions, sign convention, period basis, scenario mechanics, and every breakpoint before relying on the output.</x:v>
      </x:c>
      <x:c r="U25" s="43" t="str">
        <x:v>Review row definitions, sign convention, period basis, scenario mechanics, and every breakpoint before relying on the output.</x:v>
      </x:c>
      <x:c r="V25" s="43" t="str">
        <x:v>Review row definitions, sign convention, period basis, scenario mechanics, and every breakpoint before relying on the output.</x:v>
      </x:c>
      <x:c r="W25" s="43" t="str">
        <x:v>Review row definitions, sign convention, period basis, scenario mechanics, and every breakpoint before relying on the output.</x:v>
      </x:c>
      <x:c r="X25" s="43" t="str">
        <x:v>Review row definitions, sign convention, period basis, scenario mechanics, and every breakpoint before relying on the output.</x:v>
      </x:c>
      <x:c r="Y25" s="44" t="str">
        <x:v>Review row definitions, sign convention, period basis, scenario mechanics, and every breakpoint before relying on the output.</x:v>
      </x:c>
    </x:row>
    <x:row r="26">
      <x:c r="A26" s="45" t="str">
        <x:v>Review row definitions, sign convention, period basis, scenario mechanics, and every breakpoint before relying on the output.</x:v>
      </x:c>
      <x:c r="B26" s="46" t="str">
        <x:v>Review row definitions, sign convention, period basis, scenario mechanics, and every breakpoint before relying on the output.</x:v>
      </x:c>
      <x:c r="C26" s="46" t="str">
        <x:v>Review row definitions, sign convention, period basis, scenario mechanics, and every breakpoint before relying on the output.</x:v>
      </x:c>
      <x:c r="D26" s="46" t="str">
        <x:v>Review row definitions, sign convention, period basis, scenario mechanics, and every breakpoint before relying on the output.</x:v>
      </x:c>
      <x:c r="E26" s="46" t="str">
        <x:v>Review row definitions, sign convention, period basis, scenario mechanics, and every breakpoint before relying on the output.</x:v>
      </x:c>
      <x:c r="F26" s="46" t="str">
        <x:v>Review row definitions, sign convention, period basis, scenario mechanics, and every breakpoint before relying on the output.</x:v>
      </x:c>
      <x:c r="G26" s="46" t="str">
        <x:v>Review row definitions, sign convention, period basis, scenario mechanics, and every breakpoint before relying on the output.</x:v>
      </x:c>
      <x:c r="H26" s="46" t="str">
        <x:v>Review row definitions, sign convention, period basis, scenario mechanics, and every breakpoint before relying on the output.</x:v>
      </x:c>
      <x:c r="I26" s="46" t="str">
        <x:v>Review row definitions, sign convention, period basis, scenario mechanics, and every breakpoint before relying on the output.</x:v>
      </x:c>
      <x:c r="J26" s="46" t="str">
        <x:v>Review row definitions, sign convention, period basis, scenario mechanics, and every breakpoint before relying on the output.</x:v>
      </x:c>
      <x:c r="K26" s="46" t="str">
        <x:v>Review row definitions, sign convention, period basis, scenario mechanics, and every breakpoint before relying on the output.</x:v>
      </x:c>
      <x:c r="L26" s="46" t="str">
        <x:v>Review row definitions, sign convention, period basis, scenario mechanics, and every breakpoint before relying on the output.</x:v>
      </x:c>
      <x:c r="M26" s="46" t="str">
        <x:v>Review row definitions, sign convention, period basis, scenario mechanics, and every breakpoint before relying on the output.</x:v>
      </x:c>
      <x:c r="N26" s="46" t="str">
        <x:v>Review row definitions, sign convention, period basis, scenario mechanics, and every breakpoint before relying on the output.</x:v>
      </x:c>
      <x:c r="O26" s="46" t="str">
        <x:v>Review row definitions, sign convention, period basis, scenario mechanics, and every breakpoint before relying on the output.</x:v>
      </x:c>
      <x:c r="P26" s="46" t="str">
        <x:v>Review row definitions, sign convention, period basis, scenario mechanics, and every breakpoint before relying on the output.</x:v>
      </x:c>
      <x:c r="Q26" s="46" t="str">
        <x:v>Review row definitions, sign convention, period basis, scenario mechanics, and every breakpoint before relying on the output.</x:v>
      </x:c>
      <x:c r="R26" s="46" t="str">
        <x:v>Review row definitions, sign convention, period basis, scenario mechanics, and every breakpoint before relying on the output.</x:v>
      </x:c>
      <x:c r="S26" s="46" t="str">
        <x:v>Review row definitions, sign convention, period basis, scenario mechanics, and every breakpoint before relying on the output.</x:v>
      </x:c>
      <x:c r="T26" s="46" t="str">
        <x:v>Review row definitions, sign convention, period basis, scenario mechanics, and every breakpoint before relying on the output.</x:v>
      </x:c>
      <x:c r="U26" s="46" t="str">
        <x:v>Review row definitions, sign convention, period basis, scenario mechanics, and every breakpoint before relying on the output.</x:v>
      </x:c>
      <x:c r="V26" s="46" t="str">
        <x:v>Review row definitions, sign convention, period basis, scenario mechanics, and every breakpoint before relying on the output.</x:v>
      </x:c>
      <x:c r="W26" s="46" t="str">
        <x:v>Review row definitions, sign convention, period basis, scenario mechanics, and every breakpoint before relying on the output.</x:v>
      </x:c>
      <x:c r="X26" s="46" t="str">
        <x:v>Review row definitions, sign convention, period basis, scenario mechanics, and every breakpoint before relying on the output.</x:v>
      </x:c>
      <x:c r="Y26" s="47" t="str">
        <x:v>Review row definitions, sign convention, period basis, scenario mechanics, and every breakpoint before relying on the output.</x:v>
      </x:c>
    </x:row>
    <x:row r="27">
      <x:c r="A27" s="48" t="str">
        <x:v>Review row definitions, sign convention, period basis, scenario mechanics, and every breakpoint before relying on the output.</x:v>
      </x:c>
      <x:c r="B27" s="49" t="str">
        <x:v>Review row definitions, sign convention, period basis, scenario mechanics, and every breakpoint before relying on the output.</x:v>
      </x:c>
      <x:c r="C27" s="49" t="str">
        <x:v>Review row definitions, sign convention, period basis, scenario mechanics, and every breakpoint before relying on the output.</x:v>
      </x:c>
      <x:c r="D27" s="49" t="str">
        <x:v>Review row definitions, sign convention, period basis, scenario mechanics, and every breakpoint before relying on the output.</x:v>
      </x:c>
      <x:c r="E27" s="49" t="str">
        <x:v>Review row definitions, sign convention, period basis, scenario mechanics, and every breakpoint before relying on the output.</x:v>
      </x:c>
      <x:c r="F27" s="49" t="str">
        <x:v>Review row definitions, sign convention, period basis, scenario mechanics, and every breakpoint before relying on the output.</x:v>
      </x:c>
      <x:c r="G27" s="49" t="str">
        <x:v>Review row definitions, sign convention, period basis, scenario mechanics, and every breakpoint before relying on the output.</x:v>
      </x:c>
      <x:c r="H27" s="49" t="str">
        <x:v>Review row definitions, sign convention, period basis, scenario mechanics, and every breakpoint before relying on the output.</x:v>
      </x:c>
      <x:c r="I27" s="49" t="str">
        <x:v>Review row definitions, sign convention, period basis, scenario mechanics, and every breakpoint before relying on the output.</x:v>
      </x:c>
      <x:c r="J27" s="49" t="str">
        <x:v>Review row definitions, sign convention, period basis, scenario mechanics, and every breakpoint before relying on the output.</x:v>
      </x:c>
      <x:c r="K27" s="49" t="str">
        <x:v>Review row definitions, sign convention, period basis, scenario mechanics, and every breakpoint before relying on the output.</x:v>
      </x:c>
      <x:c r="L27" s="49" t="str">
        <x:v>Review row definitions, sign convention, period basis, scenario mechanics, and every breakpoint before relying on the output.</x:v>
      </x:c>
      <x:c r="M27" s="49" t="str">
        <x:v>Review row definitions, sign convention, period basis, scenario mechanics, and every breakpoint before relying on the output.</x:v>
      </x:c>
      <x:c r="N27" s="49" t="str">
        <x:v>Review row definitions, sign convention, period basis, scenario mechanics, and every breakpoint before relying on the output.</x:v>
      </x:c>
      <x:c r="O27" s="49" t="str">
        <x:v>Review row definitions, sign convention, period basis, scenario mechanics, and every breakpoint before relying on the output.</x:v>
      </x:c>
      <x:c r="P27" s="49" t="str">
        <x:v>Review row definitions, sign convention, period basis, scenario mechanics, and every breakpoint before relying on the output.</x:v>
      </x:c>
      <x:c r="Q27" s="49" t="str">
        <x:v>Review row definitions, sign convention, period basis, scenario mechanics, and every breakpoint before relying on the output.</x:v>
      </x:c>
      <x:c r="R27" s="49" t="str">
        <x:v>Review row definitions, sign convention, period basis, scenario mechanics, and every breakpoint before relying on the output.</x:v>
      </x:c>
      <x:c r="S27" s="49" t="str">
        <x:v>Review row definitions, sign convention, period basis, scenario mechanics, and every breakpoint before relying on the output.</x:v>
      </x:c>
      <x:c r="T27" s="49" t="str">
        <x:v>Review row definitions, sign convention, period basis, scenario mechanics, and every breakpoint before relying on the output.</x:v>
      </x:c>
      <x:c r="U27" s="49" t="str">
        <x:v>Review row definitions, sign convention, period basis, scenario mechanics, and every breakpoint before relying on the output.</x:v>
      </x:c>
      <x:c r="V27" s="49" t="str">
        <x:v>Review row definitions, sign convention, period basis, scenario mechanics, and every breakpoint before relying on the output.</x:v>
      </x:c>
      <x:c r="W27" s="49" t="str">
        <x:v>Review row definitions, sign convention, period basis, scenario mechanics, and every breakpoint before relying on the output.</x:v>
      </x:c>
      <x:c r="X27" s="49" t="str">
        <x:v>Review row definitions, sign convention, period basis, scenario mechanics, and every breakpoint before relying on the output.</x:v>
      </x:c>
      <x:c r="Y27" s="50" t="str">
        <x:v>Review row definitions, sign convention, period basis, scenario mechanics, and every breakpoint before relying on the output.</x:v>
      </x:c>
    </x:row>
    <x:row r="29">
      <x:c r="A29" s="53" t="str">
        <x:v>TDAT Model Library  |  Trust builds the brand. Insight builds the decision.</x:v>
      </x:c>
      <x:c r="B29" s="53" t="str">
        <x:v>TDAT Model Library  |  Trust builds the brand. Insight builds the decision.</x:v>
      </x:c>
      <x:c r="C29" s="53" t="str">
        <x:v>TDAT Model Library  |  Trust builds the brand. Insight builds the decision.</x:v>
      </x:c>
      <x:c r="D29" s="53" t="str">
        <x:v>TDAT Model Library  |  Trust builds the brand. Insight builds the decision.</x:v>
      </x:c>
      <x:c r="E29" s="53" t="str">
        <x:v>TDAT Model Library  |  Trust builds the brand. Insight builds the decision.</x:v>
      </x:c>
      <x:c r="F29" s="53" t="str">
        <x:v>TDAT Model Library  |  Trust builds the brand. Insight builds the decision.</x:v>
      </x:c>
      <x:c r="G29" s="53" t="str">
        <x:v>TDAT Model Library  |  Trust builds the brand. Insight builds the decision.</x:v>
      </x:c>
      <x:c r="H29" s="53" t="str">
        <x:v>TDAT Model Library  |  Trust builds the brand. Insight builds the decision.</x:v>
      </x:c>
      <x:c r="I29" s="53" t="str">
        <x:v>TDAT Model Library  |  Trust builds the brand. Insight builds the decision.</x:v>
      </x:c>
      <x:c r="J29" s="53" t="str">
        <x:v>TDAT Model Library  |  Trust builds the brand. Insight builds the decision.</x:v>
      </x:c>
      <x:c r="K29" s="53" t="str">
        <x:v>TDAT Model Library  |  Trust builds the brand. Insight builds the decision.</x:v>
      </x:c>
      <x:c r="L29" s="53" t="str">
        <x:v>TDAT Model Library  |  Trust builds the brand. Insight builds the decision.</x:v>
      </x:c>
      <x:c r="M29" s="53" t="str">
        <x:v>TDAT Model Library  |  Trust builds the brand. Insight builds the decision.</x:v>
      </x:c>
      <x:c r="N29" s="53" t="str">
        <x:v>TDAT Model Library  |  Trust builds the brand. Insight builds the decision.</x:v>
      </x:c>
      <x:c r="O29" s="53" t="str">
        <x:v>TDAT Model Library  |  Trust builds the brand. Insight builds the decision.</x:v>
      </x:c>
      <x:c r="P29" s="53" t="str">
        <x:v>TDAT Model Library  |  Trust builds the brand. Insight builds the decision.</x:v>
      </x:c>
      <x:c r="Q29" s="53" t="str">
        <x:v>TDAT Model Library  |  Trust builds the brand. Insight builds the decision.</x:v>
      </x:c>
      <x:c r="R29" s="53" t="str">
        <x:v>TDAT Model Library  |  Trust builds the brand. Insight builds the decision.</x:v>
      </x:c>
      <x:c r="S29" s="53" t="str">
        <x:v>TDAT Model Library  |  Trust builds the brand. Insight builds the decision.</x:v>
      </x:c>
      <x:c r="T29" s="53" t="str">
        <x:v>TDAT Model Library  |  Trust builds the brand. Insight builds the decision.</x:v>
      </x:c>
      <x:c r="U29" s="53" t="str">
        <x:v>TDAT Model Library  |  Trust builds the brand. Insight builds the decision.</x:v>
      </x:c>
      <x:c r="V29" s="53" t="str">
        <x:v>TDAT Model Library  |  Trust builds the brand. Insight builds the decision.</x:v>
      </x:c>
      <x:c r="W29" s="53" t="str">
        <x:v>TDAT Model Library  |  Trust builds the brand. Insight builds the decision.</x:v>
      </x:c>
      <x:c r="X29" s="53" t="str">
        <x:v>TDAT Model Library  |  Trust builds the brand. Insight builds the decision.</x:v>
      </x:c>
      <x:c r="Y29" s="53" t="str">
        <x:v>TDAT Model Library  |  Trust builds the brand. Insight builds the decision.</x:v>
      </x:c>
    </x:row>
  </x:sheetData>
  <x:mergeCells>
    <x:mergeCell ref="A1:Y1"/>
    <x:mergeCell ref="A2:Y2"/>
    <x:mergeCell ref="A25:Y27"/>
    <x:mergeCell ref="A29:Y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SME Integrated Forecast  |  Formula-backed decision range</x:v>
      </x:c>
      <x:c r="B2" s="6" t="str">
        <x:v>SME Integrated Forecast  |  Formula-backed decision range</x:v>
      </x:c>
      <x:c r="C2" s="6" t="str">
        <x:v>SME Integrated Forecast  |  Formula-backed decision range</x:v>
      </x:c>
      <x:c r="D2" s="6" t="str">
        <x:v>SME Integrated Forecast  |  Formula-backed decision range</x:v>
      </x:c>
      <x:c r="E2" s="6" t="str">
        <x:v>SME Integrated Forecast  |  Formula-backed decision range</x:v>
      </x:c>
      <x:c r="F2" s="6" t="str">
        <x:v>SME Integrated Forecast  |  Formula-backed decision range</x:v>
      </x:c>
      <x:c r="G2" s="6" t="str">
        <x:v>SME Integrated Forecast  |  Formula-backed decision range</x:v>
      </x:c>
      <x:c r="H2" s="6" t="str">
        <x:v>SME Integrated Forecast  |  Formula-backed decision range</x:v>
      </x:c>
      <x:c r="I2" s="6" t="str">
        <x:v>SME Integrated Forecast  |  Formula-backed decision range</x:v>
      </x:c>
      <x:c r="J2" s="6" t="str">
        <x:v>SME Integrated Forecast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36" t="str">
        <x:v>Month 24 EBITDA — Monthly sales growth by Gross margin</x:v>
      </x:c>
      <x:c r="B5" s="136" t="str">
        <x:v>Month 24 EBITDA — Monthly sales growth by Gross margin</x:v>
      </x:c>
      <x:c r="C5" s="136" t="str">
        <x:v>Month 24 EBITDA — Monthly sales growth by Gross margin</x:v>
      </x:c>
      <x:c r="D5" s="136" t="str">
        <x:v>Month 24 EBITDA — Monthly sales growth by Gross margin</x:v>
      </x:c>
      <x:c r="E5" s="136" t="str">
        <x:v>Month 24 EBITDA — Monthly sales growth by Gross margin</x:v>
      </x:c>
      <x:c r="F5" s="136" t="str">
        <x:v>Month 24 EBITDA — Monthly sales growth by Gross margin</x:v>
      </x:c>
      <x:c r="G5" s="136" t="str">
        <x:v>Month 24 EBITDA — Monthly sales growth by Gross margin</x:v>
      </x:c>
      <x:c r="H5" s="136" t="str">
        <x:v>Month 24 EBITDA — Monthly sales growth by Gross margin</x:v>
      </x:c>
      <x:c r="I5" s="136" t="str">
        <x:v>Month 24 EBITDA — Monthly sales growth by Gross margin</x:v>
      </x:c>
      <x:c r="J5" s="136" t="str">
        <x:v>Month 24 EBITDA — Monthly sales growth by Gross margin</x:v>
      </x:c>
    </x:row>
    <x:row r="6">
      <x:c r="A6" t="str">
        <x:v>Monthly sales growth</x:v>
      </x:c>
      <x:c r="B6" t="str">
        <x:v>Gross margin</x:v>
      </x:c>
    </x:row>
    <x:row r="7">
      <x:c r="B7" s="71" t="n">
        <x:v>0.32</x:v>
      </x:c>
      <x:c r="C7" s="71" t="n">
        <x:v>0.37</x:v>
      </x:c>
      <x:c r="D7" s="71" t="n">
        <x:v>0.42</x:v>
      </x:c>
      <x:c r="E7" s="71" t="n">
        <x:v>0.47</x:v>
      </x:c>
      <x:c r="F7" s="71" t="n">
        <x:v>0.52</x:v>
      </x:c>
    </x:row>
    <x:row r="8">
      <x:c r="A8" s="71" t="n">
        <x:v>-0.01</x:v>
      </x:c>
      <x:c r="B8" s="138" t="n">
        <x:f>'SME Inputs'!B$6*(1+$A8)^24*B$7-'SME Inputs'!Y$7-'SME Inputs'!Y$8</x:f>
        <x:v>-37.8866395953352</x:v>
      </x:c>
      <x:c r="C8" s="138" t="n">
        <x:f>'SME Inputs'!B$6*(1+$A8)^24*C$7-'SME Inputs'!Y$7-'SME Inputs'!Y$8</x:f>
        <x:v>-34.74392703210633</x:v>
      </x:c>
      <x:c r="D8" s="138" t="n">
        <x:f>'SME Inputs'!B$6*(1+$A8)^24*D$7-'SME Inputs'!Y$7-'SME Inputs'!Y$8</x:f>
        <x:v>-31.60121446887745</x:v>
      </x:c>
      <x:c r="E8" s="138" t="n">
        <x:f>'SME Inputs'!B$6*(1+$A8)^24*E$7-'SME Inputs'!Y$7-'SME Inputs'!Y$8</x:f>
        <x:v>-28.45850190564858</x:v>
      </x:c>
      <x:c r="F8" s="138" t="n">
        <x:f>'SME Inputs'!B$6*(1+$A8)^24*F$7-'SME Inputs'!Y$7-'SME Inputs'!Y$8</x:f>
        <x:v>-25.3157893424197</x:v>
      </x:c>
    </x:row>
    <x:row r="9">
      <x:c r="A9" s="71" t="n">
        <x:v>0.01</x:v>
      </x:c>
      <x:c r="B9" s="138" t="n">
        <x:f>'SME Inputs'!B$6*(1+$A9)^24*B$7-'SME Inputs'!Y$7-'SME Inputs'!Y$8</x:f>
        <x:v>-25.494792997582984</x:v>
      </x:c>
      <x:c r="C9" s="138" t="n">
        <x:f>'SME Inputs'!B$6*(1+$A9)^24*C$7-'SME Inputs'!Y$7-'SME Inputs'!Y$8</x:f>
        <x:v>-20.41585440345532</x:v>
      </x:c>
      <x:c r="D9" s="138" t="n">
        <x:f>'SME Inputs'!B$6*(1+$A9)^24*D$7-'SME Inputs'!Y$7-'SME Inputs'!Y$8</x:f>
        <x:v>-15.336915809327664</x:v>
      </x:c>
      <x:c r="E9" s="138" t="n">
        <x:f>'SME Inputs'!B$6*(1+$A9)^24*E$7-'SME Inputs'!Y$7-'SME Inputs'!Y$8</x:f>
        <x:v>-10.257977215200007</x:v>
      </x:c>
      <x:c r="F9" s="138" t="n">
        <x:f>'SME Inputs'!B$6*(1+$A9)^24*F$7-'SME Inputs'!Y$7-'SME Inputs'!Y$8</x:f>
        <x:v>-5.179038621072344</x:v>
      </x:c>
    </x:row>
    <x:row r="10">
      <x:c r="A10" s="71" t="n">
        <x:v>0.035</x:v>
      </x:c>
      <x:c r="B10" s="138" t="n">
        <x:f>'SME Inputs'!B$6*(1+$A10)^24*B$7-'SME Inputs'!Y$7-'SME Inputs'!Y$8</x:f>
        <x:v>0.45320927269202116</x:v>
      </x:c>
      <x:c r="C10" s="138" t="n">
        <x:f>'SME Inputs'!B$6*(1+$A10)^24*C$7-'SME Inputs'!Y$7-'SME Inputs'!Y$8</x:f>
        <x:v>9.586523221550152</x:v>
      </x:c>
      <x:c r="D10" s="138" t="n">
        <x:f>'SME Inputs'!B$6*(1+$A10)^24*D$7-'SME Inputs'!Y$7-'SME Inputs'!Y$8</x:f>
        <x:v>18.71983717040827</x:v>
      </x:c>
      <x:c r="E10" s="138" t="n">
        <x:f>'SME Inputs'!B$6*(1+$A10)^24*E$7-'SME Inputs'!Y$7-'SME Inputs'!Y$8</x:f>
        <x:v>27.8531511192664</x:v>
      </x:c>
      <x:c r="F10" s="138" t="n">
        <x:f>'SME Inputs'!B$6*(1+$A10)^24*F$7-'SME Inputs'!Y$7-'SME Inputs'!Y$8</x:f>
        <x:v>36.98646506812453</x:v>
      </x:c>
    </x:row>
    <x:row r="11">
      <x:c r="A11" s="71" t="n">
        <x:v>0.05</x:v>
      </x:c>
      <x:c r="B11" s="138" t="n">
        <x:f>'SME Inputs'!B$6*(1+$A11)^24*B$7-'SME Inputs'!Y$7-'SME Inputs'!Y$8</x:f>
        <x:v>24.56255855907078</x:v>
      </x:c>
      <x:c r="C11" s="138" t="n">
        <x:f>'SME Inputs'!B$6*(1+$A11)^24*C$7-'SME Inputs'!Y$7-'SME Inputs'!Y$8</x:f>
        <x:v>37.4629583339256</x:v>
      </x:c>
      <x:c r="D11" s="138" t="n">
        <x:f>'SME Inputs'!B$6*(1+$A11)^24*D$7-'SME Inputs'!Y$7-'SME Inputs'!Y$8</x:f>
        <x:v>50.3633581087804</x:v>
      </x:c>
      <x:c r="E11" s="138" t="n">
        <x:f>'SME Inputs'!B$6*(1+$A11)^24*E$7-'SME Inputs'!Y$7-'SME Inputs'!Y$8</x:f>
        <x:v>63.26375788363521</x:v>
      </x:c>
      <x:c r="F11" s="138" t="n">
        <x:f>'SME Inputs'!B$6*(1+$A11)^24*F$7-'SME Inputs'!Y$7-'SME Inputs'!Y$8</x:f>
        <x:v>76.16415765849004</x:v>
      </x:c>
    </x:row>
    <x:row r="12">
      <x:c r="A12" s="71" t="n">
        <x:v>0.07</x:v>
      </x:c>
      <x:c r="B12" s="138" t="n">
        <x:f>'SME Inputs'!B$6*(1+$A12)^24*B$7-'SME Inputs'!Y$7-'SME Inputs'!Y$8</x:f>
        <x:v>71.85259400667866</x:v>
      </x:c>
      <x:c r="C12" s="138" t="n">
        <x:f>'SME Inputs'!B$6*(1+$A12)^24*C$7-'SME Inputs'!Y$7-'SME Inputs'!Y$8</x:f>
        <x:v>92.14206182022221</x:v>
      </x:c>
      <x:c r="D12" s="138" t="n">
        <x:f>'SME Inputs'!B$6*(1+$A12)^24*D$7-'SME Inputs'!Y$7-'SME Inputs'!Y$8</x:f>
        <x:v>112.43152963376573</x:v>
      </x:c>
      <x:c r="E12" s="138" t="n">
        <x:f>'SME Inputs'!B$6*(1+$A12)^24*E$7-'SME Inputs'!Y$7-'SME Inputs'!Y$8</x:f>
        <x:v>132.7209974473093</x:v>
      </x:c>
      <x:c r="F12" s="138" t="n">
        <x:f>'SME Inputs'!B$6*(1+$A12)^24*F$7-'SME Inputs'!Y$7-'SME Inputs'!Y$8</x:f>
        <x:v>153.01046526085284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48" t="str">
        <x:v>Base</x:v>
      </x:c>
      <x:c r="B18" s="149" t="str">
        <x:v>Most likely operating and finance assumptions.</x:v>
      </x:c>
      <x:c r="C18" s="149" t="str">
        <x:v>Base</x:v>
      </x:c>
      <x:c r="D18" s="150" t="str">
        <x:v>What must be true for the base case to hold?</x:v>
      </x:c>
    </x:row>
    <x:row r="19">
      <x:c r="A19" s="151" t="str">
        <x:v>Upside</x:v>
      </x:c>
      <x:c r="B19" s="152" t="str">
        <x:v>Stronger performance, faster conversion, or lower risk/cost.</x:v>
      </x:c>
      <x:c r="C19" s="152" t="str">
        <x:v>Upside</x:v>
      </x:c>
      <x:c r="D19" s="153" t="str">
        <x:v>Which actions unlock the upside?</x:v>
      </x:c>
    </x:row>
    <x:row r="20">
      <x:c r="A20" s="154" t="str">
        <x:v>Downside</x:v>
      </x:c>
      <x:c r="B20" s="155" t="str">
        <x:v>Slower activity, weaker conversion, or higher risk/cost.</x:v>
      </x:c>
      <x:c r="C20" s="155" t="str">
        <x:v>Downside</x:v>
      </x:c>
      <x:c r="D20" s="156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SME Integrated Forecast  |  Decision outputs, trend, breakpoints, and action prompts</x:v>
      </x:c>
      <x:c r="B2" s="6" t="str">
        <x:v>SME Integrated Forecast  |  Decision outputs, trend, breakpoints, and action prompts</x:v>
      </x:c>
      <x:c r="C2" s="6" t="str">
        <x:v>SME Integrated Forecast  |  Decision outputs, trend, breakpoints, and action prompts</x:v>
      </x:c>
      <x:c r="D2" s="6" t="str">
        <x:v>SME Integrated Forecast  |  Decision outputs, trend, breakpoints, and action prompts</x:v>
      </x:c>
      <x:c r="E2" s="6" t="str">
        <x:v>SME Integrated Forecast  |  Decision outputs, trend, breakpoints, and action prompts</x:v>
      </x:c>
      <x:c r="F2" s="6" t="str">
        <x:v>SME Integrated Forecast  |  Decision outputs, trend, breakpoints, and action prompts</x:v>
      </x:c>
      <x:c r="G2" s="6" t="str">
        <x:v>SME Integrated Forecast  |  Decision outputs, trend, breakpoints, and action prompts</x:v>
      </x:c>
      <x:c r="H2" s="6" t="str">
        <x:v>SME Integrated Forecast  |  Decision outputs, trend, breakpoints, and action prompts</x:v>
      </x:c>
      <x:c r="I2" s="6" t="str">
        <x:v>SME Integrated Forecast  |  Decision outputs, trend, breakpoints, and action prompts</x:v>
      </x:c>
      <x:c r="J2" s="6" t="str">
        <x:v>SME Integrated Forecast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58" t="str">
        <x:v>MONTH 24 REVENUE</x:v>
      </x:c>
      <x:c r="B5" s="158" t="str">
        <x:v>MONTH 24 REVENUE</x:v>
      </x:c>
      <x:c r="C5" s="158" t="str">
        <x:v>MONTH 24 REVENUE</x:v>
      </x:c>
      <x:c r="D5" s="158" t="str">
        <x:v>MONTH 24 EBITDA</x:v>
      </x:c>
      <x:c r="E5" s="158" t="str">
        <x:v>MONTH 24 EBITDA</x:v>
      </x:c>
      <x:c r="F5" s="158" t="str">
        <x:v>MONTH 24 EBITDA</x:v>
      </x:c>
      <x:c r="G5" s="158" t="str">
        <x:v>CLOSING CASH</x:v>
      </x:c>
      <x:c r="H5" s="158" t="str">
        <x:v>CLOSING CASH</x:v>
      </x:c>
      <x:c r="I5" s="158" t="str">
        <x:v>CLOSING CASH</x:v>
      </x:c>
      <x:c r="J5" s="174" t="str">
        <x:v>MODEL STATUS</x:v>
      </x:c>
    </x:row>
    <x:row r="6">
      <x:c r="A6" s="162" t="n">
        <x:f>'24-Month Forecast'!Y$6</x:f>
        <x:v>182.6662789771626</x:v>
      </x:c>
      <x:c r="B6" s="162"/>
      <x:c r="C6" s="162"/>
      <x:c r="D6" s="166" t="n">
        <x:f>'24-Month Forecast'!Y$11</x:f>
        <x:v>18.71983717040827</x:v>
      </x:c>
      <x:c r="E6" s="166"/>
      <x:c r="F6" s="166"/>
      <x:c r="G6" s="162" t="n">
        <x:f>'24-Month Forecast'!Y$21</x:f>
        <x:v>86.5914460724754</x:v>
      </x:c>
      <x:c r="H6" s="162"/>
      <x:c r="I6" s="162"/>
      <x:c r="J6" s="178" t="str">
        <x:f>'Checks'!$B$5</x:f>
        <x:v>PASS</x:v>
      </x:c>
    </x:row>
    <x:row r="7">
      <x:c r="A7" s="162"/>
      <x:c r="B7" s="162"/>
      <x:c r="C7" s="162"/>
      <x:c r="D7" s="166"/>
      <x:c r="E7" s="166"/>
      <x:c r="F7" s="166"/>
      <x:c r="G7" s="162"/>
      <x:c r="H7" s="162"/>
      <x:c r="I7" s="162"/>
      <x:c r="J7" s="178"/>
    </x:row>
    <x:row r="9">
      <x:c r="A9" s="158" t="str">
        <x:v>TOTAL FUNDING REQUIRED</x:v>
      </x:c>
      <x:c r="B9" s="158" t="str">
        <x:v>TOTAL FUNDING REQUIRED</x:v>
      </x:c>
      <x:c r="C9" s="158" t="str">
        <x:v>TOTAL FUNDING REQUIRED</x:v>
      </x:c>
      <x:c r="D9" s="158" t="str">
        <x:v>BREAK-EVEN REVENUE</x:v>
      </x:c>
      <x:c r="E9" s="158" t="str">
        <x:v>BREAK-EVEN REVENUE</x:v>
      </x:c>
      <x:c r="F9" s="158" t="str">
        <x:v>BREAK-EVEN REVENUE</x:v>
      </x:c>
      <x:c r="G9" s="158" t="str">
        <x:v>MONTH 24 GROSS MARGIN</x:v>
      </x:c>
      <x:c r="H9" s="158" t="str">
        <x:v>MONTH 24 GROSS MARGIN</x:v>
      </x:c>
      <x:c r="I9" s="158" t="str">
        <x:v>MONTH 24 GROSS MARGIN</x:v>
      </x:c>
      <x:c r="J9" s="174" t="str">
        <x:v>SCENARIO</x:v>
      </x:c>
    </x:row>
    <x:row r="10">
      <x:c r="A10" s="162" t="n">
        <x:f>SUM('24-Month Forecast'!B20:Y20)</x:f>
        <x:v>162.64047817604916</x:v>
      </x:c>
      <x:c r="B10" s="162"/>
      <x:c r="C10" s="162"/>
      <x:c r="D10" s="162" t="n">
        <x:f>'24-Month Forecast'!Y$22</x:f>
        <x:v>138.0952380952381</x:v>
      </x:c>
      <x:c r="E10" s="162"/>
      <x:c r="F10" s="162"/>
      <x:c r="G10" s="172" t="n">
        <x:f>'Assumptions'!$F$7</x:f>
        <x:v>0.42</x:v>
      </x:c>
      <x:c r="H10" s="172"/>
      <x:c r="I10" s="172"/>
      <x:c r="J10" s="181" t="str">
        <x:f>'Assumptions'!$B$3</x:f>
        <x:v>Base</x:v>
      </x:c>
    </x:row>
    <x:row r="11">
      <x:c r="A11" s="162"/>
      <x:c r="B11" s="162"/>
      <x:c r="C11" s="162"/>
      <x:c r="D11" s="162"/>
      <x:c r="E11" s="162"/>
      <x:c r="F11" s="162"/>
      <x:c r="G11" s="172"/>
      <x:c r="H11" s="172"/>
      <x:c r="I11" s="172"/>
      <x:c r="J11" s="181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Revenue</x:v>
      </x:c>
      <x:c r="C15" s="68" t="str">
        <x:v>Break-even monthly revenue</x:v>
      </x:c>
    </x:row>
    <x:row r="16">
      <x:c r="A16" t="str">
        <x:v>M1</x:v>
      </x:c>
      <x:c r="B16" s="183" t="n">
        <x:f>'24-Month Forecast'!B$6</x:f>
        <x:v>82.8</x:v>
      </x:c>
      <x:c r="C16" s="183" t="n">
        <x:f>'24-Month Forecast'!B$22</x:f>
        <x:v>119.04761904761905</x:v>
      </x:c>
    </x:row>
    <x:row r="17">
      <x:c r="A17" t="str">
        <x:v>M2</x:v>
      </x:c>
      <x:c r="B17" s="183" t="n">
        <x:f>'24-Month Forecast'!C$6</x:f>
        <x:v>85.698</x:v>
      </x:c>
      <x:c r="C17" s="183" t="n">
        <x:f>'24-Month Forecast'!C$22</x:f>
        <x:v>119.04761904761905</x:v>
      </x:c>
    </x:row>
    <x:row r="18">
      <x:c r="A18" t="str">
        <x:v>M3</x:v>
      </x:c>
      <x:c r="B18" s="183" t="n">
        <x:f>'24-Month Forecast'!D$6</x:f>
        <x:v>88.69742999999998</x:v>
      </x:c>
      <x:c r="C18" s="183" t="n">
        <x:f>'24-Month Forecast'!D$22</x:f>
        <x:v>119.04761904761905</x:v>
      </x:c>
    </x:row>
    <x:row r="19">
      <x:c r="A19" t="str">
        <x:v>M4</x:v>
      </x:c>
      <x:c r="B19" s="183" t="n">
        <x:f>'24-Month Forecast'!E$6</x:f>
        <x:v>91.80184004999998</x:v>
      </x:c>
      <x:c r="C19" s="183" t="n">
        <x:f>'24-Month Forecast'!E$22</x:f>
        <x:v>119.04761904761905</x:v>
      </x:c>
    </x:row>
    <x:row r="20">
      <x:c r="A20" t="str">
        <x:v>M5</x:v>
      </x:c>
      <x:c r="B20" s="183" t="n">
        <x:f>'24-Month Forecast'!F$6</x:f>
        <x:v>95.01490445174997</x:v>
      </x:c>
      <x:c r="C20" s="183" t="n">
        <x:f>'24-Month Forecast'!F$22</x:f>
        <x:v>119.04761904761905</x:v>
      </x:c>
    </x:row>
    <x:row r="21">
      <x:c r="A21" t="str">
        <x:v>M6</x:v>
      </x:c>
      <x:c r="B21" s="183" t="n">
        <x:f>'24-Month Forecast'!G$6</x:f>
        <x:v>98.34042610756121</x:v>
      </x:c>
      <x:c r="C21" s="183" t="n">
        <x:f>'24-Month Forecast'!G$22</x:f>
        <x:v>119.04761904761905</x:v>
      </x:c>
    </x:row>
    <x:row r="22">
      <x:c r="A22" t="str">
        <x:v>M7</x:v>
      </x:c>
      <x:c r="B22" s="183" t="n">
        <x:f>'24-Month Forecast'!H$6</x:f>
        <x:v>101.78234102132585</x:v>
      </x:c>
      <x:c r="C22" s="183" t="n">
        <x:f>'24-Month Forecast'!H$22</x:f>
        <x:v>119.04761904761905</x:v>
      </x:c>
    </x:row>
    <x:row r="23">
      <x:c r="A23" t="str">
        <x:v>M8</x:v>
      </x:c>
      <x:c r="B23" s="183" t="n">
        <x:f>'24-Month Forecast'!I$6</x:f>
        <x:v>105.34472295707225</x:v>
      </x:c>
      <x:c r="C23" s="183" t="n">
        <x:f>'24-Month Forecast'!I$22</x:f>
        <x:v>119.04761904761905</x:v>
      </x:c>
    </x:row>
    <x:row r="24">
      <x:c r="A24" t="str">
        <x:v>M9</x:v>
      </x:c>
      <x:c r="B24" s="183" t="n">
        <x:f>'24-Month Forecast'!J$6</x:f>
        <x:v>109.03178826056977</x:v>
      </x:c>
      <x:c r="C24" s="183" t="n">
        <x:f>'24-Month Forecast'!J$22</x:f>
        <x:v>119.04761904761905</x:v>
      </x:c>
    </x:row>
    <x:row r="25">
      <x:c r="A25" t="str">
        <x:v>M10</x:v>
      </x:c>
      <x:c r="B25" s="183" t="n">
        <x:f>'24-Month Forecast'!K$6</x:f>
        <x:v>112.84790084968971</x:v>
      </x:c>
      <x:c r="C25" s="183" t="n">
        <x:f>'24-Month Forecast'!K$22</x:f>
        <x:v>119.04761904761905</x:v>
      </x:c>
    </x:row>
    <x:row r="26">
      <x:c r="A26" t="str">
        <x:v>M11</x:v>
      </x:c>
      <x:c r="B26" s="183" t="n">
        <x:f>'24-Month Forecast'!L$6</x:f>
        <x:v>116.79757737942884</x:v>
      </x:c>
      <x:c r="C26" s="183" t="n">
        <x:f>'24-Month Forecast'!L$22</x:f>
        <x:v>119.04761904761905</x:v>
      </x:c>
    </x:row>
    <x:row r="27">
      <x:c r="A27" t="str">
        <x:v>M12</x:v>
      </x:c>
      <x:c r="B27" s="183" t="n">
        <x:f>'24-Month Forecast'!M$6</x:f>
        <x:v>120.88549258770884</x:v>
      </x:c>
      <x:c r="C27" s="183" t="n">
        <x:f>'24-Month Forecast'!M$22</x:f>
        <x:v>119.04761904761905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How long can the business operate, when does it break even, and what funding is required?</x:v>
      </x:c>
      <x:c r="C32" s="17" t="str"/>
      <x:c r="D32" s="17" t="str"/>
      <x:c r="E32" s="17" t="str"/>
      <x:c r="F32" s="17" t="str"/>
      <x:c r="G32" s="17" t="str"/>
      <x:c r="H32" s="185" t="str">
        <x:v>Decision owner</x:v>
      </x:c>
      <x:c r="I32" s="185" t="str"/>
      <x:c r="J32" s="185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85" t="str">
        <x:v>Finance / business owner</x:v>
      </x:c>
      <x:c r="I33" s="185" t="str"/>
      <x:c r="J33" s="185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85" t="str">
        <x:v>Finance leader</x:v>
      </x:c>
      <x:c r="I34" s="185" t="str"/>
      <x:c r="J34" s="185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85" t="str">
        <x:v>Model owner</x:v>
      </x:c>
      <x:c r="I35" s="185" t="str"/>
      <x:c r="J35" s="185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85" t="str">
        <x:v>Reviewer</x:v>
      </x:c>
      <x:c r="I36" s="185" t="str"/>
      <x:c r="J36" s="185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85" t="str">
        <x:v>Action owner</x:v>
      </x:c>
      <x:c r="I37" s="185" t="str"/>
      <x:c r="J37" s="185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bfee202cd3894b0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SME Integrated Forecast  |  One assertion per row — investigate every FAIL</x:v>
      </x:c>
      <x:c r="B2" s="6" t="str">
        <x:v>SME Integrated Forecast  |  One assertion per row — investigate every FAIL</x:v>
      </x:c>
      <x:c r="C2" s="6" t="str">
        <x:v>SME Integrated Forecast  |  One assertion per row — investigate every FAIL</x:v>
      </x:c>
      <x:c r="D2" s="6" t="str">
        <x:v>SME Integrated Forecast  |  One assertion per row — investigate every FAIL</x:v>
      </x:c>
      <x:c r="E2" s="6" t="str">
        <x:v>SME Integrated Forecast  |  One assertion per row — investigate every FAIL</x:v>
      </x:c>
      <x:c r="F2" s="6" t="str">
        <x:v>SME Integrated Forecast  |  One assertion per row — investigate every FAIL</x:v>
      </x:c>
      <x:c r="G2" s="6" t="str">
        <x:v>SME Integrated Forecast  |  One assertion per row — investigate every FAIL</x:v>
      </x:c>
      <x:c r="H2" s="6" t="str">
        <x:v>SME Integrated Forecast  |  One assertion per row — investigate every FAIL</x:v>
      </x:c>
      <x:c r="I2" s="6" t="str">
        <x:v>SME Integrated Forecast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87" t="str">
        <x:f>IF(COUNTIF(G8:G17,"FAIL")=0,"PASS","FAIL")</x:f>
        <x:v>PASS</x:v>
      </x:c>
      <x:c r="C5" s="187"/>
      <x:c r="D5" s="189" t="str">
        <x:v>Published controls: 10. PASS means the listed calculations tie within tolerance; source and decision readiness remain separate.</x:v>
      </x:c>
      <x:c r="E5" s="189" t="str">
        <x:v>Published controls: 10. PASS means the listed calculations tie within tolerance; source and decision readiness remain separate.</x:v>
      </x:c>
      <x:c r="F5" s="189" t="str">
        <x:v>Published controls: 10. PASS means the listed calculations tie within tolerance; source and decision readiness remain separate.</x:v>
      </x:c>
      <x:c r="G5" s="189" t="str">
        <x:v>Published controls: 10. PASS means the listed calculations tie within tolerance; source and decision readiness remain separate.</x:v>
      </x:c>
      <x:c r="H5" s="189" t="str">
        <x:v>Published controls: 10. PASS means the listed calculations tie within tolerance; source and decision readiness remain separate.</x:v>
      </x:c>
      <x:c r="I5" s="189" t="str">
        <x:v>Published controls: 10.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196" t="str">
        <x:v>Cash roll-forward ties</x:v>
      </x:c>
      <x:c r="B8" s="196" t="str">
        <x:v>Model</x:v>
      </x:c>
      <x:c r="C8" s="197" t="n">
        <x:f>SUM('24-Month Forecast'!B23:Y23)</x:f>
        <x:v>0</x:v>
      </x:c>
      <x:c r="D8" s="197" t="n">
        <x:v>0</x:v>
      </x:c>
      <x:c r="E8" s="197" t="n">
        <x:f>C8-D8</x:f>
        <x:v>0</x:v>
      </x:c>
      <x:c r="F8" s="197" t="n">
        <x:v>0.01</x:v>
      </x:c>
      <x:c r="G8" s="198" t="str">
        <x:f>IF(ABS(E8)&lt;=F8,"PASS","FAIL")</x:f>
        <x:v>PASS</x:v>
      </x:c>
      <x:c r="H8" s="199" t="str">
        <x:v>24-Month Forecast — cash</x:v>
      </x:c>
      <x:c r="I8" s="199" t="str">
        <x:v>Opening plus movement plus explicit funding equals closing cash.</x:v>
      </x:c>
    </x:row>
    <x:row r="9">
      <x:c r="A9" s="200" t="str">
        <x:v>Gross profit ties revenue and COGS</x:v>
      </x:c>
      <x:c r="B9" s="200" t="str">
        <x:v>Model</x:v>
      </x:c>
      <x:c r="C9" s="201" t="n">
        <x:f>SUM('24-Month Forecast'!B8:Y8)-SUM('24-Month Forecast'!B6:Y6)-SUM('24-Month Forecast'!B7:Y7)</x:f>
        <x:v>-4.547473508864641e-13</x:v>
      </x:c>
      <x:c r="D9" s="201" t="n">
        <x:v>0</x:v>
      </x:c>
      <x:c r="E9" s="201" t="n">
        <x:f>C9-D9</x:f>
        <x:v>-4.547473508864641e-13</x:v>
      </x:c>
      <x:c r="F9" s="201" t="n">
        <x:v>0.01</x:v>
      </x:c>
      <x:c r="G9" s="202" t="str">
        <x:f>IF(ABS(E9)&lt;=F9,"PASS","FAIL")</x:f>
        <x:v>PASS</x:v>
      </x:c>
      <x:c r="H9" s="203" t="str">
        <x:v>24-Month Forecast — gross profit</x:v>
      </x:c>
      <x:c r="I9" s="203" t="str">
        <x:v>Revenue plus expense-signed COGS equals gross profit.</x:v>
      </x:c>
    </x:row>
    <x:row r="10">
      <x:c r="A10" s="200" t="str">
        <x:v>Funding is visible, not a hidden cash plug</x:v>
      </x:c>
      <x:c r="B10" s="200" t="str">
        <x:v>Model</x:v>
      </x:c>
      <x:c r="C10" s="201" t="n">
        <x:f>MAX(0,-MIN('24-Month Forecast'!B20:Y20))</x:f>
        <x:v>0</x:v>
      </x:c>
      <x:c r="D10" s="201" t="n">
        <x:v>0</x:v>
      </x:c>
      <x:c r="E10" s="201" t="n">
        <x:f>C10-D10</x:f>
        <x:v>0</x:v>
      </x:c>
      <x:c r="F10" s="201" t="n">
        <x:v>0.01</x:v>
      </x:c>
      <x:c r="G10" s="202" t="str">
        <x:f>IF(ABS(E10)&lt;=F10,"PASS","FAIL")</x:f>
        <x:v>PASS</x:v>
      </x:c>
      <x:c r="H10" s="203" t="str">
        <x:v>24-Month Forecast — funding</x:v>
      </x:c>
      <x:c r="I10" s="203" t="str">
        <x:v>Funding is a non-negative decision output.</x:v>
      </x:c>
    </x:row>
    <x:row r="11">
      <x:c r="A11" s="200" t="str">
        <x:v>Closing cash meets minimum after funding</x:v>
      </x:c>
      <x:c r="B11" s="200" t="str">
        <x:v>Model</x:v>
      </x:c>
      <x:c r="C11" s="201" t="n">
        <x:f>MAX(0,'Assumptions'!$F$11-MIN('24-Month Forecast'!B21:Y21))</x:f>
        <x:v>0</x:v>
      </x:c>
      <x:c r="D11" s="201" t="n">
        <x:v>0</x:v>
      </x:c>
      <x:c r="E11" s="201" t="n">
        <x:f>C11-D11</x:f>
        <x:v>0</x:v>
      </x:c>
      <x:c r="F11" s="201" t="n">
        <x:v>0.01</x:v>
      </x:c>
      <x:c r="G11" s="202" t="str">
        <x:f>IF(ABS(E11)&lt;=F11,"PASS","FAIL")</x:f>
        <x:v>PASS</x:v>
      </x:c>
      <x:c r="H11" s="203" t="str">
        <x:v>Assumptions / 24-Month Forecast</x:v>
      </x:c>
      <x:c r="I11" s="203" t="str">
        <x:v>Explicit funding should restore the minimum cash level.</x:v>
      </x:c>
    </x:row>
    <x:row r="12">
      <x:c r="A12" s="200" t="str">
        <x:v>Scenario selector is valid</x:v>
      </x:c>
      <x:c r="B12" s="200" t="str">
        <x:v>Current</x:v>
      </x:c>
      <x:c r="C12" s="204" t="n">
        <x:f>COUNTIF('Assumptions'!$C$5:$E$5,'Assumptions'!$B$3)</x:f>
        <x:v>1</x:v>
      </x:c>
      <x:c r="D12" s="204" t="n">
        <x:v>1</x:v>
      </x:c>
      <x:c r="E12" s="204" t="n">
        <x:f>C12-D12</x:f>
        <x:v>0</x:v>
      </x:c>
      <x:c r="F12" s="204" t="n">
        <x:v>0</x:v>
      </x:c>
      <x:c r="G12" s="202" t="str">
        <x:f>IF(ABS(E12)&lt;=F12,"PASS","FAIL")</x:f>
        <x:v>PASS</x:v>
      </x:c>
      <x:c r="H12" s="203" t="str">
        <x:v>Assumptions B3</x:v>
      </x:c>
      <x:c r="I12" s="203" t="str">
        <x:v>Base, Upside, or Downside only.</x:v>
      </x:c>
    </x:row>
    <x:row r="13">
      <x:c r="A13" s="200" t="str">
        <x:v>Period headers are complete</x:v>
      </x:c>
      <x:c r="B13" s="200" t="str">
        <x:v>All periods</x:v>
      </x:c>
      <x:c r="C13" s="204" t="n">
        <x:f>COUNTA('SME Inputs'!B5:Y5)</x:f>
        <x:v>24</x:v>
      </x:c>
      <x:c r="D13" s="204" t="n">
        <x:v>24</x:v>
      </x:c>
      <x:c r="E13" s="204" t="n">
        <x:f>C13-D13</x:f>
        <x:v>0</x:v>
      </x:c>
      <x:c r="F13" s="204" t="n">
        <x:v>0</x:v>
      </x:c>
      <x:c r="G13" s="202" t="str">
        <x:f>IF(ABS(E13)&lt;=F13,"PASS","FAIL")</x:f>
        <x:v>PASS</x:v>
      </x:c>
      <x:c r="H13" s="203" t="str">
        <x:v>SME Inputs row 5</x:v>
      </x:c>
      <x:c r="I13" s="203" t="str">
        <x:v>All modeled periods must have a visible header.</x:v>
      </x:c>
    </x:row>
    <x:row r="14">
      <x:c r="A14" s="200" t="str">
        <x:v>Source input grid is complete</x:v>
      </x:c>
      <x:c r="B14" s="200" t="str">
        <x:v>All periods</x:v>
      </x:c>
      <x:c r="C14" s="204" t="n">
        <x:f>COUNTA('SME Inputs'!B6:Y9)</x:f>
        <x:v>96</x:v>
      </x:c>
      <x:c r="D14" s="204" t="n">
        <x:v>96</x:v>
      </x:c>
      <x:c r="E14" s="204" t="n">
        <x:f>C14-D14</x:f>
        <x:v>0</x:v>
      </x:c>
      <x:c r="F14" s="204" t="n">
        <x:v>0</x:v>
      </x:c>
      <x:c r="G14" s="202" t="str">
        <x:f>IF(ABS(E14)&lt;=F14,"PASS","FAIL")</x:f>
        <x:v>PASS</x:v>
      </x:c>
      <x:c r="H14" s="203" t="str">
        <x:v>SME Inputs</x:v>
      </x:c>
      <x:c r="I14" s="203" t="str">
        <x:v>Replace blanks with an approved value or an explicitly documented zero.</x:v>
      </x:c>
    </x:row>
    <x:row r="15">
      <x:c r="A15" s="200" t="str">
        <x:v>Selected assumptions are complete</x:v>
      </x:c>
      <x:c r="B15" s="200" t="str">
        <x:v>Current</x:v>
      </x:c>
      <x:c r="C15" s="204" t="n">
        <x:f>COUNT('Assumptions'!F6:F11)</x:f>
        <x:v>6</x:v>
      </x:c>
      <x:c r="D15" s="204" t="n">
        <x:v>6</x:v>
      </x:c>
      <x:c r="E15" s="204" t="n">
        <x:f>C15-D15</x:f>
        <x:v>0</x:v>
      </x:c>
      <x:c r="F15" s="204" t="n">
        <x:v>0</x:v>
      </x:c>
      <x:c r="G15" s="202" t="str">
        <x:f>IF(ABS(E15)&lt;=F15,"PASS","FAIL")</x:f>
        <x:v>PASS</x:v>
      </x:c>
      <x:c r="H15" s="203" t="str">
        <x:v>Assumptions column F</x:v>
      </x:c>
      <x:c r="I15" s="203" t="str">
        <x:v>Every scenario driver must resolve to a numeric selected value.</x:v>
      </x:c>
    </x:row>
    <x:row r="16">
      <x:c r="A16" s="200" t="str">
        <x:v>Core model cells calculate to numbers</x:v>
      </x:c>
      <x:c r="B16" s="200" t="str">
        <x:v>All periods</x:v>
      </x:c>
      <x:c r="C16" s="204" t="n">
        <x:f>COUNT('24-Month Forecast'!B6:Y23)</x:f>
        <x:v>432</x:v>
      </x:c>
      <x:c r="D16" s="204" t="n">
        <x:v>432</x:v>
      </x:c>
      <x:c r="E16" s="204" t="n">
        <x:f>C16-D16</x:f>
        <x:v>0</x:v>
      </x:c>
      <x:c r="F16" s="204" t="n">
        <x:v>0</x:v>
      </x:c>
      <x:c r="G16" s="202" t="str">
        <x:f>IF(ABS(E16)&lt;=F16,"PASS","FAIL")</x:f>
        <x:v>PASS</x:v>
      </x:c>
      <x:c r="H16" s="203" t="str">
        <x:v>24-Month Forecast</x:v>
      </x:c>
      <x:c r="I16" s="203" t="str">
        <x:v>No blank or text output is permitted inside the calculation block.</x:v>
      </x:c>
    </x:row>
    <x:row r="17">
      <x:c r="A17" s="205" t="str">
        <x:v>Sensitivity base ties the headline output</x:v>
      </x:c>
      <x:c r="B17" s="205" t="str">
        <x:v>Base center</x:v>
      </x:c>
      <x:c r="C17" s="206" t="n">
        <x:f>IF('Assumptions'!$B$3="Base",'Sensitivity'!D10,'24-Month Forecast'!Y$11)</x:f>
        <x:v>18.71983717040827</x:v>
      </x:c>
      <x:c r="D17" s="206" t="n">
        <x:f>'24-Month Forecast'!Y$11</x:f>
        <x:v>18.71983717040827</x:v>
      </x:c>
      <x:c r="E17" s="206" t="n">
        <x:f>C17-D17</x:f>
        <x:v>0</x:v>
      </x:c>
      <x:c r="F17" s="206" t="n">
        <x:v>0.05</x:v>
      </x:c>
      <x:c r="G17" s="207" t="str">
        <x:f>IF(ABS(E17)&lt;=F17,"PASS","FAIL")</x:f>
        <x:v>PASS</x:v>
      </x:c>
      <x:c r="H17" s="208" t="str">
        <x:v>Sensitivity / core model</x:v>
      </x:c>
      <x:c r="I17" s="208" t="str">
        <x:v>The center cell must recalculate the Base-case headline output; the assertion is N/A under Upside or Downside.</x:v>
      </x:c>
    </x:row>
    <x:row r="19">
      <x:c r="A19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9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0">
      <x:c r="A20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1">
      <x:c r="A21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1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3">
      <x:c r="A23" s="53" t="str">
        <x:v>TDAT Model Library  |  Trust builds the brand. Insight builds the decision.</x:v>
      </x:c>
      <x:c r="B23" s="53" t="str">
        <x:v>TDAT Model Library  |  Trust builds the brand. Insight builds the decision.</x:v>
      </x:c>
      <x:c r="C23" s="53" t="str">
        <x:v>TDAT Model Library  |  Trust builds the brand. Insight builds the decision.</x:v>
      </x:c>
      <x:c r="D23" s="53" t="str">
        <x:v>TDAT Model Library  |  Trust builds the brand. Insight builds the decision.</x:v>
      </x:c>
      <x:c r="E23" s="53" t="str">
        <x:v>TDAT Model Library  |  Trust builds the brand. Insight builds the decision.</x:v>
      </x:c>
      <x:c r="F23" s="53" t="str">
        <x:v>TDAT Model Library  |  Trust builds the brand. Insight builds the decision.</x:v>
      </x:c>
      <x:c r="G23" s="53" t="str">
        <x:v>TDAT Model Library  |  Trust builds the brand. Insight builds the decision.</x:v>
      </x:c>
      <x:c r="H23" s="53" t="str">
        <x:v>TDAT Model Library  |  Trust builds the brand. Insight builds the decision.</x:v>
      </x:c>
      <x:c r="I23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19:I21"/>
    <x:mergeCell ref="A23:I23"/>
  </x:mergeCells>
  <x:conditionalFormatting sqref="G8:G1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SME Integrated Forecast  |  Assumption register, release facts, and distribution controls</x:v>
      </x:c>
      <x:c r="B2" s="6" t="str">
        <x:v>SME Integrated Forecast  |  Assumption register, release facts, and distribution controls</x:v>
      </x:c>
      <x:c r="C2" s="6" t="str">
        <x:v>SME Integrated Forecast  |  Assumption register, release facts, and distribution controls</x:v>
      </x:c>
      <x:c r="D2" s="6" t="str">
        <x:v>SME Integrated Forecast  |  Assumption register, release facts, and distribution controls</x:v>
      </x:c>
      <x:c r="E2" s="6" t="str">
        <x:v>SME Integrated Forecast  |  Assumption register, release facts, and distribution controls</x:v>
      </x:c>
      <x:c r="F2" s="6" t="str">
        <x:v>SME Integrated Forecast  |  Assumption register, release facts, and distribution controls</x:v>
      </x:c>
      <x:c r="G2" s="6" t="str">
        <x:v>SME Integrated Forecast  |  Assumption register, release facts, and distribution controls</x:v>
      </x:c>
      <x:c r="H2" s="6" t="str">
        <x:v>SME Integrated Forecast  |  Assumption register, release facts, and distribution controls</x:v>
      </x:c>
      <x:c r="I2" s="6" t="str">
        <x:v>SME Integrated Forecast  |  Assumption register, release facts, and distribution controls</x:v>
      </x:c>
      <x:c r="J2" s="6" t="str">
        <x:v>SME Integrated Forecast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48" t="str">
        <x:v>Worked example</x:v>
      </x:c>
      <x:c r="B7" s="149" t="str">
        <x:v>Synthetic case values</x:v>
      </x:c>
      <x:c r="C7" s="149" t="str">
        <x:v>LCY thousands</x:v>
      </x:c>
      <x:c r="D7" s="149" t="str">
        <x:v>2026-07-13</x:v>
      </x:c>
      <x:c r="E7" s="149" t="str">
        <x:v>Illustrative</x:v>
      </x:c>
      <x:c r="F7" s="149" t="str">
        <x:v>TDAT model build</x:v>
      </x:c>
      <x:c r="G7" s="149" t="str">
        <x:v>SYN-001</x:v>
      </x:c>
      <x:c r="H7" s="149" t="str">
        <x:v>Illustrative</x:v>
      </x:c>
      <x:c r="I7" s="150" t="str">
        <x:v>Replace before use.</x:v>
      </x:c>
    </x:row>
    <x:row r="8">
      <x:c r="A8" s="151" t="str">
        <x:v>Scenario drivers</x:v>
      </x:c>
      <x:c r="B8" s="152" t="str">
        <x:v>Base / Upside / Downside</x:v>
      </x:c>
      <x:c r="C8" s="152" t="str">
        <x:v>Mixed</x:v>
      </x:c>
      <x:c r="D8" s="152" t="str">
        <x:v>Model horizon</x:v>
      </x:c>
      <x:c r="E8" s="152" t="str">
        <x:v>Assumption</x:v>
      </x:c>
      <x:c r="F8" s="152" t="str">
        <x:v>User / finance owner</x:v>
      </x:c>
      <x:c r="G8" s="152" t="str">
        <x:v>ASM-001</x:v>
      </x:c>
      <x:c r="H8" s="152" t="str">
        <x:v>Open</x:v>
      </x:c>
      <x:c r="I8" s="153" t="str">
        <x:v>Confirm rationale and owner.</x:v>
      </x:c>
    </x:row>
    <x:row r="9">
      <x:c r="A9" s="154" t="str">
        <x:v>Method</x:v>
      </x:c>
      <x:c r="B9" s="155" t="str">
        <x:v>24-Month Forecast</x:v>
      </x:c>
      <x:c r="C9" s="155" t="str">
        <x:v>Method</x:v>
      </x:c>
      <x:c r="D9" s="155" t="str">
        <x:v>Version 1.0.0</x:v>
      </x:c>
      <x:c r="E9" s="155" t="str">
        <x:v>Model method</x:v>
      </x:c>
      <x:c r="F9" s="155" t="str">
        <x:v>Model Guide</x:v>
      </x:c>
      <x:c r="G9" s="155" t="str">
        <x:v>MTH-001</x:v>
      </x:c>
      <x:c r="H9" s="155" t="str">
        <x:v>Template</x:v>
      </x:c>
      <x:c r="I9" s="156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209" t="str">
        <x:v>Owner</x:v>
      </x:c>
      <x:c r="B12" s="149" t="str">
        <x:v>Truong Dinh Anh Tu</x:v>
      </x:c>
      <x:c r="C12" s="211" t="str">
        <x:v>Version</x:v>
      </x:c>
      <x:c r="D12" s="149" t="str">
        <x:v>1.0.0</x:v>
      </x:c>
      <x:c r="E12" s="211" t="str">
        <x:v>Standard</x:v>
      </x:c>
      <x:c r="F12" s="149" t="str">
        <x:v>TDAT Model Standard 1.0</x:v>
      </x:c>
      <x:c r="G12" s="211" t="str">
        <x:v>Last QA</x:v>
      </x:c>
      <x:c r="H12" s="149" t="str">
        <x:v>2026-07-13</x:v>
      </x:c>
      <x:c r="I12" s="211" t="str">
        <x:v>Status</x:v>
      </x:c>
      <x:c r="J12" s="150" t="str">
        <x:v>Available after release gates</x:v>
      </x:c>
    </x:row>
    <x:row r="13">
      <x:c r="A13" s="210" t="str">
        <x:v>Compatibility</x:v>
      </x:c>
      <x:c r="B13" s="155" t="str">
        <x:v>Excel 365</x:v>
      </x:c>
      <x:c r="C13" s="212" t="str">
        <x:v>Macros</x:v>
      </x:c>
      <x:c r="D13" s="155" t="str">
        <x:v>None</x:v>
      </x:c>
      <x:c r="E13" s="212" t="str">
        <x:v>External links</x:v>
      </x:c>
      <x:c r="F13" s="155" t="str">
        <x:v>None</x:v>
      </x:c>
      <x:c r="G13" s="212" t="str">
        <x:v>Circularity</x:v>
      </x:c>
      <x:c r="H13" s="155" t="str">
        <x:v>None</x:v>
      </x:c>
      <x:c r="I13" s="212" t="str">
        <x:v>Evidence</x:v>
      </x:c>
      <x:c r="J13" s="156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16" t="str">
        <x:v>1.0.0</x:v>
      </x:c>
      <x:c r="B17" s="217" t="str">
        <x:v>2026-07-13</x:v>
      </x:c>
      <x:c r="C17" s="217" t="str">
        <x:v>All</x:v>
      </x:c>
      <x:c r="D17" s="217" t="str">
        <x:v>Initial public reusable template</x:v>
      </x:c>
      <x:c r="E17" s="217" t="str">
        <x:v>New model release</x:v>
      </x:c>
      <x:c r="F17" s="217" t="str">
        <x:v>None</x:v>
      </x:c>
      <x:c r="G17" s="217" t="str">
        <x:v>Truong Dinh Anh Tu</x:v>
      </x:c>
      <x:c r="H17" s="217" t="str">
        <x:v>TDAT QA review</x:v>
      </x:c>
      <x:c r="I17" s="218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Validate sources, assumptions, formulas, methods, policies, and suitability before real-world use. Provided without warranty.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