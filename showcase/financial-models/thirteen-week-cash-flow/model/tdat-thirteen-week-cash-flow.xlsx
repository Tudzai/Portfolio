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61978e94c40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5a7aaad5903452d"/>
    <x:sheet xmlns:r="http://schemas.openxmlformats.org/officeDocument/2006/relationships" name="Guide" sheetId="2" r:id="R24fad0d73be14e53"/>
    <x:sheet xmlns:r="http://schemas.openxmlformats.org/officeDocument/2006/relationships" name="Assumptions" sheetId="3" r:id="Ra151878d3f484be7"/>
    <x:sheet xmlns:r="http://schemas.openxmlformats.org/officeDocument/2006/relationships" name="Weekly Inputs" sheetId="4" r:id="Rdf06e14117044e58"/>
    <x:sheet xmlns:r="http://schemas.openxmlformats.org/officeDocument/2006/relationships" name="Cash Forecast" sheetId="5" r:id="R125aacf6cbca42ec"/>
    <x:sheet xmlns:r="http://schemas.openxmlformats.org/officeDocument/2006/relationships" name="Sensitivity" sheetId="6" r:id="Rf3ac6b7831254dd3"/>
    <x:sheet xmlns:r="http://schemas.openxmlformats.org/officeDocument/2006/relationships" name="Summary" sheetId="7" r:id="R43b9b5e7eee64e8e"/>
    <x:sheet xmlns:r="http://schemas.openxmlformats.org/officeDocument/2006/relationships" name="Checks" sheetId="8" r:id="R967b48f9b6f94cd0"/>
    <x:sheet xmlns:r="http://schemas.openxmlformats.org/officeDocument/2006/relationships" name="Sources &amp; Version" sheetId="9" r:id="R969d8c08667c40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;(#,##0.0);-"/>
    <x:numFmt numFmtId="201" formatCode="0.0%;(0.0%);-"/>
    <x:numFmt numFmtId="202" formatCode="#,##0;(#,##0);-"/>
  </x:numFmts>
  <x:fonts count="36">
    <x:font>
      <x:sz val="11"/>
      <x:name val="Carlito"/>
    </x:font>
    <x:font>
      <x:b/>
      <x:sz val="20"/>
      <x:color rgb="FFFFFFFF"/>
      <x:name val="Aptos Display"/>
    </x:font>
    <x:font>
      <x:sz val="9"/>
      <x:color rgb="FFDCE6F2"/>
      <x:name val="Aptos"/>
    </x:font>
    <x:font>
      <x:b/>
      <x:sz val="10"/>
      <x:color rgb="FFFFFFFF"/>
      <x:name val="Aptos"/>
    </x:font>
    <x:font>
      <x:sz val="10"/>
      <x:color rgb="FF101827"/>
      <x:name val="Carlito"/>
    </x:font>
    <x:font>
      <x:b/>
      <x:sz val="11"/>
      <x:color rgb="FFFFFFFF"/>
      <x:name val="Carlito"/>
    </x:font>
    <x:font>
      <x:b/>
      <x:sz val="11"/>
      <x:color rgb="FF101827"/>
      <x:name val="Carlito"/>
    </x:font>
    <x:font>
      <x:sz val="9"/>
      <x:color rgb="FF5B687A"/>
      <x:name val="Carlito"/>
    </x:font>
    <x:font>
      <x:b/>
      <x:sz val="11"/>
      <x:color rgb="FF075CCF"/>
      <x:name val="Carlito"/>
    </x:font>
    <x:font>
      <x:sz val="9"/>
      <x:color rgb="FF8A5A00"/>
      <x:name val="Aptos"/>
    </x:font>
    <x:font>
      <x:b/>
      <x:sz val="9"/>
      <x:color rgb="FFFFFFFF"/>
      <x:name val="Aptos"/>
    </x:font>
    <x:font>
      <x:b/>
      <x:sz val="11"/>
      <x:color rgb="FF8A5A00"/>
      <x:name val="Carlito"/>
    </x:font>
    <x:font>
      <x:sz val="10"/>
      <x:color rgb="FF0000FF"/>
      <x:name val="Aptos"/>
    </x:font>
    <x:font>
      <x:sz val="10"/>
      <x:color rgb="FF000000"/>
      <x:name val="Aptos"/>
    </x:font>
    <x:font>
      <x:sz val="11"/>
      <x:color rgb="FF101827"/>
      <x:name val="Carlito"/>
    </x:font>
    <x:font>
      <x:sz val="11"/>
      <x:color rgb="FF101827"/>
      <x:name val="Carlito"/>
    </x:font>
    <x:font>
      <x:sz val="10"/>
      <x:color rgb="FF008000"/>
      <x:name val="Aptos"/>
    </x:font>
    <x:font>
      <x:b/>
      <x:sz val="9"/>
      <x:color rgb="FFFFFFFF"/>
      <x:name val="Carlito"/>
    </x:font>
    <x:font>
      <x:b/>
      <x:sz val="18"/>
      <x:color rgb="FF075CCF"/>
      <x:name val="Aptos"/>
    </x:font>
    <x:font>
      <x:b/>
      <x:sz val="18"/>
      <x:color rgb="FF0F9F8F"/>
      <x:name val="Aptos"/>
    </x:font>
    <x:font>
      <x:b/>
      <x:sz val="8"/>
      <x:color rgb="FFFFFFFF"/>
      <x:name val="Carlito"/>
    </x:font>
    <x:font>
      <x:b/>
      <x:sz val="14"/>
      <x:color rgb="FF0F9F8F"/>
      <x:name val="Carlito"/>
    </x:font>
    <x:font>
      <x:b/>
      <x:sz val="12"/>
      <x:color rgb="FF8A5A00"/>
      <x:name val="Carlito"/>
    </x:font>
    <x:font>
      <x:sz val="11"/>
      <x:color rgb="FF008000"/>
      <x:name val="Carlito"/>
    </x:font>
    <x:font>
      <x:b/>
      <x:sz val="9"/>
      <x:color rgb="FF075CCF"/>
      <x:name val="Carlito"/>
    </x:font>
    <x:font>
      <x:b/>
      <x:sz val="16"/>
      <x:color rgb="FF0F9F8F"/>
      <x:name val="Carlito"/>
    </x:font>
    <x:font>
      <x:b/>
      <x:sz val="11"/>
      <x:color rgb="FF0F9F8F"/>
      <x:name val="Carlito"/>
    </x:font>
    <x:font>
      <x:b/>
      <x:sz val="11"/>
      <x:color rgb="FF5B687A"/>
      <x:name val="Carlito"/>
    </x:font>
    <x:font>
      <x:b/>
      <x:sz val="22"/>
      <x:color rgb="FF101827"/>
      <x:name val="Aptos Display"/>
    </x:font>
    <x:font>
      <x:b/>
      <x:sz val="20"/>
      <x:color rgb="FF0F9F8F"/>
      <x:name val="Carlito"/>
    </x:font>
    <x:font>
      <x:b/>
      <x:sz val="11"/>
      <x:color rgb="FF008000"/>
      <x:name val="Carlito"/>
    </x:font>
    <x:font>
      <x:b/>
      <x:sz val="11"/>
      <x:color rgb="FF075CCF"/>
      <x:name val="Aptos"/>
    </x:font>
    <x:font>
      <x:sz val="9"/>
      <x:color rgb="FF101827"/>
      <x:name val="Carlito"/>
    </x:font>
    <x:font>
      <x:b/>
      <x:sz val="9"/>
      <x:color rgb="FF0000FF"/>
      <x:name val="Carlito"/>
    </x:font>
    <x:font>
      <x:b/>
      <x:sz val="9"/>
      <x:color rgb="FF000000"/>
      <x:name val="Carlito"/>
    </x:font>
    <x:font>
      <x:b/>
      <x:sz val="9"/>
      <x:color rgb="FF008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7111F"/>
      </x:patternFill>
    </x:fill>
    <x:fill>
      <x:patternFill patternType="solid">
        <x:fgColor rgb="FF101827"/>
      </x:patternFill>
    </x:fill>
    <x:fill>
      <x:patternFill patternType="solid">
        <x:fgColor rgb="FF1479FF"/>
      </x:patternFill>
    </x:fill>
    <x:fill>
      <x:patternFill patternType="solid">
        <x:fgColor rgb="FFEEF5FF"/>
      </x:patternFill>
    </x:fill>
    <x:fill>
      <x:patternFill patternType="solid">
        <x:fgColor rgb="FFF7F9FC"/>
      </x:patternFill>
    </x:fill>
    <x:fill>
      <x:patternFill patternType="solid">
        <x:fgColor rgb="FFFFF4DB"/>
      </x:patternFill>
    </x:fill>
    <x:fill>
      <x:patternFill patternType="solid">
        <x:fgColor rgb="FFE5F6F3"/>
      </x:patternFill>
    </x:fill>
    <x:fill>
      <x:patternFill patternType="solid">
        <x:fgColor rgb="FFFFFFFF"/>
      </x:patternFill>
    </x:fill>
  </x:fills>
  <x:borders count="25">
    <x:border/>
    <x:border>
      <x:left style="thin">
        <x:color rgb="FFC88922"/>
      </x:left>
      <x:top style="thin">
        <x:color rgb="FFC88922"/>
      </x:top>
    </x:border>
    <x:border>
      <x:top style="thin">
        <x:color rgb="FFC88922"/>
      </x:top>
    </x:border>
    <x:border>
      <x:right style="thin">
        <x:color rgb="FFC88922"/>
      </x:right>
      <x:top style="thin">
        <x:color rgb="FFC88922"/>
      </x:top>
    </x:border>
    <x:border>
      <x:left style="thin">
        <x:color rgb="FFC88922"/>
      </x:left>
    </x:border>
    <x:border>
      <x:right style="thin">
        <x:color rgb="FFC88922"/>
      </x:right>
    </x:border>
    <x:border>
      <x:left style="thin">
        <x:color rgb="FFC88922"/>
      </x:left>
      <x:bottom style="thin">
        <x:color rgb="FFC88922"/>
      </x:bottom>
    </x:border>
    <x:border>
      <x:bottom style="thin">
        <x:color rgb="FFC88922"/>
      </x:bottom>
    </x:border>
    <x:border>
      <x:right style="thin">
        <x:color rgb="FFC88922"/>
      </x:right>
      <x:bottom style="thin">
        <x:color rgb="FFC88922"/>
      </x:bottom>
    </x:border>
    <x:border>
      <x:right style="thin">
        <x:color rgb="FFDBE4EF"/>
      </x:right>
    </x:border>
    <x:border>
      <x:left style="thin">
        <x:color rgb="FFDBE4EF"/>
      </x:left>
      <x:right style="thin">
        <x:color rgb="FFDBE4EF"/>
      </x:right>
    </x:border>
    <x:border>
      <x:left style="thin">
        <x:color rgb="FFDBE4EF"/>
      </x:left>
    </x:border>
    <x:border>
      <x:right style="thin">
        <x:color rgb="FFDBE4EF"/>
      </x:right>
      <x:bottom style="thin">
        <x:color rgb="FFDBE4EF"/>
      </x:bottom>
    </x:border>
    <x:border>
      <x:left style="thin">
        <x:color rgb="FFDBE4EF"/>
      </x:left>
      <x:right style="thin">
        <x:color rgb="FFDBE4EF"/>
      </x:right>
      <x:bottom style="thin">
        <x:color rgb="FFDBE4EF"/>
      </x:bottom>
    </x:border>
    <x:border>
      <x:left style="thin">
        <x:color rgb="FFDBE4EF"/>
      </x:left>
      <x:bottom style="thin">
        <x:color rgb="FFDBE4EF"/>
      </x:bottom>
    </x:border>
    <x:border>
      <x:right style="thin">
        <x:color rgb="FFDBE4EF"/>
      </x:right>
      <x:top style="thin">
        <x:color rgb="FFDBE4EF"/>
      </x:top>
      <x:bottom style="thin">
        <x:color rgb="FFDBE4EF"/>
      </x:bottom>
    </x:border>
    <x:border>
      <x:left style="thin">
        <x:color rgb="FFDBE4EF"/>
      </x:left>
      <x:right style="thin">
        <x:color rgb="FFDBE4EF"/>
      </x:right>
      <x:top style="thin">
        <x:color rgb="FFDBE4EF"/>
      </x:top>
      <x:bottom style="thin">
        <x:color rgb="FFDBE4EF"/>
      </x:bottom>
    </x:border>
    <x:border>
      <x:left style="thin">
        <x:color rgb="FFDBE4EF"/>
      </x:left>
      <x:top style="thin">
        <x:color rgb="FFDBE4EF"/>
      </x:top>
      <x:bottom style="thin">
        <x:color rgb="FFDBE4EF"/>
      </x:bottom>
    </x:border>
    <x:border>
      <x:right style="thin">
        <x:color rgb="FFDBE4EF"/>
      </x:right>
      <x:top style="thin">
        <x:color rgb="FFDBE4EF"/>
      </x:top>
    </x:border>
    <x:border>
      <x:left style="thin">
        <x:color rgb="FFDBE4EF"/>
      </x:left>
      <x:right style="thin">
        <x:color rgb="FFDBE4EF"/>
      </x:right>
      <x:top style="thin">
        <x:color rgb="FFDBE4EF"/>
      </x:top>
    </x:border>
    <x:border>
      <x:left style="thin">
        <x:color rgb="FFDBE4EF"/>
      </x:left>
      <x:top style="thin">
        <x:color rgb="FFDBE4EF"/>
      </x:top>
    </x:border>
    <x:border>
      <x:bottom style="thin">
        <x:color rgb="FFDBE4EF"/>
      </x:bottom>
    </x:border>
    <x:border>
      <x:top style="thin">
        <x:color rgb="FFDBE4EF"/>
      </x:top>
      <x:bottom style="thin">
        <x:color rgb="FFDBE4EF"/>
      </x:bottom>
    </x:border>
    <x:border>
      <x:top style="thin">
        <x:color rgb="FFDBE4EF"/>
      </x:top>
    </x:border>
    <x:border>
      <x:top style="thin">
        <x:color rgb="FF101827"/>
      </x:top>
    </x:border>
  </x:borders>
  <x:cellStyleXfs count="1">
    <x:xf numFmtId="0" fontId="0" fillId="0" borderId="0"/>
  </x:cellStyleXfs>
  <x:cellXfs count="2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2" xfId="0" applyNumberFormat="1" applyFont="1" applyFill="1" applyBorder="1"/>
    <x:xf numFmtId="0" fontId="9" fillId="7" borderId="3" xfId="0" applyNumberFormat="1" applyFont="1" applyFill="1" applyBorder="1"/>
    <x:xf numFmtId="0" fontId="9" fillId="7" borderId="4" xfId="0" applyNumberFormat="1" applyFont="1" applyFill="1" applyBorder="1"/>
    <x:xf numFmtId="0" fontId="9" fillId="7" borderId="5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2" xfId="0" applyNumberFormat="1" applyFont="1" applyFill="1" applyBorder="1" applyAlignment="1">
      <x:alignment wrapText="1"/>
    </x:xf>
    <x:xf numFmtId="0" fontId="9" fillId="7" borderId="3" xfId="0" applyNumberFormat="1" applyFont="1" applyFill="1" applyBorder="1" applyAlignment="1">
      <x:alignment wrapText="1"/>
    </x:xf>
    <x:xf numFmtId="0" fontId="9" fillId="7" borderId="4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9" fillId="7" borderId="5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vertical="center" wrapText="1"/>
    </x:xf>
    <x:xf numFmtId="0" fontId="9" fillId="7" borderId="2" xfId="0" applyNumberFormat="1" applyFont="1" applyFill="1" applyBorder="1" applyAlignment="1">
      <x:alignment vertical="center" wrapText="1"/>
    </x:xf>
    <x:xf numFmtId="0" fontId="9" fillId="7" borderId="3" xfId="0" applyNumberFormat="1" applyFont="1" applyFill="1" applyBorder="1" applyAlignment="1">
      <x:alignment vertical="center" wrapText="1"/>
    </x:xf>
    <x:xf numFmtId="0" fontId="9" fillId="7" borderId="4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5" xfId="0" applyNumberFormat="1" applyFont="1" applyFill="1" applyBorder="1" applyAlignment="1">
      <x:alignment vertical="center" wrapText="1"/>
    </x:xf>
    <x:xf numFmtId="0" fontId="9" fillId="7" borderId="6" xfId="0" applyNumberFormat="1" applyFont="1" applyFill="1" applyBorder="1" applyAlignment="1">
      <x:alignment vertical="center" wrapText="1"/>
    </x:xf>
    <x:xf numFmtId="0" fontId="9" fillId="7" borderId="7" xfId="0" applyNumberFormat="1" applyFont="1" applyFill="1" applyBorder="1" applyAlignment="1">
      <x:alignment vertical="center" wrapText="1"/>
    </x:xf>
    <x:xf numFmtId="0" fontId="9" fillId="7" borderId="8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horizontal="center"/>
    </x:xf>
    <x:xf numFmtId="0" fontId="10" fillId="3" borderId="9" xfId="0" applyNumberFormat="1" applyFont="1" applyFill="1" applyBorder="1"/>
    <x:xf numFmtId="0" fontId="10" fillId="3" borderId="10" xfId="0" applyNumberFormat="1" applyFont="1" applyFill="1" applyBorder="1"/>
    <x:xf numFmtId="0" fontId="10" fillId="3" borderId="11" xfId="0" applyNumberFormat="1" applyFont="1" applyFill="1" applyBorder="1"/>
    <x:xf numFmtId="0" fontId="10" fillId="3" borderId="9" xfId="0" applyNumberFormat="1" applyFont="1" applyFill="1" applyBorder="1" applyAlignment="1">
      <x:alignment wrapText="1"/>
    </x:xf>
    <x:xf numFmtId="0" fontId="10" fillId="3" borderId="10" xfId="0" applyNumberFormat="1" applyFont="1" applyFill="1" applyBorder="1" applyAlignment="1">
      <x:alignment wrapText="1"/>
    </x:xf>
    <x:xf numFmtId="0" fontId="10" fillId="3" borderId="11" xfId="0" applyNumberFormat="1" applyFont="1" applyFill="1" applyBorder="1" applyAlignment="1">
      <x:alignment wrapText="1"/>
    </x:xf>
    <x:xf numFmtId="0" fontId="10" fillId="3" borderId="9" xfId="0" applyNumberFormat="1" applyFont="1" applyFill="1" applyBorder="1" applyAlignment="1">
      <x:alignment horizontal="center" wrapText="1"/>
    </x:xf>
    <x:xf numFmtId="0" fontId="10" fillId="3" borderId="10" xfId="0" applyNumberFormat="1" applyFont="1" applyFill="1" applyBorder="1" applyAlignment="1">
      <x:alignment horizontal="center" wrapText="1"/>
    </x:xf>
    <x:xf numFmtId="0" fontId="10" fillId="3" borderId="11" xfId="0" applyNumberFormat="1" applyFont="1" applyFill="1" applyBorder="1" applyAlignment="1">
      <x:alignment horizontal="center" wrapText="1"/>
    </x:xf>
    <x:xf numFmtId="0" fontId="10" fillId="3" borderId="9" xfId="0" applyNumberFormat="1" applyFont="1" applyFill="1" applyBorder="1" applyAlignment="1">
      <x:alignment horizontal="center" vertical="center" wrapText="1"/>
    </x:xf>
    <x:xf numFmtId="0" fontId="10" fillId="3" borderId="10" xfId="0" applyNumberFormat="1" applyFont="1" applyFill="1" applyBorder="1" applyAlignment="1">
      <x:alignment horizontal="center" vertical="center" wrapText="1"/>
    </x:xf>
    <x:xf numFmtId="0" fontId="10" fillId="3" borderId="11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/>
    <x:xf numFmtId="200" fontId="12" fillId="5" borderId="0" xfId="0" applyNumberFormat="1" applyFont="1" applyFill="1" applyBorder="1"/>
    <x:xf numFmtId="200" fontId="12" fillId="5" borderId="0" xfId="0" applyNumberFormat="1" applyFont="1" applyFill="1" applyBorder="1" applyAlignment="1">
      <x:alignment horizontal="right"/>
    </x:xf>
    <x:xf numFmtId="0" fontId="13" fillId="0" borderId="0" xfId="0" applyNumberFormat="1" applyFont="1" applyFill="1" applyBorder="1"/>
    <x:xf numFmtId="200" fontId="13" fillId="0" borderId="0" xfId="0" applyNumberFormat="1" applyFont="1" applyFill="1" applyBorder="1"/>
    <x:xf numFmtId="200" fontId="13" fillId="0" borderId="0" xfId="0" applyNumberFormat="1" applyFont="1" applyFill="1" applyBorder="1" applyAlignment="1">
      <x:alignment horizontal="right"/>
    </x:xf>
    <x:xf numFmtId="201" fontId="12" fillId="5" borderId="0" xfId="0" applyNumberFormat="1" applyFont="1" applyFill="1" applyBorder="1"/>
    <x:xf numFmtId="201" fontId="12" fillId="5" borderId="0" xfId="0" applyNumberFormat="1" applyFont="1" applyFill="1" applyBorder="1" applyAlignment="1">
      <x:alignment horizontal="right"/>
    </x:xf>
    <x:xf numFmtId="201" fontId="13" fillId="0" borderId="0" xfId="0" applyNumberFormat="1" applyFont="1" applyFill="1" applyBorder="1"/>
    <x:xf numFmtId="201" fontId="13" fillId="0" borderId="0" xfId="0" applyNumberFormat="1" applyFont="1" applyFill="1" applyBorder="1" applyAlignment="1">
      <x:alignment horizontal="right"/>
    </x:xf>
    <x:xf numFmtId="0" fontId="14" fillId="0" borderId="0" xfId="0" applyNumberFormat="1" applyFont="1" applyFill="1" applyBorder="1"/>
    <x:xf numFmtId="0" fontId="14" fillId="0" borderId="12" xfId="0" applyNumberFormat="1" applyFont="1" applyFill="1" applyBorder="1"/>
    <x:xf numFmtId="0" fontId="14" fillId="0" borderId="13" xfId="0" applyNumberFormat="1" applyFont="1" applyFill="1" applyBorder="1"/>
    <x:xf numFmtId="200" fontId="12" fillId="5" borderId="13" xfId="0" applyNumberFormat="1" applyFont="1" applyFill="1" applyBorder="1" applyAlignment="1">
      <x:alignment horizontal="right"/>
    </x:xf>
    <x:xf numFmtId="200" fontId="13" fillId="0" borderId="13" xfId="0" applyNumberFormat="1" applyFont="1" applyFill="1" applyBorder="1" applyAlignment="1">
      <x:alignment horizontal="right"/>
    </x:xf>
    <x:xf numFmtId="0" fontId="7" fillId="0" borderId="14" xfId="0" applyNumberFormat="1" applyFont="1" applyFill="1" applyBorder="1" applyAlignment="1">
      <x:alignment wrapText="1"/>
    </x:xf>
    <x:xf numFmtId="0" fontId="14" fillId="0" borderId="15" xfId="0" applyNumberFormat="1" applyFont="1" applyFill="1" applyBorder="1"/>
    <x:xf numFmtId="0" fontId="14" fillId="0" borderId="16" xfId="0" applyNumberFormat="1" applyFont="1" applyFill="1" applyBorder="1"/>
    <x:xf numFmtId="201" fontId="12" fillId="5" borderId="16" xfId="0" applyNumberFormat="1" applyFont="1" applyFill="1" applyBorder="1" applyAlignment="1">
      <x:alignment horizontal="right"/>
    </x:xf>
    <x:xf numFmtId="201" fontId="13" fillId="0" borderId="16" xfId="0" applyNumberFormat="1" applyFont="1" applyFill="1" applyBorder="1" applyAlignment="1">
      <x:alignment horizontal="right"/>
    </x:xf>
    <x:xf numFmtId="0" fontId="7" fillId="0" borderId="17" xfId="0" applyNumberFormat="1" applyFont="1" applyFill="1" applyBorder="1" applyAlignment="1">
      <x:alignment wrapText="1"/>
    </x:xf>
    <x:xf numFmtId="200" fontId="12" fillId="5" borderId="16" xfId="0" applyNumberFormat="1" applyFont="1" applyFill="1" applyBorder="1" applyAlignment="1">
      <x:alignment horizontal="right"/>
    </x:xf>
    <x:xf numFmtId="200" fontId="13" fillId="0" borderId="16" xfId="0" applyNumberFormat="1" applyFont="1" applyFill="1" applyBorder="1" applyAlignment="1">
      <x:alignment horizontal="right"/>
    </x:xf>
    <x:xf numFmtId="0" fontId="14" fillId="0" borderId="18" xfId="0" applyNumberFormat="1" applyFont="1" applyFill="1" applyBorder="1"/>
    <x:xf numFmtId="0" fontId="14" fillId="0" borderId="19" xfId="0" applyNumberFormat="1" applyFont="1" applyFill="1" applyBorder="1"/>
    <x:xf numFmtId="200" fontId="12" fillId="5" borderId="19" xfId="0" applyNumberFormat="1" applyFont="1" applyFill="1" applyBorder="1" applyAlignment="1">
      <x:alignment horizontal="right"/>
    </x:xf>
    <x:xf numFmtId="200" fontId="13" fillId="0" borderId="19" xfId="0" applyNumberFormat="1" applyFont="1" applyFill="1" applyBorder="1" applyAlignment="1">
      <x:alignment horizontal="right"/>
    </x:xf>
    <x:xf numFmtId="0" fontId="7" fillId="0" borderId="20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5" fillId="0" borderId="21" xfId="0" applyNumberFormat="1" applyFont="1" applyFill="1" applyBorder="1"/>
    <x:xf numFmtId="200" fontId="12" fillId="5" borderId="21" xfId="0" applyNumberFormat="1" applyFont="1" applyFill="1" applyBorder="1" applyAlignment="1">
      <x:alignment horizontal="right"/>
    </x:xf>
    <x:xf numFmtId="0" fontId="15" fillId="0" borderId="22" xfId="0" applyNumberFormat="1" applyFont="1" applyFill="1" applyBorder="1"/>
    <x:xf numFmtId="200" fontId="12" fillId="5" borderId="22" xfId="0" applyNumberFormat="1" applyFont="1" applyFill="1" applyBorder="1" applyAlignment="1">
      <x:alignment horizontal="right"/>
    </x:xf>
    <x:xf numFmtId="0" fontId="15" fillId="0" borderId="23" xfId="0" applyNumberFormat="1" applyFont="1" applyFill="1" applyBorder="1"/>
    <x:xf numFmtId="200" fontId="12" fillId="5" borderId="23" xfId="0" applyNumberFormat="1" applyFont="1" applyFill="1" applyBorder="1" applyAlignment="1">
      <x:alignment horizontal="right"/>
    </x:xf>
    <x:xf numFmtId="0" fontId="16" fillId="0" borderId="0" xfId="0" applyNumberFormat="1" applyFont="1" applyFill="1" applyBorder="1"/>
    <x:xf numFmtId="200" fontId="16" fillId="0" borderId="0" xfId="0" applyNumberFormat="1" applyFont="1" applyFill="1" applyBorder="1"/>
    <x:xf numFmtId="200" fontId="16" fillId="0" borderId="0" xfId="0" applyNumberFormat="1" applyFont="1" applyFill="1" applyBorder="1" applyAlignment="1">
      <x:alignment horizontal="right"/>
    </x:xf>
    <x:xf numFmtId="0" fontId="1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24" xfId="0" applyNumberFormat="1" applyFont="1" applyFill="1" applyBorder="1" applyAlignment="1">
      <x:alignment wrapText="1"/>
    </x:xf>
    <x:xf numFmtId="200" fontId="13" fillId="0" borderId="24" xfId="0" applyNumberFormat="1" applyFont="1" applyFill="1" applyBorder="1" applyAlignment="1">
      <x:alignment horizontal="right"/>
    </x:xf>
    <x:xf numFmtId="0" fontId="6" fillId="6" borderId="24" xfId="0" applyNumberFormat="1" applyFont="1" applyFill="1" applyBorder="1" applyAlignment="1">
      <x:alignment wrapText="1"/>
    </x:xf>
    <x:xf numFmtId="200" fontId="13" fillId="6" borderId="24" xfId="0" applyNumberFormat="1" applyFont="1" applyFill="1" applyBorder="1" applyAlignment="1">
      <x:alignment horizontal="right"/>
    </x:xf>
    <x:xf numFmtId="0" fontId="6" fillId="8" borderId="24" xfId="0" applyNumberFormat="1" applyFont="1" applyFill="1" applyBorder="1" applyAlignment="1">
      <x:alignment wrapText="1"/>
    </x:xf>
    <x:xf numFmtId="200" fontId="13" fillId="8" borderId="24" xfId="0" applyNumberFormat="1" applyFont="1" applyFill="1" applyBorder="1" applyAlignment="1">
      <x:alignment horizontal="right"/>
    </x:xf>
    <x:xf numFmtId="200" fontId="16" fillId="0" borderId="24" xfId="0" applyNumberFormat="1" applyFont="1" applyFill="1" applyBorder="1" applyAlignment="1">
      <x:alignment horizontal="right"/>
    </x:xf>
    <x:xf numFmtId="200" fontId="16" fillId="6" borderId="24" xfId="0" applyNumberFormat="1" applyFont="1" applyFill="1" applyBorder="1" applyAlignment="1">
      <x:alignment horizontal="right"/>
    </x:xf>
    <x:xf numFmtId="0" fontId="15" fillId="0" borderId="21" xfId="0" applyNumberFormat="1" applyFont="1" applyFill="1" applyBorder="1" applyAlignment="1">
      <x:alignment wrapText="1"/>
    </x:xf>
    <x:xf numFmtId="200" fontId="16" fillId="0" borderId="21" xfId="0" applyNumberFormat="1" applyFont="1" applyFill="1" applyBorder="1" applyAlignment="1">
      <x:alignment horizontal="right"/>
    </x:xf>
    <x:xf numFmtId="0" fontId="15" fillId="0" borderId="22" xfId="0" applyNumberFormat="1" applyFont="1" applyFill="1" applyBorder="1" applyAlignment="1">
      <x:alignment wrapText="1"/>
    </x:xf>
    <x:xf numFmtId="200" fontId="16" fillId="0" borderId="22" xfId="0" applyNumberFormat="1" applyFont="1" applyFill="1" applyBorder="1" applyAlignment="1">
      <x:alignment horizontal="right"/>
    </x:xf>
    <x:xf numFmtId="0" fontId="6" fillId="6" borderId="22" xfId="0" applyNumberFormat="1" applyFont="1" applyFill="1" applyBorder="1" applyAlignment="1">
      <x:alignment wrapText="1"/>
    </x:xf>
    <x:xf numFmtId="200" fontId="13" fillId="6" borderId="22" xfId="0" applyNumberFormat="1" applyFont="1" applyFill="1" applyBorder="1" applyAlignment="1">
      <x:alignment horizontal="right"/>
    </x:xf>
    <x:xf numFmtId="200" fontId="13" fillId="0" borderId="22" xfId="0" applyNumberFormat="1" applyFont="1" applyFill="1" applyBorder="1" applyAlignment="1">
      <x:alignment horizontal="right"/>
    </x:xf>
    <x:xf numFmtId="0" fontId="6" fillId="8" borderId="22" xfId="0" applyNumberFormat="1" applyFont="1" applyFill="1" applyBorder="1" applyAlignment="1">
      <x:alignment wrapText="1"/>
    </x:xf>
    <x:xf numFmtId="200" fontId="13" fillId="8" borderId="22" xfId="0" applyNumberFormat="1" applyFont="1" applyFill="1" applyBorder="1" applyAlignment="1">
      <x:alignment horizontal="right"/>
    </x:xf>
    <x:xf numFmtId="200" fontId="16" fillId="6" borderId="22" xfId="0" applyNumberFormat="1" applyFont="1" applyFill="1" applyBorder="1" applyAlignment="1">
      <x:alignment horizontal="right"/>
    </x:xf>
    <x:xf numFmtId="0" fontId="15" fillId="0" borderId="23" xfId="0" applyNumberFormat="1" applyFont="1" applyFill="1" applyBorder="1" applyAlignment="1">
      <x:alignment wrapText="1"/>
    </x:xf>
    <x:xf numFmtId="200" fontId="13" fillId="0" borderId="23" xfId="0" applyNumberFormat="1" applyFont="1" applyFill="1" applyBorder="1" applyAlignment="1">
      <x:alignment horizontal="right"/>
    </x:xf>
    <x:xf numFmtId="0" fontId="5" fillId="3" borderId="0" xfId="0" applyNumberFormat="1" applyFont="1" applyFill="1" applyBorder="1" applyAlignment="1">
      <x:alignment horizontal="center"/>
    </x:xf>
    <x:xf numFmtId="200" fontId="16" fillId="6" borderId="0" xfId="0" applyNumberFormat="1" applyFont="1" applyFill="1" applyBorder="1" applyAlignment="1">
      <x:alignment horizontal="right"/>
    </x:xf>
    <x:xf numFmtId="200" fontId="16" fillId="6" borderId="16" xfId="0" applyNumberFormat="1" applyFont="1" applyFill="1" applyBorder="1" applyAlignment="1">
      <x:alignment horizontal="right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17" fillId="3" borderId="0" xfId="0" applyNumberFormat="1" applyFont="1" applyFill="1" applyBorder="1"/>
    <x:xf numFmtId="0" fontId="17" fillId="3" borderId="0" xfId="0" applyNumberFormat="1" applyFont="1" applyFill="1" applyBorder="1" applyAlignment="1">
      <x:alignment horizontal="center"/>
    </x:xf>
    <x:xf numFmtId="200" fontId="16" fillId="5" borderId="0" xfId="0" applyNumberFormat="1" applyFont="1" applyFill="1" applyBorder="1" applyAlignment="1">
      <x:alignment horizontal="right"/>
    </x:xf>
    <x:xf numFmtId="200" fontId="18" fillId="5" borderId="0" xfId="0" applyNumberFormat="1" applyFont="1" applyFill="1" applyBorder="1" applyAlignment="1">
      <x:alignment horizontal="right"/>
    </x:xf>
    <x:xf numFmtId="200" fontId="18" fillId="5" borderId="0" xfId="0" applyNumberFormat="1" applyFont="1" applyFill="1" applyBorder="1" applyAlignment="1">
      <x:alignment horizontal="center"/>
    </x:xf>
    <x:xf numFmtId="200" fontId="18" fillId="5" borderId="0" xfId="0" applyNumberFormat="1" applyFont="1" applyFill="1" applyBorder="1" applyAlignment="1">
      <x:alignment horizontal="center" vertical="center"/>
    </x:xf>
    <x:xf numFmtId="200" fontId="16" fillId="8" borderId="0" xfId="0" applyNumberFormat="1" applyFont="1" applyFill="1" applyBorder="1" applyAlignment="1">
      <x:alignment horizontal="right"/>
    </x:xf>
    <x:xf numFmtId="200" fontId="19" fillId="8" borderId="0" xfId="0" applyNumberFormat="1" applyFont="1" applyFill="1" applyBorder="1" applyAlignment="1">
      <x:alignment horizontal="right"/>
    </x:xf>
    <x:xf numFmtId="200" fontId="19" fillId="8" borderId="0" xfId="0" applyNumberFormat="1" applyFont="1" applyFill="1" applyBorder="1" applyAlignment="1">
      <x:alignment horizontal="center"/>
    </x:xf>
    <x:xf numFmtId="200" fontId="19" fillId="8" borderId="0" xfId="0" applyNumberFormat="1" applyFont="1" applyFill="1" applyBorder="1" applyAlignment="1">
      <x:alignment horizontal="center" vertical="center"/>
    </x:xf>
    <x:xf numFmtId="0" fontId="20" fillId="3" borderId="0" xfId="0" applyNumberFormat="1" applyFont="1" applyFill="1" applyBorder="1"/>
    <x:xf numFmtId="0" fontId="20" fillId="3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21" fillId="8" borderId="0" xfId="0" applyNumberFormat="1" applyFont="1" applyFill="1" applyBorder="1"/>
    <x:xf numFmtId="0" fontId="21" fillId="8" borderId="0" xfId="0" applyNumberFormat="1" applyFont="1" applyFill="1" applyBorder="1" applyAlignment="1">
      <x:alignment horizontal="center"/>
    </x:xf>
    <x:xf numFmtId="0" fontId="21" fillId="8" borderId="0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/>
    <x:xf numFmtId="0" fontId="22" fillId="7" borderId="0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23" fillId="0" borderId="0" xfId="0" applyNumberFormat="1" applyFont="1" applyFill="1" applyBorder="1"/>
    <x:xf numFmtId="0" fontId="24" fillId="6" borderId="0" xfId="0" applyNumberFormat="1" applyFont="1" applyFill="1" applyBorder="1"/>
    <x:xf numFmtId="0" fontId="24" fillId="6" borderId="0" xfId="0" applyNumberFormat="1" applyFont="1" applyFill="1" applyBorder="1" applyAlignment="1">
      <x:alignment wrapText="1"/>
    </x:xf>
    <x:xf numFmtId="0" fontId="25" fillId="8" borderId="0" xfId="0" applyNumberFormat="1" applyFont="1" applyFill="1" applyBorder="1"/>
    <x:xf numFmtId="0" fontId="25" fillId="8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23" fillId="0" borderId="0" xfId="0" applyNumberFormat="1" applyFont="1" applyFill="1" applyBorder="1"/>
    <x:xf numFmtId="0" fontId="23" fillId="8" borderId="0" xfId="0" applyNumberFormat="1" applyFont="1" applyFill="1" applyBorder="1"/>
    <x:xf numFmtId="0" fontId="26" fillId="8" borderId="0" xfId="0" applyNumberFormat="1" applyFont="1" applyFill="1" applyBorder="1"/>
    <x:xf numFmtId="0" fontId="26" fillId="8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23" fillId="0" borderId="0" xfId="0" applyNumberFormat="1" applyFont="1" applyFill="1" applyBorder="1"/>
    <x:xf numFmtId="0" fontId="0" fillId="0" borderId="21" xfId="0" applyNumberFormat="1" applyFont="1" applyFill="1" applyBorder="1"/>
    <x:xf numFmtId="200" fontId="23" fillId="0" borderId="21" xfId="0" applyNumberFormat="1" applyFont="1" applyFill="1" applyBorder="1"/>
    <x:xf numFmtId="0" fontId="26" fillId="8" borderId="21" xfId="0" applyNumberFormat="1" applyFont="1" applyFill="1" applyBorder="1" applyAlignment="1">
      <x:alignment horizontal="center"/>
    </x:xf>
    <x:xf numFmtId="0" fontId="7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/>
    <x:xf numFmtId="200" fontId="23" fillId="0" borderId="22" xfId="0" applyNumberFormat="1" applyFont="1" applyFill="1" applyBorder="1"/>
    <x:xf numFmtId="0" fontId="26" fillId="8" borderId="22" xfId="0" applyNumberFormat="1" applyFont="1" applyFill="1" applyBorder="1" applyAlignment="1">
      <x:alignment horizontal="center"/>
    </x:xf>
    <x:xf numFmtId="0" fontId="7" fillId="0" borderId="22" xfId="0" applyNumberFormat="1" applyFont="1" applyFill="1" applyBorder="1" applyAlignment="1">
      <x:alignment wrapText="1"/>
    </x:xf>
    <x:xf numFmtId="202" fontId="23" fillId="0" borderId="22" xfId="0" applyNumberFormat="1" applyFont="1" applyFill="1" applyBorder="1"/>
    <x:xf numFmtId="0" fontId="0" fillId="0" borderId="23" xfId="0" applyNumberFormat="1" applyFont="1" applyFill="1" applyBorder="1"/>
    <x:xf numFmtId="200" fontId="23" fillId="0" borderId="23" xfId="0" applyNumberFormat="1" applyFont="1" applyFill="1" applyBorder="1"/>
    <x:xf numFmtId="0" fontId="26" fillId="8" borderId="23" xfId="0" applyNumberFormat="1" applyFont="1" applyFill="1" applyBorder="1" applyAlignment="1">
      <x:alignment horizontal="center"/>
    </x:xf>
    <x:xf numFmtId="0" fontId="7" fillId="0" borderId="23" xfId="0" applyNumberFormat="1" applyFont="1" applyFill="1" applyBorder="1" applyAlignment="1">
      <x:alignment wrapText="1"/>
    </x:xf>
    <x:xf numFmtId="0" fontId="27" fillId="0" borderId="12" xfId="0" applyNumberFormat="1" applyFont="1" applyFill="1" applyBorder="1" applyAlignment="1">
      <x:alignment wrapText="1"/>
    </x:xf>
    <x:xf numFmtId="0" fontId="27" fillId="0" borderId="18" xfId="0" applyNumberFormat="1" applyFont="1" applyFill="1" applyBorder="1" applyAlignment="1">
      <x:alignment wrapText="1"/>
    </x:xf>
    <x:xf numFmtId="0" fontId="27" fillId="0" borderId="13" xfId="0" applyNumberFormat="1" applyFont="1" applyFill="1" applyBorder="1" applyAlignment="1">
      <x:alignment wrapText="1"/>
    </x:xf>
    <x:xf numFmtId="0" fontId="27" fillId="0" borderId="19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28" fillId="5" borderId="0" xfId="0" applyNumberFormat="1" applyFont="1" applyFill="1" applyBorder="1"/>
    <x:xf numFmtId="0" fontId="28" fillId="5" borderId="0" xfId="0" applyNumberFormat="1" applyFont="1" applyFill="1" applyBorder="1" applyAlignment="1">
      <x:alignment vertical="center"/>
    </x:xf>
    <x:xf numFmtId="0" fontId="29" fillId="8" borderId="0" xfId="0" applyNumberFormat="1" applyFont="1" applyFill="1" applyBorder="1"/>
    <x:xf numFmtId="0" fontId="29" fillId="8" borderId="0" xfId="0" applyNumberFormat="1" applyFont="1" applyFill="1" applyBorder="1" applyAlignment="1">
      <x:alignment horizontal="center"/>
    </x:xf>
    <x:xf numFmtId="0" fontId="29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center" wrapText="1"/>
    </x:xf>
    <x:xf numFmtId="0" fontId="27" fillId="0" borderId="12" xfId="0" applyNumberFormat="1" applyFont="1" applyFill="1" applyBorder="1"/>
    <x:xf numFmtId="0" fontId="27" fillId="0" borderId="13" xfId="0" applyNumberFormat="1" applyFont="1" applyFill="1" applyBorder="1"/>
    <x:xf numFmtId="0" fontId="27" fillId="0" borderId="15" xfId="0" applyNumberFormat="1" applyFont="1" applyFill="1" applyBorder="1"/>
    <x:xf numFmtId="0" fontId="27" fillId="0" borderId="16" xfId="0" applyNumberFormat="1" applyFont="1" applyFill="1" applyBorder="1"/>
    <x:xf numFmtId="0" fontId="27" fillId="0" borderId="18" xfId="0" applyNumberFormat="1" applyFont="1" applyFill="1" applyBorder="1"/>
    <x:xf numFmtId="0" fontId="27" fillId="0" borderId="19" xfId="0" applyNumberFormat="1" applyFont="1" applyFill="1" applyBorder="1"/>
    <x:xf numFmtId="0" fontId="30" fillId="0" borderId="13" xfId="0" applyNumberFormat="1" applyFont="1" applyFill="1" applyBorder="1"/>
    <x:xf numFmtId="0" fontId="30" fillId="0" borderId="16" xfId="0" applyNumberFormat="1" applyFont="1" applyFill="1" applyBorder="1"/>
    <x:xf numFmtId="0" fontId="30" fillId="0" borderId="19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11" fillId="7" borderId="13" xfId="0" applyNumberFormat="1" applyFont="1" applyFill="1" applyBorder="1"/>
    <x:xf numFmtId="0" fontId="11" fillId="7" borderId="14" xfId="0" applyNumberFormat="1" applyFont="1" applyFill="1" applyBorder="1"/>
    <x:xf numFmtId="0" fontId="11" fillId="7" borderId="16" xfId="0" applyNumberFormat="1" applyFont="1" applyFill="1" applyBorder="1"/>
    <x:xf numFmtId="0" fontId="11" fillId="7" borderId="17" xfId="0" applyNumberFormat="1" applyFont="1" applyFill="1" applyBorder="1"/>
    <x:xf numFmtId="0" fontId="11" fillId="7" borderId="19" xfId="0" applyNumberFormat="1" applyFont="1" applyFill="1" applyBorder="1"/>
    <x:xf numFmtId="0" fontId="11" fillId="7" borderId="20" xfId="0" applyNumberFormat="1" applyFont="1" applyFill="1" applyBorder="1"/>
    <x:xf numFmtId="0" fontId="11" fillId="7" borderId="13" xfId="0" applyNumberFormat="1" applyFont="1" applyFill="1" applyBorder="1" applyAlignment="1">
      <x:alignment wrapText="1"/>
    </x:xf>
    <x:xf numFmtId="0" fontId="11" fillId="7" borderId="14" xfId="0" applyNumberFormat="1" applyFont="1" applyFill="1" applyBorder="1" applyAlignment="1">
      <x:alignment wrapText="1"/>
    </x:xf>
    <x:xf numFmtId="0" fontId="11" fillId="7" borderId="16" xfId="0" applyNumberFormat="1" applyFont="1" applyFill="1" applyBorder="1" applyAlignment="1">
      <x:alignment wrapText="1"/>
    </x:xf>
    <x:xf numFmtId="0" fontId="11" fillId="7" borderId="17" xfId="0" applyNumberFormat="1" applyFont="1" applyFill="1" applyBorder="1" applyAlignment="1">
      <x:alignment wrapText="1"/>
    </x:xf>
    <x:xf numFmtId="0" fontId="11" fillId="7" borderId="19" xfId="0" applyNumberFormat="1" applyFont="1" applyFill="1" applyBorder="1" applyAlignment="1">
      <x:alignment wrapText="1"/>
    </x:xf>
    <x:xf numFmtId="0" fontId="11" fillId="7" borderId="2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7" fillId="0" borderId="15" xfId="0" applyNumberFormat="1" applyFont="1" applyFill="1" applyBorder="1" applyAlignment="1">
      <x:alignment wrapText="1"/>
    </x:xf>
    <x:xf numFmtId="0" fontId="27" fillId="0" borderId="16" xfId="0" applyNumberFormat="1" applyFont="1" applyFill="1" applyBorder="1" applyAlignment="1">
      <x:alignment wrapText="1"/>
    </x:xf>
    <x:xf numFmtId="0" fontId="27" fillId="0" borderId="0" xfId="0" applyNumberFormat="1" applyFont="1" applyFill="1" applyBorder="1"/>
    <x:xf numFmtId="200" fontId="31" fillId="0" borderId="0" xfId="0" applyNumberFormat="1" applyFont="1" applyFill="1" applyBorder="1" applyAlignment="1">
      <x:alignment horizontal="right"/>
    </x:xf>
    <x:xf numFmtId="0" fontId="32" fillId="0" borderId="0" xfId="0" applyNumberFormat="1" applyFont="1" applyFill="1" applyBorder="1"/>
    <x:xf numFmtId="0" fontId="32" fillId="0" borderId="12" xfId="0" applyNumberFormat="1" applyFont="1" applyFill="1" applyBorder="1"/>
    <x:xf numFmtId="0" fontId="32" fillId="0" borderId="13" xfId="0" applyNumberFormat="1" applyFont="1" applyFill="1" applyBorder="1"/>
    <x:xf numFmtId="0" fontId="32" fillId="0" borderId="14" xfId="0" applyNumberFormat="1" applyFont="1" applyFill="1" applyBorder="1"/>
    <x:xf numFmtId="0" fontId="32" fillId="0" borderId="15" xfId="0" applyNumberFormat="1" applyFont="1" applyFill="1" applyBorder="1"/>
    <x:xf numFmtId="0" fontId="32" fillId="0" borderId="16" xfId="0" applyNumberFormat="1" applyFont="1" applyFill="1" applyBorder="1"/>
    <x:xf numFmtId="0" fontId="32" fillId="0" borderId="17" xfId="0" applyNumberFormat="1" applyFont="1" applyFill="1" applyBorder="1"/>
    <x:xf numFmtId="0" fontId="32" fillId="0" borderId="18" xfId="0" applyNumberFormat="1" applyFont="1" applyFill="1" applyBorder="1"/>
    <x:xf numFmtId="0" fontId="32" fillId="0" borderId="19" xfId="0" applyNumberFormat="1" applyFont="1" applyFill="1" applyBorder="1"/>
    <x:xf numFmtId="0" fontId="32" fillId="0" borderId="20" xfId="0" applyNumberFormat="1" applyFont="1" applyFill="1" applyBorder="1"/>
    <x:xf numFmtId="0" fontId="32" fillId="0" borderId="12" xfId="0" applyNumberFormat="1" applyFont="1" applyFill="1" applyBorder="1" applyAlignment="1">
      <x:alignment wrapText="1"/>
    </x:xf>
    <x:xf numFmtId="0" fontId="32" fillId="0" borderId="13" xfId="0" applyNumberFormat="1" applyFont="1" applyFill="1" applyBorder="1" applyAlignment="1">
      <x:alignment wrapText="1"/>
    </x:xf>
    <x:xf numFmtId="0" fontId="32" fillId="0" borderId="14" xfId="0" applyNumberFormat="1" applyFont="1" applyFill="1" applyBorder="1" applyAlignment="1">
      <x:alignment wrapText="1"/>
    </x:xf>
    <x:xf numFmtId="0" fontId="32" fillId="0" borderId="15" xfId="0" applyNumberFormat="1" applyFont="1" applyFill="1" applyBorder="1" applyAlignment="1">
      <x:alignment wrapText="1"/>
    </x:xf>
    <x:xf numFmtId="0" fontId="32" fillId="0" borderId="16" xfId="0" applyNumberFormat="1" applyFont="1" applyFill="1" applyBorder="1" applyAlignment="1">
      <x:alignment wrapText="1"/>
    </x:xf>
    <x:xf numFmtId="0" fontId="32" fillId="0" borderId="17" xfId="0" applyNumberFormat="1" applyFont="1" applyFill="1" applyBorder="1" applyAlignment="1">
      <x:alignment wrapText="1"/>
    </x:xf>
    <x:xf numFmtId="0" fontId="32" fillId="0" borderId="18" xfId="0" applyNumberFormat="1" applyFont="1" applyFill="1" applyBorder="1" applyAlignment="1">
      <x:alignment wrapText="1"/>
    </x:xf>
    <x:xf numFmtId="0" fontId="32" fillId="0" borderId="19" xfId="0" applyNumberFormat="1" applyFont="1" applyFill="1" applyBorder="1" applyAlignment="1">
      <x:alignment wrapText="1"/>
    </x:xf>
    <x:xf numFmtId="0" fontId="32" fillId="0" borderId="20" xfId="0" applyNumberFormat="1" applyFont="1" applyFill="1" applyBorder="1" applyAlignment="1">
      <x:alignment wrapText="1"/>
    </x:xf>
    <x:xf numFmtId="0" fontId="33" fillId="0" borderId="12" xfId="0" applyNumberFormat="1" applyFont="1" applyFill="1" applyBorder="1" applyAlignment="1">
      <x:alignment wrapText="1"/>
    </x:xf>
    <x:xf numFmtId="0" fontId="34" fillId="0" borderId="13" xfId="0" applyNumberFormat="1" applyFont="1" applyFill="1" applyBorder="1" applyAlignment="1">
      <x:alignment wrapText="1"/>
    </x:xf>
    <x:xf numFmtId="0" fontId="35" fillId="0" borderId="13" xfId="0" applyNumberFormat="1" applyFont="1" applyFill="1" applyBorder="1" applyAlignment="1">
      <x:alignment wrapText="1"/>
    </x:xf>
    <x:xf numFmtId="0" fontId="32" fillId="7" borderId="13" xfId="0" applyNumberFormat="1" applyFont="1" applyFill="1" applyBorder="1" applyAlignment="1">
      <x:alignment wrapText="1"/>
    </x:xf>
    <x:xf numFmtId="0" fontId="32" fillId="8" borderId="13" xfId="0" applyNumberFormat="1" applyFont="1" applyFill="1" applyBorder="1" applyAlignment="1">
      <x:alignment wrapText="1"/>
    </x:xf>
    <x:xf numFmtId="0" fontId="32" fillId="8" borderId="14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F9F8F"/>
      </x:font>
      <x:fill>
        <x:patternFill patternType="solid">
          <x:bgColor rgb="FFE5F6F3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592b059ee444f0" /><Relationship Type="http://schemas.openxmlformats.org/officeDocument/2006/relationships/theme" Target="/xl/theme/theme1.xml" Id="R84a8efa6d7104a1b" /><Relationship Type="http://schemas.openxmlformats.org/officeDocument/2006/relationships/sharedStrings" Target="/xl/sharedStrings.xml" Id="R6f60738524364389" /><Relationship Type="http://schemas.openxmlformats.org/officeDocument/2006/relationships/worksheet" Target="/xl/worksheets/sheet1.xml" Id="R15a7aaad5903452d" /><Relationship Type="http://schemas.openxmlformats.org/officeDocument/2006/relationships/worksheet" Target="/xl/worksheets/sheet2.xml" Id="R24fad0d73be14e53" /><Relationship Type="http://schemas.openxmlformats.org/officeDocument/2006/relationships/worksheet" Target="/xl/worksheets/sheet3.xml" Id="Ra151878d3f484be7" /><Relationship Type="http://schemas.openxmlformats.org/officeDocument/2006/relationships/worksheet" Target="/xl/worksheets/sheet4.xml" Id="Rdf06e14117044e58" /><Relationship Type="http://schemas.openxmlformats.org/officeDocument/2006/relationships/worksheet" Target="/xl/worksheets/sheet5.xml" Id="R125aacf6cbca42ec" /><Relationship Type="http://schemas.openxmlformats.org/officeDocument/2006/relationships/worksheet" Target="/xl/worksheets/sheet6.xml" Id="Rf3ac6b7831254dd3" /><Relationship Type="http://schemas.openxmlformats.org/officeDocument/2006/relationships/worksheet" Target="/xl/worksheets/sheet7.xml" Id="R43b9b5e7eee64e8e" /><Relationship Type="http://schemas.openxmlformats.org/officeDocument/2006/relationships/worksheet" Target="/xl/worksheets/sheet8.xml" Id="R967b48f9b6f94cd0" /><Relationship Type="http://schemas.openxmlformats.org/officeDocument/2006/relationships/worksheet" Target="/xl/worksheets/sheet9.xml" Id="R969d8c08667c40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c710f97d344d0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Weekly cash and facility draw (LCY000)</a:t>
            </a:r>
          </a:p>
        </c:rich>
      </c:tx>
    </c:title>
    <c:plotArea>
      <c:lineChart>
        <c:grouping val="standard"/>
        <c:ser>
          <c:idx val="0"/>
          <c:order val="0"/>
          <c:tx>
            <c:v>Closing cash</c:v>
          </c:tx>
          <c:marker>
            <c:symbol val="none"/>
          </c:marker>
          <c:cat>
            <c:strRef>
              <c:f>'Summary'!$A$16:$A$27</c:f>
              <c:strCache>
                <c:ptCount val="0"/>
              </c:strCache>
            </c:strRef>
          </c:cat>
          <c:val>
            <c:numRef>
              <c:f>'Summary'!$B$16:$B$27</c:f>
              <c:numCache>
                <c:formatCode>#,##0.0;(#,##0.0);-</c:formatCode>
                <c:ptCount val="0"/>
              </c:numCache>
            </c:numRef>
          </c:val>
        </c:ser>
        <c:ser>
          <c:idx val="1"/>
          <c:order val="1"/>
          <c:tx>
            <c:v>Closing facility draw</c:v>
          </c:tx>
          <c:marker>
            <c:symbol val="none"/>
          </c:marker>
          <c:cat>
            <c:strRef>
              <c:f>'Summary'!$A$16:$A$27</c:f>
              <c:strCache>
                <c:ptCount val="0"/>
              </c:strCache>
            </c:strRef>
          </c:cat>
          <c:val>
            <c:numRef>
              <c:f>'Summary'!$C$16:$C$27</c:f>
              <c:numCache>
                <c:formatCode>#,##0.0;(#,##0.0);-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-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c710f97d344d0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44785f8ab82744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TDAT FINANCIAL MODELS</x:v>
      </x:c>
      <x:c r="B1" s="3" t="str">
        <x:v>TDAT FINANCIAL MODELS</x:v>
      </x:c>
      <x:c r="C1" s="3" t="str">
        <x:v>TDAT FINANCIAL MODELS</x:v>
      </x:c>
      <x:c r="D1" s="3" t="str">
        <x:v>TDAT FINANCIAL MODELS</x:v>
      </x:c>
      <x:c r="E1" s="3" t="str">
        <x:v>TDAT FINANCIAL MODELS</x:v>
      </x:c>
      <x:c r="F1" s="3" t="str">
        <x:v>TDAT FINANCIAL MODELS</x:v>
      </x:c>
      <x:c r="G1" s="3" t="str">
        <x:v>TDAT FINANCIAL MODELS</x:v>
      </x:c>
      <x:c r="H1" s="3" t="str">
        <x:v>TDAT FINANCIAL MODELS</x:v>
      </x:c>
      <x:c r="I1" s="3" t="str">
        <x:v>TDAT FINANCIAL MODELS</x:v>
      </x:c>
      <x:c r="J1" s="3" t="str">
        <x:v>TDAT FINANCIAL MODELS</x:v>
      </x:c>
    </x:row>
    <x:row r="2" ht="24" customHeight="1">
      <x:c r="A2" s="6" t="str">
        <x:v>TDAT-FM-TSY-001  |  Built to flex. Built to tie. Built to trust.</x:v>
      </x:c>
      <x:c r="B2" s="6" t="str">
        <x:v>TDAT-FM-TSY-001  |  Built to flex. Built to tie. Built to trust.</x:v>
      </x:c>
      <x:c r="C2" s="6" t="str">
        <x:v>TDAT-FM-TSY-001  |  Built to flex. Built to tie. Built to trust.</x:v>
      </x:c>
      <x:c r="D2" s="6" t="str">
        <x:v>TDAT-FM-TSY-001  |  Built to flex. Built to tie. Built to trust.</x:v>
      </x:c>
      <x:c r="E2" s="6" t="str">
        <x:v>TDAT-FM-TSY-001  |  Built to flex. Built to tie. Built to trust.</x:v>
      </x:c>
      <x:c r="F2" s="6" t="str">
        <x:v>TDAT-FM-TSY-001  |  Built to flex. Built to tie. Built to trust.</x:v>
      </x:c>
      <x:c r="G2" s="6" t="str">
        <x:v>TDAT-FM-TSY-001  |  Built to flex. Built to tie. Built to trust.</x:v>
      </x:c>
      <x:c r="H2" s="6" t="str">
        <x:v>TDAT-FM-TSY-001  |  Built to flex. Built to tie. Built to trust.</x:v>
      </x:c>
      <x:c r="I2" s="6" t="str">
        <x:v>TDAT-FM-TSY-001  |  Built to flex. Built to tie. Built to trust.</x:v>
      </x:c>
      <x:c r="J2" s="6" t="str">
        <x:v>TDAT-FM-TSY-001  |  Built to flex. Built to tie. Built to trust.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207" t="str">
        <x:v>13-Week Cash Flow</x:v>
      </x:c>
      <x:c r="B5" s="207" t="str">
        <x:v>13-Week Cash Flow</x:v>
      </x:c>
      <x:c r="C5" s="207" t="str">
        <x:v>13-Week Cash Flow</x:v>
      </x:c>
      <x:c r="D5" s="207" t="str">
        <x:v>13-Week Cash Flow</x:v>
      </x:c>
      <x:c r="E5" s="207" t="str">
        <x:v>13-Week Cash Flow</x:v>
      </x:c>
      <x:c r="F5" s="207" t="str">
        <x:v>13-Week Cash Flow</x:v>
      </x:c>
      <x:c r="G5" s="129" t="str">
        <x:v>CALCULATION INTEGRITY</x:v>
      </x:c>
      <x:c r="H5" s="129" t="str">
        <x:v>CALCULATION INTEGRITY</x:v>
      </x:c>
      <x:c r="I5" s="129" t="str">
        <x:v>CALCULATION INTEGRITY</x:v>
      </x:c>
      <x:c r="J5" s="129" t="str">
        <x:v>CALCULATION INTEGRITY</x:v>
      </x:c>
    </x:row>
    <x:row r="6">
      <x:c r="A6" s="207" t="str">
        <x:v>13-Week Cash Flow</x:v>
      </x:c>
      <x:c r="B6" s="207" t="str">
        <x:v>13-Week Cash Flow</x:v>
      </x:c>
      <x:c r="C6" s="207" t="str">
        <x:v>13-Week Cash Flow</x:v>
      </x:c>
      <x:c r="D6" s="207" t="str">
        <x:v>13-Week Cash Flow</x:v>
      </x:c>
      <x:c r="E6" s="207" t="str">
        <x:v>13-Week Cash Flow</x:v>
      </x:c>
      <x:c r="F6" s="207" t="str">
        <x:v>13-Week Cash Flow</x:v>
      </x:c>
      <x:c r="G6" s="210" t="str">
        <x:f>'Checks'!$B$5</x:f>
        <x:v>PASS</x:v>
      </x:c>
      <x:c r="H6" s="210"/>
      <x:c r="I6" s="210"/>
      <x:c r="J6" s="210"/>
    </x:row>
    <x:row r="7">
      <x:c r="A7" s="207" t="str">
        <x:v>13-Week Cash Flow</x:v>
      </x:c>
      <x:c r="B7" s="207" t="str">
        <x:v>13-Week Cash Flow</x:v>
      </x:c>
      <x:c r="C7" s="207" t="str">
        <x:v>13-Week Cash Flow</x:v>
      </x:c>
      <x:c r="D7" s="207" t="str">
        <x:v>13-Week Cash Flow</x:v>
      </x:c>
      <x:c r="E7" s="207" t="str">
        <x:v>13-Week Cash Flow</x:v>
      </x:c>
      <x:c r="F7" s="207" t="str">
        <x:v>13-Week Cash Flow</x:v>
      </x:c>
      <x:c r="G7" s="210"/>
      <x:c r="H7" s="210"/>
      <x:c r="I7" s="210"/>
      <x:c r="J7" s="210"/>
    </x:row>
    <x:row r="9" ht="22" customHeight="1">
      <x:c r="A9" s="9" t="str">
        <x:v>DECISION QUESTION</x:v>
      </x:c>
      <x:c r="B9" s="9" t="str">
        <x:v>DECISION QUESTION</x:v>
      </x:c>
      <x:c r="C9" s="9" t="str">
        <x:v>DECISION QUESTION</x:v>
      </x:c>
      <x:c r="D9" s="9" t="str">
        <x:v>DECISION QUESTION</x:v>
      </x:c>
      <x:c r="E9" s="9" t="str">
        <x:v>DECISION QUESTION</x:v>
      </x:c>
      <x:c r="F9" s="9" t="str">
        <x:v>DECISION QUESTION</x:v>
      </x:c>
      <x:c r="G9" s="9" t="str">
        <x:v>DECISION QUESTION</x:v>
      </x:c>
      <x:c r="H9" s="9" t="str">
        <x:v>DECISION QUESTION</x:v>
      </x:c>
      <x:c r="I9" s="9" t="str">
        <x:v>DECISION QUESTION</x:v>
      </x:c>
      <x:c r="J9" s="9" t="str">
        <x:v>DECISION QUESTION</x:v>
      </x:c>
    </x:row>
    <x:row r="10">
      <x:c r="A10" s="214" t="str">
        <x:v>When does liquidity tighten, and which payment or funding action comes first?</x:v>
      </x:c>
      <x:c r="B10" s="214" t="str">
        <x:v>When does liquidity tighten, and which payment or funding action comes first?</x:v>
      </x:c>
      <x:c r="C10" s="214" t="str">
        <x:v>When does liquidity tighten, and which payment or funding action comes first?</x:v>
      </x:c>
      <x:c r="D10" s="214" t="str">
        <x:v>When does liquidity tighten, and which payment or funding action comes first?</x:v>
      </x:c>
      <x:c r="E10" s="214" t="str">
        <x:v>When does liquidity tighten, and which payment or funding action comes first?</x:v>
      </x:c>
      <x:c r="F10" s="214" t="str">
        <x:v>When does liquidity tighten, and which payment or funding action comes first?</x:v>
      </x:c>
      <x:c r="G10" s="214" t="str">
        <x:v>When does liquidity tighten, and which payment or funding action comes first?</x:v>
      </x:c>
      <x:c r="H10" s="214" t="str">
        <x:v>When does liquidity tighten, and which payment or funding action comes first?</x:v>
      </x:c>
      <x:c r="I10" s="214" t="str">
        <x:v>When does liquidity tighten, and which payment or funding action comes first?</x:v>
      </x:c>
      <x:c r="J10" s="214" t="str">
        <x:v>When does liquidity tighten, and which payment or funding action comes first?</x:v>
      </x:c>
    </x:row>
    <x:row r="11">
      <x:c r="A11" s="214" t="str">
        <x:v>When does liquidity tighten, and which payment or funding action comes first?</x:v>
      </x:c>
      <x:c r="B11" s="214" t="str">
        <x:v>When does liquidity tighten, and which payment or funding action comes first?</x:v>
      </x:c>
      <x:c r="C11" s="214" t="str">
        <x:v>When does liquidity tighten, and which payment or funding action comes first?</x:v>
      </x:c>
      <x:c r="D11" s="214" t="str">
        <x:v>When does liquidity tighten, and which payment or funding action comes first?</x:v>
      </x:c>
      <x:c r="E11" s="214" t="str">
        <x:v>When does liquidity tighten, and which payment or funding action comes first?</x:v>
      </x:c>
      <x:c r="F11" s="214" t="str">
        <x:v>When does liquidity tighten, and which payment or funding action comes first?</x:v>
      </x:c>
      <x:c r="G11" s="214" t="str">
        <x:v>When does liquidity tighten, and which payment or funding action comes first?</x:v>
      </x:c>
      <x:c r="H11" s="214" t="str">
        <x:v>When does liquidity tighten, and which payment or funding action comes first?</x:v>
      </x:c>
      <x:c r="I11" s="214" t="str">
        <x:v>When does liquidity tighten, and which payment or funding action comes first?</x:v>
      </x:c>
      <x:c r="J11" s="214" t="str">
        <x:v>When does liquidity tighten, and which payment or funding action comes first?</x:v>
      </x:c>
    </x:row>
    <x:row r="13" ht="22" customHeight="1">
      <x:c r="A13" s="9" t="str">
        <x:v>FIRST READ</x:v>
      </x:c>
      <x:c r="B13" s="9" t="str">
        <x:v>FIRST READ</x:v>
      </x:c>
      <x:c r="C13" s="9" t="str">
        <x:v>FIRST READ</x:v>
      </x:c>
      <x:c r="D13" s="9" t="str">
        <x:v>FIRST READ</x:v>
      </x:c>
      <x:c r="E13" s="9" t="str">
        <x:v>FIRST READ</x:v>
      </x:c>
      <x:c r="F13" s="9" t="str">
        <x:v>FIRST READ</x:v>
      </x:c>
      <x:c r="G13" s="9" t="str">
        <x:v>FIRST READ</x:v>
      </x:c>
      <x:c r="H13" s="9" t="str">
        <x:v>FIRST READ</x:v>
      </x:c>
      <x:c r="I13" s="9" t="str">
        <x:v>FIRST READ</x:v>
      </x:c>
      <x:c r="J13" s="9" t="str">
        <x:v>FIRST READ</x:v>
      </x:c>
    </x:row>
    <x:row r="14">
      <x:c r="A14" s="215" t="str">
        <x:v>Calculation integrity</x:v>
      </x:c>
      <x:c r="B14" s="216" t="str">
        <x:v>Decision readiness</x:v>
      </x:c>
      <x:c r="C14" s="221" t="str">
        <x:f>'Checks'!$B$5</x:f>
        <x:v>PASS</x:v>
      </x:c>
      <x:c r="D14" s="221"/>
      <x:c r="E14" s="221"/>
      <x:c r="F14" s="236" t="str">
        <x:v>TEMPLATE — VALIDATE INPUTS</x:v>
      </x:c>
      <x:c r="G14" s="236" t="str">
        <x:v>TEMPLATE — VALIDATE INPUTS</x:v>
      </x:c>
      <x:c r="H14" s="236" t="str">
        <x:v>TEMPLATE — VALIDATE INPUTS</x:v>
      </x:c>
      <x:c r="I14" s="236" t="str">
        <x:v>TEMPLATE — VALIDATE INPUTS</x:v>
      </x:c>
      <x:c r="J14" s="237" t="str">
        <x:v>TEMPLATE — VALIDATE INPUTS</x:v>
      </x:c>
    </x:row>
    <x:row r="15">
      <x:c r="A15" s="217" t="str">
        <x:v>Published checks</x:v>
      </x:c>
      <x:c r="B15" s="218" t="str">
        <x:v>Template posture</x:v>
      </x:c>
      <x:c r="C15" s="222" t="str">
        <x:f>"10 / 10 PASS"</x:f>
        <x:v>10 / 10 PASS</x:v>
      </x:c>
      <x:c r="D15" s="222"/>
      <x:c r="E15" s="222"/>
      <x:c r="F15" s="238" t="str">
        <x:v>Illustrative, screen-grade worked example</x:v>
      </x:c>
      <x:c r="G15" s="238" t="str">
        <x:v>Illustrative, screen-grade worked example</x:v>
      </x:c>
      <x:c r="H15" s="238" t="str">
        <x:v>Illustrative, screen-grade worked example</x:v>
      </x:c>
      <x:c r="I15" s="238" t="str">
        <x:v>Illustrative, screen-grade worked example</x:v>
      </x:c>
      <x:c r="J15" s="239" t="str">
        <x:v>Illustrative, screen-grade worked example</x:v>
      </x:c>
    </x:row>
    <x:row r="16">
      <x:c r="A16" s="217" t="str">
        <x:v>Scenario</x:v>
      </x:c>
      <x:c r="B16" s="218" t="str">
        <x:v>Evidence</x:v>
      </x:c>
      <x:c r="C16" s="222" t="str">
        <x:f>'Assumptions'!$B$3</x:f>
        <x:v>Base</x:v>
      </x:c>
      <x:c r="D16" s="222"/>
      <x:c r="E16" s="222"/>
      <x:c r="F16" s="238" t="str">
        <x:v>Synthetic / illustrative</x:v>
      </x:c>
      <x:c r="G16" s="238" t="str">
        <x:v>Synthetic / illustrative</x:v>
      </x:c>
      <x:c r="H16" s="238" t="str">
        <x:v>Synthetic / illustrative</x:v>
      </x:c>
      <x:c r="I16" s="238" t="str">
        <x:v>Synthetic / illustrative</x:v>
      </x:c>
      <x:c r="J16" s="239" t="str">
        <x:v>Synthetic / illustrative</x:v>
      </x:c>
    </x:row>
    <x:row r="17">
      <x:c r="A17" s="219" t="str">
        <x:v>Owner</x:v>
      </x:c>
      <x:c r="B17" s="220" t="str">
        <x:v>Use</x:v>
      </x:c>
      <x:c r="C17" s="223" t="str">
        <x:f>'Sources &amp; Version'!$B$12</x:f>
        <x:v>Truong Dinh Anh Tu</x:v>
      </x:c>
      <x:c r="D17" s="223"/>
      <x:c r="E17" s="223"/>
      <x:c r="F17" s="240" t="str">
        <x:v>Treasury · FP&amp;A · CFO Office · SME Finance</x:v>
      </x:c>
      <x:c r="G17" s="240" t="str">
        <x:v>Treasury · FP&amp;A · CFO Office · SME Finance</x:v>
      </x:c>
      <x:c r="H17" s="240" t="str">
        <x:v>Treasury · FP&amp;A · CFO Office · SME Finance</x:v>
      </x:c>
      <x:c r="I17" s="240" t="str">
        <x:v>Treasury · FP&amp;A · CFO Office · SME Finance</x:v>
      </x:c>
      <x:c r="J17" s="241" t="str">
        <x:v>Treasury · FP&amp;A · CFO Office · SME Finance</x:v>
      </x:c>
    </x:row>
    <x:row r="19" ht="22" customHeight="1">
      <x:c r="A19" s="9" t="str">
        <x:v>MODEL IDENTITY</x:v>
      </x:c>
      <x:c r="B19" s="9" t="str">
        <x:v>MODEL IDENTITY</x:v>
      </x:c>
      <x:c r="C19" s="9" t="str">
        <x:v>MODEL IDENTITY</x:v>
      </x:c>
      <x:c r="D19" s="9" t="str">
        <x:v>MODEL IDENTITY</x:v>
      </x:c>
      <x:c r="E19" s="9" t="str">
        <x:v>MODEL IDENTITY</x:v>
      </x:c>
      <x:c r="F19" s="9" t="str">
        <x:v>MODEL IDENTITY</x:v>
      </x:c>
      <x:c r="G19" s="9" t="str">
        <x:v>KEY OUTPUTS</x:v>
      </x:c>
      <x:c r="H19" s="9" t="str">
        <x:v>KEY OUTPUTS</x:v>
      </x:c>
      <x:c r="I19" s="9" t="str">
        <x:v>KEY OUTPUTS</x:v>
      </x:c>
      <x:c r="J19" s="9" t="str">
        <x:v>KEY OUTPUTS</x:v>
      </x:c>
    </x:row>
    <x:row r="20">
      <x:c r="A20" s="196" t="str">
        <x:v>Model ID</x:v>
      </x:c>
      <x:c r="B20" s="142" t="str">
        <x:v>TDAT-FM-TSY-001</x:v>
      </x:c>
      <x:c r="C20" s="198" t="str">
        <x:v>Version</x:v>
      </x:c>
      <x:c r="D20" s="142" t="str">
        <x:v>1.0.0</x:v>
      </x:c>
      <x:c r="E20" s="198" t="str">
        <x:v>Last QA</x:v>
      </x:c>
      <x:c r="F20" s="143" t="str">
        <x:v>2026-07-13</x:v>
      </x:c>
      <x:c r="G20" s="245" t="str">
        <x:v>Minimum cash</x:v>
      </x:c>
      <x:c r="H20" s="245" t="str">
        <x:v>Minimum cash</x:v>
      </x:c>
      <x:c r="I20" s="246" t="n">
        <x:f>MIN('Cash Forecast'!B14:N14)</x:f>
        <x:v>93</x:v>
      </x:c>
      <x:c r="J20" s="246"/>
    </x:row>
    <x:row r="21">
      <x:c r="A21" s="243" t="str">
        <x:v>Domain</x:v>
      </x:c>
      <x:c r="B21" s="145" t="str">
        <x:v>Treasury &amp; Capital</x:v>
      </x:c>
      <x:c r="C21" s="244" t="str">
        <x:v>Compatibility</x:v>
      </x:c>
      <x:c r="D21" s="145" t="str">
        <x:v>Excel 365</x:v>
      </x:c>
      <x:c r="E21" s="244" t="str">
        <x:v>Macros</x:v>
      </x:c>
      <x:c r="F21" s="146" t="str">
        <x:v>None</x:v>
      </x:c>
      <x:c r="G21" s="245" t="str">
        <x:v>Peak facility draw</x:v>
      </x:c>
      <x:c r="H21" s="245" t="str">
        <x:v>Peak facility draw</x:v>
      </x:c>
      <x:c r="I21" s="246" t="n">
        <x:f>MAX('Cash Forecast'!B13:N13)</x:f>
        <x:v>0</x:v>
      </x:c>
      <x:c r="J21" s="246"/>
    </x:row>
    <x:row r="22">
      <x:c r="A22" s="243" t="str">
        <x:v>Horizon</x:v>
      </x:c>
      <x:c r="B22" s="145" t="str">
        <x:v>13 weeks</x:v>
      </x:c>
      <x:c r="C22" s="244" t="str">
        <x:v>Frequency</x:v>
      </x:c>
      <x:c r="D22" s="145" t="str">
        <x:v>Weekly</x:v>
      </x:c>
      <x:c r="E22" s="244" t="str">
        <x:v>External links</x:v>
      </x:c>
      <x:c r="F22" s="146" t="str">
        <x:v>None</x:v>
      </x:c>
      <x:c r="G22" s="245" t="str">
        <x:v>Closing cash</x:v>
      </x:c>
      <x:c r="H22" s="245" t="str">
        <x:v>Closing cash</x:v>
      </x:c>
      <x:c r="I22" s="246" t="n">
        <x:f>'Cash Forecast'!N$14</x:f>
        <x:v>374.1499999999999</x:v>
      </x:c>
      <x:c r="J22" s="246"/>
    </x:row>
    <x:row r="23">
      <x:c r="A23" s="243" t="str">
        <x:v>Currency</x:v>
      </x:c>
      <x:c r="B23" s="145" t="str">
        <x:v>LCY</x:v>
      </x:c>
      <x:c r="C23" s="244" t="str">
        <x:v>Units</x:v>
      </x:c>
      <x:c r="D23" s="145" t="str">
        <x:v>LCY thousands</x:v>
      </x:c>
      <x:c r="E23" s="244" t="str">
        <x:v>Scenario</x:v>
      </x:c>
      <x:c r="F23" s="146" t="str">
        <x:v>Base / Upside / Downside</x:v>
      </x:c>
      <x:c r="G23" s="245" t="str">
        <x:v>Closing facility</x:v>
      </x:c>
      <x:c r="H23" s="245" t="str">
        <x:v>Closing facility</x:v>
      </x:c>
      <x:c r="I23" s="246" t="n">
        <x:f>'Cash Forecast'!N$13</x:f>
        <x:v>0</x:v>
      </x:c>
      <x:c r="J23" s="246"/>
    </x:row>
    <x:row r="24">
      <x:c r="A24" s="197" t="str">
        <x:v>Owner</x:v>
      </x:c>
      <x:c r="B24" s="148" t="str">
        <x:v>Truong Dinh Anh Tu</x:v>
      </x:c>
      <x:c r="C24" s="199" t="str">
        <x:v>Standard</x:v>
      </x:c>
      <x:c r="D24" s="148" t="str">
        <x:v>TDAT Model Standard 1.0</x:v>
      </x:c>
      <x:c r="E24" s="199" t="str">
        <x:v>Evidence</x:v>
      </x:c>
      <x:c r="F24" s="149" t="str">
        <x:v>Synthetic worked template</x:v>
      </x:c>
      <x:c r="G24" s="245" t="str">
        <x:v>Peak funding gap</x:v>
      </x:c>
      <x:c r="H24" s="245" t="str">
        <x:v>Peak funding gap</x:v>
      </x:c>
      <x:c r="I24" s="246" t="n">
        <x:f>MAX('Cash Forecast'!B15:N15)</x:f>
        <x:v>0</x:v>
      </x:c>
      <x:c r="J24" s="246"/>
    </x:row>
    <x:row r="26" ht="22" customHeight="1">
      <x:c r="A26" s="9" t="str">
        <x:v>CELL COLOR LEGEND</x:v>
      </x:c>
      <x:c r="B26" s="9" t="str">
        <x:v>CELL COLOR LEGEND</x:v>
      </x:c>
      <x:c r="C26" s="9" t="str">
        <x:v>CELL COLOR LEGEND</x:v>
      </x:c>
      <x:c r="D26" s="9" t="str">
        <x:v>CELL COLOR LEGEND</x:v>
      </x:c>
      <x:c r="E26" s="9" t="str">
        <x:v>CELL COLOR LEGEND</x:v>
      </x:c>
      <x:c r="F26" s="9" t="str">
        <x:v>CELL COLOR LEGEND</x:v>
      </x:c>
      <x:c r="G26" s="9" t="str">
        <x:v>CELL COLOR LEGEND</x:v>
      </x:c>
      <x:c r="H26" s="9" t="str">
        <x:v>CELL COLOR LEGEND</x:v>
      </x:c>
      <x:c r="I26" s="9" t="str">
        <x:v>CELL COLOR LEGEND</x:v>
      </x:c>
      <x:c r="J26" s="9" t="str">
        <x:v>CELL COLOR LEGEND</x:v>
      </x:c>
    </x:row>
    <x:row r="27">
      <x:c r="A27" s="266" t="str">
        <x:v>Blue font</x:v>
      </x:c>
      <x:c r="B27" s="258" t="str">
        <x:v>Editable hardcode</x:v>
      </x:c>
      <x:c r="C27" s="267" t="str">
        <x:v>Black font</x:v>
      </x:c>
      <x:c r="D27" s="258" t="str">
        <x:v>In-sheet formula</x:v>
      </x:c>
      <x:c r="E27" s="268" t="str">
        <x:v>Green font</x:v>
      </x:c>
      <x:c r="F27" s="258" t="str">
        <x:v>Cross-sheet formula</x:v>
      </x:c>
      <x:c r="G27" s="269" t="str">
        <x:v>Pale amber</x:v>
      </x:c>
      <x:c r="H27" s="269" t="str">
        <x:v>Scenario / review cue</x:v>
      </x:c>
      <x:c r="I27" s="270" t="str">
        <x:v>Teal</x:v>
      </x:c>
      <x:c r="J27" s="271" t="str">
        <x:v>PASS / trusted output</x:v>
      </x:c>
    </x:row>
    <x:row r="28">
      <x:c r="A28" s="260" t="str">
        <x:v>Actual</x:v>
      </x:c>
      <x:c r="B28" s="261" t="str">
        <x:v>Neutral period band</x:v>
      </x:c>
      <x:c r="C28" s="261" t="str">
        <x:v>Forecast</x:v>
      </x:c>
      <x:c r="D28" s="261" t="str">
        <x:v>Pale-blue period band</x:v>
      </x:c>
      <x:c r="E28" s="261" t="str">
        <x:v>Zero</x:v>
      </x:c>
      <x:c r="F28" s="261" t="str">
        <x:v>Displayed as an en dash</x:v>
      </x:c>
      <x:c r="G28" s="261" t="str">
        <x:v>Rule</x:v>
      </x:c>
      <x:c r="H28" s="261" t="str">
        <x:v>Keep formulas copy-across</x:v>
      </x:c>
      <x:c r="I28" s="261" t="str">
        <x:v>Rule</x:v>
      </x:c>
      <x:c r="J28" s="262" t="str">
        <x:v>Recheck after every change</x:v>
      </x:c>
    </x:row>
    <x:row r="29">
      <x:c r="A29" s="263" t="str">
        <x:v>Status</x:v>
      </x:c>
      <x:c r="B29" s="264" t="str">
        <x:v>PASS means controls tie</x:v>
      </x:c>
      <x:c r="C29" s="264" t="str">
        <x:v>Readiness</x:v>
      </x:c>
      <x:c r="D29" s="264" t="str">
        <x:v>Inputs still require review</x:v>
      </x:c>
      <x:c r="E29" s="264" t="str">
        <x:v>Privacy</x:v>
      </x:c>
      <x:c r="F29" s="264" t="str">
        <x:v>Public-safe example</x:v>
      </x:c>
      <x:c r="G29" s="264" t="str">
        <x:v>Use</x:v>
      </x:c>
      <x:c r="H29" s="264" t="str">
        <x:v>Adapt and validate</x:v>
      </x:c>
      <x:c r="I29" s="264" t="str">
        <x:v>Support</x:v>
      </x:c>
      <x:c r="J29" s="265" t="str">
        <x:v>Model notes + web guide</x:v>
      </x:c>
    </x:row>
    <x:row r="31">
      <x:c r="A31" s="42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B31" s="43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C31" s="43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D31" s="43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E31" s="43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F31" s="43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G31" s="43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H31" s="43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I31" s="43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J31" s="44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</x:row>
    <x:row r="32">
      <x:c r="A32" s="45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B32" s="46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C32" s="46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D32" s="46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E32" s="46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F32" s="46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G32" s="46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H32" s="46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I32" s="46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J32" s="47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</x:row>
    <x:row r="33">
      <x:c r="A33" s="48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B33" s="49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C33" s="49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D33" s="49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E33" s="49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F33" s="49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G33" s="49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H33" s="49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I33" s="49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  <x:c r="J33" s="50" t="str">
        <x:v>Illustrative template — replace synthetic inputs and validate the model method, accounting, assumptions, sources, and outputs before decision use. Calculation integrity PASS covers 10 published controls; it is not independent certification or professional advice.</x:v>
      </x:c>
    </x:row>
    <x:row r="35">
      <x:c r="A35" s="53" t="str">
        <x:v>TDAT Model Library  |  Trust builds the brand. Insight builds the decision.</x:v>
      </x:c>
      <x:c r="B35" s="53" t="str">
        <x:v>TDAT Model Library  |  Trust builds the brand. Insight builds the decision.</x:v>
      </x:c>
      <x:c r="C35" s="53" t="str">
        <x:v>TDAT Model Library  |  Trust builds the brand. Insight builds the decision.</x:v>
      </x:c>
      <x:c r="D35" s="53" t="str">
        <x:v>TDAT Model Library  |  Trust builds the brand. Insight builds the decision.</x:v>
      </x:c>
      <x:c r="E35" s="53" t="str">
        <x:v>TDAT Model Library  |  Trust builds the brand. Insight builds the decision.</x:v>
      </x:c>
      <x:c r="F35" s="53" t="str">
        <x:v>TDAT Model Library  |  Trust builds the brand. Insight builds the decision.</x:v>
      </x:c>
      <x:c r="G35" s="53" t="str">
        <x:v>TDAT Model Library  |  Trust builds the brand. Insight builds the decision.</x:v>
      </x:c>
      <x:c r="H35" s="53" t="str">
        <x:v>TDAT Model Library  |  Trust builds the brand. Insight builds the decision.</x:v>
      </x:c>
      <x:c r="I35" s="53" t="str">
        <x:v>TDAT Model Library  |  Trust builds the brand. Insight builds the decision.</x:v>
      </x:c>
      <x:c r="J35" s="53" t="str">
        <x:v>TDAT Model Library  |  Trust builds the brand. Insight builds the decision.</x:v>
      </x:c>
    </x:row>
  </x:sheetData>
  <x:mergeCells>
    <x:mergeCell ref="A1:J1"/>
    <x:mergeCell ref="A2:J2"/>
    <x:mergeCell ref="A5:F7"/>
    <x:mergeCell ref="G5:J5"/>
    <x:mergeCell ref="G6:J7"/>
    <x:mergeCell ref="A9:J9"/>
    <x:mergeCell ref="A10:J11"/>
    <x:mergeCell ref="A13:J13"/>
    <x:mergeCell ref="C14:E14"/>
    <x:mergeCell ref="F14:J14"/>
    <x:mergeCell ref="C15:E15"/>
    <x:mergeCell ref="F15:J15"/>
    <x:mergeCell ref="C16:E16"/>
    <x:mergeCell ref="F16:J16"/>
    <x:mergeCell ref="C17:E17"/>
    <x:mergeCell ref="F17:J17"/>
    <x:mergeCell ref="A19:J19"/>
    <x:mergeCell ref="G19:J19"/>
    <x:mergeCell ref="G20:H20"/>
    <x:mergeCell ref="I20:J20"/>
    <x:mergeCell ref="G21:H21"/>
    <x:mergeCell ref="I21:J21"/>
    <x:mergeCell ref="G22:H22"/>
    <x:mergeCell ref="I22:J22"/>
    <x:mergeCell ref="G23:H23"/>
    <x:mergeCell ref="I23:J23"/>
    <x:mergeCell ref="G24:H24"/>
    <x:mergeCell ref="I24:J24"/>
    <x:mergeCell ref="A26:J26"/>
    <x:mergeCell ref="A31:J33"/>
    <x:mergeCell ref="A35:J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4" customHeight="1">
      <x:c r="A1" s="3" t="str">
        <x:v>MODEL GUIDE</x:v>
      </x:c>
      <x:c r="B1" s="3" t="str">
        <x:v>MODEL GUIDE</x:v>
      </x:c>
      <x:c r="C1" s="3" t="str">
        <x:v>MODEL GUIDE</x:v>
      </x:c>
      <x:c r="D1" s="3" t="str">
        <x:v>MODEL GUIDE</x:v>
      </x:c>
      <x:c r="E1" s="3" t="str">
        <x:v>MODEL GUIDE</x:v>
      </x:c>
      <x:c r="F1" s="3" t="str">
        <x:v>MODEL GUIDE</x:v>
      </x:c>
      <x:c r="G1" s="3" t="str">
        <x:v>MODEL GUIDE</x:v>
      </x:c>
      <x:c r="H1" s="3" t="str">
        <x:v>MODEL GUIDE</x:v>
      </x:c>
      <x:c r="I1" s="3" t="str">
        <x:v>MODEL GUIDE</x:v>
      </x:c>
      <x:c r="J1" s="3" t="str">
        <x:v>MODEL GUIDE</x:v>
      </x:c>
    </x:row>
    <x:row r="2" ht="24" customHeight="1">
      <x:c r="A2" s="6" t="str">
        <x:v>13-Week Cash Flow  |  Scope, setup, flexibility, and limitations</x:v>
      </x:c>
      <x:c r="B2" s="6" t="str">
        <x:v>13-Week Cash Flow  |  Scope, setup, flexibility, and limitations</x:v>
      </x:c>
      <x:c r="C2" s="6" t="str">
        <x:v>13-Week Cash Flow  |  Scope, setup, flexibility, and limitations</x:v>
      </x:c>
      <x:c r="D2" s="6" t="str">
        <x:v>13-Week Cash Flow  |  Scope, setup, flexibility, and limitations</x:v>
      </x:c>
      <x:c r="E2" s="6" t="str">
        <x:v>13-Week Cash Flow  |  Scope, setup, flexibility, and limitations</x:v>
      </x:c>
      <x:c r="F2" s="6" t="str">
        <x:v>13-Week Cash Flow  |  Scope, setup, flexibility, and limitations</x:v>
      </x:c>
      <x:c r="G2" s="6" t="str">
        <x:v>13-Week Cash Flow  |  Scope, setup, flexibility, and limitations</x:v>
      </x:c>
      <x:c r="H2" s="6" t="str">
        <x:v>13-Week Cash Flow  |  Scope, setup, flexibility, and limitations</x:v>
      </x:c>
      <x:c r="I2" s="6" t="str">
        <x:v>13-Week Cash Flow  |  Scope, setup, flexibility, and limitations</x:v>
      </x:c>
      <x:c r="J2" s="6" t="str">
        <x:v>13-Week Cash Flow  |  Scope, setup, flexibility, and limitations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22" customHeight="1">
      <x:c r="A5" s="9" t="str">
        <x:v>PURPOSE AND USERS</x:v>
      </x:c>
      <x:c r="B5" s="9" t="str">
        <x:v>PURPOSE AND USERS</x:v>
      </x:c>
      <x:c r="C5" s="9" t="str">
        <x:v>PURPOSE AND USERS</x:v>
      </x:c>
      <x:c r="D5" s="9" t="str">
        <x:v>PURPOSE AND USERS</x:v>
      </x:c>
      <x:c r="E5" s="9" t="str">
        <x:v>PURPOSE AND USERS</x:v>
      </x:c>
      <x:c r="F5" s="9" t="str">
        <x:v>PURPOSE AND USERS</x:v>
      </x:c>
      <x:c r="G5" s="9" t="str">
        <x:v>PURPOSE AND USERS</x:v>
      </x:c>
      <x:c r="H5" s="9" t="str">
        <x:v>PURPOSE AND USERS</x:v>
      </x:c>
      <x:c r="I5" s="9" t="str">
        <x:v>PURPOSE AND USERS</x:v>
      </x:c>
      <x:c r="J5" s="9" t="str">
        <x:v>PURPOSE AND USERS</x:v>
      </x:c>
    </x:row>
    <x:row r="6">
      <x:c r="A6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B6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C6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D6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E6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F6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G6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H6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I6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J6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</x:row>
    <x:row r="7">
      <x:c r="A7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B7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C7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D7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E7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F7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G7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H7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I7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J7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</x:row>
    <x:row r="8">
      <x:c r="A8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B8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C8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D8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E8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F8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G8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H8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I8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  <x:c r="J8" s="12" t="str">
        <x:v>A weekly direct cash forecast with receipts, disbursements, minimum cash, runway, and funding-gap visibility.
Primary users: Treasury, FP&amp;A, CFO Office, SME Finance. Typical use: Liquidity, Payment sequencing, Cash runway.</x:v>
      </x:c>
    </x:row>
    <x:row r="10" ht="22" customHeight="1">
      <x:c r="A10" s="9" t="str">
        <x:v>QUICK START</x:v>
      </x:c>
      <x:c r="B10" s="9" t="str">
        <x:v>QUICK START</x:v>
      </x:c>
      <x:c r="C10" s="9" t="str">
        <x:v>QUICK START</x:v>
      </x:c>
      <x:c r="D10" s="9" t="str">
        <x:v>QUICK START</x:v>
      </x:c>
      <x:c r="E10" s="9" t="str">
        <x:v>QUICK START</x:v>
      </x:c>
      <x:c r="F10" s="9" t="str">
        <x:v>QUICK START</x:v>
      </x:c>
      <x:c r="G10" s="9" t="str">
        <x:v>QUICK START</x:v>
      </x:c>
      <x:c r="H10" s="9" t="str">
        <x:v>QUICK START</x:v>
      </x:c>
      <x:c r="I10" s="9" t="str">
        <x:v>QUICK START</x:v>
      </x:c>
      <x:c r="J10" s="9" t="str">
        <x:v>QUICK START</x:v>
      </x:c>
    </x:row>
    <x:row r="11" ht="30" customHeight="1">
      <x:c r="A11" s="14" t="str">
        <x:v>01</x:v>
      </x:c>
      <x:c r="B11" s="15" t="str">
        <x:v>Confirm the decision</x:v>
      </x:c>
      <x:c r="C11" s="17" t="str">
        <x:v>When does liquidity tighten, and which payment or funding action comes first?</x:v>
      </x:c>
      <x:c r="D11" s="17" t="str"/>
      <x:c r="E11" s="17" t="str"/>
      <x:c r="F11" s="17" t="str"/>
      <x:c r="G11" s="17" t="str"/>
      <x:c r="H11" s="17" t="str"/>
      <x:c r="I11" s="17" t="str"/>
      <x:c r="J11" s="17" t="str"/>
    </x:row>
    <x:row r="12" ht="30" customHeight="1">
      <x:c r="A12" s="14" t="str">
        <x:v>02</x:v>
      </x:c>
      <x:c r="B12" s="15" t="str">
        <x:v>Set model controls</x:v>
      </x:c>
      <x:c r="C12" s="17" t="str">
        <x:v>Select Base, Upside, or Downside; confirm currency, units, horizon, and calculation method.</x:v>
      </x:c>
      <x:c r="D12" s="17" t="str"/>
      <x:c r="E12" s="17" t="str"/>
      <x:c r="F12" s="17" t="str"/>
      <x:c r="G12" s="17" t="str"/>
      <x:c r="H12" s="17" t="str"/>
      <x:c r="I12" s="17" t="str"/>
      <x:c r="J12" s="17" t="str"/>
    </x:row>
    <x:row r="13" ht="30" customHeight="1">
      <x:c r="A13" s="14" t="str">
        <x:v>03</x:v>
      </x:c>
      <x:c r="B13" s="15" t="str">
        <x:v>Replace blue inputs</x:v>
      </x:c>
      <x:c r="C13" s="17" t="str">
        <x:v>Update the synthetic values on Weekly Inputs and the scenario drivers on Assumptions.</x:v>
      </x:c>
      <x:c r="D13" s="17" t="str"/>
      <x:c r="E13" s="17" t="str"/>
      <x:c r="F13" s="17" t="str"/>
      <x:c r="G13" s="17" t="str"/>
      <x:c r="H13" s="17" t="str"/>
      <x:c r="I13" s="17" t="str"/>
      <x:c r="J13" s="17" t="str"/>
    </x:row>
    <x:row r="14" ht="30" customHeight="1">
      <x:c r="A14" s="14" t="str">
        <x:v>04</x:v>
      </x:c>
      <x:c r="B14" s="15" t="str">
        <x:v>Review the engine</x:v>
      </x:c>
      <x:c r="C14" s="17" t="str">
        <x:v>Trace the calculations on Cash Forecast; challenge definitions, signs, timing, and edge cases.</x:v>
      </x:c>
      <x:c r="D14" s="17" t="str"/>
      <x:c r="E14" s="17" t="str"/>
      <x:c r="F14" s="17" t="str"/>
      <x:c r="G14" s="17" t="str"/>
      <x:c r="H14" s="17" t="str"/>
      <x:c r="I14" s="17" t="str"/>
      <x:c r="J14" s="17" t="str"/>
    </x:row>
    <x:row r="15" ht="30" customHeight="1">
      <x:c r="A15" s="14" t="str">
        <x:v>05</x:v>
      </x:c>
      <x:c r="B15" s="15" t="str">
        <x:v>Use the summary</x:v>
      </x:c>
      <x:c r="C15" s="17" t="str">
        <x:v>Read headline outputs, sensitivities, breakpoints, and the owner/action prompts.</x:v>
      </x:c>
      <x:c r="D15" s="17" t="str"/>
      <x:c r="E15" s="17" t="str"/>
      <x:c r="F15" s="17" t="str"/>
      <x:c r="G15" s="17" t="str"/>
      <x:c r="H15" s="17" t="str"/>
      <x:c r="I15" s="17" t="str"/>
      <x:c r="J15" s="17" t="str"/>
    </x:row>
    <x:row r="16" ht="30" customHeight="1">
      <x:c r="A16" s="14" t="str">
        <x:v>06</x:v>
      </x:c>
      <x:c r="B16" s="15" t="str">
        <x:v>Resolve Checks</x:v>
      </x:c>
      <x:c r="C16" s="17" t="str">
        <x:v>Do not rely on the output until every published control passes and source readiness is reviewed.</x:v>
      </x:c>
      <x:c r="D16" s="17" t="str"/>
      <x:c r="E16" s="17" t="str"/>
      <x:c r="F16" s="17" t="str"/>
      <x:c r="G16" s="17" t="str"/>
      <x:c r="H16" s="17" t="str"/>
      <x:c r="I16" s="17" t="str"/>
      <x:c r="J16" s="17" t="str"/>
    </x:row>
    <x:row r="18" ht="22" customHeight="1">
      <x:c r="A18" s="9" t="str">
        <x:v>WORKBOOK MAP</x:v>
      </x:c>
      <x:c r="B18" s="9" t="str">
        <x:v>WORKBOOK MAP</x:v>
      </x:c>
      <x:c r="C18" s="9" t="str">
        <x:v>WORKBOOK MAP</x:v>
      </x:c>
      <x:c r="D18" s="9" t="str">
        <x:v>WORKBOOK MAP</x:v>
      </x:c>
      <x:c r="E18" s="9" t="str">
        <x:v>WORKBOOK MAP</x:v>
      </x:c>
      <x:c r="F18" s="9" t="str">
        <x:v>WORKBOOK MAP</x:v>
      </x:c>
      <x:c r="G18" s="9" t="str">
        <x:v>WORKBOOK MAP</x:v>
      </x:c>
      <x:c r="H18" s="9" t="str">
        <x:v>WORKBOOK MAP</x:v>
      </x:c>
      <x:c r="I18" s="9" t="str">
        <x:v>WORKBOOK MAP</x:v>
      </x:c>
      <x:c r="J18" s="9" t="str">
        <x:v>WORKBOOK MAP</x:v>
      </x:c>
    </x:row>
    <x:row r="19">
      <x:c r="A19" s="19" t="str">
        <x:v>Cover</x:v>
      </x:c>
      <x:c r="B19" s="17" t="str">
        <x:v>First-read status, model identity, key outputs, readiness, and cell-color legend.</x:v>
      </x:c>
      <x:c r="C19" s="17" t="str"/>
      <x:c r="D19" s="17" t="str"/>
      <x:c r="E19" s="17" t="str"/>
      <x:c r="F19" s="17" t="str"/>
      <x:c r="G19" s="17" t="str"/>
      <x:c r="H19" s="17" t="str"/>
      <x:c r="I19" s="17" t="str"/>
      <x:c r="J19" s="17" t="str"/>
    </x:row>
    <x:row r="20">
      <x:c r="A20" s="19" t="str">
        <x:v>Guide</x:v>
      </x:c>
      <x:c r="B20" s="17" t="str">
        <x:v>Purpose, quick start, workbook map, flexibility rules, Q&amp;A, and limitations.</x:v>
      </x:c>
      <x:c r="C20" s="17" t="str"/>
      <x:c r="D20" s="17" t="str"/>
      <x:c r="E20" s="17" t="str"/>
      <x:c r="F20" s="17" t="str"/>
      <x:c r="G20" s="17" t="str"/>
      <x:c r="H20" s="17" t="str"/>
      <x:c r="I20" s="17" t="str"/>
      <x:c r="J20" s="17" t="str"/>
    </x:row>
    <x:row r="21">
      <x:c r="A21" s="19" t="str">
        <x:v>Assumptions</x:v>
      </x:c>
      <x:c r="B21" s="17" t="str">
        <x:v>Base, Upside, Downside, selector, units, and selected driver values.</x:v>
      </x:c>
      <x:c r="C21" s="17" t="str"/>
      <x:c r="D21" s="17" t="str"/>
      <x:c r="E21" s="17" t="str"/>
      <x:c r="F21" s="17" t="str"/>
      <x:c r="G21" s="17" t="str"/>
      <x:c r="H21" s="17" t="str"/>
      <x:c r="I21" s="17" t="str"/>
      <x:c r="J21" s="17" t="str"/>
    </x:row>
    <x:row r="22">
      <x:c r="A22" s="19" t="str">
        <x:v>Weekly Inputs</x:v>
      </x:c>
      <x:c r="B22" s="17" t="str">
        <x:v>Synthetic worked source inputs. Replace blue cells and keep the layout or extend it carefully.</x:v>
      </x:c>
      <x:c r="C22" s="17" t="str"/>
      <x:c r="D22" s="17" t="str"/>
      <x:c r="E22" s="17" t="str"/>
      <x:c r="F22" s="17" t="str"/>
      <x:c r="G22" s="17" t="str"/>
      <x:c r="H22" s="17" t="str"/>
      <x:c r="I22" s="17" t="str"/>
      <x:c r="J22" s="17" t="str"/>
    </x:row>
    <x:row r="23">
      <x:c r="A23" s="19" t="str">
        <x:v>Cash Forecast</x:v>
      </x:c>
      <x:c r="B23" s="17" t="str">
        <x:v>Formula-driven calculations and core finance mechanics.</x:v>
      </x:c>
      <x:c r="C23" s="17" t="str"/>
      <x:c r="D23" s="17" t="str"/>
      <x:c r="E23" s="17" t="str"/>
      <x:c r="F23" s="17" t="str"/>
      <x:c r="G23" s="17" t="str"/>
      <x:c r="H23" s="17" t="str"/>
      <x:c r="I23" s="17" t="str"/>
      <x:c r="J23" s="17" t="str"/>
    </x:row>
    <x:row r="24">
      <x:c r="A24" s="19" t="str">
        <x:v>Sensitivity</x:v>
      </x:c>
      <x:c r="B24" s="17" t="str">
        <x:v>Receipt realization × Payment factor recalculation of 13-week net cash before funding.</x:v>
      </x:c>
      <x:c r="C24" s="17" t="str"/>
      <x:c r="D24" s="17" t="str"/>
      <x:c r="E24" s="17" t="str"/>
      <x:c r="F24" s="17" t="str"/>
      <x:c r="G24" s="17" t="str"/>
      <x:c r="H24" s="17" t="str"/>
      <x:c r="I24" s="17" t="str"/>
      <x:c r="J24" s="17" t="str"/>
    </x:row>
    <x:row r="25">
      <x:c r="A25" s="19" t="str">
        <x:v>Summary</x:v>
      </x:c>
      <x:c r="B25" s="17" t="str">
        <x:v>Decision KPIs, trend, scenario, status, management questions, and next actions.</x:v>
      </x:c>
      <x:c r="C25" s="17" t="str"/>
      <x:c r="D25" s="17" t="str"/>
      <x:c r="E25" s="17" t="str"/>
      <x:c r="F25" s="17" t="str"/>
      <x:c r="G25" s="17" t="str"/>
      <x:c r="H25" s="17" t="str"/>
      <x:c r="I25" s="17" t="str"/>
      <x:c r="J25" s="17" t="str"/>
    </x:row>
    <x:row r="26">
      <x:c r="A26" s="19" t="str">
        <x:v>Checks</x:v>
      </x:c>
      <x:c r="B26" s="17" t="str">
        <x:v>One assertion per row with actual, expected, difference, tolerance, status, and fix location.</x:v>
      </x:c>
      <x:c r="C26" s="17" t="str"/>
      <x:c r="D26" s="17" t="str"/>
      <x:c r="E26" s="17" t="str"/>
      <x:c r="F26" s="17" t="str"/>
      <x:c r="G26" s="17" t="str"/>
      <x:c r="H26" s="17" t="str"/>
      <x:c r="I26" s="17" t="str"/>
      <x:c r="J26" s="17" t="str"/>
    </x:row>
    <x:row r="27">
      <x:c r="A27" s="19" t="str">
        <x:v>Sources &amp; Version</x:v>
      </x:c>
      <x:c r="B27" s="17" t="str">
        <x:v>Source/assumption register, release facts, version history, distribution and privacy notes.</x:v>
      </x:c>
      <x:c r="C27" s="17" t="str"/>
      <x:c r="D27" s="17" t="str"/>
      <x:c r="E27" s="17" t="str"/>
      <x:c r="F27" s="17" t="str"/>
      <x:c r="G27" s="17" t="str"/>
      <x:c r="H27" s="17" t="str"/>
      <x:c r="I27" s="17" t="str"/>
      <x:c r="J27" s="17" t="str"/>
    </x:row>
    <x:row r="29" ht="22" customHeight="1">
      <x:c r="A29" s="9" t="str">
        <x:v>PRACTICAL Q&amp;A</x:v>
      </x:c>
      <x:c r="B29" s="9" t="str">
        <x:v>PRACTICAL Q&amp;A</x:v>
      </x:c>
      <x:c r="C29" s="9" t="str">
        <x:v>PRACTICAL Q&amp;A</x:v>
      </x:c>
      <x:c r="D29" s="9" t="str">
        <x:v>PRACTICAL Q&amp;A</x:v>
      </x:c>
      <x:c r="E29" s="9" t="str">
        <x:v>PRACTICAL Q&amp;A</x:v>
      </x:c>
      <x:c r="F29" s="9" t="str">
        <x:v>PRACTICAL Q&amp;A</x:v>
      </x:c>
      <x:c r="G29" s="9" t="str">
        <x:v>PRACTICAL Q&amp;A</x:v>
      </x:c>
      <x:c r="H29" s="9" t="str">
        <x:v>PRACTICAL Q&amp;A</x:v>
      </x:c>
      <x:c r="I29" s="9" t="str">
        <x:v>PRACTICAL Q&amp;A</x:v>
      </x:c>
      <x:c r="J29" s="9" t="str">
        <x:v>PRACTICAL Q&amp;A</x:v>
      </x:c>
    </x:row>
    <x:row r="30" ht="34" customHeight="1">
      <x:c r="A30" s="22" t="str">
        <x:v>What should I replace first?</x:v>
      </x:c>
      <x:c r="B30" s="17" t="str">
        <x:v>Replace blue cells on Weekly Inputs, then review scenario drivers and selected values on Assumptions.</x:v>
      </x:c>
      <x:c r="C30" s="17" t="str"/>
      <x:c r="D30" s="17" t="str"/>
      <x:c r="E30" s="17" t="str"/>
      <x:c r="F30" s="17" t="str"/>
      <x:c r="G30" s="17" t="str"/>
      <x:c r="H30" s="17" t="str"/>
      <x:c r="I30" s="17" t="str"/>
      <x:c r="J30" s="17" t="str"/>
    </x:row>
    <x:row r="31" ht="34" customHeight="1">
      <x:c r="A31" s="22" t="str">
        <x:v>How do I flex the template?</x:v>
      </x:c>
      <x:c r="B31" s="17" t="str">
        <x:v>Add periods or input rows in the source layer, extend formulas and formats together, and reconcile the new dimension back to Cash Forecast and Checks.</x:v>
      </x:c>
      <x:c r="C31" s="17" t="str"/>
      <x:c r="D31" s="17" t="str"/>
      <x:c r="E31" s="17" t="str"/>
      <x:c r="F31" s="17" t="str"/>
      <x:c r="G31" s="17" t="str"/>
      <x:c r="H31" s="17" t="str"/>
      <x:c r="I31" s="17" t="str"/>
      <x:c r="J31" s="17" t="str"/>
    </x:row>
    <x:row r="32" ht="34" customHeight="1">
      <x:c r="A32" s="22" t="str">
        <x:v>What does PASS mean?</x:v>
      </x:c>
      <x:c r="B32" s="17" t="str">
        <x:v>The published calculations and tie-outs are within tolerance. PASS does not confirm source quality, policy, accounting, regulation, tax, legal treatment, or suitability.</x:v>
      </x:c>
      <x:c r="C32" s="17" t="str"/>
      <x:c r="D32" s="17" t="str"/>
      <x:c r="E32" s="17" t="str"/>
      <x:c r="F32" s="17" t="str"/>
      <x:c r="G32" s="17" t="str"/>
      <x:c r="H32" s="17" t="str"/>
      <x:c r="I32" s="17" t="str"/>
      <x:c r="J32" s="17" t="str"/>
    </x:row>
    <x:row r="33" ht="34" customHeight="1">
      <x:c r="A33" s="22" t="str">
        <x:v>Can I use real company data?</x:v>
      </x:c>
      <x:c r="B33" s="17" t="str">
        <x:v>Yes, in your private copy. Confirm permissions, source ownership, privacy requirements, and distribution restrictions before sharing.</x:v>
      </x:c>
      <x:c r="C33" s="17" t="str"/>
      <x:c r="D33" s="17" t="str"/>
      <x:c r="E33" s="17" t="str"/>
      <x:c r="F33" s="17" t="str"/>
      <x:c r="G33" s="17" t="str"/>
      <x:c r="H33" s="17" t="str"/>
      <x:c r="I33" s="17" t="str"/>
      <x:c r="J33" s="17" t="str"/>
    </x:row>
    <x:row r="34" ht="34" customHeight="1">
      <x:c r="A34" s="22" t="str">
        <x:v>Does it work in Google Sheets or LibreOffice?</x:v>
      </x:c>
      <x:c r="B34" s="17" t="str">
        <x:v>Not verified. Excel 365 is the supported target; test formulas, charts, validations, formats, and checks after conversion.</x:v>
      </x:c>
      <x:c r="C34" s="17" t="str"/>
      <x:c r="D34" s="17" t="str"/>
      <x:c r="E34" s="17" t="str"/>
      <x:c r="F34" s="17" t="str"/>
      <x:c r="G34" s="17" t="str"/>
      <x:c r="H34" s="17" t="str"/>
      <x:c r="I34" s="17" t="str"/>
      <x:c r="J34" s="17" t="str"/>
    </x:row>
    <x:row r="35" ht="34" customHeight="1">
      <x:c r="A35" s="22" t="str">
        <x:v>Can this replace professional review?</x:v>
      </x:c>
      <x:c r="B35" s="17" t="str">
        <x:v>No. It is an educational analytical template; obtain appropriate finance, accounting, tax, legal, regulatory, credit, actuarial, or investment review for real decisions.</x:v>
      </x:c>
      <x:c r="C35" s="17" t="str"/>
      <x:c r="D35" s="17" t="str"/>
      <x:c r="E35" s="17" t="str"/>
      <x:c r="F35" s="17" t="str"/>
      <x:c r="G35" s="17" t="str"/>
      <x:c r="H35" s="17" t="str"/>
      <x:c r="I35" s="17" t="str"/>
      <x:c r="J35" s="17" t="str"/>
    </x:row>
    <x:row r="37">
      <x:c r="A37" s="42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B37" s="43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C37" s="43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D37" s="43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E37" s="43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F37" s="43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G37" s="43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H37" s="43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I37" s="43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J37" s="44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</x:row>
    <x:row r="38">
      <x:c r="A38" s="45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B38" s="46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C38" s="46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D38" s="46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E38" s="46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F38" s="46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G38" s="46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H38" s="46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I38" s="46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J38" s="47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</x:row>
    <x:row r="39">
      <x:c r="A39" s="48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B39" s="49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C39" s="49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D39" s="49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E39" s="49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F39" s="49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G39" s="49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H39" s="49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I39" s="49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  <x:c r="J39" s="50" t="str">
        <x:v>Deliberately excluded in version 1.0.0: bank API connection; invoice-level probability engine; legal payment prioritization; lender commitment confirmation. Extend only after the underlying method, source availability, checks, and review responsibility are defined.</x:v>
      </x:c>
    </x:row>
    <x:row r="41">
      <x:c r="A41" s="53" t="str">
        <x:v>TDAT Model Library  |  Trust builds the brand. Insight builds the decision.</x:v>
      </x:c>
      <x:c r="B41" s="53" t="str">
        <x:v>TDAT Model Library  |  Trust builds the brand. Insight builds the decision.</x:v>
      </x:c>
      <x:c r="C41" s="53" t="str">
        <x:v>TDAT Model Library  |  Trust builds the brand. Insight builds the decision.</x:v>
      </x:c>
      <x:c r="D41" s="53" t="str">
        <x:v>TDAT Model Library  |  Trust builds the brand. Insight builds the decision.</x:v>
      </x:c>
      <x:c r="E41" s="53" t="str">
        <x:v>TDAT Model Library  |  Trust builds the brand. Insight builds the decision.</x:v>
      </x:c>
      <x:c r="F41" s="53" t="str">
        <x:v>TDAT Model Library  |  Trust builds the brand. Insight builds the decision.</x:v>
      </x:c>
      <x:c r="G41" s="53" t="str">
        <x:v>TDAT Model Library  |  Trust builds the brand. Insight builds the decision.</x:v>
      </x:c>
      <x:c r="H41" s="53" t="str">
        <x:v>TDAT Model Library  |  Trust builds the brand. Insight builds the decision.</x:v>
      </x:c>
      <x:c r="I41" s="53" t="str">
        <x:v>TDAT Model Library  |  Trust builds the brand. Insight builds the decision.</x:v>
      </x:c>
      <x:c r="J41" s="53" t="str">
        <x:v>TDAT Model Library  |  Trust builds the brand. Insight builds the decision.</x:v>
      </x:c>
    </x:row>
  </x:sheetData>
  <x:mergeCells>
    <x:mergeCell ref="A1:J1"/>
    <x:mergeCell ref="A2:J2"/>
    <x:mergeCell ref="A5:J5"/>
    <x:mergeCell ref="A6:J8"/>
    <x:mergeCell ref="A10:J10"/>
    <x:mergeCell ref="C11:J11"/>
    <x:mergeCell ref="C12:J12"/>
    <x:mergeCell ref="C13:J13"/>
    <x:mergeCell ref="C14:J14"/>
    <x:mergeCell ref="C15:J15"/>
    <x:mergeCell ref="C16:J16"/>
    <x:mergeCell ref="A18:J18"/>
    <x:mergeCell ref="B19:J19"/>
    <x:mergeCell ref="B20:J20"/>
    <x:mergeCell ref="B21:J21"/>
    <x:mergeCell ref="B22:J22"/>
    <x:mergeCell ref="B23:J23"/>
    <x:mergeCell ref="B24:J24"/>
    <x:mergeCell ref="B25:J25"/>
    <x:mergeCell ref="B26:J26"/>
    <x:mergeCell ref="B27:J27"/>
    <x:mergeCell ref="A29:J29"/>
    <x:mergeCell ref="B30:J30"/>
    <x:mergeCell ref="B31:J31"/>
    <x:mergeCell ref="B32:J32"/>
    <x:mergeCell ref="B33:J33"/>
    <x:mergeCell ref="B34:J34"/>
    <x:mergeCell ref="B35:J35"/>
    <x:mergeCell ref="A37:J39"/>
    <x:mergeCell ref="A41:J4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44" hidden="0" customWidth="1"/>
  </x:cols>
  <x:sheetData>
    <x:row r="1" ht="34" customHeight="1">
      <x:c r="A1" s="3" t="str">
        <x:v>ASSUMPTIONS &amp; SCENARIOS</x:v>
      </x:c>
      <x:c r="B1" s="3" t="str">
        <x:v>ASSUMPTIONS &amp; SCENARIOS</x:v>
      </x:c>
      <x:c r="C1" s="3" t="str">
        <x:v>ASSUMPTIONS &amp; SCENARIOS</x:v>
      </x:c>
      <x:c r="D1" s="3" t="str">
        <x:v>ASSUMPTIONS &amp; SCENARIOS</x:v>
      </x:c>
      <x:c r="E1" s="3" t="str">
        <x:v>ASSUMPTIONS &amp; SCENARIOS</x:v>
      </x:c>
      <x:c r="F1" s="3" t="str">
        <x:v>ASSUMPTIONS &amp; SCENARIOS</x:v>
      </x:c>
      <x:c r="G1" s="3" t="str">
        <x:v>ASSUMPTIONS &amp; SCENARIOS</x:v>
      </x:c>
    </x:row>
    <x:row r="2" ht="24" customHeight="1">
      <x:c r="A2" s="6" t="str">
        <x:v>13-Week Cash Flow  |  One controlled selector and visible driver cases</x:v>
      </x:c>
      <x:c r="B2" s="6" t="str">
        <x:v>13-Week Cash Flow  |  One controlled selector and visible driver cases</x:v>
      </x:c>
      <x:c r="C2" s="6" t="str">
        <x:v>13-Week Cash Flow  |  One controlled selector and visible driver cases</x:v>
      </x:c>
      <x:c r="D2" s="6" t="str">
        <x:v>13-Week Cash Flow  |  One controlled selector and visible driver cases</x:v>
      </x:c>
      <x:c r="E2" s="6" t="str">
        <x:v>13-Week Cash Flow  |  One controlled selector and visible driver cases</x:v>
      </x:c>
      <x:c r="F2" s="6" t="str">
        <x:v>13-Week Cash Flow  |  One controlled selector and visible driver cases</x:v>
      </x:c>
      <x:c r="G2" s="6" t="str">
        <x:v>13-Week Cash Flow  |  One controlled selector and visible driver cases</x:v>
      </x:c>
    </x:row>
    <x:row r="3" ht="4" customHeight="1">
      <x:c r="A3" s="54" t="str">
        <x:v>Selected Scenario</x:v>
      </x:c>
      <x:c r="B3" s="56" t="str">
        <x:v>Base</x:v>
      </x:c>
      <x:c r="C3" s="7"/>
      <x:c r="D3" s="7"/>
      <x:c r="E3" s="7"/>
      <x:c r="F3" s="7"/>
      <x:c r="G3" s="7"/>
    </x:row>
    <x:row r="5" ht="24" customHeight="1">
      <x:c r="A5" s="66" t="str">
        <x:v>Driver</x:v>
      </x:c>
      <x:c r="B5" s="67" t="str">
        <x:v>Unit</x:v>
      </x:c>
      <x:c r="C5" s="67" t="str">
        <x:v>Base</x:v>
      </x:c>
      <x:c r="D5" s="67" t="str">
        <x:v>Upside</x:v>
      </x:c>
      <x:c r="E5" s="67" t="str">
        <x:v>Downside</x:v>
      </x:c>
      <x:c r="F5" s="67" t="str">
        <x:v>Selected</x:v>
      </x:c>
      <x:c r="G5" s="68" t="str">
        <x:v>Rationale / edit cue</x:v>
      </x:c>
    </x:row>
    <x:row r="6">
      <x:c r="A6" s="80" t="str">
        <x:v>Opening unrestricted cash</x:v>
      </x:c>
      <x:c r="B6" s="81" t="str">
        <x:v>LCY000</x:v>
      </x:c>
      <x:c r="C6" s="82" t="n">
        <x:v>90</x:v>
      </x:c>
      <x:c r="D6" s="82" t="n">
        <x:v>110</x:v>
      </x:c>
      <x:c r="E6" s="82" t="n">
        <x:v>70</x:v>
      </x:c>
      <x:c r="F6" s="83" t="n">
        <x:f>IF($B$3="Base",C6,IF($B$3="Upside",D6,E6))</x:f>
        <x:v>90</x:v>
      </x:c>
      <x:c r="G6" s="84" t="str">
        <x:v>Replace with an approved, sourced assumption.</x:v>
      </x:c>
    </x:row>
    <x:row r="7">
      <x:c r="A7" s="85" t="str">
        <x:v>Receipt realization</x:v>
      </x:c>
      <x:c r="B7" s="86" t="str">
        <x:v>%</x:v>
      </x:c>
      <x:c r="C7" s="87" t="n">
        <x:v>0.95</x:v>
      </x:c>
      <x:c r="D7" s="87" t="n">
        <x:v>1</x:v>
      </x:c>
      <x:c r="E7" s="87" t="n">
        <x:v>0.8</x:v>
      </x:c>
      <x:c r="F7" s="88" t="n">
        <x:f>IF($B$3="Base",C7,IF($B$3="Upside",D7,E7))</x:f>
        <x:v>0.95</x:v>
      </x:c>
      <x:c r="G7" s="89" t="str">
        <x:v>Replace with an approved, sourced assumption.</x:v>
      </x:c>
    </x:row>
    <x:row r="8">
      <x:c r="A8" s="85" t="str">
        <x:v>Payment timing / amount factor</x:v>
      </x:c>
      <x:c r="B8" s="86" t="str">
        <x:v>%</x:v>
      </x:c>
      <x:c r="C8" s="87" t="n">
        <x:v>1</x:v>
      </x:c>
      <x:c r="D8" s="87" t="n">
        <x:v>0.95</x:v>
      </x:c>
      <x:c r="E8" s="87" t="n">
        <x:v>1.08</x:v>
      </x:c>
      <x:c r="F8" s="88" t="n">
        <x:f>IF($B$3="Base",C8,IF($B$3="Upside",D8,E8))</x:f>
        <x:v>1</x:v>
      </x:c>
      <x:c r="G8" s="89" t="str">
        <x:v>Replace with an approved, sourced assumption.</x:v>
      </x:c>
    </x:row>
    <x:row r="9">
      <x:c r="A9" s="85" t="str">
        <x:v>Minimum cash policy</x:v>
      </x:c>
      <x:c r="B9" s="86" t="str">
        <x:v>LCY000</x:v>
      </x:c>
      <x:c r="C9" s="90" t="n">
        <x:v>55</x:v>
      </x:c>
      <x:c r="D9" s="90" t="n">
        <x:v>45</x:v>
      </x:c>
      <x:c r="E9" s="90" t="n">
        <x:v>70</x:v>
      </x:c>
      <x:c r="F9" s="91" t="n">
        <x:f>IF($B$3="Base",C9,IF($B$3="Upside",D9,E9))</x:f>
        <x:v>55</x:v>
      </x:c>
      <x:c r="G9" s="89" t="str">
        <x:v>Replace with an approved, sourced assumption.</x:v>
      </x:c>
    </x:row>
    <x:row r="10">
      <x:c r="A10" s="92" t="str">
        <x:v>Committed facility limit</x:v>
      </x:c>
      <x:c r="B10" s="93" t="str">
        <x:v>LCY000</x:v>
      </x:c>
      <x:c r="C10" s="94" t="n">
        <x:v>140</x:v>
      </x:c>
      <x:c r="D10" s="94" t="n">
        <x:v>180</x:v>
      </x:c>
      <x:c r="E10" s="94" t="n">
        <x:v>90</x:v>
      </x:c>
      <x:c r="F10" s="95" t="n">
        <x:f>IF($B$3="Base",C10,IF($B$3="Upside",D10,E10))</x:f>
        <x:v>140</x:v>
      </x:c>
      <x:c r="G10" s="96" t="str">
        <x:v>Replace with an approved, sourced assumption.</x:v>
      </x:c>
    </x:row>
    <x:row r="12">
      <x:c r="A12" s="42" t="str">
        <x:v>Scenario discipline: change a small number of decision-relevant drivers, preserve the core formula architecture, and document what changed, why, who owns it, and what action follows.</x:v>
      </x:c>
      <x:c r="B12" s="43" t="str">
        <x:v>Scenario discipline: change a small number of decision-relevant drivers, preserve the core formula architecture, and document what changed, why, who owns it, and what action follows.</x:v>
      </x:c>
      <x:c r="C12" s="43" t="str">
        <x:v>Scenario discipline: change a small number of decision-relevant drivers, preserve the core formula architecture, and document what changed, why, who owns it, and what action follows.</x:v>
      </x:c>
      <x:c r="D12" s="43" t="str">
        <x:v>Scenario discipline: change a small number of decision-relevant drivers, preserve the core formula architecture, and document what changed, why, who owns it, and what action follows.</x:v>
      </x:c>
      <x:c r="E12" s="43" t="str">
        <x:v>Scenario discipline: change a small number of decision-relevant drivers, preserve the core formula architecture, and document what changed, why, who owns it, and what action follows.</x:v>
      </x:c>
      <x:c r="F12" s="43" t="str">
        <x:v>Scenario discipline: change a small number of decision-relevant drivers, preserve the core formula architecture, and document what changed, why, who owns it, and what action follows.</x:v>
      </x:c>
      <x:c r="G12" s="44" t="str">
        <x:v>Scenario discipline: change a small number of decision-relevant drivers, preserve the core formula architecture, and document what changed, why, who owns it, and what action follows.</x:v>
      </x:c>
    </x:row>
    <x:row r="13">
      <x:c r="A13" s="45" t="str">
        <x:v>Scenario discipline: change a small number of decision-relevant drivers, preserve the core formula architecture, and document what changed, why, who owns it, and what action follows.</x:v>
      </x:c>
      <x:c r="B13" s="46" t="str">
        <x:v>Scenario discipline: change a small number of decision-relevant drivers, preserve the core formula architecture, and document what changed, why, who owns it, and what action follows.</x:v>
      </x:c>
      <x:c r="C13" s="46" t="str">
        <x:v>Scenario discipline: change a small number of decision-relevant drivers, preserve the core formula architecture, and document what changed, why, who owns it, and what action follows.</x:v>
      </x:c>
      <x:c r="D13" s="46" t="str">
        <x:v>Scenario discipline: change a small number of decision-relevant drivers, preserve the core formula architecture, and document what changed, why, who owns it, and what action follows.</x:v>
      </x:c>
      <x:c r="E13" s="46" t="str">
        <x:v>Scenario discipline: change a small number of decision-relevant drivers, preserve the core formula architecture, and document what changed, why, who owns it, and what action follows.</x:v>
      </x:c>
      <x:c r="F13" s="46" t="str">
        <x:v>Scenario discipline: change a small number of decision-relevant drivers, preserve the core formula architecture, and document what changed, why, who owns it, and what action follows.</x:v>
      </x:c>
      <x:c r="G13" s="47" t="str">
        <x:v>Scenario discipline: change a small number of decision-relevant drivers, preserve the core formula architecture, and document what changed, why, who owns it, and what action follows.</x:v>
      </x:c>
    </x:row>
    <x:row r="14">
      <x:c r="A14" s="48" t="str">
        <x:v>Scenario discipline: change a small number of decision-relevant drivers, preserve the core formula architecture, and document what changed, why, who owns it, and what action follows.</x:v>
      </x:c>
      <x:c r="B14" s="49" t="str">
        <x:v>Scenario discipline: change a small number of decision-relevant drivers, preserve the core formula architecture, and document what changed, why, who owns it, and what action follows.</x:v>
      </x:c>
      <x:c r="C14" s="49" t="str">
        <x:v>Scenario discipline: change a small number of decision-relevant drivers, preserve the core formula architecture, and document what changed, why, who owns it, and what action follows.</x:v>
      </x:c>
      <x:c r="D14" s="49" t="str">
        <x:v>Scenario discipline: change a small number of decision-relevant drivers, preserve the core formula architecture, and document what changed, why, who owns it, and what action follows.</x:v>
      </x:c>
      <x:c r="E14" s="49" t="str">
        <x:v>Scenario discipline: change a small number of decision-relevant drivers, preserve the core formula architecture, and document what changed, why, who owns it, and what action follows.</x:v>
      </x:c>
      <x:c r="F14" s="49" t="str">
        <x:v>Scenario discipline: change a small number of decision-relevant drivers, preserve the core formula architecture, and document what changed, why, who owns it, and what action follows.</x:v>
      </x:c>
      <x:c r="G14" s="50" t="str">
        <x:v>Scenario discipline: change a small number of decision-relevant drivers, preserve the core formula architecture, and document what changed, why, who owns it, and what action follows.</x:v>
      </x:c>
    </x:row>
    <x:row r="16">
      <x:c r="A16" s="53" t="str">
        <x:v>TDAT Model Library  |  Trust builds the brand. Insight builds the decision.</x:v>
      </x:c>
      <x:c r="B16" s="53" t="str">
        <x:v>TDAT Model Library  |  Trust builds the brand. Insight builds the decision.</x:v>
      </x:c>
      <x:c r="C16" s="53" t="str">
        <x:v>TDAT Model Library  |  Trust builds the brand. Insight builds the decision.</x:v>
      </x:c>
      <x:c r="D16" s="53" t="str">
        <x:v>TDAT Model Library  |  Trust builds the brand. Insight builds the decision.</x:v>
      </x:c>
      <x:c r="E16" s="53" t="str">
        <x:v>TDAT Model Library  |  Trust builds the brand. Insight builds the decision.</x:v>
      </x:c>
      <x:c r="F16" s="53" t="str">
        <x:v>TDAT Model Library  |  Trust builds the brand. Insight builds the decision.</x:v>
      </x:c>
      <x:c r="G16" s="53" t="str">
        <x:v>TDAT Model Library  |  Trust builds the brand. Insight builds the decision.</x:v>
      </x:c>
    </x:row>
  </x:sheetData>
  <x:mergeCells>
    <x:mergeCell ref="A1:G1"/>
    <x:mergeCell ref="A2:G2"/>
    <x:mergeCell ref="A12:G14"/>
    <x:mergeCell ref="A16:G16"/>
  </x:mergeCells>
  <x:dataValidations count="1">
    <x:dataValidation type="list" sqref="B3">
      <x:formula1>"Base,Upside,Downside"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4" customHeight="1">
      <x:c r="A1" s="3" t="str">
        <x:v>WEEKLY INPUTS</x:v>
      </x:c>
      <x:c r="B1" s="3" t="str">
        <x:v>WEEKLY INPUTS</x:v>
      </x:c>
      <x:c r="C1" s="3" t="str">
        <x:v>WEEKLY INPUTS</x:v>
      </x:c>
      <x:c r="D1" s="3" t="str">
        <x:v>WEEKLY INPUTS</x:v>
      </x:c>
      <x:c r="E1" s="3" t="str">
        <x:v>WEEKLY INPUTS</x:v>
      </x:c>
      <x:c r="F1" s="3" t="str">
        <x:v>WEEKLY INPUTS</x:v>
      </x:c>
      <x:c r="G1" s="3" t="str">
        <x:v>WEEKLY INPUTS</x:v>
      </x:c>
      <x:c r="H1" s="3" t="str">
        <x:v>WEEKLY INPUTS</x:v>
      </x:c>
      <x:c r="I1" s="3" t="str">
        <x:v>WEEKLY INPUTS</x:v>
      </x:c>
      <x:c r="J1" s="3" t="str">
        <x:v>WEEKLY INPUTS</x:v>
      </x:c>
      <x:c r="K1" s="3" t="str">
        <x:v>WEEKLY INPUTS</x:v>
      </x:c>
      <x:c r="L1" s="3" t="str">
        <x:v>WEEKLY INPUTS</x:v>
      </x:c>
      <x:c r="M1" s="3" t="str">
        <x:v>WEEKLY INPUTS</x:v>
      </x:c>
      <x:c r="N1" s="3" t="str">
        <x:v>WEEKLY INPUTS</x:v>
      </x:c>
    </x:row>
    <x:row r="2" ht="24" customHeight="1">
      <x:c r="A2" s="6" t="str">
        <x:v>13-Week Cash Flow  |  Synthetic worked inputs — replace blue cells</x:v>
      </x:c>
      <x:c r="B2" s="6" t="str">
        <x:v>13-Week Cash Flow  |  Synthetic worked inputs — replace blue cells</x:v>
      </x:c>
      <x:c r="C2" s="6" t="str">
        <x:v>13-Week Cash Flow  |  Synthetic worked inputs — replace blue cells</x:v>
      </x:c>
      <x:c r="D2" s="6" t="str">
        <x:v>13-Week Cash Flow  |  Synthetic worked inputs — replace blue cells</x:v>
      </x:c>
      <x:c r="E2" s="6" t="str">
        <x:v>13-Week Cash Flow  |  Synthetic worked inputs — replace blue cells</x:v>
      </x:c>
      <x:c r="F2" s="6" t="str">
        <x:v>13-Week Cash Flow  |  Synthetic worked inputs — replace blue cells</x:v>
      </x:c>
      <x:c r="G2" s="6" t="str">
        <x:v>13-Week Cash Flow  |  Synthetic worked inputs — replace blue cells</x:v>
      </x:c>
      <x:c r="H2" s="6" t="str">
        <x:v>13-Week Cash Flow  |  Synthetic worked inputs — replace blue cells</x:v>
      </x:c>
      <x:c r="I2" s="6" t="str">
        <x:v>13-Week Cash Flow  |  Synthetic worked inputs — replace blue cells</x:v>
      </x:c>
      <x:c r="J2" s="6" t="str">
        <x:v>13-Week Cash Flow  |  Synthetic worked inputs — replace blue cells</x:v>
      </x:c>
      <x:c r="K2" s="6" t="str">
        <x:v>13-Week Cash Flow  |  Synthetic worked inputs — replace blue cells</x:v>
      </x:c>
      <x:c r="L2" s="6" t="str">
        <x:v>13-Week Cash Flow  |  Synthetic worked inputs — replace blue cells</x:v>
      </x:c>
      <x:c r="M2" s="6" t="str">
        <x:v>13-Week Cash Flow  |  Synthetic worked inputs — replace blue cells</x:v>
      </x:c>
      <x:c r="N2" s="6" t="str">
        <x:v>13-Week Cash Flow  |  Synthetic worked inputs — replace blue cells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24" customHeight="1">
      <x:c r="A5" s="66" t="str">
        <x:v>Input / Period</x:v>
      </x:c>
      <x:c r="B5" s="67" t="str">
        <x:v>W1</x:v>
      </x:c>
      <x:c r="C5" s="67" t="str">
        <x:v>W2</x:v>
      </x:c>
      <x:c r="D5" s="67" t="str">
        <x:v>W3</x:v>
      </x:c>
      <x:c r="E5" s="67" t="str">
        <x:v>W4</x:v>
      </x:c>
      <x:c r="F5" s="67" t="str">
        <x:v>W5</x:v>
      </x:c>
      <x:c r="G5" s="67" t="str">
        <x:v>W6</x:v>
      </x:c>
      <x:c r="H5" s="67" t="str">
        <x:v>W7</x:v>
      </x:c>
      <x:c r="I5" s="67" t="str">
        <x:v>W8</x:v>
      </x:c>
      <x:c r="J5" s="67" t="str">
        <x:v>W9</x:v>
      </x:c>
      <x:c r="K5" s="67" t="str">
        <x:v>W10</x:v>
      </x:c>
      <x:c r="L5" s="67" t="str">
        <x:v>W11</x:v>
      </x:c>
      <x:c r="M5" s="67" t="str">
        <x:v>W12</x:v>
      </x:c>
      <x:c r="N5" s="68" t="str">
        <x:v>W13</x:v>
      </x:c>
    </x:row>
    <x:row r="6">
      <x:c r="A6" s="98" t="str">
        <x:v>Scheduled customer receipts</x:v>
      </x:c>
      <x:c r="B6" s="99" t="n">
        <x:v>80</x:v>
      </x:c>
      <x:c r="C6" s="99" t="n">
        <x:v>72</x:v>
      </x:c>
      <x:c r="D6" s="99" t="n">
        <x:v>95</x:v>
      </x:c>
      <x:c r="E6" s="99" t="n">
        <x:v>88</x:v>
      </x:c>
      <x:c r="F6" s="99" t="n">
        <x:v>102</x:v>
      </x:c>
      <x:c r="G6" s="99" t="n">
        <x:v>84</x:v>
      </x:c>
      <x:c r="H6" s="99" t="n">
        <x:v>110</x:v>
      </x:c>
      <x:c r="I6" s="99" t="n">
        <x:v>90</x:v>
      </x:c>
      <x:c r="J6" s="99" t="n">
        <x:v>118</x:v>
      </x:c>
      <x:c r="K6" s="99" t="n">
        <x:v>96</x:v>
      </x:c>
      <x:c r="L6" s="99" t="n">
        <x:v>105</x:v>
      </x:c>
      <x:c r="M6" s="99" t="n">
        <x:v>112</x:v>
      </x:c>
      <x:c r="N6" s="99" t="n">
        <x:v>125</x:v>
      </x:c>
    </x:row>
    <x:row r="7">
      <x:c r="A7" s="100" t="str">
        <x:v>Supplier payments</x:v>
      </x:c>
      <x:c r="B7" s="101" t="n">
        <x:v>48</x:v>
      </x:c>
      <x:c r="C7" s="101" t="n">
        <x:v>42</x:v>
      </x:c>
      <x:c r="D7" s="101" t="n">
        <x:v>56</x:v>
      </x:c>
      <x:c r="E7" s="101" t="n">
        <x:v>45</x:v>
      </x:c>
      <x:c r="F7" s="101" t="n">
        <x:v>50</x:v>
      </x:c>
      <x:c r="G7" s="101" t="n">
        <x:v>44</x:v>
      </x:c>
      <x:c r="H7" s="101" t="n">
        <x:v>58</x:v>
      </x:c>
      <x:c r="I7" s="101" t="n">
        <x:v>47</x:v>
      </x:c>
      <x:c r="J7" s="101" t="n">
        <x:v>60</x:v>
      </x:c>
      <x:c r="K7" s="101" t="n">
        <x:v>49</x:v>
      </x:c>
      <x:c r="L7" s="101" t="n">
        <x:v>54</x:v>
      </x:c>
      <x:c r="M7" s="101" t="n">
        <x:v>57</x:v>
      </x:c>
      <x:c r="N7" s="101" t="n">
        <x:v>62</x:v>
      </x:c>
    </x:row>
    <x:row r="8">
      <x:c r="A8" s="100" t="str">
        <x:v>Payroll</x:v>
      </x:c>
      <x:c r="B8" s="101" t="n">
        <x:v>20</x:v>
      </x:c>
      <x:c r="C8" s="101" t="n">
        <x:v>0</x:v>
      </x:c>
      <x:c r="D8" s="101" t="n">
        <x:v>20</x:v>
      </x:c>
      <x:c r="E8" s="101" t="n">
        <x:v>0</x:v>
      </x:c>
      <x:c r="F8" s="101" t="n">
        <x:v>20</x:v>
      </x:c>
      <x:c r="G8" s="101" t="n">
        <x:v>0</x:v>
      </x:c>
      <x:c r="H8" s="101" t="n">
        <x:v>20</x:v>
      </x:c>
      <x:c r="I8" s="101" t="n">
        <x:v>0</x:v>
      </x:c>
      <x:c r="J8" s="101" t="n">
        <x:v>20</x:v>
      </x:c>
      <x:c r="K8" s="101" t="n">
        <x:v>0</x:v>
      </x:c>
      <x:c r="L8" s="101" t="n">
        <x:v>20</x:v>
      </x:c>
      <x:c r="M8" s="101" t="n">
        <x:v>0</x:v>
      </x:c>
      <x:c r="N8" s="101" t="n">
        <x:v>20</x:v>
      </x:c>
    </x:row>
    <x:row r="9">
      <x:c r="A9" s="100" t="str">
        <x:v>Tax and statutory payments</x:v>
      </x:c>
      <x:c r="B9" s="101" t="n">
        <x:v>0</x:v>
      </x:c>
      <x:c r="C9" s="101" t="n">
        <x:v>8</x:v>
      </x:c>
      <x:c r="D9" s="101" t="n">
        <x:v>0</x:v>
      </x:c>
      <x:c r="E9" s="101" t="n">
        <x:v>0</x:v>
      </x:c>
      <x:c r="F9" s="101" t="n">
        <x:v>10</x:v>
      </x:c>
      <x:c r="G9" s="101" t="n">
        <x:v>0</x:v>
      </x:c>
      <x:c r="H9" s="101" t="n">
        <x:v>0</x:v>
      </x:c>
      <x:c r="I9" s="101" t="n">
        <x:v>8</x:v>
      </x:c>
      <x:c r="J9" s="101" t="n">
        <x:v>0</x:v>
      </x:c>
      <x:c r="K9" s="101" t="n">
        <x:v>0</x:v>
      </x:c>
      <x:c r="L9" s="101" t="n">
        <x:v>12</x:v>
      </x:c>
      <x:c r="M9" s="101" t="n">
        <x:v>0</x:v>
      </x:c>
      <x:c r="N9" s="101" t="n">
        <x:v>0</x:v>
      </x:c>
    </x:row>
    <x:row r="10">
      <x:c r="A10" s="102" t="str">
        <x:v>Other operating / capex outflows</x:v>
      </x:c>
      <x:c r="B10" s="103" t="n">
        <x:v>5</x:v>
      </x:c>
      <x:c r="C10" s="103" t="n">
        <x:v>6</x:v>
      </x:c>
      <x:c r="D10" s="103" t="n">
        <x:v>5</x:v>
      </x:c>
      <x:c r="E10" s="103" t="n">
        <x:v>8</x:v>
      </x:c>
      <x:c r="F10" s="103" t="n">
        <x:v>5</x:v>
      </x:c>
      <x:c r="G10" s="103" t="n">
        <x:v>7</x:v>
      </x:c>
      <x:c r="H10" s="103" t="n">
        <x:v>6</x:v>
      </x:c>
      <x:c r="I10" s="103" t="n">
        <x:v>5</x:v>
      </x:c>
      <x:c r="J10" s="103" t="n">
        <x:v>8</x:v>
      </x:c>
      <x:c r="K10" s="103" t="n">
        <x:v>6</x:v>
      </x:c>
      <x:c r="L10" s="103" t="n">
        <x:v>5</x:v>
      </x:c>
      <x:c r="M10" s="103" t="n">
        <x:v>7</x:v>
      </x:c>
      <x:c r="N10" s="103" t="n">
        <x:v>6</x:v>
      </x:c>
    </x:row>
    <x:row r="12">
      <x:c r="A12" s="42" t="str">
        <x:v>Synthetic input pack. Preserve source definitions, units, period basis, and sign convention when replacing values.</x:v>
      </x:c>
      <x:c r="B12" s="43" t="str">
        <x:v>Synthetic input pack. Preserve source definitions, units, period basis, and sign convention when replacing values.</x:v>
      </x:c>
      <x:c r="C12" s="43" t="str">
        <x:v>Synthetic input pack. Preserve source definitions, units, period basis, and sign convention when replacing values.</x:v>
      </x:c>
      <x:c r="D12" s="43" t="str">
        <x:v>Synthetic input pack. Preserve source definitions, units, period basis, and sign convention when replacing values.</x:v>
      </x:c>
      <x:c r="E12" s="43" t="str">
        <x:v>Synthetic input pack. Preserve source definitions, units, period basis, and sign convention when replacing values.</x:v>
      </x:c>
      <x:c r="F12" s="43" t="str">
        <x:v>Synthetic input pack. Preserve source definitions, units, period basis, and sign convention when replacing values.</x:v>
      </x:c>
      <x:c r="G12" s="43" t="str">
        <x:v>Synthetic input pack. Preserve source definitions, units, period basis, and sign convention when replacing values.</x:v>
      </x:c>
      <x:c r="H12" s="43" t="str">
        <x:v>Synthetic input pack. Preserve source definitions, units, period basis, and sign convention when replacing values.</x:v>
      </x:c>
      <x:c r="I12" s="43" t="str">
        <x:v>Synthetic input pack. Preserve source definitions, units, period basis, and sign convention when replacing values.</x:v>
      </x:c>
      <x:c r="J12" s="43" t="str">
        <x:v>Synthetic input pack. Preserve source definitions, units, period basis, and sign convention when replacing values.</x:v>
      </x:c>
      <x:c r="K12" s="43" t="str">
        <x:v>Synthetic input pack. Preserve source definitions, units, period basis, and sign convention when replacing values.</x:v>
      </x:c>
      <x:c r="L12" s="43" t="str">
        <x:v>Synthetic input pack. Preserve source definitions, units, period basis, and sign convention when replacing values.</x:v>
      </x:c>
      <x:c r="M12" s="43" t="str">
        <x:v>Synthetic input pack. Preserve source definitions, units, period basis, and sign convention when replacing values.</x:v>
      </x:c>
      <x:c r="N12" s="44" t="str">
        <x:v>Synthetic input pack. Preserve source definitions, units, period basis, and sign convention when replacing values.</x:v>
      </x:c>
    </x:row>
    <x:row r="13">
      <x:c r="A13" s="45" t="str">
        <x:v>Synthetic input pack. Preserve source definitions, units, period basis, and sign convention when replacing values.</x:v>
      </x:c>
      <x:c r="B13" s="46" t="str">
        <x:v>Synthetic input pack. Preserve source definitions, units, period basis, and sign convention when replacing values.</x:v>
      </x:c>
      <x:c r="C13" s="46" t="str">
        <x:v>Synthetic input pack. Preserve source definitions, units, period basis, and sign convention when replacing values.</x:v>
      </x:c>
      <x:c r="D13" s="46" t="str">
        <x:v>Synthetic input pack. Preserve source definitions, units, period basis, and sign convention when replacing values.</x:v>
      </x:c>
      <x:c r="E13" s="46" t="str">
        <x:v>Synthetic input pack. Preserve source definitions, units, period basis, and sign convention when replacing values.</x:v>
      </x:c>
      <x:c r="F13" s="46" t="str">
        <x:v>Synthetic input pack. Preserve source definitions, units, period basis, and sign convention when replacing values.</x:v>
      </x:c>
      <x:c r="G13" s="46" t="str">
        <x:v>Synthetic input pack. Preserve source definitions, units, period basis, and sign convention when replacing values.</x:v>
      </x:c>
      <x:c r="H13" s="46" t="str">
        <x:v>Synthetic input pack. Preserve source definitions, units, period basis, and sign convention when replacing values.</x:v>
      </x:c>
      <x:c r="I13" s="46" t="str">
        <x:v>Synthetic input pack. Preserve source definitions, units, period basis, and sign convention when replacing values.</x:v>
      </x:c>
      <x:c r="J13" s="46" t="str">
        <x:v>Synthetic input pack. Preserve source definitions, units, period basis, and sign convention when replacing values.</x:v>
      </x:c>
      <x:c r="K13" s="46" t="str">
        <x:v>Synthetic input pack. Preserve source definitions, units, period basis, and sign convention when replacing values.</x:v>
      </x:c>
      <x:c r="L13" s="46" t="str">
        <x:v>Synthetic input pack. Preserve source definitions, units, period basis, and sign convention when replacing values.</x:v>
      </x:c>
      <x:c r="M13" s="46" t="str">
        <x:v>Synthetic input pack. Preserve source definitions, units, period basis, and sign convention when replacing values.</x:v>
      </x:c>
      <x:c r="N13" s="47" t="str">
        <x:v>Synthetic input pack. Preserve source definitions, units, period basis, and sign convention when replacing values.</x:v>
      </x:c>
    </x:row>
    <x:row r="14">
      <x:c r="A14" s="48" t="str">
        <x:v>Synthetic input pack. Preserve source definitions, units, period basis, and sign convention when replacing values.</x:v>
      </x:c>
      <x:c r="B14" s="49" t="str">
        <x:v>Synthetic input pack. Preserve source definitions, units, period basis, and sign convention when replacing values.</x:v>
      </x:c>
      <x:c r="C14" s="49" t="str">
        <x:v>Synthetic input pack. Preserve source definitions, units, period basis, and sign convention when replacing values.</x:v>
      </x:c>
      <x:c r="D14" s="49" t="str">
        <x:v>Synthetic input pack. Preserve source definitions, units, period basis, and sign convention when replacing values.</x:v>
      </x:c>
      <x:c r="E14" s="49" t="str">
        <x:v>Synthetic input pack. Preserve source definitions, units, period basis, and sign convention when replacing values.</x:v>
      </x:c>
      <x:c r="F14" s="49" t="str">
        <x:v>Synthetic input pack. Preserve source definitions, units, period basis, and sign convention when replacing values.</x:v>
      </x:c>
      <x:c r="G14" s="49" t="str">
        <x:v>Synthetic input pack. Preserve source definitions, units, period basis, and sign convention when replacing values.</x:v>
      </x:c>
      <x:c r="H14" s="49" t="str">
        <x:v>Synthetic input pack. Preserve source definitions, units, period basis, and sign convention when replacing values.</x:v>
      </x:c>
      <x:c r="I14" s="49" t="str">
        <x:v>Synthetic input pack. Preserve source definitions, units, period basis, and sign convention when replacing values.</x:v>
      </x:c>
      <x:c r="J14" s="49" t="str">
        <x:v>Synthetic input pack. Preserve source definitions, units, period basis, and sign convention when replacing values.</x:v>
      </x:c>
      <x:c r="K14" s="49" t="str">
        <x:v>Synthetic input pack. Preserve source definitions, units, period basis, and sign convention when replacing values.</x:v>
      </x:c>
      <x:c r="L14" s="49" t="str">
        <x:v>Synthetic input pack. Preserve source definitions, units, period basis, and sign convention when replacing values.</x:v>
      </x:c>
      <x:c r="M14" s="49" t="str">
        <x:v>Synthetic input pack. Preserve source definitions, units, period basis, and sign convention when replacing values.</x:v>
      </x:c>
      <x:c r="N14" s="50" t="str">
        <x:v>Synthetic input pack. Preserve source definitions, units, period basis, and sign convention when replacing values.</x:v>
      </x:c>
    </x:row>
    <x:row r="16">
      <x:c r="A16" s="53" t="str">
        <x:v>TDAT Model Library  |  Trust builds the brand. Insight builds the decision.</x:v>
      </x:c>
      <x:c r="B16" s="53" t="str">
        <x:v>TDAT Model Library  |  Trust builds the brand. Insight builds the decision.</x:v>
      </x:c>
      <x:c r="C16" s="53" t="str">
        <x:v>TDAT Model Library  |  Trust builds the brand. Insight builds the decision.</x:v>
      </x:c>
      <x:c r="D16" s="53" t="str">
        <x:v>TDAT Model Library  |  Trust builds the brand. Insight builds the decision.</x:v>
      </x:c>
      <x:c r="E16" s="53" t="str">
        <x:v>TDAT Model Library  |  Trust builds the brand. Insight builds the decision.</x:v>
      </x:c>
      <x:c r="F16" s="53" t="str">
        <x:v>TDAT Model Library  |  Trust builds the brand. Insight builds the decision.</x:v>
      </x:c>
      <x:c r="G16" s="53" t="str">
        <x:v>TDAT Model Library  |  Trust builds the brand. Insight builds the decision.</x:v>
      </x:c>
      <x:c r="H16" s="53" t="str">
        <x:v>TDAT Model Library  |  Trust builds the brand. Insight builds the decision.</x:v>
      </x:c>
      <x:c r="I16" s="53" t="str">
        <x:v>TDAT Model Library  |  Trust builds the brand. Insight builds the decision.</x:v>
      </x:c>
      <x:c r="J16" s="53" t="str">
        <x:v>TDAT Model Library  |  Trust builds the brand. Insight builds the decision.</x:v>
      </x:c>
      <x:c r="K16" s="53" t="str">
        <x:v>TDAT Model Library  |  Trust builds the brand. Insight builds the decision.</x:v>
      </x:c>
      <x:c r="L16" s="53" t="str">
        <x:v>TDAT Model Library  |  Trust builds the brand. Insight builds the decision.</x:v>
      </x:c>
      <x:c r="M16" s="53" t="str">
        <x:v>TDAT Model Library  |  Trust builds the brand. Insight builds the decision.</x:v>
      </x:c>
      <x:c r="N16" s="53" t="str">
        <x:v>TDAT Model Library  |  Trust builds the brand. Insight builds the decision.</x:v>
      </x:c>
    </x:row>
  </x:sheetData>
  <x:mergeCells>
    <x:mergeCell ref="A1:N1"/>
    <x:mergeCell ref="A2:N2"/>
    <x:mergeCell ref="A12:N14"/>
    <x:mergeCell ref="A16:N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4" customHeight="1">
      <x:c r="A1" s="3" t="str">
        <x:v>CASH FORECAST</x:v>
      </x:c>
      <x:c r="B1" s="3" t="str">
        <x:v>CASH FORECAST</x:v>
      </x:c>
      <x:c r="C1" s="3" t="str">
        <x:v>CASH FORECAST</x:v>
      </x:c>
      <x:c r="D1" s="3" t="str">
        <x:v>CASH FORECAST</x:v>
      </x:c>
      <x:c r="E1" s="3" t="str">
        <x:v>CASH FORECAST</x:v>
      </x:c>
      <x:c r="F1" s="3" t="str">
        <x:v>CASH FORECAST</x:v>
      </x:c>
      <x:c r="G1" s="3" t="str">
        <x:v>CASH FORECAST</x:v>
      </x:c>
      <x:c r="H1" s="3" t="str">
        <x:v>CASH FORECAST</x:v>
      </x:c>
      <x:c r="I1" s="3" t="str">
        <x:v>CASH FORECAST</x:v>
      </x:c>
      <x:c r="J1" s="3" t="str">
        <x:v>CASH FORECAST</x:v>
      </x:c>
      <x:c r="K1" s="3" t="str">
        <x:v>CASH FORECAST</x:v>
      </x:c>
      <x:c r="L1" s="3" t="str">
        <x:v>CASH FORECAST</x:v>
      </x:c>
      <x:c r="M1" s="3" t="str">
        <x:v>CASH FORECAST</x:v>
      </x:c>
      <x:c r="N1" s="3" t="str">
        <x:v>CASH FORECAST</x:v>
      </x:c>
    </x:row>
    <x:row r="2" ht="24" customHeight="1">
      <x:c r="A2" s="6" t="str">
        <x:v>13-Week Cash Flow  |  Formula-driven core mechanics</x:v>
      </x:c>
      <x:c r="B2" s="6" t="str">
        <x:v>13-Week Cash Flow  |  Formula-driven core mechanics</x:v>
      </x:c>
      <x:c r="C2" s="6" t="str">
        <x:v>13-Week Cash Flow  |  Formula-driven core mechanics</x:v>
      </x:c>
      <x:c r="D2" s="6" t="str">
        <x:v>13-Week Cash Flow  |  Formula-driven core mechanics</x:v>
      </x:c>
      <x:c r="E2" s="6" t="str">
        <x:v>13-Week Cash Flow  |  Formula-driven core mechanics</x:v>
      </x:c>
      <x:c r="F2" s="6" t="str">
        <x:v>13-Week Cash Flow  |  Formula-driven core mechanics</x:v>
      </x:c>
      <x:c r="G2" s="6" t="str">
        <x:v>13-Week Cash Flow  |  Formula-driven core mechanics</x:v>
      </x:c>
      <x:c r="H2" s="6" t="str">
        <x:v>13-Week Cash Flow  |  Formula-driven core mechanics</x:v>
      </x:c>
      <x:c r="I2" s="6" t="str">
        <x:v>13-Week Cash Flow  |  Formula-driven core mechanics</x:v>
      </x:c>
      <x:c r="J2" s="6" t="str">
        <x:v>13-Week Cash Flow  |  Formula-driven core mechanics</x:v>
      </x:c>
      <x:c r="K2" s="6" t="str">
        <x:v>13-Week Cash Flow  |  Formula-driven core mechanics</x:v>
      </x:c>
      <x:c r="L2" s="6" t="str">
        <x:v>13-Week Cash Flow  |  Formula-driven core mechanics</x:v>
      </x:c>
      <x:c r="M2" s="6" t="str">
        <x:v>13-Week Cash Flow  |  Formula-driven core mechanics</x:v>
      </x:c>
      <x:c r="N2" s="6" t="str">
        <x:v>13-Week Cash Flow  |  Formula-driven core mechanics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24" customHeight="1">
      <x:c r="A5" s="66" t="str">
        <x:v>Calculation / Period</x:v>
      </x:c>
      <x:c r="B5" s="67" t="str">
        <x:v>W1</x:v>
      </x:c>
      <x:c r="C5" s="67" t="str">
        <x:v>W2</x:v>
      </x:c>
      <x:c r="D5" s="67" t="str">
        <x:v>W3</x:v>
      </x:c>
      <x:c r="E5" s="67" t="str">
        <x:v>W4</x:v>
      </x:c>
      <x:c r="F5" s="67" t="str">
        <x:v>W5</x:v>
      </x:c>
      <x:c r="G5" s="67" t="str">
        <x:v>W6</x:v>
      </x:c>
      <x:c r="H5" s="67" t="str">
        <x:v>W7</x:v>
      </x:c>
      <x:c r="I5" s="67" t="str">
        <x:v>W8</x:v>
      </x:c>
      <x:c r="J5" s="67" t="str">
        <x:v>W9</x:v>
      </x:c>
      <x:c r="K5" s="67" t="str">
        <x:v>W10</x:v>
      </x:c>
      <x:c r="L5" s="67" t="str">
        <x:v>W11</x:v>
      </x:c>
      <x:c r="M5" s="67" t="str">
        <x:v>W12</x:v>
      </x:c>
      <x:c r="N5" s="68" t="str">
        <x:v>W13</x:v>
      </x:c>
    </x:row>
    <x:row r="6">
      <x:c r="A6" s="117" t="str">
        <x:v>Opening cash</x:v>
      </x:c>
      <x:c r="B6" s="118" t="n">
        <x:f>'Assumptions'!$F$6</x:f>
        <x:v>90</x:v>
      </x:c>
      <x:c r="C6" s="118" t="n">
        <x:f>B$14</x:f>
        <x:v>93</x:v>
      </x:c>
      <x:c r="D6" s="118" t="n">
        <x:f>C$14</x:f>
        <x:v>105.39999999999998</x:v>
      </x:c>
      <x:c r="E6" s="118" t="n">
        <x:f>D$14</x:f>
        <x:v>114.64999999999998</x:v>
      </x:c>
      <x:c r="F6" s="118" t="n">
        <x:f>E$14</x:f>
        <x:v>145.24999999999997</x:v>
      </x:c>
      <x:c r="G6" s="118" t="n">
        <x:f>F$14</x:f>
        <x:v>157.14999999999998</x:v>
      </x:c>
      <x:c r="H6" s="118" t="n">
        <x:f>G$14</x:f>
        <x:v>185.95</x:v>
      </x:c>
      <x:c r="I6" s="118" t="n">
        <x:f>H$14</x:f>
        <x:v>206.45</x:v>
      </x:c>
      <x:c r="J6" s="118" t="n">
        <x:f>I$14</x:f>
        <x:v>231.95</x:v>
      </x:c>
      <x:c r="K6" s="118" t="n">
        <x:f>J$14</x:f>
        <x:v>256.04999999999995</x:v>
      </x:c>
      <x:c r="L6" s="118" t="n">
        <x:f>K$14</x:f>
        <x:v>292.24999999999994</x:v>
      </x:c>
      <x:c r="M6" s="118" t="n">
        <x:f>L$14</x:f>
        <x:v>300.99999999999994</x:v>
      </x:c>
      <x:c r="N6" s="118" t="n">
        <x:f>M$14</x:f>
        <x:v>343.3999999999999</x:v>
      </x:c>
    </x:row>
    <x:row r="7">
      <x:c r="A7" s="119" t="str">
        <x:v>Cash receipts</x:v>
      </x:c>
      <x:c r="B7" s="120" t="n">
        <x:f>'Weekly Inputs'!B$6*'Assumptions'!$F$7</x:f>
        <x:v>76</x:v>
      </x:c>
      <x:c r="C7" s="120" t="n">
        <x:f>'Weekly Inputs'!C$6*'Assumptions'!$F$7</x:f>
        <x:v>68.39999999999999</x:v>
      </x:c>
      <x:c r="D7" s="120" t="n">
        <x:f>'Weekly Inputs'!D$6*'Assumptions'!$F$7</x:f>
        <x:v>90.25</x:v>
      </x:c>
      <x:c r="E7" s="120" t="n">
        <x:f>'Weekly Inputs'!E$6*'Assumptions'!$F$7</x:f>
        <x:v>83.6</x:v>
      </x:c>
      <x:c r="F7" s="120" t="n">
        <x:f>'Weekly Inputs'!F$6*'Assumptions'!$F$7</x:f>
        <x:v>96.89999999999999</x:v>
      </x:c>
      <x:c r="G7" s="120" t="n">
        <x:f>'Weekly Inputs'!G$6*'Assumptions'!$F$7</x:f>
        <x:v>79.8</x:v>
      </x:c>
      <x:c r="H7" s="120" t="n">
        <x:f>'Weekly Inputs'!H$6*'Assumptions'!$F$7</x:f>
        <x:v>104.5</x:v>
      </x:c>
      <x:c r="I7" s="120" t="n">
        <x:f>'Weekly Inputs'!I$6*'Assumptions'!$F$7</x:f>
        <x:v>85.5</x:v>
      </x:c>
      <x:c r="J7" s="120" t="n">
        <x:f>'Weekly Inputs'!J$6*'Assumptions'!$F$7</x:f>
        <x:v>112.1</x:v>
      </x:c>
      <x:c r="K7" s="120" t="n">
        <x:f>'Weekly Inputs'!K$6*'Assumptions'!$F$7</x:f>
        <x:v>91.19999999999999</x:v>
      </x:c>
      <x:c r="L7" s="120" t="n">
        <x:f>'Weekly Inputs'!L$6*'Assumptions'!$F$7</x:f>
        <x:v>99.75</x:v>
      </x:c>
      <x:c r="M7" s="120" t="n">
        <x:f>'Weekly Inputs'!M$6*'Assumptions'!$F$7</x:f>
        <x:v>106.39999999999999</x:v>
      </x:c>
      <x:c r="N7" s="120" t="n">
        <x:f>'Weekly Inputs'!N$6*'Assumptions'!$F$7</x:f>
        <x:v>118.75</x:v>
      </x:c>
    </x:row>
    <x:row r="8">
      <x:c r="A8" s="119" t="str">
        <x:v>Cash disbursements</x:v>
      </x:c>
      <x:c r="B8" s="120" t="n">
        <x:f>-SUM('Weekly Inputs'!B$7,'Weekly Inputs'!B$8,'Weekly Inputs'!B$9,'Weekly Inputs'!B$10)*'Assumptions'!$F$8</x:f>
        <x:v>-73</x:v>
      </x:c>
      <x:c r="C8" s="120" t="n">
        <x:f>-SUM('Weekly Inputs'!C$7,'Weekly Inputs'!C$8,'Weekly Inputs'!C$9,'Weekly Inputs'!C$10)*'Assumptions'!$F$8</x:f>
        <x:v>-56</x:v>
      </x:c>
      <x:c r="D8" s="120" t="n">
        <x:f>-SUM('Weekly Inputs'!D$7,'Weekly Inputs'!D$8,'Weekly Inputs'!D$9,'Weekly Inputs'!D$10)*'Assumptions'!$F$8</x:f>
        <x:v>-81</x:v>
      </x:c>
      <x:c r="E8" s="120" t="n">
        <x:f>-SUM('Weekly Inputs'!E$7,'Weekly Inputs'!E$8,'Weekly Inputs'!E$9,'Weekly Inputs'!E$10)*'Assumptions'!$F$8</x:f>
        <x:v>-53</x:v>
      </x:c>
      <x:c r="F8" s="120" t="n">
        <x:f>-SUM('Weekly Inputs'!F$7,'Weekly Inputs'!F$8,'Weekly Inputs'!F$9,'Weekly Inputs'!F$10)*'Assumptions'!$F$8</x:f>
        <x:v>-85</x:v>
      </x:c>
      <x:c r="G8" s="120" t="n">
        <x:f>-SUM('Weekly Inputs'!G$7,'Weekly Inputs'!G$8,'Weekly Inputs'!G$9,'Weekly Inputs'!G$10)*'Assumptions'!$F$8</x:f>
        <x:v>-51</x:v>
      </x:c>
      <x:c r="H8" s="120" t="n">
        <x:f>-SUM('Weekly Inputs'!H$7,'Weekly Inputs'!H$8,'Weekly Inputs'!H$9,'Weekly Inputs'!H$10)*'Assumptions'!$F$8</x:f>
        <x:v>-84</x:v>
      </x:c>
      <x:c r="I8" s="120" t="n">
        <x:f>-SUM('Weekly Inputs'!I$7,'Weekly Inputs'!I$8,'Weekly Inputs'!I$9,'Weekly Inputs'!I$10)*'Assumptions'!$F$8</x:f>
        <x:v>-60</x:v>
      </x:c>
      <x:c r="J8" s="120" t="n">
        <x:f>-SUM('Weekly Inputs'!J$7,'Weekly Inputs'!J$8,'Weekly Inputs'!J$9,'Weekly Inputs'!J$10)*'Assumptions'!$F$8</x:f>
        <x:v>-88</x:v>
      </x:c>
      <x:c r="K8" s="120" t="n">
        <x:f>-SUM('Weekly Inputs'!K$7,'Weekly Inputs'!K$8,'Weekly Inputs'!K$9,'Weekly Inputs'!K$10)*'Assumptions'!$F$8</x:f>
        <x:v>-55</x:v>
      </x:c>
      <x:c r="L8" s="120" t="n">
        <x:f>-SUM('Weekly Inputs'!L$7,'Weekly Inputs'!L$8,'Weekly Inputs'!L$9,'Weekly Inputs'!L$10)*'Assumptions'!$F$8</x:f>
        <x:v>-91</x:v>
      </x:c>
      <x:c r="M8" s="120" t="n">
        <x:f>-SUM('Weekly Inputs'!M$7,'Weekly Inputs'!M$8,'Weekly Inputs'!M$9,'Weekly Inputs'!M$10)*'Assumptions'!$F$8</x:f>
        <x:v>-64</x:v>
      </x:c>
      <x:c r="N8" s="120" t="n">
        <x:f>-SUM('Weekly Inputs'!N$7,'Weekly Inputs'!N$8,'Weekly Inputs'!N$9,'Weekly Inputs'!N$10)*'Assumptions'!$F$8</x:f>
        <x:v>-88</x:v>
      </x:c>
    </x:row>
    <x:row r="9">
      <x:c r="A9" s="121" t="str">
        <x:v>Pre-funding cash</x:v>
      </x:c>
      <x:c r="B9" s="122" t="n">
        <x:f>SUM(B$6:B$8)</x:f>
        <x:v>93</x:v>
      </x:c>
      <x:c r="C9" s="122" t="n">
        <x:f>SUM(C$6:C$8)</x:f>
        <x:v>105.39999999999998</x:v>
      </x:c>
      <x:c r="D9" s="122" t="n">
        <x:f>SUM(D$6:D$8)</x:f>
        <x:v>114.64999999999998</x:v>
      </x:c>
      <x:c r="E9" s="122" t="n">
        <x:f>SUM(E$6:E$8)</x:f>
        <x:v>145.24999999999997</x:v>
      </x:c>
      <x:c r="F9" s="122" t="n">
        <x:f>SUM(F$6:F$8)</x:f>
        <x:v>157.14999999999998</x:v>
      </x:c>
      <x:c r="G9" s="122" t="n">
        <x:f>SUM(G$6:G$8)</x:f>
        <x:v>185.95</x:v>
      </x:c>
      <x:c r="H9" s="122" t="n">
        <x:f>SUM(H$6:H$8)</x:f>
        <x:v>206.45</x:v>
      </x:c>
      <x:c r="I9" s="122" t="n">
        <x:f>SUM(I$6:I$8)</x:f>
        <x:v>231.95</x:v>
      </x:c>
      <x:c r="J9" s="122" t="n">
        <x:f>SUM(J$6:J$8)</x:f>
        <x:v>256.04999999999995</x:v>
      </x:c>
      <x:c r="K9" s="122" t="n">
        <x:f>SUM(K$6:K$8)</x:f>
        <x:v>292.24999999999994</x:v>
      </x:c>
      <x:c r="L9" s="122" t="n">
        <x:f>SUM(L$6:L$8)</x:f>
        <x:v>300.99999999999994</x:v>
      </x:c>
      <x:c r="M9" s="122" t="n">
        <x:f>SUM(M$6:M$8)</x:f>
        <x:v>343.3999999999999</x:v>
      </x:c>
      <x:c r="N9" s="122" t="n">
        <x:f>SUM(N$6:N$8)</x:f>
        <x:v>374.1499999999999</x:v>
      </x:c>
    </x:row>
    <x:row r="10">
      <x:c r="A10" s="119" t="str">
        <x:v>Opening facility draw</x:v>
      </x:c>
      <x:c r="B10" s="123" t="n">
        <x:f>0</x:f>
        <x:v>0</x:v>
      </x:c>
      <x:c r="C10" s="123" t="n">
        <x:f>B$13</x:f>
        <x:v>0</x:v>
      </x:c>
      <x:c r="D10" s="123" t="n">
        <x:f>C$13</x:f>
        <x:v>0</x:v>
      </x:c>
      <x:c r="E10" s="123" t="n">
        <x:f>D$13</x:f>
        <x:v>0</x:v>
      </x:c>
      <x:c r="F10" s="123" t="n">
        <x:f>E$13</x:f>
        <x:v>0</x:v>
      </x:c>
      <x:c r="G10" s="123" t="n">
        <x:f>F$13</x:f>
        <x:v>0</x:v>
      </x:c>
      <x:c r="H10" s="123" t="n">
        <x:f>G$13</x:f>
        <x:v>0</x:v>
      </x:c>
      <x:c r="I10" s="123" t="n">
        <x:f>H$13</x:f>
        <x:v>0</x:v>
      </x:c>
      <x:c r="J10" s="123" t="n">
        <x:f>I$13</x:f>
        <x:v>0</x:v>
      </x:c>
      <x:c r="K10" s="123" t="n">
        <x:f>J$13</x:f>
        <x:v>0</x:v>
      </x:c>
      <x:c r="L10" s="123" t="n">
        <x:f>K$13</x:f>
        <x:v>0</x:v>
      </x:c>
      <x:c r="M10" s="123" t="n">
        <x:f>L$13</x:f>
        <x:v>0</x:v>
      </x:c>
      <x:c r="N10" s="123" t="n">
        <x:f>M$13</x:f>
        <x:v>0</x:v>
      </x:c>
    </x:row>
    <x:row r="11">
      <x:c r="A11" s="119" t="str">
        <x:v>Facility draw</x:v>
      </x:c>
      <x:c r="B11" s="120" t="n">
        <x:f>MIN(MAX(0,'Assumptions'!$F$10-B$10),MAX(0,'Assumptions'!$F$9-B$9))</x:f>
        <x:v>0</x:v>
      </x:c>
      <x:c r="C11" s="120" t="n">
        <x:f>MIN(MAX(0,'Assumptions'!$F$10-C$10),MAX(0,'Assumptions'!$F$9-C$9))</x:f>
        <x:v>0</x:v>
      </x:c>
      <x:c r="D11" s="120" t="n">
        <x:f>MIN(MAX(0,'Assumptions'!$F$10-D$10),MAX(0,'Assumptions'!$F$9-D$9))</x:f>
        <x:v>0</x:v>
      </x:c>
      <x:c r="E11" s="120" t="n">
        <x:f>MIN(MAX(0,'Assumptions'!$F$10-E$10),MAX(0,'Assumptions'!$F$9-E$9))</x:f>
        <x:v>0</x:v>
      </x:c>
      <x:c r="F11" s="120" t="n">
        <x:f>MIN(MAX(0,'Assumptions'!$F$10-F$10),MAX(0,'Assumptions'!$F$9-F$9))</x:f>
        <x:v>0</x:v>
      </x:c>
      <x:c r="G11" s="120" t="n">
        <x:f>MIN(MAX(0,'Assumptions'!$F$10-G$10),MAX(0,'Assumptions'!$F$9-G$9))</x:f>
        <x:v>0</x:v>
      </x:c>
      <x:c r="H11" s="120" t="n">
        <x:f>MIN(MAX(0,'Assumptions'!$F$10-H$10),MAX(0,'Assumptions'!$F$9-H$9))</x:f>
        <x:v>0</x:v>
      </x:c>
      <x:c r="I11" s="120" t="n">
        <x:f>MIN(MAX(0,'Assumptions'!$F$10-I$10),MAX(0,'Assumptions'!$F$9-I$9))</x:f>
        <x:v>0</x:v>
      </x:c>
      <x:c r="J11" s="120" t="n">
        <x:f>MIN(MAX(0,'Assumptions'!$F$10-J$10),MAX(0,'Assumptions'!$F$9-J$9))</x:f>
        <x:v>0</x:v>
      </x:c>
      <x:c r="K11" s="120" t="n">
        <x:f>MIN(MAX(0,'Assumptions'!$F$10-K$10),MAX(0,'Assumptions'!$F$9-K$9))</x:f>
        <x:v>0</x:v>
      </x:c>
      <x:c r="L11" s="120" t="n">
        <x:f>MIN(MAX(0,'Assumptions'!$F$10-L$10),MAX(0,'Assumptions'!$F$9-L$9))</x:f>
        <x:v>0</x:v>
      </x:c>
      <x:c r="M11" s="120" t="n">
        <x:f>MIN(MAX(0,'Assumptions'!$F$10-M$10),MAX(0,'Assumptions'!$F$9-M$9))</x:f>
        <x:v>0</x:v>
      </x:c>
      <x:c r="N11" s="120" t="n">
        <x:f>MIN(MAX(0,'Assumptions'!$F$10-N$10),MAX(0,'Assumptions'!$F$9-N$9))</x:f>
        <x:v>0</x:v>
      </x:c>
    </x:row>
    <x:row r="12">
      <x:c r="A12" s="119" t="str">
        <x:v>Facility repayment</x:v>
      </x:c>
      <x:c r="B12" s="120" t="n">
        <x:f>-MIN(B$10+B$11,MAX(0,B$9-'Assumptions'!$F$9))</x:f>
        <x:v>0</x:v>
      </x:c>
      <x:c r="C12" s="120" t="n">
        <x:f>-MIN(C$10+C$11,MAX(0,C$9-'Assumptions'!$F$9))</x:f>
        <x:v>0</x:v>
      </x:c>
      <x:c r="D12" s="120" t="n">
        <x:f>-MIN(D$10+D$11,MAX(0,D$9-'Assumptions'!$F$9))</x:f>
        <x:v>0</x:v>
      </x:c>
      <x:c r="E12" s="120" t="n">
        <x:f>-MIN(E$10+E$11,MAX(0,E$9-'Assumptions'!$F$9))</x:f>
        <x:v>0</x:v>
      </x:c>
      <x:c r="F12" s="120" t="n">
        <x:f>-MIN(F$10+F$11,MAX(0,F$9-'Assumptions'!$F$9))</x:f>
        <x:v>0</x:v>
      </x:c>
      <x:c r="G12" s="120" t="n">
        <x:f>-MIN(G$10+G$11,MAX(0,G$9-'Assumptions'!$F$9))</x:f>
        <x:v>0</x:v>
      </x:c>
      <x:c r="H12" s="120" t="n">
        <x:f>-MIN(H$10+H$11,MAX(0,H$9-'Assumptions'!$F$9))</x:f>
        <x:v>0</x:v>
      </x:c>
      <x:c r="I12" s="120" t="n">
        <x:f>-MIN(I$10+I$11,MAX(0,I$9-'Assumptions'!$F$9))</x:f>
        <x:v>0</x:v>
      </x:c>
      <x:c r="J12" s="120" t="n">
        <x:f>-MIN(J$10+J$11,MAX(0,J$9-'Assumptions'!$F$9))</x:f>
        <x:v>0</x:v>
      </x:c>
      <x:c r="K12" s="120" t="n">
        <x:f>-MIN(K$10+K$11,MAX(0,K$9-'Assumptions'!$F$9))</x:f>
        <x:v>0</x:v>
      </x:c>
      <x:c r="L12" s="120" t="n">
        <x:f>-MIN(L$10+L$11,MAX(0,L$9-'Assumptions'!$F$9))</x:f>
        <x:v>0</x:v>
      </x:c>
      <x:c r="M12" s="120" t="n">
        <x:f>-MIN(M$10+M$11,MAX(0,M$9-'Assumptions'!$F$9))</x:f>
        <x:v>0</x:v>
      </x:c>
      <x:c r="N12" s="120" t="n">
        <x:f>-MIN(N$10+N$11,MAX(0,N$9-'Assumptions'!$F$9))</x:f>
        <x:v>0</x:v>
      </x:c>
    </x:row>
    <x:row r="13">
      <x:c r="A13" s="121" t="str">
        <x:v>Closing facility draw</x:v>
      </x:c>
      <x:c r="B13" s="122" t="n">
        <x:f>SUM(B$10:B$12)</x:f>
        <x:v>0</x:v>
      </x:c>
      <x:c r="C13" s="122" t="n">
        <x:f>SUM(C$10:C$12)</x:f>
        <x:v>0</x:v>
      </x:c>
      <x:c r="D13" s="122" t="n">
        <x:f>SUM(D$10:D$12)</x:f>
        <x:v>0</x:v>
      </x:c>
      <x:c r="E13" s="122" t="n">
        <x:f>SUM(E$10:E$12)</x:f>
        <x:v>0</x:v>
      </x:c>
      <x:c r="F13" s="122" t="n">
        <x:f>SUM(F$10:F$12)</x:f>
        <x:v>0</x:v>
      </x:c>
      <x:c r="G13" s="122" t="n">
        <x:f>SUM(G$10:G$12)</x:f>
        <x:v>0</x:v>
      </x:c>
      <x:c r="H13" s="122" t="n">
        <x:f>SUM(H$10:H$12)</x:f>
        <x:v>0</x:v>
      </x:c>
      <x:c r="I13" s="122" t="n">
        <x:f>SUM(I$10:I$12)</x:f>
        <x:v>0</x:v>
      </x:c>
      <x:c r="J13" s="122" t="n">
        <x:f>SUM(J$10:J$12)</x:f>
        <x:v>0</x:v>
      </x:c>
      <x:c r="K13" s="122" t="n">
        <x:f>SUM(K$10:K$12)</x:f>
        <x:v>0</x:v>
      </x:c>
      <x:c r="L13" s="122" t="n">
        <x:f>SUM(L$10:L$12)</x:f>
        <x:v>0</x:v>
      </x:c>
      <x:c r="M13" s="122" t="n">
        <x:f>SUM(M$10:M$12)</x:f>
        <x:v>0</x:v>
      </x:c>
      <x:c r="N13" s="122" t="n">
        <x:f>SUM(N$10:N$12)</x:f>
        <x:v>0</x:v>
      </x:c>
    </x:row>
    <x:row r="14">
      <x:c r="A14" s="124" t="str">
        <x:v>Closing cash</x:v>
      </x:c>
      <x:c r="B14" s="125" t="n">
        <x:f>SUM(B$9,B$11,B$12)</x:f>
        <x:v>93</x:v>
      </x:c>
      <x:c r="C14" s="125" t="n">
        <x:f>SUM(C$9,C$11,C$12)</x:f>
        <x:v>105.39999999999998</x:v>
      </x:c>
      <x:c r="D14" s="125" t="n">
        <x:f>SUM(D$9,D$11,D$12)</x:f>
        <x:v>114.64999999999998</x:v>
      </x:c>
      <x:c r="E14" s="125" t="n">
        <x:f>SUM(E$9,E$11,E$12)</x:f>
        <x:v>145.24999999999997</x:v>
      </x:c>
      <x:c r="F14" s="125" t="n">
        <x:f>SUM(F$9,F$11,F$12)</x:f>
        <x:v>157.14999999999998</x:v>
      </x:c>
      <x:c r="G14" s="125" t="n">
        <x:f>SUM(G$9,G$11,G$12)</x:f>
        <x:v>185.95</x:v>
      </x:c>
      <x:c r="H14" s="125" t="n">
        <x:f>SUM(H$9,H$11,H$12)</x:f>
        <x:v>206.45</x:v>
      </x:c>
      <x:c r="I14" s="125" t="n">
        <x:f>SUM(I$9,I$11,I$12)</x:f>
        <x:v>231.95</x:v>
      </x:c>
      <x:c r="J14" s="125" t="n">
        <x:f>SUM(J$9,J$11,J$12)</x:f>
        <x:v>256.04999999999995</x:v>
      </x:c>
      <x:c r="K14" s="125" t="n">
        <x:f>SUM(K$9,K$11,K$12)</x:f>
        <x:v>292.24999999999994</x:v>
      </x:c>
      <x:c r="L14" s="125" t="n">
        <x:f>SUM(L$9,L$11,L$12)</x:f>
        <x:v>300.99999999999994</x:v>
      </x:c>
      <x:c r="M14" s="125" t="n">
        <x:f>SUM(M$9,M$11,M$12)</x:f>
        <x:v>343.3999999999999</x:v>
      </x:c>
      <x:c r="N14" s="125" t="n">
        <x:f>SUM(N$9,N$11,N$12)</x:f>
        <x:v>374.1499999999999</x:v>
      </x:c>
    </x:row>
    <x:row r="15">
      <x:c r="A15" s="121" t="str">
        <x:v>Unfunded minimum-cash gap</x:v>
      </x:c>
      <x:c r="B15" s="126" t="n">
        <x:f>MAX(0,'Assumptions'!$F$9-B$14)</x:f>
        <x:v>0</x:v>
      </x:c>
      <x:c r="C15" s="126" t="n">
        <x:f>MAX(0,'Assumptions'!$F$9-C$14)</x:f>
        <x:v>0</x:v>
      </x:c>
      <x:c r="D15" s="126" t="n">
        <x:f>MAX(0,'Assumptions'!$F$9-D$14)</x:f>
        <x:v>0</x:v>
      </x:c>
      <x:c r="E15" s="126" t="n">
        <x:f>MAX(0,'Assumptions'!$F$9-E$14)</x:f>
        <x:v>0</x:v>
      </x:c>
      <x:c r="F15" s="126" t="n">
        <x:f>MAX(0,'Assumptions'!$F$9-F$14)</x:f>
        <x:v>0</x:v>
      </x:c>
      <x:c r="G15" s="126" t="n">
        <x:f>MAX(0,'Assumptions'!$F$9-G$14)</x:f>
        <x:v>0</x:v>
      </x:c>
      <x:c r="H15" s="126" t="n">
        <x:f>MAX(0,'Assumptions'!$F$9-H$14)</x:f>
        <x:v>0</x:v>
      </x:c>
      <x:c r="I15" s="126" t="n">
        <x:f>MAX(0,'Assumptions'!$F$9-I$14)</x:f>
        <x:v>0</x:v>
      </x:c>
      <x:c r="J15" s="126" t="n">
        <x:f>MAX(0,'Assumptions'!$F$9-J$14)</x:f>
        <x:v>0</x:v>
      </x:c>
      <x:c r="K15" s="126" t="n">
        <x:f>MAX(0,'Assumptions'!$F$9-K$14)</x:f>
        <x:v>0</x:v>
      </x:c>
      <x:c r="L15" s="126" t="n">
        <x:f>MAX(0,'Assumptions'!$F$9-L$14)</x:f>
        <x:v>0</x:v>
      </x:c>
      <x:c r="M15" s="126" t="n">
        <x:f>MAX(0,'Assumptions'!$F$9-M$14)</x:f>
        <x:v>0</x:v>
      </x:c>
      <x:c r="N15" s="126" t="n">
        <x:f>MAX(0,'Assumptions'!$F$9-N$14)</x:f>
        <x:v>0</x:v>
      </x:c>
    </x:row>
    <x:row r="16">
      <x:c r="A16" s="119" t="str">
        <x:v>Cash roll-forward check</x:v>
      </x:c>
      <x:c r="B16" s="123" t="n">
        <x:f>B$14-SUM(B$6,B$7,B$8,B$11,B$12)</x:f>
        <x:v>0</x:v>
      </x:c>
      <x:c r="C16" s="123" t="n">
        <x:f>C$14-SUM(C$6,C$7,C$8,C$11,C$12)</x:f>
        <x:v>0</x:v>
      </x:c>
      <x:c r="D16" s="123" t="n">
        <x:f>D$14-SUM(D$6,D$7,D$8,D$11,D$12)</x:f>
        <x:v>0</x:v>
      </x:c>
      <x:c r="E16" s="123" t="n">
        <x:f>E$14-SUM(E$6,E$7,E$8,E$11,E$12)</x:f>
        <x:v>0</x:v>
      </x:c>
      <x:c r="F16" s="123" t="n">
        <x:f>F$14-SUM(F$6,F$7,F$8,F$11,F$12)</x:f>
        <x:v>0</x:v>
      </x:c>
      <x:c r="G16" s="123" t="n">
        <x:f>G$14-SUM(G$6,G$7,G$8,G$11,G$12)</x:f>
        <x:v>0</x:v>
      </x:c>
      <x:c r="H16" s="123" t="n">
        <x:f>H$14-SUM(H$6,H$7,H$8,H$11,H$12)</x:f>
        <x:v>0</x:v>
      </x:c>
      <x:c r="I16" s="123" t="n">
        <x:f>I$14-SUM(I$6,I$7,I$8,I$11,I$12)</x:f>
        <x:v>0</x:v>
      </x:c>
      <x:c r="J16" s="123" t="n">
        <x:f>J$14-SUM(J$6,J$7,J$8,J$11,J$12)</x:f>
        <x:v>0</x:v>
      </x:c>
      <x:c r="K16" s="123" t="n">
        <x:f>K$14-SUM(K$6,K$7,K$8,K$11,K$12)</x:f>
        <x:v>0</x:v>
      </x:c>
      <x:c r="L16" s="123" t="n">
        <x:f>L$14-SUM(L$6,L$7,L$8,L$11,L$12)</x:f>
        <x:v>0</x:v>
      </x:c>
      <x:c r="M16" s="123" t="n">
        <x:f>M$14-SUM(M$6,M$7,M$8,M$11,M$12)</x:f>
        <x:v>0</x:v>
      </x:c>
      <x:c r="N16" s="123" t="n">
        <x:f>N$14-SUM(N$6,N$7,N$8,N$11,N$12)</x:f>
        <x:v>0</x:v>
      </x:c>
    </x:row>
    <x:row r="17">
      <x:c r="A17" s="127" t="str">
        <x:v>Facility roll-forward check</x:v>
      </x:c>
      <x:c r="B17" s="128" t="n">
        <x:f>B$13-SUM(B$10,B$11,B$12)</x:f>
        <x:v>0</x:v>
      </x:c>
      <x:c r="C17" s="128" t="n">
        <x:f>C$13-SUM(C$10,C$11,C$12)</x:f>
        <x:v>0</x:v>
      </x:c>
      <x:c r="D17" s="128" t="n">
        <x:f>D$13-SUM(D$10,D$11,D$12)</x:f>
        <x:v>0</x:v>
      </x:c>
      <x:c r="E17" s="128" t="n">
        <x:f>E$13-SUM(E$10,E$11,E$12)</x:f>
        <x:v>0</x:v>
      </x:c>
      <x:c r="F17" s="128" t="n">
        <x:f>F$13-SUM(F$10,F$11,F$12)</x:f>
        <x:v>0</x:v>
      </x:c>
      <x:c r="G17" s="128" t="n">
        <x:f>G$13-SUM(G$10,G$11,G$12)</x:f>
        <x:v>0</x:v>
      </x:c>
      <x:c r="H17" s="128" t="n">
        <x:f>H$13-SUM(H$10,H$11,H$12)</x:f>
        <x:v>0</x:v>
      </x:c>
      <x:c r="I17" s="128" t="n">
        <x:f>I$13-SUM(I$10,I$11,I$12)</x:f>
        <x:v>0</x:v>
      </x:c>
      <x:c r="J17" s="128" t="n">
        <x:f>J$13-SUM(J$10,J$11,J$12)</x:f>
        <x:v>0</x:v>
      </x:c>
      <x:c r="K17" s="128" t="n">
        <x:f>K$13-SUM(K$10,K$11,K$12)</x:f>
        <x:v>0</x:v>
      </x:c>
      <x:c r="L17" s="128" t="n">
        <x:f>L$13-SUM(L$10,L$11,L$12)</x:f>
        <x:v>0</x:v>
      </x:c>
      <x:c r="M17" s="128" t="n">
        <x:f>M$13-SUM(M$10,M$11,M$12)</x:f>
        <x:v>0</x:v>
      </x:c>
      <x:c r="N17" s="128" t="n">
        <x:f>N$13-SUM(N$10,N$11,N$12)</x:f>
        <x:v>0</x:v>
      </x:c>
    </x:row>
    <x:row r="19">
      <x:c r="A19" s="42" t="str">
        <x:v>Review row definitions, sign convention, period basis, scenario mechanics, and every breakpoint before relying on the output.</x:v>
      </x:c>
      <x:c r="B19" s="43" t="str">
        <x:v>Review row definitions, sign convention, period basis, scenario mechanics, and every breakpoint before relying on the output.</x:v>
      </x:c>
      <x:c r="C19" s="43" t="str">
        <x:v>Review row definitions, sign convention, period basis, scenario mechanics, and every breakpoint before relying on the output.</x:v>
      </x:c>
      <x:c r="D19" s="43" t="str">
        <x:v>Review row definitions, sign convention, period basis, scenario mechanics, and every breakpoint before relying on the output.</x:v>
      </x:c>
      <x:c r="E19" s="43" t="str">
        <x:v>Review row definitions, sign convention, period basis, scenario mechanics, and every breakpoint before relying on the output.</x:v>
      </x:c>
      <x:c r="F19" s="43" t="str">
        <x:v>Review row definitions, sign convention, period basis, scenario mechanics, and every breakpoint before relying on the output.</x:v>
      </x:c>
      <x:c r="G19" s="43" t="str">
        <x:v>Review row definitions, sign convention, period basis, scenario mechanics, and every breakpoint before relying on the output.</x:v>
      </x:c>
      <x:c r="H19" s="43" t="str">
        <x:v>Review row definitions, sign convention, period basis, scenario mechanics, and every breakpoint before relying on the output.</x:v>
      </x:c>
      <x:c r="I19" s="43" t="str">
        <x:v>Review row definitions, sign convention, period basis, scenario mechanics, and every breakpoint before relying on the output.</x:v>
      </x:c>
      <x:c r="J19" s="43" t="str">
        <x:v>Review row definitions, sign convention, period basis, scenario mechanics, and every breakpoint before relying on the output.</x:v>
      </x:c>
      <x:c r="K19" s="43" t="str">
        <x:v>Review row definitions, sign convention, period basis, scenario mechanics, and every breakpoint before relying on the output.</x:v>
      </x:c>
      <x:c r="L19" s="43" t="str">
        <x:v>Review row definitions, sign convention, period basis, scenario mechanics, and every breakpoint before relying on the output.</x:v>
      </x:c>
      <x:c r="M19" s="43" t="str">
        <x:v>Review row definitions, sign convention, period basis, scenario mechanics, and every breakpoint before relying on the output.</x:v>
      </x:c>
      <x:c r="N19" s="44" t="str">
        <x:v>Review row definitions, sign convention, period basis, scenario mechanics, and every breakpoint before relying on the output.</x:v>
      </x:c>
    </x:row>
    <x:row r="20">
      <x:c r="A20" s="45" t="str">
        <x:v>Review row definitions, sign convention, period basis, scenario mechanics, and every breakpoint before relying on the output.</x:v>
      </x:c>
      <x:c r="B20" s="46" t="str">
        <x:v>Review row definitions, sign convention, period basis, scenario mechanics, and every breakpoint before relying on the output.</x:v>
      </x:c>
      <x:c r="C20" s="46" t="str">
        <x:v>Review row definitions, sign convention, period basis, scenario mechanics, and every breakpoint before relying on the output.</x:v>
      </x:c>
      <x:c r="D20" s="46" t="str">
        <x:v>Review row definitions, sign convention, period basis, scenario mechanics, and every breakpoint before relying on the output.</x:v>
      </x:c>
      <x:c r="E20" s="46" t="str">
        <x:v>Review row definitions, sign convention, period basis, scenario mechanics, and every breakpoint before relying on the output.</x:v>
      </x:c>
      <x:c r="F20" s="46" t="str">
        <x:v>Review row definitions, sign convention, period basis, scenario mechanics, and every breakpoint before relying on the output.</x:v>
      </x:c>
      <x:c r="G20" s="46" t="str">
        <x:v>Review row definitions, sign convention, period basis, scenario mechanics, and every breakpoint before relying on the output.</x:v>
      </x:c>
      <x:c r="H20" s="46" t="str">
        <x:v>Review row definitions, sign convention, period basis, scenario mechanics, and every breakpoint before relying on the output.</x:v>
      </x:c>
      <x:c r="I20" s="46" t="str">
        <x:v>Review row definitions, sign convention, period basis, scenario mechanics, and every breakpoint before relying on the output.</x:v>
      </x:c>
      <x:c r="J20" s="46" t="str">
        <x:v>Review row definitions, sign convention, period basis, scenario mechanics, and every breakpoint before relying on the output.</x:v>
      </x:c>
      <x:c r="K20" s="46" t="str">
        <x:v>Review row definitions, sign convention, period basis, scenario mechanics, and every breakpoint before relying on the output.</x:v>
      </x:c>
      <x:c r="L20" s="46" t="str">
        <x:v>Review row definitions, sign convention, period basis, scenario mechanics, and every breakpoint before relying on the output.</x:v>
      </x:c>
      <x:c r="M20" s="46" t="str">
        <x:v>Review row definitions, sign convention, period basis, scenario mechanics, and every breakpoint before relying on the output.</x:v>
      </x:c>
      <x:c r="N20" s="47" t="str">
        <x:v>Review row definitions, sign convention, period basis, scenario mechanics, and every breakpoint before relying on the output.</x:v>
      </x:c>
    </x:row>
    <x:row r="21">
      <x:c r="A21" s="48" t="str">
        <x:v>Review row definitions, sign convention, period basis, scenario mechanics, and every breakpoint before relying on the output.</x:v>
      </x:c>
      <x:c r="B21" s="49" t="str">
        <x:v>Review row definitions, sign convention, period basis, scenario mechanics, and every breakpoint before relying on the output.</x:v>
      </x:c>
      <x:c r="C21" s="49" t="str">
        <x:v>Review row definitions, sign convention, period basis, scenario mechanics, and every breakpoint before relying on the output.</x:v>
      </x:c>
      <x:c r="D21" s="49" t="str">
        <x:v>Review row definitions, sign convention, period basis, scenario mechanics, and every breakpoint before relying on the output.</x:v>
      </x:c>
      <x:c r="E21" s="49" t="str">
        <x:v>Review row definitions, sign convention, period basis, scenario mechanics, and every breakpoint before relying on the output.</x:v>
      </x:c>
      <x:c r="F21" s="49" t="str">
        <x:v>Review row definitions, sign convention, period basis, scenario mechanics, and every breakpoint before relying on the output.</x:v>
      </x:c>
      <x:c r="G21" s="49" t="str">
        <x:v>Review row definitions, sign convention, period basis, scenario mechanics, and every breakpoint before relying on the output.</x:v>
      </x:c>
      <x:c r="H21" s="49" t="str">
        <x:v>Review row definitions, sign convention, period basis, scenario mechanics, and every breakpoint before relying on the output.</x:v>
      </x:c>
      <x:c r="I21" s="49" t="str">
        <x:v>Review row definitions, sign convention, period basis, scenario mechanics, and every breakpoint before relying on the output.</x:v>
      </x:c>
      <x:c r="J21" s="49" t="str">
        <x:v>Review row definitions, sign convention, period basis, scenario mechanics, and every breakpoint before relying on the output.</x:v>
      </x:c>
      <x:c r="K21" s="49" t="str">
        <x:v>Review row definitions, sign convention, period basis, scenario mechanics, and every breakpoint before relying on the output.</x:v>
      </x:c>
      <x:c r="L21" s="49" t="str">
        <x:v>Review row definitions, sign convention, period basis, scenario mechanics, and every breakpoint before relying on the output.</x:v>
      </x:c>
      <x:c r="M21" s="49" t="str">
        <x:v>Review row definitions, sign convention, period basis, scenario mechanics, and every breakpoint before relying on the output.</x:v>
      </x:c>
      <x:c r="N21" s="50" t="str">
        <x:v>Review row definitions, sign convention, period basis, scenario mechanics, and every breakpoint before relying on the output.</x:v>
      </x:c>
    </x:row>
    <x:row r="23">
      <x:c r="A23" s="53" t="str">
        <x:v>TDAT Model Library  |  Trust builds the brand. Insight builds the decision.</x:v>
      </x:c>
      <x:c r="B23" s="53" t="str">
        <x:v>TDAT Model Library  |  Trust builds the brand. Insight builds the decision.</x:v>
      </x:c>
      <x:c r="C23" s="53" t="str">
        <x:v>TDAT Model Library  |  Trust builds the brand. Insight builds the decision.</x:v>
      </x:c>
      <x:c r="D23" s="53" t="str">
        <x:v>TDAT Model Library  |  Trust builds the brand. Insight builds the decision.</x:v>
      </x:c>
      <x:c r="E23" s="53" t="str">
        <x:v>TDAT Model Library  |  Trust builds the brand. Insight builds the decision.</x:v>
      </x:c>
      <x:c r="F23" s="53" t="str">
        <x:v>TDAT Model Library  |  Trust builds the brand. Insight builds the decision.</x:v>
      </x:c>
      <x:c r="G23" s="53" t="str">
        <x:v>TDAT Model Library  |  Trust builds the brand. Insight builds the decision.</x:v>
      </x:c>
      <x:c r="H23" s="53" t="str">
        <x:v>TDAT Model Library  |  Trust builds the brand. Insight builds the decision.</x:v>
      </x:c>
      <x:c r="I23" s="53" t="str">
        <x:v>TDAT Model Library  |  Trust builds the brand. Insight builds the decision.</x:v>
      </x:c>
      <x:c r="J23" s="53" t="str">
        <x:v>TDAT Model Library  |  Trust builds the brand. Insight builds the decision.</x:v>
      </x:c>
      <x:c r="K23" s="53" t="str">
        <x:v>TDAT Model Library  |  Trust builds the brand. Insight builds the decision.</x:v>
      </x:c>
      <x:c r="L23" s="53" t="str">
        <x:v>TDAT Model Library  |  Trust builds the brand. Insight builds the decision.</x:v>
      </x:c>
      <x:c r="M23" s="53" t="str">
        <x:v>TDAT Model Library  |  Trust builds the brand. Insight builds the decision.</x:v>
      </x:c>
      <x:c r="N23" s="53" t="str">
        <x:v>TDAT Model Library  |  Trust builds the brand. Insight builds the decision.</x:v>
      </x:c>
    </x:row>
  </x:sheetData>
  <x:mergeCells>
    <x:mergeCell ref="A1:N1"/>
    <x:mergeCell ref="A2:N2"/>
    <x:mergeCell ref="A19:N21"/>
    <x:mergeCell ref="A23:N2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SCENARIOS &amp; SENSITIVITY</x:v>
      </x:c>
      <x:c r="B1" s="3" t="str">
        <x:v>SCENARIOS &amp; SENSITIVITY</x:v>
      </x:c>
      <x:c r="C1" s="3" t="str">
        <x:v>SCENARIOS &amp; SENSITIVITY</x:v>
      </x:c>
      <x:c r="D1" s="3" t="str">
        <x:v>SCENARIOS &amp; SENSITIVITY</x:v>
      </x:c>
      <x:c r="E1" s="3" t="str">
        <x:v>SCENARIOS &amp; SENSITIVITY</x:v>
      </x:c>
      <x:c r="F1" s="3" t="str">
        <x:v>SCENARIOS &amp; SENSITIVITY</x:v>
      </x:c>
      <x:c r="G1" s="3" t="str">
        <x:v>SCENARIOS &amp; SENSITIVITY</x:v>
      </x:c>
      <x:c r="H1" s="3" t="str">
        <x:v>SCENARIOS &amp; SENSITIVITY</x:v>
      </x:c>
      <x:c r="I1" s="3" t="str">
        <x:v>SCENARIOS &amp; SENSITIVITY</x:v>
      </x:c>
      <x:c r="J1" s="3" t="str">
        <x:v>SCENARIOS &amp; SENSITIVITY</x:v>
      </x:c>
    </x:row>
    <x:row r="2" ht="24" customHeight="1">
      <x:c r="A2" s="6" t="str">
        <x:v>13-Week Cash Flow  |  Formula-backed decision range</x:v>
      </x:c>
      <x:c r="B2" s="6" t="str">
        <x:v>13-Week Cash Flow  |  Formula-backed decision range</x:v>
      </x:c>
      <x:c r="C2" s="6" t="str">
        <x:v>13-Week Cash Flow  |  Formula-backed decision range</x:v>
      </x:c>
      <x:c r="D2" s="6" t="str">
        <x:v>13-Week Cash Flow  |  Formula-backed decision range</x:v>
      </x:c>
      <x:c r="E2" s="6" t="str">
        <x:v>13-Week Cash Flow  |  Formula-backed decision range</x:v>
      </x:c>
      <x:c r="F2" s="6" t="str">
        <x:v>13-Week Cash Flow  |  Formula-backed decision range</x:v>
      </x:c>
      <x:c r="G2" s="6" t="str">
        <x:v>13-Week Cash Flow  |  Formula-backed decision range</x:v>
      </x:c>
      <x:c r="H2" s="6" t="str">
        <x:v>13-Week Cash Flow  |  Formula-backed decision range</x:v>
      </x:c>
      <x:c r="I2" s="6" t="str">
        <x:v>13-Week Cash Flow  |  Formula-backed decision range</x:v>
      </x:c>
      <x:c r="J2" s="6" t="str">
        <x:v>13-Week Cash Flow  |  Formula-backed decision range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129" t="str">
        <x:v>13-week net cash before funding — Receipt realization by Payment factor</x:v>
      </x:c>
      <x:c r="B5" s="129" t="str">
        <x:v>13-week net cash before funding — Receipt realization by Payment factor</x:v>
      </x:c>
      <x:c r="C5" s="129" t="str">
        <x:v>13-week net cash before funding — Receipt realization by Payment factor</x:v>
      </x:c>
      <x:c r="D5" s="129" t="str">
        <x:v>13-week net cash before funding — Receipt realization by Payment factor</x:v>
      </x:c>
      <x:c r="E5" s="129" t="str">
        <x:v>13-week net cash before funding — Receipt realization by Payment factor</x:v>
      </x:c>
      <x:c r="F5" s="129" t="str">
        <x:v>13-week net cash before funding — Receipt realization by Payment factor</x:v>
      </x:c>
      <x:c r="G5" s="129" t="str">
        <x:v>13-week net cash before funding — Receipt realization by Payment factor</x:v>
      </x:c>
      <x:c r="H5" s="129" t="str">
        <x:v>13-week net cash before funding — Receipt realization by Payment factor</x:v>
      </x:c>
      <x:c r="I5" s="129" t="str">
        <x:v>13-week net cash before funding — Receipt realization by Payment factor</x:v>
      </x:c>
      <x:c r="J5" s="129" t="str">
        <x:v>13-week net cash before funding — Receipt realization by Payment factor</x:v>
      </x:c>
    </x:row>
    <x:row r="6">
      <x:c r="A6" t="str">
        <x:v>Receipt realization</x:v>
      </x:c>
      <x:c r="B6" t="str">
        <x:v>Payment factor</x:v>
      </x:c>
    </x:row>
    <x:row r="7">
      <x:c r="B7" s="76" t="n">
        <x:v>0.9</x:v>
      </x:c>
      <x:c r="C7" s="76" t="n">
        <x:v>0.95</x:v>
      </x:c>
      <x:c r="D7" s="76" t="n">
        <x:v>1</x:v>
      </x:c>
      <x:c r="E7" s="76" t="n">
        <x:v>1.05</x:v>
      </x:c>
      <x:c r="F7" s="76" t="n">
        <x:v>1.1</x:v>
      </x:c>
    </x:row>
    <x:row r="8">
      <x:c r="A8" s="76" t="n">
        <x:v>0.8</x:v>
      </x:c>
      <x:c r="B8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Inputs'!N$6)*$A8-((SUM('Weekly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Inputs'!N$10)))*B$7</x:f>
        <x:v>275.4999999999999</x:v>
      </x:c>
      <x:c r="C8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Inputs'!N$6)*$A8-((SUM('Weekly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Inputs'!N$10)))*C$7</x:f>
        <x:v>229.04999999999995</x:v>
      </x:c>
      <x:c r="D8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Inputs'!N$6)*$A8-((SUM('Weekly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Inputs'!N$10)))*D$7</x:f>
        <x:v>182.5999999999999</x:v>
      </x:c>
      <x:c r="E8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Inputs'!N$6)*$A8-((SUM('Weekly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Inputs'!N$10)))*E$7</x:f>
        <x:v>136.14999999999986</x:v>
      </x:c>
      <x:c r="F8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Inputs'!N$6)*$A8-((SUM('Weekly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Inputs'!N$10)))*F$7</x:f>
        <x:v>89.69999999999982</x:v>
      </x:c>
    </x:row>
    <x:row r="9">
      <x:c r="A9" s="76" t="n">
        <x:v>0.85</x:v>
      </x:c>
      <x:c r="B9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Inputs'!N$6)*$A9-((SUM('Weekly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Inputs'!N$10)))*B$7</x:f>
        <x:v>339.35</x:v>
      </x:c>
      <x:c r="C9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Inputs'!N$6)*$A9-((SUM('Weekly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Inputs'!N$10)))*C$7</x:f>
        <x:v>292.9000000000001</x:v>
      </x:c>
      <x:c r="D9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Inputs'!N$6)*$A9-((SUM('Weekly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Inputs'!N$10)))*D$7</x:f>
        <x:v>246.45000000000005</x:v>
      </x:c>
      <x:c r="E9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Inputs'!N$6)*$A9-((SUM('Weekly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Inputs'!N$10)))*E$7</x:f>
        <x:v>200</x:v>
      </x:c>
      <x:c r="F9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Inputs'!N$6)*$A9-((SUM('Weekly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Inputs'!N$10)))*F$7</x:f>
        <x:v>153.54999999999995</x:v>
      </x:c>
    </x:row>
    <x:row r="10">
      <x:c r="A10" s="76" t="n">
        <x:v>0.9</x:v>
      </x:c>
      <x:c r="B10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Inputs'!N$6)*$A10-((SUM('Weekly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Inputs'!N$10)))*B$7</x:f>
        <x:v>403.19999999999993</x:v>
      </x:c>
      <x:c r="C10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Inputs'!N$6)*$A10-((SUM('Weekly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Inputs'!N$10)))*C$7</x:f>
        <x:v>356.75</x:v>
      </x:c>
      <x:c r="D10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Inputs'!N$6)*$A10-((SUM('Weekly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Inputs'!N$10)))*D$7</x:f>
        <x:v>310.29999999999995</x:v>
      </x:c>
      <x:c r="E10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Inputs'!N$6)*$A10-((SUM('Weekly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Inputs'!N$10)))*E$7</x:f>
        <x:v>263.8499999999999</x:v>
      </x:c>
      <x:c r="F10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Inputs'!N$6)*$A10-((SUM('Weekly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Inputs'!N$10)))*F$7</x:f>
        <x:v>217.39999999999986</x:v>
      </x:c>
    </x:row>
    <x:row r="11">
      <x:c r="A11" s="76" t="n">
        <x:v>0.95</x:v>
      </x:c>
      <x:c r="B11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Inputs'!N$6)*$A11-((SUM('Weekly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Inputs'!N$10)))*B$7</x:f>
        <x:v>467.04999999999984</x:v>
      </x:c>
      <x:c r="C11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Inputs'!N$6)*$A11-((SUM('Weekly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Inputs'!N$10)))*C$7</x:f>
        <x:v>420.5999999999999</x:v>
      </x:c>
      <x:c r="D11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Inputs'!N$6)*$A11-((SUM('Weekly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Inputs'!N$10)))*D$7</x:f>
        <x:v>374.14999999999986</x:v>
      </x:c>
      <x:c r="E11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Inputs'!N$6)*$A11-((SUM('Weekly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Inputs'!N$10)))*E$7</x:f>
        <x:v>327.6999999999998</x:v>
      </x:c>
      <x:c r="F11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Inputs'!N$6)*$A11-((SUM('Weekly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Inputs'!N$10)))*F$7</x:f>
        <x:v>281.2499999999998</x:v>
      </x:c>
    </x:row>
    <x:row r="12">
      <x:c r="A12" s="76" t="n">
        <x:v>1</x:v>
      </x:c>
      <x:c r="B12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Inputs'!N$6)*$A12-((SUM('Weekly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Inputs'!N$10)))*B$7</x:f>
        <x:v>530.9</x:v>
      </x:c>
      <x:c r="C12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Inputs'!N$6)*$A12-((SUM('Weekly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Inputs'!N$10)))*C$7</x:f>
        <x:v>484.45000000000005</x:v>
      </x:c>
      <x:c r="D12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Inputs'!N$6)*$A12-((SUM('Weekly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Inputs'!N$10)))*D$7</x:f>
        <x:v>438</x:v>
      </x:c>
      <x:c r="E12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Inputs'!N$6)*$A12-((SUM('Weekly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Inputs'!N$10)))*E$7</x:f>
        <x:v>391.54999999999995</x:v>
      </x:c>
      <x:c r="F12" s="131" t="n">
        <x:f>'Assumptions'!$F$6+('Weekly Inputs'!B$6+'Weekly Inputs'!C$6+'Weekly Inputs'!D$6+'Weekly Inputs'!E$6+'Weekly Inputs'!F$6+'Weekly Inputs'!G$6+'Weekly Inputs'!H$6+'Weekly Inputs'!I$6+'Weekly Inputs'!J$6+'Weekly Inputs'!K$6+'Weekly Inputs'!L$6+'Weekly Inputs'!M$6+'Weekly Inputs'!N$6)*$A12-((SUM('Weekly Inputs'!B$7,'Weekly Inputs'!B$8,'Weekly Inputs'!B$9,'Weekly Inputs'!B$10)+SUM('Weekly Inputs'!C$7,'Weekly Inputs'!C$8,'Weekly Inputs'!C$9,'Weekly Inputs'!C$10)+SUM('Weekly Inputs'!D$7,'Weekly Inputs'!D$8,'Weekly Inputs'!D$9,'Weekly Inputs'!D$10)+SUM('Weekly Inputs'!E$7,'Weekly Inputs'!E$8,'Weekly Inputs'!E$9,'Weekly Inputs'!E$10)+SUM('Weekly Inputs'!F$7,'Weekly Inputs'!F$8,'Weekly Inputs'!F$9,'Weekly Inputs'!F$10)+SUM('Weekly Inputs'!G$7,'Weekly Inputs'!G$8,'Weekly Inputs'!G$9,'Weekly Inputs'!G$10)+SUM('Weekly Inputs'!H$7,'Weekly Inputs'!H$8,'Weekly Inputs'!H$9,'Weekly Inputs'!H$10)+SUM('Weekly Inputs'!I$7,'Weekly Inputs'!I$8,'Weekly Inputs'!I$9,'Weekly Inputs'!I$10)+SUM('Weekly Inputs'!J$7,'Weekly Inputs'!J$8,'Weekly Inputs'!J$9,'Weekly Inputs'!J$10)+SUM('Weekly Inputs'!K$7,'Weekly Inputs'!K$8,'Weekly Inputs'!K$9,'Weekly Inputs'!K$10)+SUM('Weekly Inputs'!L$7,'Weekly Inputs'!L$8,'Weekly Inputs'!L$9,'Weekly Inputs'!L$10)+SUM('Weekly Inputs'!M$7,'Weekly Inputs'!M$8,'Weekly Inputs'!M$9,'Weekly Inputs'!M$10)+SUM('Weekly Inputs'!N$7,'Weekly Inputs'!N$8,'Weekly Inputs'!N$9,'Weekly Inputs'!N$10)))*F$7</x:f>
        <x:v>345.0999999999999</x:v>
      </x:c>
    </x:row>
    <x:row r="16" ht="22" customHeight="1">
      <x:c r="A16" s="9" t="str">
        <x:v>SCENARIO OUTPUTS</x:v>
      </x:c>
      <x:c r="B16" s="9" t="str">
        <x:v>SCENARIO OUTPUTS</x:v>
      </x:c>
      <x:c r="C16" s="9" t="str">
        <x:v>SCENARIO OUTPUTS</x:v>
      </x:c>
      <x:c r="D16" s="9" t="str">
        <x:v>SCENARIO OUTPUTS</x:v>
      </x:c>
      <x:c r="E16" s="9" t="str">
        <x:v>SCENARIO OUTPUTS</x:v>
      </x:c>
      <x:c r="F16" s="9" t="str">
        <x:v>SCENARIO OUTPUTS</x:v>
      </x:c>
      <x:c r="G16" s="9" t="str">
        <x:v>SCENARIO OUTPUTS</x:v>
      </x:c>
      <x:c r="H16" s="9" t="str">
        <x:v>SCENARIO OUTPUTS</x:v>
      </x:c>
      <x:c r="I16" s="9" t="str">
        <x:v>SCENARIO OUTPUTS</x:v>
      </x:c>
      <x:c r="J16" s="9" t="str">
        <x:v>SCENARIO OUTPUTS</x:v>
      </x:c>
    </x:row>
    <x:row r="17" ht="24" customHeight="1">
      <x:c r="A17" s="66" t="str">
        <x:v>Case</x:v>
      </x:c>
      <x:c r="B17" s="67" t="str">
        <x:v>Narrative</x:v>
      </x:c>
      <x:c r="C17" s="67" t="str">
        <x:v>Selected driver set</x:v>
      </x:c>
      <x:c r="D17" s="68" t="str">
        <x:v>Review question</x:v>
      </x:c>
    </x:row>
    <x:row r="18">
      <x:c r="A18" s="141" t="str">
        <x:v>Base</x:v>
      </x:c>
      <x:c r="B18" s="142" t="str">
        <x:v>Expected collections and scheduled payments.</x:v>
      </x:c>
      <x:c r="C18" s="142" t="str">
        <x:v>Base</x:v>
      </x:c>
      <x:c r="D18" s="143" t="str">
        <x:v>What must be true for the base case to hold?</x:v>
      </x:c>
    </x:row>
    <x:row r="19">
      <x:c r="A19" s="144" t="str">
        <x:v>Upside</x:v>
      </x:c>
      <x:c r="B19" s="145" t="str">
        <x:v>Full collections, modest payment flexibility, stronger facility availability.</x:v>
      </x:c>
      <x:c r="C19" s="145" t="str">
        <x:v>Upside</x:v>
      </x:c>
      <x:c r="D19" s="146" t="str">
        <x:v>Which actions unlock the upside?</x:v>
      </x:c>
    </x:row>
    <x:row r="20">
      <x:c r="A20" s="147" t="str">
        <x:v>Downside</x:v>
      </x:c>
      <x:c r="B20" s="148" t="str">
        <x:v>Collection delays, higher payments, higher minimum cash, and reduced facility headroom.</x:v>
      </x:c>
      <x:c r="C20" s="148" t="str">
        <x:v>Downside</x:v>
      </x:c>
      <x:c r="D20" s="149" t="str">
        <x:v>What breaks first and who acts?</x:v>
      </x:c>
    </x:row>
    <x:row r="22">
      <x:c r="A22" s="42" t="str">
        <x:v>Sensitivity outputs are analytical ranges, not forecasts or guarantees. Recheck directionality, boundaries, source quality, and the business narrative behind each driver before decision use.</x:v>
      </x:c>
      <x:c r="B22" s="43" t="str">
        <x:v>Sensitivity outputs are analytical ranges, not forecasts or guarantees. Recheck directionality, boundaries, source quality, and the business narrative behind each driver before decision use.</x:v>
      </x:c>
      <x:c r="C22" s="43" t="str">
        <x:v>Sensitivity outputs are analytical ranges, not forecasts or guarantees. Recheck directionality, boundaries, source quality, and the business narrative behind each driver before decision use.</x:v>
      </x:c>
      <x:c r="D22" s="43" t="str">
        <x:v>Sensitivity outputs are analytical ranges, not forecasts or guarantees. Recheck directionality, boundaries, source quality, and the business narrative behind each driver before decision use.</x:v>
      </x:c>
      <x:c r="E22" s="43" t="str">
        <x:v>Sensitivity outputs are analytical ranges, not forecasts or guarantees. Recheck directionality, boundaries, source quality, and the business narrative behind each driver before decision use.</x:v>
      </x:c>
      <x:c r="F22" s="43" t="str">
        <x:v>Sensitivity outputs are analytical ranges, not forecasts or guarantees. Recheck directionality, boundaries, source quality, and the business narrative behind each driver before decision use.</x:v>
      </x:c>
      <x:c r="G22" s="43" t="str">
        <x:v>Sensitivity outputs are analytical ranges, not forecasts or guarantees. Recheck directionality, boundaries, source quality, and the business narrative behind each driver before decision use.</x:v>
      </x:c>
      <x:c r="H22" s="43" t="str">
        <x:v>Sensitivity outputs are analytical ranges, not forecasts or guarantees. Recheck directionality, boundaries, source quality, and the business narrative behind each driver before decision use.</x:v>
      </x:c>
      <x:c r="I22" s="43" t="str">
        <x:v>Sensitivity outputs are analytical ranges, not forecasts or guarantees. Recheck directionality, boundaries, source quality, and the business narrative behind each driver before decision use.</x:v>
      </x:c>
      <x:c r="J22" s="44" t="str">
        <x:v>Sensitivity outputs are analytical ranges, not forecasts or guarantees. Recheck directionality, boundaries, source quality, and the business narrative behind each driver before decision use.</x:v>
      </x:c>
    </x:row>
    <x:row r="23">
      <x:c r="A23" s="45" t="str">
        <x:v>Sensitivity outputs are analytical ranges, not forecasts or guarantees. Recheck directionality, boundaries, source quality, and the business narrative behind each driver before decision use.</x:v>
      </x:c>
      <x:c r="B23" s="46" t="str">
        <x:v>Sensitivity outputs are analytical ranges, not forecasts or guarantees. Recheck directionality, boundaries, source quality, and the business narrative behind each driver before decision use.</x:v>
      </x:c>
      <x:c r="C23" s="46" t="str">
        <x:v>Sensitivity outputs are analytical ranges, not forecasts or guarantees. Recheck directionality, boundaries, source quality, and the business narrative behind each driver before decision use.</x:v>
      </x:c>
      <x:c r="D23" s="46" t="str">
        <x:v>Sensitivity outputs are analytical ranges, not forecasts or guarantees. Recheck directionality, boundaries, source quality, and the business narrative behind each driver before decision use.</x:v>
      </x:c>
      <x:c r="E23" s="46" t="str">
        <x:v>Sensitivity outputs are analytical ranges, not forecasts or guarantees. Recheck directionality, boundaries, source quality, and the business narrative behind each driver before decision use.</x:v>
      </x:c>
      <x:c r="F23" s="46" t="str">
        <x:v>Sensitivity outputs are analytical ranges, not forecasts or guarantees. Recheck directionality, boundaries, source quality, and the business narrative behind each driver before decision use.</x:v>
      </x:c>
      <x:c r="G23" s="46" t="str">
        <x:v>Sensitivity outputs are analytical ranges, not forecasts or guarantees. Recheck directionality, boundaries, source quality, and the business narrative behind each driver before decision use.</x:v>
      </x:c>
      <x:c r="H23" s="46" t="str">
        <x:v>Sensitivity outputs are analytical ranges, not forecasts or guarantees. Recheck directionality, boundaries, source quality, and the business narrative behind each driver before decision use.</x:v>
      </x:c>
      <x:c r="I23" s="46" t="str">
        <x:v>Sensitivity outputs are analytical ranges, not forecasts or guarantees. Recheck directionality, boundaries, source quality, and the business narrative behind each driver before decision use.</x:v>
      </x:c>
      <x:c r="J23" s="47" t="str">
        <x:v>Sensitivity outputs are analytical ranges, not forecasts or guarantees. Recheck directionality, boundaries, source quality, and the business narrative behind each driver before decision use.</x:v>
      </x:c>
    </x:row>
    <x:row r="24">
      <x:c r="A24" s="48" t="str">
        <x:v>Sensitivity outputs are analytical ranges, not forecasts or guarantees. Recheck directionality, boundaries, source quality, and the business narrative behind each driver before decision use.</x:v>
      </x:c>
      <x:c r="B24" s="49" t="str">
        <x:v>Sensitivity outputs are analytical ranges, not forecasts or guarantees. Recheck directionality, boundaries, source quality, and the business narrative behind each driver before decision use.</x:v>
      </x:c>
      <x:c r="C24" s="49" t="str">
        <x:v>Sensitivity outputs are analytical ranges, not forecasts or guarantees. Recheck directionality, boundaries, source quality, and the business narrative behind each driver before decision use.</x:v>
      </x:c>
      <x:c r="D24" s="49" t="str">
        <x:v>Sensitivity outputs are analytical ranges, not forecasts or guarantees. Recheck directionality, boundaries, source quality, and the business narrative behind each driver before decision use.</x:v>
      </x:c>
      <x:c r="E24" s="49" t="str">
        <x:v>Sensitivity outputs are analytical ranges, not forecasts or guarantees. Recheck directionality, boundaries, source quality, and the business narrative behind each driver before decision use.</x:v>
      </x:c>
      <x:c r="F24" s="49" t="str">
        <x:v>Sensitivity outputs are analytical ranges, not forecasts or guarantees. Recheck directionality, boundaries, source quality, and the business narrative behind each driver before decision use.</x:v>
      </x:c>
      <x:c r="G24" s="49" t="str">
        <x:v>Sensitivity outputs are analytical ranges, not forecasts or guarantees. Recheck directionality, boundaries, source quality, and the business narrative behind each driver before decision use.</x:v>
      </x:c>
      <x:c r="H24" s="49" t="str">
        <x:v>Sensitivity outputs are analytical ranges, not forecasts or guarantees. Recheck directionality, boundaries, source quality, and the business narrative behind each driver before decision use.</x:v>
      </x:c>
      <x:c r="I24" s="49" t="str">
        <x:v>Sensitivity outputs are analytical ranges, not forecasts or guarantees. Recheck directionality, boundaries, source quality, and the business narrative behind each driver before decision use.</x:v>
      </x:c>
      <x:c r="J24" s="50" t="str">
        <x:v>Sensitivity outputs are analytical ranges, not forecasts or guarantees. Recheck directionality, boundaries, source quality, and the business narrative behind each driver before decision use.</x:v>
      </x:c>
    </x:row>
    <x:row r="26">
      <x:c r="A26" s="53" t="str">
        <x:v>TDAT Model Library  |  Trust builds the brand. Insight builds the decision.</x:v>
      </x:c>
      <x:c r="B26" s="53" t="str">
        <x:v>TDAT Model Library  |  Trust builds the brand. Insight builds the decision.</x:v>
      </x:c>
      <x:c r="C26" s="53" t="str">
        <x:v>TDAT Model Library  |  Trust builds the brand. Insight builds the decision.</x:v>
      </x:c>
      <x:c r="D26" s="53" t="str">
        <x:v>TDAT Model Library  |  Trust builds the brand. Insight builds the decision.</x:v>
      </x:c>
      <x:c r="E26" s="53" t="str">
        <x:v>TDAT Model Library  |  Trust builds the brand. Insight builds the decision.</x:v>
      </x:c>
      <x:c r="F26" s="53" t="str">
        <x:v>TDAT Model Library  |  Trust builds the brand. Insight builds the decision.</x:v>
      </x:c>
      <x:c r="G26" s="53" t="str">
        <x:v>TDAT Model Library  |  Trust builds the brand. Insight builds the decision.</x:v>
      </x:c>
      <x:c r="H26" s="53" t="str">
        <x:v>TDAT Model Library  |  Trust builds the brand. Insight builds the decision.</x:v>
      </x:c>
      <x:c r="I26" s="53" t="str">
        <x:v>TDAT Model Library  |  Trust builds the brand. Insight builds the decision.</x:v>
      </x:c>
      <x:c r="J26" s="53" t="str">
        <x:v>TDAT Model Library  |  Trust builds the brand. Insight builds the decision.</x:v>
      </x:c>
    </x:row>
  </x:sheetData>
  <x:mergeCells>
    <x:mergeCell ref="A1:J1"/>
    <x:mergeCell ref="A2:J2"/>
    <x:mergeCell ref="A5:J5"/>
    <x:mergeCell ref="A16:J16"/>
    <x:mergeCell ref="A22:J24"/>
    <x:mergeCell ref="A26:J26"/>
  </x:mergeCells>
  <x:conditionalFormatting sqref="B8:F12">
    <x:cfRule type="colorScale" priority="1">
      <x:colorScale>
        <x:cfvo type="min"/>
        <x:cfvo type="percentile" val="50"/>
        <x:cfvo type="max"/>
        <x:color rgb="FFFCE8E6"/>
        <x:color rgb="FFFFF4DB"/>
        <x:color rgb="FFE5F6F3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EXECUTIVE SUMMARY</x:v>
      </x:c>
      <x:c r="B1" s="3" t="str">
        <x:v>EXECUTIVE SUMMARY</x:v>
      </x:c>
      <x:c r="C1" s="3" t="str">
        <x:v>EXECUTIVE SUMMARY</x:v>
      </x:c>
      <x:c r="D1" s="3" t="str">
        <x:v>EXECUTIVE SUMMARY</x:v>
      </x:c>
      <x:c r="E1" s="3" t="str">
        <x:v>EXECUTIVE SUMMARY</x:v>
      </x:c>
      <x:c r="F1" s="3" t="str">
        <x:v>EXECUTIVE SUMMARY</x:v>
      </x:c>
      <x:c r="G1" s="3" t="str">
        <x:v>EXECUTIVE SUMMARY</x:v>
      </x:c>
      <x:c r="H1" s="3" t="str">
        <x:v>EXECUTIVE SUMMARY</x:v>
      </x:c>
      <x:c r="I1" s="3" t="str">
        <x:v>EXECUTIVE SUMMARY</x:v>
      </x:c>
      <x:c r="J1" s="3" t="str">
        <x:v>EXECUTIVE SUMMARY</x:v>
      </x:c>
    </x:row>
    <x:row r="2" ht="24" customHeight="1">
      <x:c r="A2" s="6" t="str">
        <x:v>13-Week Cash Flow  |  Decision outputs, trend, breakpoints, and action prompts</x:v>
      </x:c>
      <x:c r="B2" s="6" t="str">
        <x:v>13-Week Cash Flow  |  Decision outputs, trend, breakpoints, and action prompts</x:v>
      </x:c>
      <x:c r="C2" s="6" t="str">
        <x:v>13-Week Cash Flow  |  Decision outputs, trend, breakpoints, and action prompts</x:v>
      </x:c>
      <x:c r="D2" s="6" t="str">
        <x:v>13-Week Cash Flow  |  Decision outputs, trend, breakpoints, and action prompts</x:v>
      </x:c>
      <x:c r="E2" s="6" t="str">
        <x:v>13-Week Cash Flow  |  Decision outputs, trend, breakpoints, and action prompts</x:v>
      </x:c>
      <x:c r="F2" s="6" t="str">
        <x:v>13-Week Cash Flow  |  Decision outputs, trend, breakpoints, and action prompts</x:v>
      </x:c>
      <x:c r="G2" s="6" t="str">
        <x:v>13-Week Cash Flow  |  Decision outputs, trend, breakpoints, and action prompts</x:v>
      </x:c>
      <x:c r="H2" s="6" t="str">
        <x:v>13-Week Cash Flow  |  Decision outputs, trend, breakpoints, and action prompts</x:v>
      </x:c>
      <x:c r="I2" s="6" t="str">
        <x:v>13-Week Cash Flow  |  Decision outputs, trend, breakpoints, and action prompts</x:v>
      </x:c>
      <x:c r="J2" s="6" t="str">
        <x:v>13-Week Cash Flow  |  Decision outputs, trend, breakpoints, and action prompts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151" t="str">
        <x:v>MINIMUM CASH</x:v>
      </x:c>
      <x:c r="B5" s="151" t="str">
        <x:v>MINIMUM CASH</x:v>
      </x:c>
      <x:c r="C5" s="151" t="str">
        <x:v>MINIMUM CASH</x:v>
      </x:c>
      <x:c r="D5" s="151" t="str">
        <x:v>PEAK FACILITY DRAW</x:v>
      </x:c>
      <x:c r="E5" s="151" t="str">
        <x:v>PEAK FACILITY DRAW</x:v>
      </x:c>
      <x:c r="F5" s="151" t="str">
        <x:v>PEAK FACILITY DRAW</x:v>
      </x:c>
      <x:c r="G5" s="151" t="str">
        <x:v>CLOSING CASH</x:v>
      </x:c>
      <x:c r="H5" s="151" t="str">
        <x:v>CLOSING CASH</x:v>
      </x:c>
      <x:c r="I5" s="151" t="str">
        <x:v>CLOSING CASH</x:v>
      </x:c>
      <x:c r="J5" s="161" t="str">
        <x:v>MODEL STATUS</x:v>
      </x:c>
    </x:row>
    <x:row r="6">
      <x:c r="A6" s="155" t="n">
        <x:f>MIN('Cash Forecast'!B14:N14)</x:f>
        <x:v>93</x:v>
      </x:c>
      <x:c r="B6" s="155"/>
      <x:c r="C6" s="155"/>
      <x:c r="D6" s="159" t="n">
        <x:f>MAX('Cash Forecast'!B13:N13)</x:f>
        <x:v>0</x:v>
      </x:c>
      <x:c r="E6" s="159"/>
      <x:c r="F6" s="159"/>
      <x:c r="G6" s="155" t="n">
        <x:f>'Cash Forecast'!N$14</x:f>
        <x:v>374.1499999999999</x:v>
      </x:c>
      <x:c r="H6" s="155"/>
      <x:c r="I6" s="155"/>
      <x:c r="J6" s="165" t="str">
        <x:f>'Checks'!$B$5</x:f>
        <x:v>PASS</x:v>
      </x:c>
    </x:row>
    <x:row r="7">
      <x:c r="A7" s="155"/>
      <x:c r="B7" s="155"/>
      <x:c r="C7" s="155"/>
      <x:c r="D7" s="159"/>
      <x:c r="E7" s="159"/>
      <x:c r="F7" s="159"/>
      <x:c r="G7" s="155"/>
      <x:c r="H7" s="155"/>
      <x:c r="I7" s="155"/>
      <x:c r="J7" s="165"/>
    </x:row>
    <x:row r="9">
      <x:c r="A9" s="151" t="str">
        <x:v>CLOSING FACILITY</x:v>
      </x:c>
      <x:c r="B9" s="151" t="str">
        <x:v>CLOSING FACILITY</x:v>
      </x:c>
      <x:c r="C9" s="151" t="str">
        <x:v>CLOSING FACILITY</x:v>
      </x:c>
      <x:c r="D9" s="151" t="str">
        <x:v>PEAK FUNDING GAP</x:v>
      </x:c>
      <x:c r="E9" s="151" t="str">
        <x:v>PEAK FUNDING GAP</x:v>
      </x:c>
      <x:c r="F9" s="151" t="str">
        <x:v>PEAK FUNDING GAP</x:v>
      </x:c>
      <x:c r="G9" s="151" t="str">
        <x:v>UNUSED FACILITY</x:v>
      </x:c>
      <x:c r="H9" s="151" t="str">
        <x:v>UNUSED FACILITY</x:v>
      </x:c>
      <x:c r="I9" s="151" t="str">
        <x:v>UNUSED FACILITY</x:v>
      </x:c>
      <x:c r="J9" s="161" t="str">
        <x:v>SCENARIO</x:v>
      </x:c>
    </x:row>
    <x:row r="10">
      <x:c r="A10" s="155" t="n">
        <x:f>'Cash Forecast'!N$13</x:f>
        <x:v>0</x:v>
      </x:c>
      <x:c r="B10" s="155"/>
      <x:c r="C10" s="155"/>
      <x:c r="D10" s="155" t="n">
        <x:f>MAX('Cash Forecast'!B15:N15)</x:f>
        <x:v>0</x:v>
      </x:c>
      <x:c r="E10" s="155"/>
      <x:c r="F10" s="155"/>
      <x:c r="G10" s="155" t="n">
        <x:f>'Assumptions'!$F$10-MAX('Cash Forecast'!B13:N13)</x:f>
        <x:v>140</x:v>
      </x:c>
      <x:c r="H10" s="155"/>
      <x:c r="I10" s="155"/>
      <x:c r="J10" s="168" t="str">
        <x:f>'Assumptions'!$B$3</x:f>
        <x:v>Base</x:v>
      </x:c>
    </x:row>
    <x:row r="11">
      <x:c r="A11" s="155"/>
      <x:c r="B11" s="155"/>
      <x:c r="C11" s="155"/>
      <x:c r="D11" s="155"/>
      <x:c r="E11" s="155"/>
      <x:c r="F11" s="155"/>
      <x:c r="G11" s="155"/>
      <x:c r="H11" s="155"/>
      <x:c r="I11" s="155"/>
      <x:c r="J11" s="168"/>
    </x:row>
    <x:row r="14" ht="22" customHeight="1">
      <x:c r="A14" s="9" t="str">
        <x:v>TREND</x:v>
      </x:c>
      <x:c r="B14" s="9" t="str">
        <x:v>TREND</x:v>
      </x:c>
      <x:c r="C14" s="9" t="str">
        <x:v>TREND</x:v>
      </x:c>
      <x:c r="D14" s="9" t="str">
        <x:v>TREND</x:v>
      </x:c>
      <x:c r="E14" s="9" t="str">
        <x:v>TREND</x:v>
      </x:c>
    </x:row>
    <x:row r="15" ht="24" customHeight="1">
      <x:c r="A15" s="66" t="str">
        <x:v>Period</x:v>
      </x:c>
      <x:c r="B15" s="67" t="str">
        <x:v>Closing cash</x:v>
      </x:c>
      <x:c r="C15" s="68" t="str">
        <x:v>Closing facility draw</x:v>
      </x:c>
    </x:row>
    <x:row r="16">
      <x:c r="A16" t="str">
        <x:v>W1</x:v>
      </x:c>
      <x:c r="B16" s="170" t="n">
        <x:f>'Cash Forecast'!B$14</x:f>
        <x:v>93</x:v>
      </x:c>
      <x:c r="C16" s="170" t="n">
        <x:f>'Cash Forecast'!B$13</x:f>
        <x:v>0</x:v>
      </x:c>
    </x:row>
    <x:row r="17">
      <x:c r="A17" t="str">
        <x:v>W2</x:v>
      </x:c>
      <x:c r="B17" s="170" t="n">
        <x:f>'Cash Forecast'!C$14</x:f>
        <x:v>105.39999999999998</x:v>
      </x:c>
      <x:c r="C17" s="170" t="n">
        <x:f>'Cash Forecast'!C$13</x:f>
        <x:v>0</x:v>
      </x:c>
    </x:row>
    <x:row r="18">
      <x:c r="A18" t="str">
        <x:v>W3</x:v>
      </x:c>
      <x:c r="B18" s="170" t="n">
        <x:f>'Cash Forecast'!D$14</x:f>
        <x:v>114.64999999999998</x:v>
      </x:c>
      <x:c r="C18" s="170" t="n">
        <x:f>'Cash Forecast'!D$13</x:f>
        <x:v>0</x:v>
      </x:c>
    </x:row>
    <x:row r="19">
      <x:c r="A19" t="str">
        <x:v>W4</x:v>
      </x:c>
      <x:c r="B19" s="170" t="n">
        <x:f>'Cash Forecast'!E$14</x:f>
        <x:v>145.24999999999997</x:v>
      </x:c>
      <x:c r="C19" s="170" t="n">
        <x:f>'Cash Forecast'!E$13</x:f>
        <x:v>0</x:v>
      </x:c>
    </x:row>
    <x:row r="20">
      <x:c r="A20" t="str">
        <x:v>W5</x:v>
      </x:c>
      <x:c r="B20" s="170" t="n">
        <x:f>'Cash Forecast'!F$14</x:f>
        <x:v>157.14999999999998</x:v>
      </x:c>
      <x:c r="C20" s="170" t="n">
        <x:f>'Cash Forecast'!F$13</x:f>
        <x:v>0</x:v>
      </x:c>
    </x:row>
    <x:row r="21">
      <x:c r="A21" t="str">
        <x:v>W6</x:v>
      </x:c>
      <x:c r="B21" s="170" t="n">
        <x:f>'Cash Forecast'!G$14</x:f>
        <x:v>185.95</x:v>
      </x:c>
      <x:c r="C21" s="170" t="n">
        <x:f>'Cash Forecast'!G$13</x:f>
        <x:v>0</x:v>
      </x:c>
    </x:row>
    <x:row r="22">
      <x:c r="A22" t="str">
        <x:v>W7</x:v>
      </x:c>
      <x:c r="B22" s="170" t="n">
        <x:f>'Cash Forecast'!H$14</x:f>
        <x:v>206.45</x:v>
      </x:c>
      <x:c r="C22" s="170" t="n">
        <x:f>'Cash Forecast'!H$13</x:f>
        <x:v>0</x:v>
      </x:c>
    </x:row>
    <x:row r="23">
      <x:c r="A23" t="str">
        <x:v>W8</x:v>
      </x:c>
      <x:c r="B23" s="170" t="n">
        <x:f>'Cash Forecast'!I$14</x:f>
        <x:v>231.95</x:v>
      </x:c>
      <x:c r="C23" s="170" t="n">
        <x:f>'Cash Forecast'!I$13</x:f>
        <x:v>0</x:v>
      </x:c>
    </x:row>
    <x:row r="24">
      <x:c r="A24" t="str">
        <x:v>W9</x:v>
      </x:c>
      <x:c r="B24" s="170" t="n">
        <x:f>'Cash Forecast'!J$14</x:f>
        <x:v>256.04999999999995</x:v>
      </x:c>
      <x:c r="C24" s="170" t="n">
        <x:f>'Cash Forecast'!J$13</x:f>
        <x:v>0</x:v>
      </x:c>
    </x:row>
    <x:row r="25">
      <x:c r="A25" t="str">
        <x:v>W10</x:v>
      </x:c>
      <x:c r="B25" s="170" t="n">
        <x:f>'Cash Forecast'!K$14</x:f>
        <x:v>292.24999999999994</x:v>
      </x:c>
      <x:c r="C25" s="170" t="n">
        <x:f>'Cash Forecast'!K$13</x:f>
        <x:v>0</x:v>
      </x:c>
    </x:row>
    <x:row r="26">
      <x:c r="A26" t="str">
        <x:v>W11</x:v>
      </x:c>
      <x:c r="B26" s="170" t="n">
        <x:f>'Cash Forecast'!L$14</x:f>
        <x:v>300.99999999999994</x:v>
      </x:c>
      <x:c r="C26" s="170" t="n">
        <x:f>'Cash Forecast'!L$13</x:f>
        <x:v>0</x:v>
      </x:c>
    </x:row>
    <x:row r="27">
      <x:c r="A27" t="str">
        <x:v>W12</x:v>
      </x:c>
      <x:c r="B27" s="170" t="n">
        <x:f>'Cash Forecast'!M$14</x:f>
        <x:v>343.3999999999999</x:v>
      </x:c>
      <x:c r="C27" s="170" t="n">
        <x:f>'Cash Forecast'!M$13</x:f>
        <x:v>0</x:v>
      </x:c>
    </x:row>
    <x:row r="31" ht="22" customHeight="1">
      <x:c r="A31" s="9" t="str">
        <x:v>DECISION PROMPTS &amp; NEXT ACTIONS</x:v>
      </x:c>
      <x:c r="B31" s="9" t="str">
        <x:v>DECISION PROMPTS &amp; NEXT ACTIONS</x:v>
      </x:c>
      <x:c r="C31" s="9" t="str">
        <x:v>DECISION PROMPTS &amp; NEXT ACTIONS</x:v>
      </x:c>
      <x:c r="D31" s="9" t="str">
        <x:v>DECISION PROMPTS &amp; NEXT ACTIONS</x:v>
      </x:c>
      <x:c r="E31" s="9" t="str">
        <x:v>DECISION PROMPTS &amp; NEXT ACTIONS</x:v>
      </x:c>
      <x:c r="F31" s="9" t="str">
        <x:v>DECISION PROMPTS &amp; NEXT ACTIONS</x:v>
      </x:c>
      <x:c r="G31" s="9" t="str">
        <x:v>DECISION PROMPTS &amp; NEXT ACTIONS</x:v>
      </x:c>
      <x:c r="H31" s="9" t="str">
        <x:v>DECISION PROMPTS &amp; NEXT ACTIONS</x:v>
      </x:c>
      <x:c r="I31" s="9" t="str">
        <x:v>DECISION PROMPTS &amp; NEXT ACTIONS</x:v>
      </x:c>
      <x:c r="J31" s="9" t="str">
        <x:v>DECISION PROMPTS &amp; NEXT ACTIONS</x:v>
      </x:c>
    </x:row>
    <x:row r="32" ht="28" customHeight="1">
      <x:c r="A32" s="15" t="str">
        <x:v>Decision</x:v>
      </x:c>
      <x:c r="B32" s="17" t="str">
        <x:v>When does liquidity tighten, and which payment or funding action comes first?</x:v>
      </x:c>
      <x:c r="C32" s="17" t="str"/>
      <x:c r="D32" s="17" t="str"/>
      <x:c r="E32" s="17" t="str"/>
      <x:c r="F32" s="17" t="str"/>
      <x:c r="G32" s="17" t="str"/>
      <x:c r="H32" s="172" t="str">
        <x:v>Decision owner</x:v>
      </x:c>
      <x:c r="I32" s="172" t="str"/>
      <x:c r="J32" s="172" t="str"/>
    </x:row>
    <x:row r="33" ht="28" customHeight="1">
      <x:c r="A33" s="15" t="str">
        <x:v>Driver</x:v>
      </x:c>
      <x:c r="B33" s="17" t="str">
        <x:v>Which assumption moves the answer most, and who owns it?</x:v>
      </x:c>
      <x:c r="C33" s="17" t="str"/>
      <x:c r="D33" s="17" t="str"/>
      <x:c r="E33" s="17" t="str"/>
      <x:c r="F33" s="17" t="str"/>
      <x:c r="G33" s="17" t="str"/>
      <x:c r="H33" s="172" t="str">
        <x:v>Finance / business owner</x:v>
      </x:c>
      <x:c r="I33" s="172" t="str"/>
      <x:c r="J33" s="172" t="str"/>
    </x:row>
    <x:row r="34" ht="28" customHeight="1">
      <x:c r="A34" s="15" t="str">
        <x:v>Downside</x:v>
      </x:c>
      <x:c r="B34" s="17" t="str">
        <x:v>What breaks first under Downside, and what action is triggered?</x:v>
      </x:c>
      <x:c r="C34" s="17" t="str"/>
      <x:c r="D34" s="17" t="str"/>
      <x:c r="E34" s="17" t="str"/>
      <x:c r="F34" s="17" t="str"/>
      <x:c r="G34" s="17" t="str"/>
      <x:c r="H34" s="172" t="str">
        <x:v>Finance leader</x:v>
      </x:c>
      <x:c r="I34" s="172" t="str"/>
      <x:c r="J34" s="172" t="str"/>
    </x:row>
    <x:row r="35" ht="28" customHeight="1">
      <x:c r="A35" s="15" t="str">
        <x:v>Source</x:v>
      </x:c>
      <x:c r="B35" s="17" t="str">
        <x:v>Are every material source, date, unit, and definition approved?</x:v>
      </x:c>
      <x:c r="C35" s="17" t="str"/>
      <x:c r="D35" s="17" t="str"/>
      <x:c r="E35" s="17" t="str"/>
      <x:c r="F35" s="17" t="str"/>
      <x:c r="G35" s="17" t="str"/>
      <x:c r="H35" s="172" t="str">
        <x:v>Model owner</x:v>
      </x:c>
      <x:c r="I35" s="172" t="str"/>
      <x:c r="J35" s="172" t="str"/>
    </x:row>
    <x:row r="36" ht="28" customHeight="1">
      <x:c r="A36" s="15" t="str">
        <x:v>Control</x:v>
      </x:c>
      <x:c r="B36" s="17" t="str">
        <x:v>Do all published checks pass after the latest input change?</x:v>
      </x:c>
      <x:c r="C36" s="17" t="str"/>
      <x:c r="D36" s="17" t="str"/>
      <x:c r="E36" s="17" t="str"/>
      <x:c r="F36" s="17" t="str"/>
      <x:c r="G36" s="17" t="str"/>
      <x:c r="H36" s="172" t="str">
        <x:v>Reviewer</x:v>
      </x:c>
      <x:c r="I36" s="172" t="str"/>
      <x:c r="J36" s="172" t="str"/>
    </x:row>
    <x:row r="37" ht="28" customHeight="1">
      <x:c r="A37" s="15" t="str">
        <x:v>Action</x:v>
      </x:c>
      <x:c r="B37" s="17" t="str">
        <x:v>What is the next action, owner, timing, and expected protection or upside?</x:v>
      </x:c>
      <x:c r="C37" s="17" t="str"/>
      <x:c r="D37" s="17" t="str"/>
      <x:c r="E37" s="17" t="str"/>
      <x:c r="F37" s="17" t="str"/>
      <x:c r="G37" s="17" t="str"/>
      <x:c r="H37" s="172" t="str">
        <x:v>Action owner</x:v>
      </x:c>
      <x:c r="I37" s="172" t="str"/>
      <x:c r="J37" s="172" t="str"/>
    </x:row>
    <x:row r="39">
      <x:c r="A39" s="42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B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C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D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E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F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G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H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I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J39" s="44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</x:row>
    <x:row r="40">
      <x:c r="A40" s="45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B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C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D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E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F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G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H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I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J40" s="47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</x:row>
    <x:row r="41">
      <x:c r="A41" s="48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B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C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D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E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F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G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H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I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J41" s="50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</x:row>
    <x:row r="43">
      <x:c r="A43" s="53" t="str">
        <x:v>TDAT Model Library  |  Trust builds the brand. Insight builds the decision.</x:v>
      </x:c>
      <x:c r="B43" s="53" t="str">
        <x:v>TDAT Model Library  |  Trust builds the brand. Insight builds the decision.</x:v>
      </x:c>
      <x:c r="C43" s="53" t="str">
        <x:v>TDAT Model Library  |  Trust builds the brand. Insight builds the decision.</x:v>
      </x:c>
      <x:c r="D43" s="53" t="str">
        <x:v>TDAT Model Library  |  Trust builds the brand. Insight builds the decision.</x:v>
      </x:c>
      <x:c r="E43" s="53" t="str">
        <x:v>TDAT Model Library  |  Trust builds the brand. Insight builds the decision.</x:v>
      </x:c>
      <x:c r="F43" s="53" t="str">
        <x:v>TDAT Model Library  |  Trust builds the brand. Insight builds the decision.</x:v>
      </x:c>
      <x:c r="G43" s="53" t="str">
        <x:v>TDAT Model Library  |  Trust builds the brand. Insight builds the decision.</x:v>
      </x:c>
      <x:c r="H43" s="53" t="str">
        <x:v>TDAT Model Library  |  Trust builds the brand. Insight builds the decision.</x:v>
      </x:c>
      <x:c r="I43" s="53" t="str">
        <x:v>TDAT Model Library  |  Trust builds the brand. Insight builds the decision.</x:v>
      </x:c>
      <x:c r="J43" s="53" t="str">
        <x:v>TDAT Model Library  |  Trust builds the brand. Insight builds the decision.</x:v>
      </x:c>
    </x:row>
  </x:sheetData>
  <x:mergeCells>
    <x:mergeCell ref="A1:J1"/>
    <x:mergeCell ref="A2:J2"/>
    <x:mergeCell ref="A5:C5"/>
    <x:mergeCell ref="A6:C7"/>
    <x:mergeCell ref="D5:F5"/>
    <x:mergeCell ref="D6:F7"/>
    <x:mergeCell ref="G5:I5"/>
    <x:mergeCell ref="G6:I7"/>
    <x:mergeCell ref="A9:C9"/>
    <x:mergeCell ref="A10:C11"/>
    <x:mergeCell ref="D9:F9"/>
    <x:mergeCell ref="D10:F11"/>
    <x:mergeCell ref="G9:I9"/>
    <x:mergeCell ref="G10:I11"/>
    <x:mergeCell ref="J6:J7"/>
    <x:mergeCell ref="J10:J11"/>
    <x:mergeCell ref="A14:E14"/>
    <x:mergeCell ref="A31:J31"/>
    <x:mergeCell ref="B32:G32"/>
    <x:mergeCell ref="B33:G33"/>
    <x:mergeCell ref="B34:G34"/>
    <x:mergeCell ref="B35:G35"/>
    <x:mergeCell ref="B36:G36"/>
    <x:mergeCell ref="B37:G37"/>
    <x:mergeCell ref="H32:J32"/>
    <x:mergeCell ref="H33:J33"/>
    <x:mergeCell ref="H34:J34"/>
    <x:mergeCell ref="H35:J35"/>
    <x:mergeCell ref="H36:J36"/>
    <x:mergeCell ref="H37:J37"/>
    <x:mergeCell ref="A39:J41"/>
    <x:mergeCell ref="A43:J43"/>
  </x:mergeCells>
  <x:pageMargins left="0.7" right="0.7" top="0.75" bottom="0.75" header="0.3" footer="0.3"/>
  <x:drawing xmlns:r="http://schemas.openxmlformats.org/officeDocument/2006/relationships" r:id="R44785f8ab82744ab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  <x:col min="7" max="7" width="13" hidden="0" customWidth="1"/>
    <x:col min="8" max="8" width="30" hidden="0" customWidth="1"/>
    <x:col min="9" max="9" width="42" hidden="0" customWidth="1"/>
  </x:cols>
  <x:sheetData>
    <x:row r="1" ht="34" customHeight="1">
      <x:c r="A1" s="3" t="str">
        <x:v>MODEL CHECKS</x:v>
      </x:c>
      <x:c r="B1" s="3" t="str">
        <x:v>MODEL CHECKS</x:v>
      </x:c>
      <x:c r="C1" s="3" t="str">
        <x:v>MODEL CHECKS</x:v>
      </x:c>
      <x:c r="D1" s="3" t="str">
        <x:v>MODEL CHECKS</x:v>
      </x:c>
      <x:c r="E1" s="3" t="str">
        <x:v>MODEL CHECKS</x:v>
      </x:c>
      <x:c r="F1" s="3" t="str">
        <x:v>MODEL CHECKS</x:v>
      </x:c>
      <x:c r="G1" s="3" t="str">
        <x:v>MODEL CHECKS</x:v>
      </x:c>
      <x:c r="H1" s="3" t="str">
        <x:v>MODEL CHECKS</x:v>
      </x:c>
      <x:c r="I1" s="3" t="str">
        <x:v>MODEL CHECKS</x:v>
      </x:c>
    </x:row>
    <x:row r="2" ht="24" customHeight="1">
      <x:c r="A2" s="6" t="str">
        <x:v>13-Week Cash Flow  |  One assertion per row — investigate every FAIL</x:v>
      </x:c>
      <x:c r="B2" s="6" t="str">
        <x:v>13-Week Cash Flow  |  One assertion per row — investigate every FAIL</x:v>
      </x:c>
      <x:c r="C2" s="6" t="str">
        <x:v>13-Week Cash Flow  |  One assertion per row — investigate every FAIL</x:v>
      </x:c>
      <x:c r="D2" s="6" t="str">
        <x:v>13-Week Cash Flow  |  One assertion per row — investigate every FAIL</x:v>
      </x:c>
      <x:c r="E2" s="6" t="str">
        <x:v>13-Week Cash Flow  |  One assertion per row — investigate every FAIL</x:v>
      </x:c>
      <x:c r="F2" s="6" t="str">
        <x:v>13-Week Cash Flow  |  One assertion per row — investigate every FAIL</x:v>
      </x:c>
      <x:c r="G2" s="6" t="str">
        <x:v>13-Week Cash Flow  |  One assertion per row — investigate every FAIL</x:v>
      </x:c>
      <x:c r="H2" s="6" t="str">
        <x:v>13-Week Cash Flow  |  One assertion per row — investigate every FAIL</x:v>
      </x:c>
      <x:c r="I2" s="6" t="str">
        <x:v>13-Week Cash Flow  |  One assertion per row — investigate every FAIL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</x:row>
    <x:row r="5">
      <x:c r="A5" s="54" t="str">
        <x:v>MODEL STATUS</x:v>
      </x:c>
      <x:c r="B5" s="174" t="str">
        <x:f>IF(COUNTIF(G8:G17,"FAIL")=0,"PASS","FAIL")</x:f>
        <x:v>PASS</x:v>
      </x:c>
      <x:c r="C5" s="174"/>
      <x:c r="D5" s="176" t="str">
        <x:v>Published controls: 10. PASS means the listed calculations tie within tolerance; source and decision readiness remain separate.</x:v>
      </x:c>
      <x:c r="E5" s="176" t="str">
        <x:v>Published controls: 10. PASS means the listed calculations tie within tolerance; source and decision readiness remain separate.</x:v>
      </x:c>
      <x:c r="F5" s="176" t="str">
        <x:v>Published controls: 10. PASS means the listed calculations tie within tolerance; source and decision readiness remain separate.</x:v>
      </x:c>
      <x:c r="G5" s="176" t="str">
        <x:v>Published controls: 10. PASS means the listed calculations tie within tolerance; source and decision readiness remain separate.</x:v>
      </x:c>
      <x:c r="H5" s="176" t="str">
        <x:v>Published controls: 10. PASS means the listed calculations tie within tolerance; source and decision readiness remain separate.</x:v>
      </x:c>
      <x:c r="I5" s="176" t="str">
        <x:v>Published controls: 10. PASS means the listed calculations tie within tolerance; source and decision readiness remain separate.</x:v>
      </x:c>
    </x:row>
    <x:row r="7" ht="24" customHeight="1">
      <x:c r="A7" s="66" t="str">
        <x:v>Check</x:v>
      </x:c>
      <x:c r="B7" s="67" t="str">
        <x:v>Period</x:v>
      </x:c>
      <x:c r="C7" s="67" t="str">
        <x:v>Actual</x:v>
      </x:c>
      <x:c r="D7" s="67" t="str">
        <x:v>Expected</x:v>
      </x:c>
      <x:c r="E7" s="67" t="str">
        <x:v>Difference</x:v>
      </x:c>
      <x:c r="F7" s="67" t="str">
        <x:v>Tolerance</x:v>
      </x:c>
      <x:c r="G7" s="67" t="str">
        <x:v>Status</x:v>
      </x:c>
      <x:c r="H7" s="67" t="str">
        <x:v>Where to fix</x:v>
      </x:c>
      <x:c r="I7" s="68" t="str">
        <x:v>Notes</x:v>
      </x:c>
    </x:row>
    <x:row r="8">
      <x:c r="A8" s="183" t="str">
        <x:v>Cash roll-forward ties</x:v>
      </x:c>
      <x:c r="B8" s="183" t="str">
        <x:v>Model</x:v>
      </x:c>
      <x:c r="C8" s="184" t="n">
        <x:f>SUM('Cash Forecast'!B16:N16)</x:f>
        <x:v>0</x:v>
      </x:c>
      <x:c r="D8" s="184" t="n">
        <x:v>0</x:v>
      </x:c>
      <x:c r="E8" s="184" t="n">
        <x:f>C8-D8</x:f>
        <x:v>0</x:v>
      </x:c>
      <x:c r="F8" s="184" t="n">
        <x:v>0.01</x:v>
      </x:c>
      <x:c r="G8" s="185" t="str">
        <x:f>IF(ABS(E8)&lt;=F8,"PASS","FAIL")</x:f>
        <x:v>PASS</x:v>
      </x:c>
      <x:c r="H8" s="186" t="str">
        <x:v>Cash Forecast — cash roll-forward</x:v>
      </x:c>
      <x:c r="I8" s="186" t="str">
        <x:v>Opening cash plus all movements equals closing cash.</x:v>
      </x:c>
    </x:row>
    <x:row r="9">
      <x:c r="A9" s="187" t="str">
        <x:v>Facility roll-forward ties</x:v>
      </x:c>
      <x:c r="B9" s="187" t="str">
        <x:v>Model</x:v>
      </x:c>
      <x:c r="C9" s="188" t="n">
        <x:f>SUM('Cash Forecast'!B17:N17)</x:f>
        <x:v>0</x:v>
      </x:c>
      <x:c r="D9" s="188" t="n">
        <x:v>0</x:v>
      </x:c>
      <x:c r="E9" s="188" t="n">
        <x:f>C9-D9</x:f>
        <x:v>0</x:v>
      </x:c>
      <x:c r="F9" s="188" t="n">
        <x:v>0.01</x:v>
      </x:c>
      <x:c r="G9" s="189" t="str">
        <x:f>IF(ABS(E9)&lt;=F9,"PASS","FAIL")</x:f>
        <x:v>PASS</x:v>
      </x:c>
      <x:c r="H9" s="190" t="str">
        <x:v>Cash Forecast — facility</x:v>
      </x:c>
      <x:c r="I9" s="190" t="str">
        <x:v>Opening draw plus draw and repayment equals closing draw.</x:v>
      </x:c>
    </x:row>
    <x:row r="10">
      <x:c r="A10" s="187" t="str">
        <x:v>Facility stays within commitment</x:v>
      </x:c>
      <x:c r="B10" s="187" t="str">
        <x:v>Model</x:v>
      </x:c>
      <x:c r="C10" s="188" t="n">
        <x:f>MAX(0,MAX('Cash Forecast'!B13:N13)-'Assumptions'!$F$10)</x:f>
        <x:v>0</x:v>
      </x:c>
      <x:c r="D10" s="188" t="n">
        <x:v>0</x:v>
      </x:c>
      <x:c r="E10" s="188" t="n">
        <x:f>C10-D10</x:f>
        <x:v>0</x:v>
      </x:c>
      <x:c r="F10" s="188" t="n">
        <x:v>0.01</x:v>
      </x:c>
      <x:c r="G10" s="189" t="str">
        <x:f>IF(ABS(E10)&lt;=F10,"PASS","FAIL")</x:f>
        <x:v>PASS</x:v>
      </x:c>
      <x:c r="H10" s="190" t="str">
        <x:v>Assumptions / Cash Forecast</x:v>
      </x:c>
      <x:c r="I10" s="190" t="str">
        <x:v>Facility draw cannot exceed the committed limit.</x:v>
      </x:c>
    </x:row>
    <x:row r="11">
      <x:c r="A11" s="187" t="str">
        <x:v>Facility balance is non-negative</x:v>
      </x:c>
      <x:c r="B11" s="187" t="str">
        <x:v>Model</x:v>
      </x:c>
      <x:c r="C11" s="188" t="n">
        <x:f>MAX(0,-MIN('Cash Forecast'!B13:N13))</x:f>
        <x:v>0</x:v>
      </x:c>
      <x:c r="D11" s="188" t="n">
        <x:v>0</x:v>
      </x:c>
      <x:c r="E11" s="188" t="n">
        <x:f>C11-D11</x:f>
        <x:v>0</x:v>
      </x:c>
      <x:c r="F11" s="188" t="n">
        <x:v>0.01</x:v>
      </x:c>
      <x:c r="G11" s="189" t="str">
        <x:f>IF(ABS(E11)&lt;=F11,"PASS","FAIL")</x:f>
        <x:v>PASS</x:v>
      </x:c>
      <x:c r="H11" s="190" t="str">
        <x:v>Cash Forecast — facility</x:v>
      </x:c>
      <x:c r="I11" s="190" t="str">
        <x:v>Repayment cannot exceed drawn balance.</x:v>
      </x:c>
    </x:row>
    <x:row r="12">
      <x:c r="A12" s="187" t="str">
        <x:v>Scenario selector is valid</x:v>
      </x:c>
      <x:c r="B12" s="187" t="str">
        <x:v>Current</x:v>
      </x:c>
      <x:c r="C12" s="191" t="n">
        <x:f>COUNTIF('Assumptions'!$C$5:$E$5,'Assumptions'!$B$3)</x:f>
        <x:v>1</x:v>
      </x:c>
      <x:c r="D12" s="191" t="n">
        <x:v>1</x:v>
      </x:c>
      <x:c r="E12" s="191" t="n">
        <x:f>C12-D12</x:f>
        <x:v>0</x:v>
      </x:c>
      <x:c r="F12" s="191" t="n">
        <x:v>0</x:v>
      </x:c>
      <x:c r="G12" s="189" t="str">
        <x:f>IF(ABS(E12)&lt;=F12,"PASS","FAIL")</x:f>
        <x:v>PASS</x:v>
      </x:c>
      <x:c r="H12" s="190" t="str">
        <x:v>Assumptions B3</x:v>
      </x:c>
      <x:c r="I12" s="190" t="str">
        <x:v>Base, Upside, or Downside only.</x:v>
      </x:c>
    </x:row>
    <x:row r="13">
      <x:c r="A13" s="187" t="str">
        <x:v>Period headers are complete</x:v>
      </x:c>
      <x:c r="B13" s="187" t="str">
        <x:v>All periods</x:v>
      </x:c>
      <x:c r="C13" s="191" t="n">
        <x:f>COUNTA('Weekly Inputs'!B5:N5)</x:f>
        <x:v>13</x:v>
      </x:c>
      <x:c r="D13" s="191" t="n">
        <x:v>13</x:v>
      </x:c>
      <x:c r="E13" s="191" t="n">
        <x:f>C13-D13</x:f>
        <x:v>0</x:v>
      </x:c>
      <x:c r="F13" s="191" t="n">
        <x:v>0</x:v>
      </x:c>
      <x:c r="G13" s="189" t="str">
        <x:f>IF(ABS(E13)&lt;=F13,"PASS","FAIL")</x:f>
        <x:v>PASS</x:v>
      </x:c>
      <x:c r="H13" s="190" t="str">
        <x:v>Weekly Inputs row 5</x:v>
      </x:c>
      <x:c r="I13" s="190" t="str">
        <x:v>All modeled periods must have a visible header.</x:v>
      </x:c>
    </x:row>
    <x:row r="14">
      <x:c r="A14" s="187" t="str">
        <x:v>Source input grid is complete</x:v>
      </x:c>
      <x:c r="B14" s="187" t="str">
        <x:v>All periods</x:v>
      </x:c>
      <x:c r="C14" s="191" t="n">
        <x:f>COUNTA('Weekly Inputs'!B6:N10)</x:f>
        <x:v>65</x:v>
      </x:c>
      <x:c r="D14" s="191" t="n">
        <x:v>65</x:v>
      </x:c>
      <x:c r="E14" s="191" t="n">
        <x:f>C14-D14</x:f>
        <x:v>0</x:v>
      </x:c>
      <x:c r="F14" s="191" t="n">
        <x:v>0</x:v>
      </x:c>
      <x:c r="G14" s="189" t="str">
        <x:f>IF(ABS(E14)&lt;=F14,"PASS","FAIL")</x:f>
        <x:v>PASS</x:v>
      </x:c>
      <x:c r="H14" s="190" t="str">
        <x:v>Weekly Inputs</x:v>
      </x:c>
      <x:c r="I14" s="190" t="str">
        <x:v>Replace blanks with an approved value or an explicitly documented zero.</x:v>
      </x:c>
    </x:row>
    <x:row r="15">
      <x:c r="A15" s="187" t="str">
        <x:v>Selected assumptions are complete</x:v>
      </x:c>
      <x:c r="B15" s="187" t="str">
        <x:v>Current</x:v>
      </x:c>
      <x:c r="C15" s="191" t="n">
        <x:f>COUNT('Assumptions'!F6:F10)</x:f>
        <x:v>5</x:v>
      </x:c>
      <x:c r="D15" s="191" t="n">
        <x:v>5</x:v>
      </x:c>
      <x:c r="E15" s="191" t="n">
        <x:f>C15-D15</x:f>
        <x:v>0</x:v>
      </x:c>
      <x:c r="F15" s="191" t="n">
        <x:v>0</x:v>
      </x:c>
      <x:c r="G15" s="189" t="str">
        <x:f>IF(ABS(E15)&lt;=F15,"PASS","FAIL")</x:f>
        <x:v>PASS</x:v>
      </x:c>
      <x:c r="H15" s="190" t="str">
        <x:v>Assumptions column F</x:v>
      </x:c>
      <x:c r="I15" s="190" t="str">
        <x:v>Every scenario driver must resolve to a numeric selected value.</x:v>
      </x:c>
    </x:row>
    <x:row r="16">
      <x:c r="A16" s="187" t="str">
        <x:v>Core model cells calculate to numbers</x:v>
      </x:c>
      <x:c r="B16" s="187" t="str">
        <x:v>All periods</x:v>
      </x:c>
      <x:c r="C16" s="191" t="n">
        <x:f>COUNT('Cash Forecast'!B6:N17)</x:f>
        <x:v>156</x:v>
      </x:c>
      <x:c r="D16" s="191" t="n">
        <x:v>156</x:v>
      </x:c>
      <x:c r="E16" s="191" t="n">
        <x:f>C16-D16</x:f>
        <x:v>0</x:v>
      </x:c>
      <x:c r="F16" s="191" t="n">
        <x:v>0</x:v>
      </x:c>
      <x:c r="G16" s="189" t="str">
        <x:f>IF(ABS(E16)&lt;=F16,"PASS","FAIL")</x:f>
        <x:v>PASS</x:v>
      </x:c>
      <x:c r="H16" s="190" t="str">
        <x:v>Cash Forecast</x:v>
      </x:c>
      <x:c r="I16" s="190" t="str">
        <x:v>No blank or text output is permitted inside the calculation block.</x:v>
      </x:c>
    </x:row>
    <x:row r="17">
      <x:c r="A17" s="192" t="str">
        <x:v>Headline output is non-negative</x:v>
      </x:c>
      <x:c r="B17" s="192" t="str">
        <x:v>All periods</x:v>
      </x:c>
      <x:c r="C17" s="193" t="n">
        <x:f>MAX(0,-MIN('Cash Forecast'!B14:N14))</x:f>
        <x:v>0</x:v>
      </x:c>
      <x:c r="D17" s="193" t="n">
        <x:v>0</x:v>
      </x:c>
      <x:c r="E17" s="193" t="n">
        <x:f>C17-D17</x:f>
        <x:v>0</x:v>
      </x:c>
      <x:c r="F17" s="193" t="n">
        <x:v>0.01</x:v>
      </x:c>
      <x:c r="G17" s="194" t="str">
        <x:f>IF(ABS(E17)&lt;=F17,"PASS","FAIL")</x:f>
        <x:v>PASS</x:v>
      </x:c>
      <x:c r="H17" s="195" t="str">
        <x:v>Cash Forecast — closingCash</x:v>
      </x:c>
      <x:c r="I17" s="195" t="str">
        <x:v>Negative outputs require an explicit method and decision interpretation.</x:v>
      </x:c>
    </x:row>
    <x:row r="19">
      <x:c r="A19" s="42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B19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C19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D19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E19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F19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G19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H19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I19" s="44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</x:row>
    <x:row r="20">
      <x:c r="A20" s="45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B20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C20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D20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E20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F20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G20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H20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I20" s="47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</x:row>
    <x:row r="21">
      <x:c r="A21" s="48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B21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C21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D21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E21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F21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G21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H21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I21" s="50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</x:row>
    <x:row r="23">
      <x:c r="A23" s="53" t="str">
        <x:v>TDAT Model Library  |  Trust builds the brand. Insight builds the decision.</x:v>
      </x:c>
      <x:c r="B23" s="53" t="str">
        <x:v>TDAT Model Library  |  Trust builds the brand. Insight builds the decision.</x:v>
      </x:c>
      <x:c r="C23" s="53" t="str">
        <x:v>TDAT Model Library  |  Trust builds the brand. Insight builds the decision.</x:v>
      </x:c>
      <x:c r="D23" s="53" t="str">
        <x:v>TDAT Model Library  |  Trust builds the brand. Insight builds the decision.</x:v>
      </x:c>
      <x:c r="E23" s="53" t="str">
        <x:v>TDAT Model Library  |  Trust builds the brand. Insight builds the decision.</x:v>
      </x:c>
      <x:c r="F23" s="53" t="str">
        <x:v>TDAT Model Library  |  Trust builds the brand. Insight builds the decision.</x:v>
      </x:c>
      <x:c r="G23" s="53" t="str">
        <x:v>TDAT Model Library  |  Trust builds the brand. Insight builds the decision.</x:v>
      </x:c>
      <x:c r="H23" s="53" t="str">
        <x:v>TDAT Model Library  |  Trust builds the brand. Insight builds the decision.</x:v>
      </x:c>
      <x:c r="I23" s="53" t="str">
        <x:v>TDAT Model Library  |  Trust builds the brand. Insight builds the decision.</x:v>
      </x:c>
    </x:row>
  </x:sheetData>
  <x:mergeCells>
    <x:mergeCell ref="A1:I1"/>
    <x:mergeCell ref="A2:I2"/>
    <x:mergeCell ref="B5:C5"/>
    <x:mergeCell ref="D5:I5"/>
    <x:mergeCell ref="A19:I21"/>
    <x:mergeCell ref="A23:I23"/>
  </x:mergeCells>
  <x:conditionalFormatting sqref="G8:G17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16" hidden="0" customWidth="1"/>
    <x:col min="4" max="4" width="16" hidden="0" customWidth="1"/>
    <x:col min="5" max="5" width="22" hidden="0" customWidth="1"/>
    <x:col min="6" max="6" width="28" hidden="0" customWidth="1"/>
    <x:col min="7" max="7" width="18" hidden="0" customWidth="1"/>
    <x:col min="8" max="8" width="18" hidden="0" customWidth="1"/>
    <x:col min="9" max="9" width="16" hidden="0" customWidth="1"/>
    <x:col min="10" max="10" width="30" hidden="0" customWidth="1"/>
  </x:cols>
  <x:sheetData>
    <x:row r="1" ht="34" customHeight="1">
      <x:c r="A1" s="3" t="str">
        <x:v>SOURCES &amp; VERSION</x:v>
      </x:c>
      <x:c r="B1" s="3" t="str">
        <x:v>SOURCES &amp; VERSION</x:v>
      </x:c>
      <x:c r="C1" s="3" t="str">
        <x:v>SOURCES &amp; VERSION</x:v>
      </x:c>
      <x:c r="D1" s="3" t="str">
        <x:v>SOURCES &amp; VERSION</x:v>
      </x:c>
      <x:c r="E1" s="3" t="str">
        <x:v>SOURCES &amp; VERSION</x:v>
      </x:c>
      <x:c r="F1" s="3" t="str">
        <x:v>SOURCES &amp; VERSION</x:v>
      </x:c>
      <x:c r="G1" s="3" t="str">
        <x:v>SOURCES &amp; VERSION</x:v>
      </x:c>
      <x:c r="H1" s="3" t="str">
        <x:v>SOURCES &amp; VERSION</x:v>
      </x:c>
      <x:c r="I1" s="3" t="str">
        <x:v>SOURCES &amp; VERSION</x:v>
      </x:c>
      <x:c r="J1" s="3" t="str">
        <x:v>SOURCES &amp; VERSION</x:v>
      </x:c>
    </x:row>
    <x:row r="2" ht="24" customHeight="1">
      <x:c r="A2" s="6" t="str">
        <x:v>13-Week Cash Flow  |  Assumption register, release facts, and distribution controls</x:v>
      </x:c>
      <x:c r="B2" s="6" t="str">
        <x:v>13-Week Cash Flow  |  Assumption register, release facts, and distribution controls</x:v>
      </x:c>
      <x:c r="C2" s="6" t="str">
        <x:v>13-Week Cash Flow  |  Assumption register, release facts, and distribution controls</x:v>
      </x:c>
      <x:c r="D2" s="6" t="str">
        <x:v>13-Week Cash Flow  |  Assumption register, release facts, and distribution controls</x:v>
      </x:c>
      <x:c r="E2" s="6" t="str">
        <x:v>13-Week Cash Flow  |  Assumption register, release facts, and distribution controls</x:v>
      </x:c>
      <x:c r="F2" s="6" t="str">
        <x:v>13-Week Cash Flow  |  Assumption register, release facts, and distribution controls</x:v>
      </x:c>
      <x:c r="G2" s="6" t="str">
        <x:v>13-Week Cash Flow  |  Assumption register, release facts, and distribution controls</x:v>
      </x:c>
      <x:c r="H2" s="6" t="str">
        <x:v>13-Week Cash Flow  |  Assumption register, release facts, and distribution controls</x:v>
      </x:c>
      <x:c r="I2" s="6" t="str">
        <x:v>13-Week Cash Flow  |  Assumption register, release facts, and distribution controls</x:v>
      </x:c>
      <x:c r="J2" s="6" t="str">
        <x:v>13-Week Cash Flow  |  Assumption register, release facts, and distribution controls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22" customHeight="1">
      <x:c r="A5" s="9" t="str">
        <x:v>SOURCE / ASSUMPTION REGISTER</x:v>
      </x:c>
      <x:c r="B5" s="9" t="str">
        <x:v>SOURCE / ASSUMPTION REGISTER</x:v>
      </x:c>
      <x:c r="C5" s="9" t="str">
        <x:v>SOURCE / ASSUMPTION REGISTER</x:v>
      </x:c>
      <x:c r="D5" s="9" t="str">
        <x:v>SOURCE / ASSUMPTION REGISTER</x:v>
      </x:c>
      <x:c r="E5" s="9" t="str">
        <x:v>SOURCE / ASSUMPTION REGISTER</x:v>
      </x:c>
      <x:c r="F5" s="9" t="str">
        <x:v>SOURCE / ASSUMPTION REGISTER</x:v>
      </x:c>
      <x:c r="G5" s="9" t="str">
        <x:v>SOURCE / ASSUMPTION REGISTER</x:v>
      </x:c>
      <x:c r="H5" s="9" t="str">
        <x:v>SOURCE / ASSUMPTION REGISTER</x:v>
      </x:c>
      <x:c r="I5" s="9" t="str">
        <x:v>SOURCE / ASSUMPTION REGISTER</x:v>
      </x:c>
    </x:row>
    <x:row r="6" ht="24" customHeight="1">
      <x:c r="A6" s="66" t="str">
        <x:v>Item</x:v>
      </x:c>
      <x:c r="B6" s="67" t="str">
        <x:v>Value / definition</x:v>
      </x:c>
      <x:c r="C6" s="67" t="str">
        <x:v>Units</x:v>
      </x:c>
      <x:c r="D6" s="67" t="str">
        <x:v>Period / as-of</x:v>
      </x:c>
      <x:c r="E6" s="67" t="str">
        <x:v>Source type</x:v>
      </x:c>
      <x:c r="F6" s="67" t="str">
        <x:v>Source / owner</x:v>
      </x:c>
      <x:c r="G6" s="67" t="str">
        <x:v>Ref</x:v>
      </x:c>
      <x:c r="H6" s="67" t="str">
        <x:v>Confidence</x:v>
      </x:c>
      <x:c r="I6" s="68" t="str">
        <x:v>Notes</x:v>
      </x:c>
    </x:row>
    <x:row r="7">
      <x:c r="A7" s="141" t="str">
        <x:v>Worked example</x:v>
      </x:c>
      <x:c r="B7" s="142" t="str">
        <x:v>Synthetic case values</x:v>
      </x:c>
      <x:c r="C7" s="142" t="str">
        <x:v>LCY thousands</x:v>
      </x:c>
      <x:c r="D7" s="142" t="str">
        <x:v>2026-07-13</x:v>
      </x:c>
      <x:c r="E7" s="142" t="str">
        <x:v>Illustrative</x:v>
      </x:c>
      <x:c r="F7" s="142" t="str">
        <x:v>TDAT model build</x:v>
      </x:c>
      <x:c r="G7" s="142" t="str">
        <x:v>SYN-001</x:v>
      </x:c>
      <x:c r="H7" s="142" t="str">
        <x:v>Illustrative</x:v>
      </x:c>
      <x:c r="I7" s="143" t="str">
        <x:v>Replace before use.</x:v>
      </x:c>
    </x:row>
    <x:row r="8">
      <x:c r="A8" s="144" t="str">
        <x:v>Scenario drivers</x:v>
      </x:c>
      <x:c r="B8" s="145" t="str">
        <x:v>Base / Upside / Downside</x:v>
      </x:c>
      <x:c r="C8" s="145" t="str">
        <x:v>Mixed</x:v>
      </x:c>
      <x:c r="D8" s="145" t="str">
        <x:v>Model horizon</x:v>
      </x:c>
      <x:c r="E8" s="145" t="str">
        <x:v>Assumption</x:v>
      </x:c>
      <x:c r="F8" s="145" t="str">
        <x:v>User / finance owner</x:v>
      </x:c>
      <x:c r="G8" s="145" t="str">
        <x:v>ASM-001</x:v>
      </x:c>
      <x:c r="H8" s="145" t="str">
        <x:v>Open</x:v>
      </x:c>
      <x:c r="I8" s="146" t="str">
        <x:v>Confirm rationale and owner.</x:v>
      </x:c>
    </x:row>
    <x:row r="9">
      <x:c r="A9" s="147" t="str">
        <x:v>Method</x:v>
      </x:c>
      <x:c r="B9" s="148" t="str">
        <x:v>Cash Forecast</x:v>
      </x:c>
      <x:c r="C9" s="148" t="str">
        <x:v>Method</x:v>
      </x:c>
      <x:c r="D9" s="148" t="str">
        <x:v>Version 1.0.0</x:v>
      </x:c>
      <x:c r="E9" s="148" t="str">
        <x:v>Model method</x:v>
      </x:c>
      <x:c r="F9" s="148" t="str">
        <x:v>Model Guide</x:v>
      </x:c>
      <x:c r="G9" s="148" t="str">
        <x:v>MTH-001</x:v>
      </x:c>
      <x:c r="H9" s="148" t="str">
        <x:v>Template</x:v>
      </x:c>
      <x:c r="I9" s="149" t="str">
        <x:v>Validate for the intended use and jurisdiction.</x:v>
      </x:c>
    </x:row>
    <x:row r="11" ht="22" customHeight="1">
      <x:c r="A11" s="9" t="str">
        <x:v>RELEASE FACTS</x:v>
      </x:c>
      <x:c r="B11" s="9" t="str">
        <x:v>RELEASE FACTS</x:v>
      </x:c>
      <x:c r="C11" s="9" t="str">
        <x:v>RELEASE FACTS</x:v>
      </x:c>
      <x:c r="D11" s="9" t="str">
        <x:v>RELEASE FACTS</x:v>
      </x:c>
      <x:c r="E11" s="9" t="str">
        <x:v>RELEASE FACTS</x:v>
      </x:c>
      <x:c r="F11" s="9" t="str">
        <x:v>RELEASE FACTS</x:v>
      </x:c>
      <x:c r="G11" s="9" t="str">
        <x:v>RELEASE FACTS</x:v>
      </x:c>
      <x:c r="H11" s="9" t="str">
        <x:v>RELEASE FACTS</x:v>
      </x:c>
      <x:c r="I11" s="9" t="str">
        <x:v>RELEASE FACTS</x:v>
      </x:c>
    </x:row>
    <x:row r="12">
      <x:c r="A12" s="196" t="str">
        <x:v>Owner</x:v>
      </x:c>
      <x:c r="B12" s="142" t="str">
        <x:v>Truong Dinh Anh Tu</x:v>
      </x:c>
      <x:c r="C12" s="198" t="str">
        <x:v>Version</x:v>
      </x:c>
      <x:c r="D12" s="142" t="str">
        <x:v>1.0.0</x:v>
      </x:c>
      <x:c r="E12" s="198" t="str">
        <x:v>Standard</x:v>
      </x:c>
      <x:c r="F12" s="142" t="str">
        <x:v>TDAT Model Standard 1.0</x:v>
      </x:c>
      <x:c r="G12" s="198" t="str">
        <x:v>Last QA</x:v>
      </x:c>
      <x:c r="H12" s="142" t="str">
        <x:v>2026-07-13</x:v>
      </x:c>
      <x:c r="I12" s="198" t="str">
        <x:v>Status</x:v>
      </x:c>
      <x:c r="J12" s="143" t="str">
        <x:v>Available after release gates</x:v>
      </x:c>
    </x:row>
    <x:row r="13">
      <x:c r="A13" s="197" t="str">
        <x:v>Compatibility</x:v>
      </x:c>
      <x:c r="B13" s="148" t="str">
        <x:v>Excel 365</x:v>
      </x:c>
      <x:c r="C13" s="199" t="str">
        <x:v>Macros</x:v>
      </x:c>
      <x:c r="D13" s="148" t="str">
        <x:v>None</x:v>
      </x:c>
      <x:c r="E13" s="199" t="str">
        <x:v>External links</x:v>
      </x:c>
      <x:c r="F13" s="148" t="str">
        <x:v>None</x:v>
      </x:c>
      <x:c r="G13" s="199" t="str">
        <x:v>Circularity</x:v>
      </x:c>
      <x:c r="H13" s="148" t="str">
        <x:v>None</x:v>
      </x:c>
      <x:c r="I13" s="199" t="str">
        <x:v>Evidence</x:v>
      </x:c>
      <x:c r="J13" s="149" t="str">
        <x:v>Synthetic worked template</x:v>
      </x:c>
    </x:row>
    <x:row r="15" ht="22" customHeight="1">
      <x:c r="A15" s="9" t="str">
        <x:v>CHANGE LOG</x:v>
      </x:c>
      <x:c r="B15" s="9" t="str">
        <x:v>CHANGE LOG</x:v>
      </x:c>
      <x:c r="C15" s="9" t="str">
        <x:v>CHANGE LOG</x:v>
      </x:c>
      <x:c r="D15" s="9" t="str">
        <x:v>CHANGE LOG</x:v>
      </x:c>
      <x:c r="E15" s="9" t="str">
        <x:v>CHANGE LOG</x:v>
      </x:c>
      <x:c r="F15" s="9" t="str">
        <x:v>CHANGE LOG</x:v>
      </x:c>
      <x:c r="G15" s="9" t="str">
        <x:v>CHANGE LOG</x:v>
      </x:c>
      <x:c r="H15" s="9" t="str">
        <x:v>CHANGE LOG</x:v>
      </x:c>
      <x:c r="I15" s="9" t="str">
        <x:v>CHANGE LOG</x:v>
      </x:c>
    </x:row>
    <x:row r="16" ht="24" customHeight="1">
      <x:c r="A16" s="66" t="str">
        <x:v>Version</x:v>
      </x:c>
      <x:c r="B16" s="67" t="str">
        <x:v>Date</x:v>
      </x:c>
      <x:c r="C16" s="67" t="str">
        <x:v>Changed sheets</x:v>
      </x:c>
      <x:c r="D16" s="67" t="str">
        <x:v>Change</x:v>
      </x:c>
      <x:c r="E16" s="67" t="str">
        <x:v>Impact</x:v>
      </x:c>
      <x:c r="F16" s="67" t="str">
        <x:v>Migration note</x:v>
      </x:c>
      <x:c r="G16" s="67" t="str">
        <x:v>Owner</x:v>
      </x:c>
      <x:c r="H16" s="67" t="str">
        <x:v>Reviewer</x:v>
      </x:c>
      <x:c r="I16" s="68" t="str">
        <x:v>Status</x:v>
      </x:c>
    </x:row>
    <x:row r="17">
      <x:c r="A17" s="203" t="str">
        <x:v>1.0.0</x:v>
      </x:c>
      <x:c r="B17" s="204" t="str">
        <x:v>2026-07-13</x:v>
      </x:c>
      <x:c r="C17" s="204" t="str">
        <x:v>All</x:v>
      </x:c>
      <x:c r="D17" s="204" t="str">
        <x:v>Initial public reusable template</x:v>
      </x:c>
      <x:c r="E17" s="204" t="str">
        <x:v>New model release</x:v>
      </x:c>
      <x:c r="F17" s="204" t="str">
        <x:v>None</x:v>
      </x:c>
      <x:c r="G17" s="204" t="str">
        <x:v>Truong Dinh Anh Tu</x:v>
      </x:c>
      <x:c r="H17" s="204" t="str">
        <x:v>TDAT QA review</x:v>
      </x:c>
      <x:c r="I17" s="205" t="str">
        <x:v>Released</x:v>
      </x:c>
    </x:row>
    <x:row r="19" ht="22" customHeight="1">
      <x:c r="A19" s="9" t="str">
        <x:v>DISTRIBUTION &amp; PRIVACY</x:v>
      </x:c>
      <x:c r="B19" s="9" t="str">
        <x:v>DISTRIBUTION &amp; PRIVACY</x:v>
      </x:c>
      <x:c r="C19" s="9" t="str">
        <x:v>DISTRIBUTION &amp; PRIVACY</x:v>
      </x:c>
      <x:c r="D19" s="9" t="str">
        <x:v>DISTRIBUTION &amp; PRIVACY</x:v>
      </x:c>
      <x:c r="E19" s="9" t="str">
        <x:v>DISTRIBUTION &amp; PRIVACY</x:v>
      </x:c>
      <x:c r="F19" s="9" t="str">
        <x:v>DISTRIBUTION &amp; PRIVACY</x:v>
      </x:c>
      <x:c r="G19" s="9" t="str">
        <x:v>DISTRIBUTION &amp; PRIVACY</x:v>
      </x:c>
      <x:c r="H19" s="9" t="str">
        <x:v>DISTRIBUTION &amp; PRIVACY</x:v>
      </x:c>
      <x:c r="I19" s="9" t="str">
        <x:v>DISTRIBUTION &amp; PRIVACY</x:v>
      </x:c>
    </x:row>
    <x:row r="20" ht="32" customHeight="1">
      <x:c r="A20" s="21" t="str">
        <x:v>Public-safe evidence</x:v>
      </x:c>
      <x:c r="B20" s="17" t="str">
        <x:v>Synthetic company/case values only</x:v>
      </x:c>
      <x:c r="C20" s="17" t="str"/>
      <x:c r="D20" s="17" t="str"/>
      <x:c r="E20" s="17" t="str"/>
      <x:c r="F20" s="17" t="str"/>
      <x:c r="G20" s="17" t="str"/>
      <x:c r="H20" s="17" t="str"/>
      <x:c r="I20" s="17" t="str"/>
    </x:row>
    <x:row r="21" ht="32" customHeight="1">
      <x:c r="A21" s="21" t="str">
        <x:v>Excluded content</x:v>
      </x:c>
      <x:c r="B21" s="17" t="str">
        <x:v>No real customer, employee, vendor, borrower, issuer, position, policyholder, transaction, or household record</x:v>
      </x:c>
      <x:c r="C21" s="17" t="str"/>
      <x:c r="D21" s="17" t="str"/>
      <x:c r="E21" s="17" t="str"/>
      <x:c r="F21" s="17" t="str"/>
      <x:c r="G21" s="17" t="str"/>
      <x:c r="H21" s="17" t="str"/>
      <x:c r="I21" s="17" t="str"/>
    </x:row>
    <x:row r="22" ht="32" customHeight="1">
      <x:c r="A22" s="21" t="str">
        <x:v>Dependencies</x:v>
      </x:c>
      <x:c r="B22" s="17" t="str">
        <x:v>Macro-free .xlsx; no external workbooks, add-ins, live connections, or intentional circular references</x:v>
      </x:c>
      <x:c r="C22" s="17" t="str"/>
      <x:c r="D22" s="17" t="str"/>
      <x:c r="E22" s="17" t="str"/>
      <x:c r="F22" s="17" t="str"/>
      <x:c r="G22" s="17" t="str"/>
      <x:c r="H22" s="17" t="str"/>
      <x:c r="I22" s="17" t="str"/>
    </x:row>
    <x:row r="23" ht="32" customHeight="1">
      <x:c r="A23" s="21" t="str">
        <x:v>Usage</x:v>
      </x:c>
      <x:c r="B23" s="17" t="str">
        <x:v>Adapt for learning, interview cases, internal planning, or analysis. Do not resell an unchanged copy as your own product.</x:v>
      </x:c>
      <x:c r="C23" s="17" t="str"/>
      <x:c r="D23" s="17" t="str"/>
      <x:c r="E23" s="17" t="str"/>
      <x:c r="F23" s="17" t="str"/>
      <x:c r="G23" s="17" t="str"/>
      <x:c r="H23" s="17" t="str"/>
      <x:c r="I23" s="17" t="str"/>
    </x:row>
    <x:row r="24" ht="32" customHeight="1">
      <x:c r="A24" s="21" t="str">
        <x:v>Responsibility</x:v>
      </x:c>
      <x:c r="B24" s="17" t="str">
        <x:v>Validate sources, assumptions, formulas, methods, policies, and suitability before real-world use. Provided without warranty.</x:v>
      </x:c>
      <x:c r="C24" s="17" t="str"/>
      <x:c r="D24" s="17" t="str"/>
      <x:c r="E24" s="17" t="str"/>
      <x:c r="F24" s="17" t="str"/>
      <x:c r="G24" s="17" t="str"/>
      <x:c r="H24" s="17" t="str"/>
      <x:c r="I24" s="17" t="str"/>
    </x:row>
    <x:row r="26">
      <x:c r="A26" s="42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B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C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D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E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F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G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H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I26" s="44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</x:row>
    <x:row r="27">
      <x:c r="A27" s="45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B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C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D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E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F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G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H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I27" s="47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</x:row>
    <x:row r="28">
      <x:c r="A28" s="48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B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C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D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E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F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G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H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I28" s="50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</x:row>
    <x:row r="30">
      <x:c r="A30" s="53" t="str">
        <x:v>TDAT Model Library  |  Trust builds the brand. Insight builds the decision.</x:v>
      </x:c>
      <x:c r="B30" s="53" t="str">
        <x:v>TDAT Model Library  |  Trust builds the brand. Insight builds the decision.</x:v>
      </x:c>
      <x:c r="C30" s="53" t="str">
        <x:v>TDAT Model Library  |  Trust builds the brand. Insight builds the decision.</x:v>
      </x:c>
      <x:c r="D30" s="53" t="str">
        <x:v>TDAT Model Library  |  Trust builds the brand. Insight builds the decision.</x:v>
      </x:c>
      <x:c r="E30" s="53" t="str">
        <x:v>TDAT Model Library  |  Trust builds the brand. Insight builds the decision.</x:v>
      </x:c>
      <x:c r="F30" s="53" t="str">
        <x:v>TDAT Model Library  |  Trust builds the brand. Insight builds the decision.</x:v>
      </x:c>
      <x:c r="G30" s="53" t="str">
        <x:v>TDAT Model Library  |  Trust builds the brand. Insight builds the decision.</x:v>
      </x:c>
      <x:c r="H30" s="53" t="str">
        <x:v>TDAT Model Library  |  Trust builds the brand. Insight builds the decision.</x:v>
      </x:c>
      <x:c r="I30" s="53" t="str">
        <x:v>TDAT Model Library  |  Trust builds the brand. Insight builds the decision.</x:v>
      </x:c>
      <x:c r="J30" s="53" t="str">
        <x:v>TDAT Model Library  |  Trust builds the brand. Insight builds the decision.</x:v>
      </x:c>
    </x:row>
  </x:sheetData>
  <x:mergeCells>
    <x:mergeCell ref="A1:J1"/>
    <x:mergeCell ref="A2:J2"/>
    <x:mergeCell ref="A5:I5"/>
    <x:mergeCell ref="A11:I11"/>
    <x:mergeCell ref="A15:I15"/>
    <x:mergeCell ref="A19:I19"/>
    <x:mergeCell ref="B20:I20"/>
    <x:mergeCell ref="B21:I21"/>
    <x:mergeCell ref="B22:I22"/>
    <x:mergeCell ref="B23:I23"/>
    <x:mergeCell ref="B24:I24"/>
    <x:mergeCell ref="A26:I28"/>
    <x:mergeCell ref="A30:J30"/>
  </x:mergeCells>
  <x:pageMargins left="0.7" right="0.7" top="0.75" bottom="0.75" header="0.3" footer="0.3"/>
</x:worksheet>
</file>