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45844ae7104a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b1f344ad3ea44e3f"/>
    <x:sheet xmlns:r="http://schemas.openxmlformats.org/officeDocument/2006/relationships" name="Inputs" sheetId="2" r:id="R94030e33d0304631"/>
    <x:sheet xmlns:r="http://schemas.openxmlformats.org/officeDocument/2006/relationships" name="Model" sheetId="3" r:id="Rd6c03b8a2813414b"/>
    <x:sheet xmlns:r="http://schemas.openxmlformats.org/officeDocument/2006/relationships" name="Results" sheetId="4" r:id="Re1c4857c70df4212"/>
    <x:sheet xmlns:r="http://schemas.openxmlformats.org/officeDocument/2006/relationships" name="Checks" sheetId="5" r:id="Ra93d688f29e94e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#,##0;[Red](#,##0);-"/>
    <x:numFmt numFmtId="203" formatCode="0.00;[Red](0.00);-"/>
  </x:numFmts>
  <x:fonts count="14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sz val="11"/>
      <x:color rgb="FF202833"/>
      <x:name val="Carlito"/>
    </x:font>
    <x:font>
      <x:b/>
      <x:sz val="11"/>
      <x:color rgb="FFB5883A"/>
      <x:name val="Carlito"/>
    </x:font>
    <x:font>
      <x:b/>
      <x:sz val="11"/>
      <x:color rgb="FF805C19"/>
      <x:name val="Carlito"/>
    </x:font>
    <x:font>
      <x:b/>
      <x:sz val="11"/>
      <x:color rgb="FF68717C"/>
      <x:name val="Carlito"/>
    </x:font>
    <x:font>
      <x:b/>
      <x:sz val="11"/>
      <x:color rgb="FF247252"/>
      <x:name val="Carlito"/>
    </x:font>
    <x:font>
      <x:sz val="11"/>
      <x:color rgb="FFF5F6F8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  <x:fill>
      <x:patternFill patternType="solid">
        <x:fgColor rgb="FFE6F2EB"/>
      </x:patternFill>
    </x:fill>
  </x:fills>
  <x:borders count="29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F2D58A"/>
      </x:left>
      <x:top style="thin">
        <x:color rgb="FFF2D58A"/>
      </x:top>
    </x:border>
    <x:border>
      <x:top style="thin">
        <x:color rgb="FFF2D58A"/>
      </x:top>
    </x:border>
    <x:border>
      <x:right style="thin">
        <x:color rgb="FFF2D58A"/>
      </x:right>
      <x:top style="thin">
        <x:color rgb="FFF2D58A"/>
      </x:top>
    </x:border>
    <x:border>
      <x:left style="thin">
        <x:color rgb="FFF2D58A"/>
      </x:left>
      <x:bottom style="thin">
        <x:color rgb="FFF2D58A"/>
      </x:bottom>
    </x:border>
    <x:border>
      <x:bottom style="thin">
        <x:color rgb="FFF2D58A"/>
      </x:bottom>
    </x:border>
    <x:border>
      <x:right style="thin">
        <x:color rgb="FFF2D58A"/>
      </x:right>
      <x:bottom style="thin">
        <x:color rgb="FFF2D58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202" fontId="4" fillId="8" borderId="8" xfId="0" applyNumberFormat="1" applyFont="1" applyFill="1" applyBorder="1" applyAlignment="1">
      <x:alignment vertical="center"/>
    </x:xf>
    <x:xf numFmtId="202" fontId="4" fillId="8" borderId="8" xfId="0" applyNumberFormat="1" applyFont="1" applyFill="1" applyBorder="1" applyAlignment="1">
      <x:alignment horizontal="right" vertical="center"/>
    </x:xf>
    <x:xf numFmtId="202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3" fillId="7" borderId="0" xfId="0" applyNumberFormat="1" applyFont="1" applyFill="1" applyBorder="1" applyAlignment="1">
      <x:alignment horizontal="right" vertical="center"/>
    </x:xf>
    <x:xf numFmtId="0" fontId="3" fillId="7" borderId="0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vertical="center"/>
    </x:xf>
    <x:xf numFmtId="200" fontId="7" fillId="2" borderId="0" xfId="0" applyNumberFormat="1" applyFont="1" applyFill="1" applyBorder="1" applyAlignment="1">
      <x:alignment horizontal="right" vertical="center"/>
    </x:xf>
    <x:xf numFmtId="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vertical="center"/>
    </x:xf>
    <x:xf numFmtId="200" fontId="8" fillId="2" borderId="0" xfId="0" applyNumberFormat="1" applyFont="1" applyFill="1" applyBorder="1" applyAlignment="1">
      <x:alignment horizontal="right" vertical="center"/>
    </x:xf>
    <x:xf numFmtId="200" fontId="7" fillId="8" borderId="0" xfId="0" applyNumberFormat="1" applyFont="1" applyFill="1" applyBorder="1" applyAlignment="1">
      <x:alignment horizontal="right" vertical="center"/>
    </x:xf>
    <x:xf numFmtId="200" fontId="8" fillId="8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0" fontId="1" fillId="10" borderId="0" xfId="0" applyNumberFormat="1" applyFont="1" applyFill="1" applyBorder="1" applyAlignment="1">
      <x:alignment vertical="center"/>
    </x:xf>
    <x:xf numFmtId="200" fontId="3" fillId="10" borderId="0" xfId="0" applyNumberFormat="1" applyFont="1" applyFill="1" applyBorder="1" applyAlignment="1">
      <x:alignment horizontal="right"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vertical="center"/>
    </x:xf>
    <x:xf numFmtId="0" fontId="2" fillId="3" borderId="17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horizontal="center" vertical="center"/>
    </x:xf>
    <x:xf numFmtId="0" fontId="2" fillId="3" borderId="17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vertical="center"/>
    </x:xf>
    <x:xf numFmtId="0" fontId="9" fillId="8" borderId="1" xfId="0" applyNumberFormat="1" applyFont="1" applyFill="1" applyBorder="1" applyAlignment="1">
      <x:alignment vertical="center"/>
    </x:xf>
    <x:xf numFmtId="0" fontId="9" fillId="8" borderId="3" xfId="0" applyNumberFormat="1" applyFont="1" applyFill="1" applyBorder="1" applyAlignment="1">
      <x:alignment vertical="center"/>
    </x:xf>
    <x:xf numFmtId="0" fontId="9" fillId="8" borderId="18" xfId="0" applyNumberFormat="1" applyFont="1" applyFill="1" applyBorder="1" applyAlignment="1">
      <x:alignment vertical="center"/>
    </x:xf>
    <x:xf numFmtId="0" fontId="9" fillId="8" borderId="19" xfId="0" applyNumberFormat="1" applyFont="1" applyFill="1" applyBorder="1" applyAlignment="1">
      <x:alignment vertical="center"/>
    </x:xf>
    <x:xf numFmtId="0" fontId="9" fillId="8" borderId="4" xfId="0" applyNumberFormat="1" applyFont="1" applyFill="1" applyBorder="1" applyAlignment="1">
      <x:alignment vertical="center"/>
    </x:xf>
    <x:xf numFmtId="0" fontId="9" fillId="8" borderId="6" xfId="0" applyNumberFormat="1" applyFont="1" applyFill="1" applyBorder="1" applyAlignment="1">
      <x:alignment vertical="center"/>
    </x:xf>
    <x:xf numFmtId="200" fontId="9" fillId="8" borderId="1" xfId="0" applyNumberFormat="1" applyFont="1" applyFill="1" applyBorder="1" applyAlignment="1">
      <x:alignment vertical="center"/>
    </x:xf>
    <x:xf numFmtId="200" fontId="9" fillId="8" borderId="3" xfId="0" applyNumberFormat="1" applyFont="1" applyFill="1" applyBorder="1" applyAlignment="1">
      <x:alignment vertical="center"/>
    </x:xf>
    <x:xf numFmtId="200" fontId="9" fillId="8" borderId="18" xfId="0" applyNumberFormat="1" applyFont="1" applyFill="1" applyBorder="1" applyAlignment="1">
      <x:alignment vertical="center"/>
    </x:xf>
    <x:xf numFmtId="200" fontId="9" fillId="8" borderId="19" xfId="0" applyNumberFormat="1" applyFont="1" applyFill="1" applyBorder="1" applyAlignment="1">
      <x:alignment vertical="center"/>
    </x:xf>
    <x:xf numFmtId="200" fontId="9" fillId="8" borderId="4" xfId="0" applyNumberFormat="1" applyFont="1" applyFill="1" applyBorder="1" applyAlignment="1">
      <x:alignment vertical="center"/>
    </x:xf>
    <x:xf numFmtId="200" fontId="9" fillId="8" borderId="6" xfId="0" applyNumberFormat="1" applyFont="1" applyFill="1" applyBorder="1" applyAlignment="1">
      <x:alignment vertical="center"/>
    </x:xf>
    <x:xf numFmtId="200" fontId="9" fillId="8" borderId="1" xfId="0" applyNumberFormat="1" applyFont="1" applyFill="1" applyBorder="1" applyAlignment="1">
      <x:alignment horizontal="center" vertical="center"/>
    </x:xf>
    <x:xf numFmtId="200" fontId="9" fillId="8" borderId="3" xfId="0" applyNumberFormat="1" applyFont="1" applyFill="1" applyBorder="1" applyAlignment="1">
      <x:alignment horizontal="center" vertical="center"/>
    </x:xf>
    <x:xf numFmtId="200" fontId="9" fillId="8" borderId="18" xfId="0" applyNumberFormat="1" applyFont="1" applyFill="1" applyBorder="1" applyAlignment="1">
      <x:alignment horizontal="center" vertical="center"/>
    </x:xf>
    <x:xf numFmtId="200" fontId="9" fillId="8" borderId="19" xfId="0" applyNumberFormat="1" applyFont="1" applyFill="1" applyBorder="1" applyAlignment="1">
      <x:alignment horizontal="center" vertical="center"/>
    </x:xf>
    <x:xf numFmtId="200" fontId="9" fillId="8" borderId="4" xfId="0" applyNumberFormat="1" applyFont="1" applyFill="1" applyBorder="1" applyAlignment="1">
      <x:alignment horizontal="center" vertical="center"/>
    </x:xf>
    <x:xf numFmtId="200" fontId="9" fillId="8" borderId="6" xfId="0" applyNumberFormat="1" applyFont="1" applyFill="1" applyBorder="1" applyAlignment="1">
      <x:alignment horizontal="center" vertical="center"/>
    </x:xf>
    <x:xf numFmtId="0" fontId="10" fillId="9" borderId="0" xfId="0" applyNumberFormat="1" applyFont="1" applyFill="1" applyBorder="1" applyAlignment="1">
      <x:alignment vertical="center"/>
    </x:xf>
    <x:xf numFmtId="0" fontId="10" fillId="9" borderId="20" xfId="0" applyNumberFormat="1" applyFont="1" applyFill="1" applyBorder="1" applyAlignment="1">
      <x:alignment vertical="center"/>
    </x:xf>
    <x:xf numFmtId="0" fontId="10" fillId="9" borderId="21" xfId="0" applyNumberFormat="1" applyFont="1" applyFill="1" applyBorder="1" applyAlignment="1">
      <x:alignment vertical="center"/>
    </x:xf>
    <x:xf numFmtId="0" fontId="10" fillId="9" borderId="22" xfId="0" applyNumberFormat="1" applyFont="1" applyFill="1" applyBorder="1" applyAlignment="1">
      <x:alignment vertical="center"/>
    </x:xf>
    <x:xf numFmtId="0" fontId="10" fillId="9" borderId="23" xfId="0" applyNumberFormat="1" applyFont="1" applyFill="1" applyBorder="1" applyAlignment="1">
      <x:alignment vertical="center"/>
    </x:xf>
    <x:xf numFmtId="0" fontId="10" fillId="9" borderId="24" xfId="0" applyNumberFormat="1" applyFont="1" applyFill="1" applyBorder="1" applyAlignment="1">
      <x:alignment vertical="center"/>
    </x:xf>
    <x:xf numFmtId="0" fontId="10" fillId="9" borderId="25" xfId="0" applyNumberFormat="1" applyFont="1" applyFill="1" applyBorder="1" applyAlignment="1">
      <x:alignment vertical="center"/>
    </x:xf>
    <x:xf numFmtId="0" fontId="10" fillId="9" borderId="20" xfId="0" applyNumberFormat="1" applyFont="1" applyFill="1" applyBorder="1" applyAlignment="1">
      <x:alignment vertical="center" wrapText="1"/>
    </x:xf>
    <x:xf numFmtId="0" fontId="10" fillId="9" borderId="21" xfId="0" applyNumberFormat="1" applyFont="1" applyFill="1" applyBorder="1" applyAlignment="1">
      <x:alignment vertical="center" wrapText="1"/>
    </x:xf>
    <x:xf numFmtId="0" fontId="10" fillId="9" borderId="22" xfId="0" applyNumberFormat="1" applyFont="1" applyFill="1" applyBorder="1" applyAlignment="1">
      <x:alignment vertical="center" wrapText="1"/>
    </x:xf>
    <x:xf numFmtId="0" fontId="10" fillId="9" borderId="23" xfId="0" applyNumberFormat="1" applyFont="1" applyFill="1" applyBorder="1" applyAlignment="1">
      <x:alignment vertical="center" wrapText="1"/>
    </x:xf>
    <x:xf numFmtId="0" fontId="10" fillId="9" borderId="24" xfId="0" applyNumberFormat="1" applyFont="1" applyFill="1" applyBorder="1" applyAlignment="1">
      <x:alignment vertical="center" wrapText="1"/>
    </x:xf>
    <x:xf numFmtId="0" fontId="10" fillId="9" borderId="25" xfId="0" applyNumberFormat="1" applyFont="1" applyFill="1" applyBorder="1" applyAlignment="1">
      <x:alignment vertical="center" wrapText="1"/>
    </x:xf>
    <x:xf numFmtId="0" fontId="10" fillId="9" borderId="20" xfId="0" applyNumberFormat="1" applyFont="1" applyFill="1" applyBorder="1" applyAlignment="1">
      <x:alignment horizontal="center" vertical="center" wrapText="1"/>
    </x:xf>
    <x:xf numFmtId="0" fontId="10" fillId="9" borderId="21" xfId="0" applyNumberFormat="1" applyFont="1" applyFill="1" applyBorder="1" applyAlignment="1">
      <x:alignment horizontal="center" vertical="center" wrapText="1"/>
    </x:xf>
    <x:xf numFmtId="0" fontId="10" fillId="9" borderId="22" xfId="0" applyNumberFormat="1" applyFont="1" applyFill="1" applyBorder="1" applyAlignment="1">
      <x:alignment horizontal="center" vertical="center" wrapText="1"/>
    </x:xf>
    <x:xf numFmtId="0" fontId="10" fillId="9" borderId="23" xfId="0" applyNumberFormat="1" applyFont="1" applyFill="1" applyBorder="1" applyAlignment="1">
      <x:alignment horizontal="center" vertical="center" wrapText="1"/>
    </x:xf>
    <x:xf numFmtId="0" fontId="10" fillId="9" borderId="24" xfId="0" applyNumberFormat="1" applyFont="1" applyFill="1" applyBorder="1" applyAlignment="1">
      <x:alignment horizontal="center" vertical="center" wrapText="1"/>
    </x:xf>
    <x:xf numFmtId="0" fontId="10" fillId="9" borderId="25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6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vertical="center"/>
    </x:xf>
    <x:xf numFmtId="0" fontId="12" fillId="8" borderId="26" xfId="0" applyNumberFormat="1" applyFont="1" applyFill="1" applyBorder="1" applyAlignment="1">
      <x:alignment horizontal="center" vertical="center"/>
    </x:xf>
    <x:xf numFmtId="0" fontId="12" fillId="8" borderId="27" xfId="0" applyNumberFormat="1" applyFont="1" applyFill="1" applyBorder="1" applyAlignment="1">
      <x:alignment horizontal="center" vertical="center"/>
    </x:xf>
    <x:xf numFmtId="0" fontId="10" fillId="9" borderId="26" xfId="0" applyNumberFormat="1" applyFont="1" applyFill="1" applyBorder="1" applyAlignment="1">
      <x:alignment vertical="center"/>
    </x:xf>
    <x:xf numFmtId="0" fontId="10" fillId="9" borderId="27" xfId="0" applyNumberFormat="1" applyFont="1" applyFill="1" applyBorder="1" applyAlignment="1">
      <x:alignment vertical="center"/>
    </x:xf>
    <x:xf numFmtId="0" fontId="10" fillId="9" borderId="26" xfId="0" applyNumberFormat="1" applyFont="1" applyFill="1" applyBorder="1" applyAlignment="1">
      <x:alignment vertical="center" wrapText="1"/>
    </x:xf>
    <x:xf numFmtId="0" fontId="10" fillId="9" borderId="27" xfId="0" applyNumberFormat="1" applyFont="1" applyFill="1" applyBorder="1" applyAlignment="1">
      <x:alignment vertical="center" wrapText="1"/>
    </x:xf>
    <x:xf numFmtId="0" fontId="10" fillId="9" borderId="26" xfId="0" applyNumberFormat="1" applyFont="1" applyFill="1" applyBorder="1" applyAlignment="1">
      <x:alignment horizontal="center" vertical="center" wrapText="1"/>
    </x:xf>
    <x:xf numFmtId="0" fontId="10" fillId="9" borderId="27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18" xfId="0" applyNumberFormat="1" applyFont="1" applyFill="1" applyBorder="1" applyAlignment="1">
      <x:alignment vertical="center"/>
    </x:xf>
    <x:xf numFmtId="0" fontId="1" fillId="8" borderId="19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18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9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6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vertical="center"/>
    </x:xf>
    <x:xf numFmtId="0" fontId="3" fillId="5" borderId="27" xfId="0" applyNumberFormat="1" applyFont="1" applyFill="1" applyBorder="1" applyAlignment="1">
      <x:alignment vertical="center"/>
    </x:xf>
    <x:xf numFmtId="0" fontId="3" fillId="5" borderId="26" xfId="0" applyNumberFormat="1" applyFont="1" applyFill="1" applyBorder="1" applyAlignment="1">
      <x:alignment horizontal="center"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3" fillId="5" borderId="27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horizontal="center"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6" fillId="9" borderId="26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vertical="center"/>
    </x:xf>
    <x:xf numFmtId="0" fontId="6" fillId="9" borderId="27" xfId="0" applyNumberFormat="1" applyFont="1" applyFill="1" applyBorder="1" applyAlignment="1">
      <x:alignment vertical="center"/>
    </x:xf>
    <x:xf numFmtId="0" fontId="6" fillId="9" borderId="26" xfId="0" applyNumberFormat="1" applyFont="1" applyFill="1" applyBorder="1" applyAlignment="1">
      <x:alignment horizontal="center"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6" fillId="9" borderId="27" xfId="0" applyNumberFormat="1" applyFont="1" applyFill="1" applyBorder="1" applyAlignment="1">
      <x:alignment horizontal="center" vertical="center"/>
    </x:xf>
    <x:xf numFmtId="0" fontId="3" fillId="5" borderId="18" xfId="0" applyNumberFormat="1" applyFont="1" applyFill="1" applyBorder="1" applyAlignment="1">
      <x:alignment vertical="center"/>
    </x:xf>
    <x:xf numFmtId="0" fontId="3" fillId="5" borderId="19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18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19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 applyAlignment="1">
      <x:alignment vertical="center"/>
    </x:xf>
    <x:xf numFmtId="0" fontId="9" fillId="5" borderId="26" xfId="0" applyNumberFormat="1" applyFont="1" applyFill="1" applyBorder="1" applyAlignment="1">
      <x:alignment vertical="center"/>
    </x:xf>
    <x:xf numFmtId="0" fontId="9" fillId="5" borderId="27" xfId="0" applyNumberFormat="1" applyFont="1" applyFill="1" applyBorder="1" applyAlignment="1">
      <x:alignment vertical="center"/>
    </x:xf>
    <x:xf numFmtId="0" fontId="9" fillId="5" borderId="26" xfId="0" applyNumberFormat="1" applyFont="1" applyFill="1" applyBorder="1" applyAlignment="1">
      <x:alignment horizontal="center" vertical="center"/>
    </x:xf>
    <x:xf numFmtId="0" fontId="9" fillId="5" borderId="27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db247998944f03" /><Relationship Type="http://schemas.openxmlformats.org/officeDocument/2006/relationships/theme" Target="/xl/theme/theme1.xml" Id="Rd814a926ea904cc0" /><Relationship Type="http://schemas.openxmlformats.org/officeDocument/2006/relationships/sharedStrings" Target="/xl/sharedStrings.xml" Id="Rf5ad54164a6d4eea" /><Relationship Type="http://schemas.openxmlformats.org/officeDocument/2006/relationships/worksheet" Target="/xl/worksheets/sheet1.xml" Id="Rb1f344ad3ea44e3f" /><Relationship Type="http://schemas.openxmlformats.org/officeDocument/2006/relationships/worksheet" Target="/xl/worksheets/sheet2.xml" Id="R94030e33d0304631" /><Relationship Type="http://schemas.openxmlformats.org/officeDocument/2006/relationships/worksheet" Target="/xl/worksheets/sheet3.xml" Id="Rd6c03b8a2813414b" /><Relationship Type="http://schemas.openxmlformats.org/officeDocument/2006/relationships/worksheet" Target="/xl/worksheets/sheet4.xml" Id="Re1c4857c70df4212" /><Relationship Type="http://schemas.openxmlformats.org/officeDocument/2006/relationships/worksheet" Target="/xl/worksheets/sheet5.xml" Id="Ra93d688f29e94e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TDAT-FM-TSY-001 · 13 weeks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03" t="str">
        <x:v>13-Week Cash Flow</x:v>
      </x:c>
      <x:c r="B5" s="204"/>
      <x:c r="C5" s="204"/>
      <x:c r="D5" s="204"/>
      <x:c r="E5" s="204"/>
      <x:c r="F5" s="205"/>
      <x:c r="G5" s="60" t="str">
        <x:v>MODEL STATUS</x:v>
      </x:c>
      <x:c r="H5" s="60"/>
    </x:row>
    <x:row r="6" ht="20" customHeight="1">
      <x:c r="A6" s="206"/>
      <x:c r="B6" s="207"/>
      <x:c r="C6" s="207"/>
      <x:c r="D6" s="207"/>
      <x:c r="E6" s="207"/>
      <x:c r="F6" s="208"/>
      <x:c r="G6" s="216" t="str">
        <x:f>'Checks'!B4</x:f>
        <x:v>PASS</x:v>
      </x:c>
      <x:c r="H6" s="217"/>
    </x:row>
    <x:row r="7" ht="20" customHeight="1">
      <x:c r="A7" s="209"/>
      <x:c r="B7" s="210"/>
      <x:c r="C7" s="210"/>
      <x:c r="D7" s="210"/>
      <x:c r="E7" s="210"/>
      <x:c r="F7" s="211"/>
      <x:c r="G7" s="218"/>
      <x:c r="H7" s="219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61" t="str">
        <x:v>WHAT THIS MODEL IS FOR</x:v>
      </x:c>
      <x:c r="B9" s="61"/>
      <x:c r="C9" s="61"/>
      <x:c r="D9" s="61"/>
      <x:c r="E9" s="61"/>
      <x:c r="F9" s="61"/>
      <x:c r="G9" s="61"/>
      <x:c r="H9" s="61"/>
    </x:row>
    <x:row r="10" ht="20" customHeight="1">
      <x:c r="A10" s="153" t="str">
        <x:v>When will cash tighten, and how much facility is needed?</x:v>
      </x:c>
      <x:c r="B10" s="154"/>
      <x:c r="C10" s="154"/>
      <x:c r="D10" s="154"/>
      <x:c r="E10" s="154"/>
      <x:c r="F10" s="154"/>
      <x:c r="G10" s="154"/>
      <x:c r="H10" s="155"/>
    </x:row>
    <x:row r="11" ht="20" customHeight="1">
      <x:c r="A11" s="156"/>
      <x:c r="B11" s="157"/>
      <x:c r="C11" s="157"/>
      <x:c r="D11" s="157"/>
      <x:c r="E11" s="157"/>
      <x:c r="F11" s="157"/>
      <x:c r="G11" s="157"/>
      <x:c r="H11" s="158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USE IT IN FOUR STEPS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23" t="str">
        <x:v>1 · INPUTS</x:v>
      </x:c>
      <x:c r="B14" s="224"/>
      <x:c r="C14" s="223" t="str">
        <x:v>2 · MODEL</x:v>
      </x:c>
      <x:c r="D14" s="224"/>
      <x:c r="E14" s="223" t="str">
        <x:v>3 · RESULTS</x:v>
      </x:c>
      <x:c r="F14" s="224"/>
      <x:c r="G14" s="223" t="str">
        <x:v>4 · CHECKS</x:v>
      </x:c>
      <x:c r="H14" s="224"/>
    </x:row>
    <x:row r="15" ht="20" customHeight="1">
      <x:c r="A15" s="225" t="str">
        <x:v>Edit only blue cells</x:v>
      </x:c>
      <x:c r="B15" s="226"/>
      <x:c r="C15" s="225" t="str">
        <x:v>Trace schedules and formulas</x:v>
      </x:c>
      <x:c r="D15" s="226"/>
      <x:c r="E15" s="225" t="str">
        <x:v>Read the linked decision view</x:v>
      </x:c>
      <x:c r="F15" s="226"/>
      <x:c r="G15" s="225" t="str">
        <x:v>Resolve every FAIL</x:v>
      </x:c>
      <x:c r="H15" s="226"/>
    </x:row>
    <x:row r="16" ht="20" customHeight="1">
      <x:c r="A16" s="227"/>
      <x:c r="B16" s="228"/>
      <x:c r="C16" s="227"/>
      <x:c r="D16" s="228"/>
      <x:c r="E16" s="227"/>
      <x:c r="F16" s="228"/>
      <x:c r="G16" s="227"/>
      <x:c r="H16" s="228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DEPTH WITHOUT EXTRA TABS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133" t="str">
        <x:v>Forecast</x:v>
      </x:c>
      <x:c r="B19" s="133"/>
      <x:c r="C19" s="146" t="str">
        <x:v>13 weeks</x:v>
      </x:c>
      <x:c r="D19" s="146"/>
      <x:c r="E19" s="146"/>
      <x:c r="F19" s="146"/>
      <x:c r="G19" s="146"/>
      <x:c r="H19" s="146"/>
    </x:row>
    <x:row r="20" ht="20" customHeight="1">
      <x:c r="A20" s="133" t="str">
        <x:v>Editable inputs</x:v>
      </x:c>
      <x:c r="B20" s="133"/>
      <x:c r="C20" s="146" t="str">
        <x:v>10</x:v>
      </x:c>
      <x:c r="D20" s="146"/>
      <x:c r="E20" s="146"/>
      <x:c r="F20" s="146"/>
      <x:c r="G20" s="146"/>
      <x:c r="H20" s="146"/>
    </x:row>
    <x:row r="21" ht="20" customHeight="1">
      <x:c r="A21" s="133" t="str">
        <x:v>Visible sheets</x:v>
      </x:c>
      <x:c r="B21" s="133"/>
      <x:c r="C21" s="146" t="str">
        <x:v>5</x:v>
      </x:c>
      <x:c r="D21" s="146"/>
      <x:c r="E21" s="146"/>
      <x:c r="F21" s="146"/>
      <x:c r="G21" s="146"/>
      <x:c r="H21" s="146"/>
    </x:row>
    <x:row r="22" ht="20" customHeight="1">
      <x:c r="A22" s="133" t="str">
        <x:v>Setup</x:v>
      </x:c>
      <x:c r="B22" s="133"/>
      <x:c r="C22" s="146" t="str">
        <x:v>15–20 minutes</x:v>
      </x:c>
      <x:c r="D22" s="146"/>
      <x:c r="E22" s="146"/>
      <x:c r="F22" s="146"/>
      <x:c r="G22" s="146"/>
      <x:c r="H22" s="146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1" t="str">
        <x:v>FIT &amp; SCOPE</x:v>
      </x:c>
      <x:c r="B24" s="61"/>
      <x:c r="C24" s="61"/>
      <x:c r="D24" s="61"/>
      <x:c r="E24" s="61"/>
      <x:c r="F24" s="61"/>
      <x:c r="G24" s="61"/>
      <x:c r="H24" s="61"/>
    </x:row>
    <x:row r="25" ht="20" customHeight="1">
      <x:c r="A25" s="167" t="str">
        <x:v>Included: A 13-week direct cash forecast · Automatic facility draw and repayment · Peak funding and closing liquidity</x:v>
      </x:c>
      <x:c r="B25" s="168"/>
      <x:c r="C25" s="168"/>
      <x:c r="D25" s="168"/>
      <x:c r="E25" s="168"/>
      <x:c r="F25" s="168"/>
      <x:c r="G25" s="168"/>
      <x:c r="H25" s="169"/>
    </x:row>
    <x:row r="26" ht="20" customHeight="1">
      <x:c r="A26" s="173"/>
      <x:c r="B26" s="174"/>
      <x:c r="C26" s="174"/>
      <x:c r="D26" s="174"/>
      <x:c r="E26" s="174"/>
      <x:c r="F26" s="174"/>
      <x:c r="G26" s="174"/>
      <x:c r="H26" s="175"/>
    </x:row>
    <x:row r="27" ht="20" customHeight="1">
      <x:c r="A27" s="235" t="str">
        <x:v>Scope boundary: Invoice-level inputs, payment priority law, bank feeds, interest, scenarios, and sensitivities.</x:v>
      </x:c>
      <x:c r="B27" s="236"/>
      <x:c r="C27" s="236"/>
      <x:c r="D27" s="236"/>
      <x:c r="E27" s="236"/>
      <x:c r="F27" s="236"/>
      <x:c r="G27" s="236"/>
      <x:c r="H27" s="237"/>
    </x:row>
    <x:row r="28" ht="20" customHeight="1">
      <x:c r="A28" s="238"/>
      <x:c r="B28" s="239"/>
      <x:c r="C28" s="239"/>
      <x:c r="D28" s="239"/>
      <x:c r="E28" s="239"/>
      <x:c r="F28" s="239"/>
      <x:c r="G28" s="239"/>
      <x:c r="H28" s="240"/>
    </x:row>
    <x:row r="29" ht="20" customHeight="1">
      <x:c r="A29" s="242" t="str">
        <x:v>Synthetic demonstration only · Tested 2026-08-17 · Excel 365 · Macro-free · No external links</x:v>
      </x:c>
      <x:c r="B29" s="242"/>
      <x:c r="C29" s="242"/>
      <x:c r="D29" s="242"/>
      <x:c r="E29" s="242"/>
      <x:c r="F29" s="242"/>
      <x:c r="G29" s="242"/>
      <x:c r="H29" s="242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13-Week Cash Flow · Start → Inputs → Model → Results → Checks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13-Week Cash Flow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OPENING LIQUIDITY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Opening cash</x:v>
      </x:c>
      <x:c r="B10" s="39" t="n">
        <x:v>90</x:v>
      </x:c>
      <x:c r="C10" s="3" t="str">
        <x:v>LCY000</x:v>
      </x:c>
      <x:c r="D10" s="37" t="str">
        <x:v>Cash before week one</x:v>
      </x:c>
      <x:c r="E10" s="38"/>
      <x:c r="F10" s="38"/>
      <x:c r="G10" s="38"/>
      <x:c r="H10" s="38"/>
    </x:row>
    <x:row r="11" ht="20" customHeight="1">
      <x:c r="A11" s="3" t="str">
        <x:v>Minimum cash</x:v>
      </x:c>
      <x:c r="B11" s="39" t="n">
        <x:v>55</x:v>
      </x:c>
      <x:c r="C11" s="3" t="str">
        <x:v>LCY000</x:v>
      </x:c>
      <x:c r="D11" s="37" t="str">
        <x:v>Policy floor</x:v>
      </x:c>
      <x:c r="E11" s="38"/>
      <x:c r="F11" s="38"/>
      <x:c r="G11" s="38"/>
      <x:c r="H11" s="38"/>
    </x:row>
    <x:row r="12" ht="20" customHeight="1">
      <x:c r="A12" s="3" t="str">
        <x:v>Facility limit</x:v>
      </x:c>
      <x:c r="B12" s="39" t="n">
        <x:v>140</x:v>
      </x:c>
      <x:c r="C12" s="3" t="str">
        <x:v>LCY000</x:v>
      </x:c>
      <x:c r="D12" s="37" t="str">
        <x:v>Maximum committed funding</x:v>
      </x:c>
      <x:c r="E12" s="38"/>
      <x:c r="F12" s="38"/>
      <x:c r="G12" s="38"/>
      <x:c r="H12" s="38"/>
    </x:row>
    <x:row r="13" ht="20" customHeight="1">
      <x:c r="A13" s="26" t="str">
        <x:v>WEEKLY OPERATIONS</x:v>
      </x:c>
      <x:c r="B13" s="26"/>
      <x:c r="C13" s="26"/>
      <x:c r="D13" s="26"/>
      <x:c r="E13" s="26"/>
      <x:c r="F13" s="26"/>
      <x:c r="G13" s="26"/>
      <x:c r="H13" s="26"/>
    </x:row>
    <x:row r="14" ht="20" customHeight="1">
      <x:c r="A14" s="28" t="str">
        <x:v>Input</x:v>
      </x:c>
      <x:c r="B14" s="28" t="str">
        <x:v>Value</x:v>
      </x:c>
      <x:c r="C14" s="28" t="str">
        <x:v>Unit</x:v>
      </x:c>
      <x:c r="D14" s="28" t="str">
        <x:v>Purpose</x:v>
      </x:c>
      <x:c r="E14" s="28"/>
      <x:c r="F14" s="28"/>
      <x:c r="G14" s="28"/>
      <x:c r="H14" s="28"/>
    </x:row>
    <x:row r="15" ht="20" customHeight="1">
      <x:c r="A15" s="3" t="str">
        <x:v>Scheduled receipts / week</x:v>
      </x:c>
      <x:c r="B15" s="39" t="n">
        <x:v>60</x:v>
      </x:c>
      <x:c r="C15" s="3" t="str">
        <x:v>LCY000</x:v>
      </x:c>
      <x:c r="D15" s="37" t="str">
        <x:v>Same simple weekly run rate</x:v>
      </x:c>
      <x:c r="E15" s="38"/>
      <x:c r="F15" s="38"/>
      <x:c r="G15" s="38"/>
      <x:c r="H15" s="38"/>
    </x:row>
    <x:row r="16" ht="20" customHeight="1">
      <x:c r="A16" s="3" t="str">
        <x:v>Receipt realization</x:v>
      </x:c>
      <x:c r="B16" s="42" t="n">
        <x:v>0.9</x:v>
      </x:c>
      <x:c r="C16" s="3" t="str">
        <x:v>%</x:v>
      </x:c>
      <x:c r="D16" s="37" t="str">
        <x:v>Share collected on time</x:v>
      </x:c>
      <x:c r="E16" s="38"/>
      <x:c r="F16" s="38"/>
      <x:c r="G16" s="38"/>
      <x:c r="H16" s="38"/>
    </x:row>
    <x:row r="17" ht="20" customHeight="1">
      <x:c r="A17" s="3" t="str">
        <x:v>Supplier payments / week</x:v>
      </x:c>
      <x:c r="B17" s="39" t="n">
        <x:v>45</x:v>
      </x:c>
      <x:c r="C17" s="3" t="str">
        <x:v>LCY000</x:v>
      </x:c>
      <x:c r="D17" s="37" t="str">
        <x:v>Weekly supplier cash outflow</x:v>
      </x:c>
      <x:c r="E17" s="38"/>
      <x:c r="F17" s="38"/>
      <x:c r="G17" s="38"/>
      <x:c r="H17" s="38"/>
    </x:row>
    <x:row r="18" ht="20" customHeight="1">
      <x:c r="A18" s="3" t="str">
        <x:v>Payroll every second week</x:v>
      </x:c>
      <x:c r="B18" s="39" t="n">
        <x:v>20</x:v>
      </x:c>
      <x:c r="C18" s="3" t="str">
        <x:v>LCY000</x:v>
      </x:c>
      <x:c r="D18" s="37" t="str">
        <x:v>Paid in W1, W3, W5, and so on</x:v>
      </x:c>
      <x:c r="E18" s="38"/>
      <x:c r="F18" s="38"/>
      <x:c r="G18" s="38"/>
      <x:c r="H18" s="38"/>
    </x:row>
    <x:row r="19" ht="20" customHeight="1">
      <x:c r="A19" s="3" t="str">
        <x:v>Other outflows / week</x:v>
      </x:c>
      <x:c r="B19" s="39" t="n">
        <x:v>5</x:v>
      </x:c>
      <x:c r="C19" s="3" t="str">
        <x:v>LCY000</x:v>
      </x:c>
      <x:c r="D19" s="37" t="str">
        <x:v>Recurring operating cash outflow</x:v>
      </x:c>
      <x:c r="E19" s="38"/>
      <x:c r="F19" s="38"/>
      <x:c r="G19" s="38"/>
      <x:c r="H19" s="38"/>
    </x:row>
    <x:row r="20" ht="20" customHeight="1">
      <x:c r="A20" s="26" t="str">
        <x:v>TIMED PAYMENT</x:v>
      </x:c>
      <x:c r="B20" s="26"/>
      <x:c r="C20" s="26"/>
      <x:c r="D20" s="26"/>
      <x:c r="E20" s="26"/>
      <x:c r="F20" s="26"/>
      <x:c r="G20" s="26"/>
      <x:c r="H20" s="26"/>
    </x:row>
    <x:row r="21" ht="20" customHeight="1">
      <x:c r="A21" s="28" t="str">
        <x:v>Input</x:v>
      </x:c>
      <x:c r="B21" s="28" t="str">
        <x:v>Value</x:v>
      </x:c>
      <x:c r="C21" s="28" t="str">
        <x:v>Unit</x:v>
      </x:c>
      <x:c r="D21" s="28" t="str">
        <x:v>Purpose</x:v>
      </x:c>
      <x:c r="E21" s="28"/>
      <x:c r="F21" s="28"/>
      <x:c r="G21" s="28"/>
      <x:c r="H21" s="28"/>
    </x:row>
    <x:row r="22" ht="20" customHeight="1">
      <x:c r="A22" s="3" t="str">
        <x:v>Tax payment</x:v>
      </x:c>
      <x:c r="B22" s="39" t="n">
        <x:v>10</x:v>
      </x:c>
      <x:c r="C22" s="3" t="str">
        <x:v>LCY000</x:v>
      </x:c>
      <x:c r="D22" s="37" t="str">
        <x:v>One payment in the selected week</x:v>
      </x:c>
      <x:c r="E22" s="38"/>
      <x:c r="F22" s="38"/>
      <x:c r="G22" s="38"/>
      <x:c r="H22" s="38"/>
    </x:row>
    <x:row r="23" ht="20" customHeight="1">
      <x:c r="A23" s="3" t="str">
        <x:v>Tax payment week</x:v>
      </x:c>
      <x:c r="B23" s="45" t="n">
        <x:v>5</x:v>
      </x:c>
      <x:c r="C23" s="3" t="str">
        <x:v>Week</x:v>
      </x:c>
      <x:c r="D23" s="37" t="str">
        <x:v>Whole number from 1 to 13</x:v>
      </x:c>
      <x:c r="E23" s="38"/>
      <x:c r="F23" s="38"/>
      <x:c r="G23" s="38"/>
      <x:c r="H23" s="38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54" t="str">
        <x:v>Synthetic example. Replace only the blue values, trace the calculation on Model, then review Results and Checks.</x:v>
      </x:c>
      <x:c r="B25" s="55"/>
      <x:c r="C25" s="55"/>
      <x:c r="D25" s="55"/>
      <x:c r="E25" s="55"/>
      <x:c r="F25" s="55"/>
      <x:c r="G25" s="55"/>
      <x:c r="H25" s="56"/>
    </x:row>
    <x:row r="26" ht="20" customHeight="1">
      <x:c r="A26" s="57"/>
      <x:c r="B26" s="58"/>
      <x:c r="C26" s="58"/>
      <x:c r="D26" s="58"/>
      <x:c r="E26" s="58"/>
      <x:c r="F26" s="58"/>
      <x:c r="G26" s="58"/>
      <x:c r="H26" s="59"/>
    </x:row>
    <x:row r="27" ht="20" customHeight="1">
      <x:c r="A27" s="3"/>
      <x:c r="B27" s="3"/>
      <x:c r="C27" s="3"/>
      <x:c r="D27" s="3"/>
      <x:c r="E27" s="3"/>
      <x:c r="F27" s="3"/>
      <x:c r="G27" s="3"/>
      <x:c r="H27" s="3"/>
    </x:row>
    <x:row r="28" ht="20" customHeight="1">
      <x:c r="A28" s="3"/>
      <x:c r="B28" s="3"/>
      <x:c r="C28" s="3"/>
      <x:c r="D28" s="3"/>
      <x:c r="E28" s="3"/>
      <x:c r="F28" s="3"/>
      <x:c r="G28" s="3"/>
      <x:c r="H28" s="3"/>
    </x:row>
    <x:row r="29" ht="20" customHeight="1">
      <x:c r="A29" s="3"/>
      <x:c r="B29" s="3"/>
      <x:c r="C29" s="3"/>
      <x:c r="D29" s="3"/>
      <x:c r="E29" s="3"/>
      <x:c r="F29" s="3"/>
      <x:c r="G29" s="3"/>
      <x:c r="H29" s="3"/>
    </x:row>
    <x:row r="30" ht="20" customHeight="1">
      <x:c r="A30" s="60" t="str">
        <x:v>13-Week Cash Flow · 10 editable assumptions · v1.4.0</x:v>
      </x:c>
      <x:c r="B30" s="60"/>
      <x:c r="C30" s="60"/>
      <x:c r="D30" s="60"/>
      <x:c r="E30" s="60"/>
      <x:c r="F30" s="60"/>
      <x:c r="G30" s="60"/>
      <x:c r="H30" s="60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A13:H13"/>
    <x:mergeCell ref="D14:H14"/>
    <x:mergeCell ref="D15:H15"/>
    <x:mergeCell ref="D16:H16"/>
    <x:mergeCell ref="D17:H17"/>
    <x:mergeCell ref="D18:H18"/>
    <x:mergeCell ref="D19:H19"/>
    <x:mergeCell ref="A20:H20"/>
    <x:mergeCell ref="D21:H21"/>
    <x:mergeCell ref="D22:H22"/>
    <x:mergeCell ref="D23:H23"/>
    <x:mergeCell ref="A25:H26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 ht="27" customHeight="1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 ht="20" customHeight="1">
      <x:c r="A3" s="9" t="str">
        <x:v>13-Week Cash Flow · Thirteen-week liquidity view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</x:row>
    <x:row r="4" ht="20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20" customHeight="1">
      <x:c r="A5" s="93" t="str">
        <x:v>MINIMUM CASH</x:v>
      </x:c>
      <x:c r="B5" s="94"/>
      <x:c r="C5" s="93" t="str">
        <x:v>PEAK FACILITY</x:v>
      </x:c>
      <x:c r="D5" s="94"/>
      <x:c r="E5" s="93" t="str">
        <x:v>CLOSING CASH</x:v>
      </x:c>
      <x:c r="F5" s="94"/>
      <x:c r="G5" s="93" t="str">
        <x:v>FACILITY LEFT</x:v>
      </x:c>
      <x:c r="H5" s="94"/>
      <x:c r="I5" s="3"/>
      <x:c r="J5" s="3"/>
      <x:c r="K5" s="3"/>
      <x:c r="L5" s="3"/>
      <x:c r="M5" s="3"/>
      <x:c r="N5" s="3"/>
    </x:row>
    <x:row r="6" ht="20" customHeight="1">
      <x:c r="A6" s="108" t="n">
        <x:f>B30</x:f>
        <x:v>55</x:v>
      </x:c>
      <x:c r="B6" s="109"/>
      <x:c r="C6" s="108" t="n">
        <x:f>B31</x:f>
        <x:v>63</x:v>
      </x:c>
      <x:c r="D6" s="109"/>
      <x:c r="E6" s="108" t="n">
        <x:f>B32</x:f>
        <x:v>55</x:v>
      </x:c>
      <x:c r="F6" s="109"/>
      <x:c r="G6" s="108" t="n">
        <x:f>B33</x:f>
        <x:v>77</x:v>
      </x:c>
      <x:c r="H6" s="109"/>
      <x:c r="I6" s="3"/>
      <x:c r="J6" s="3"/>
      <x:c r="K6" s="3"/>
      <x:c r="L6" s="3"/>
      <x:c r="M6" s="3"/>
      <x:c r="N6" s="3"/>
    </x:row>
    <x:row r="7" ht="20" customHeight="1">
      <x:c r="A7" s="110"/>
      <x:c r="B7" s="111"/>
      <x:c r="C7" s="110"/>
      <x:c r="D7" s="111"/>
      <x:c r="E7" s="110"/>
      <x:c r="F7" s="111"/>
      <x:c r="G7" s="110"/>
      <x:c r="H7" s="111"/>
      <x:c r="I7" s="3"/>
      <x:c r="J7" s="3"/>
      <x:c r="K7" s="3"/>
      <x:c r="L7" s="3"/>
      <x:c r="M7" s="3"/>
      <x:c r="N7" s="3"/>
    </x:row>
    <x:row r="8" ht="20" customHeight="1">
      <x:c r="A8" s="112"/>
      <x:c r="B8" s="113"/>
      <x:c r="C8" s="112"/>
      <x:c r="D8" s="113"/>
      <x:c r="E8" s="112"/>
      <x:c r="F8" s="113"/>
      <x:c r="G8" s="112"/>
      <x:c r="H8" s="113"/>
      <x:c r="I8" s="3"/>
      <x:c r="J8" s="3"/>
      <x:c r="K8" s="3"/>
      <x:c r="L8" s="3"/>
      <x:c r="M8" s="3"/>
      <x:c r="N8" s="3"/>
    </x:row>
    <x:row r="9" ht="20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</x:row>
    <x:row r="10" ht="20" customHeight="1">
      <x:c r="A10" s="61" t="str">
        <x:v>WEEKLY CASH</x:v>
      </x:c>
      <x:c r="B10" s="61"/>
      <x:c r="C10" s="61"/>
      <x:c r="D10" s="61"/>
      <x:c r="E10" s="61"/>
      <x:c r="F10" s="61"/>
      <x:c r="G10" s="61"/>
      <x:c r="H10" s="61"/>
      <x:c r="I10" s="61"/>
      <x:c r="J10" s="61"/>
      <x:c r="K10" s="61"/>
      <x:c r="L10" s="61"/>
      <x:c r="M10" s="61"/>
      <x:c r="N10" s="61"/>
    </x:row>
    <x:row r="11" ht="20" customHeight="1">
      <x:c r="A11" s="63" t="str">
        <x:v>Metric</x:v>
      </x:c>
      <x:c r="B11" s="62" t="str">
        <x:v>W1</x:v>
      </x:c>
      <x:c r="C11" s="62" t="str">
        <x:v>W2</x:v>
      </x:c>
      <x:c r="D11" s="62" t="str">
        <x:v>W3</x:v>
      </x:c>
      <x:c r="E11" s="62" t="str">
        <x:v>W4</x:v>
      </x:c>
      <x:c r="F11" s="62" t="str">
        <x:v>W5</x:v>
      </x:c>
      <x:c r="G11" s="62" t="str">
        <x:v>W6</x:v>
      </x:c>
      <x:c r="H11" s="62" t="str">
        <x:v>W7</x:v>
      </x:c>
      <x:c r="I11" s="62" t="str">
        <x:v>W8</x:v>
      </x:c>
      <x:c r="J11" s="62" t="str">
        <x:v>W9</x:v>
      </x:c>
      <x:c r="K11" s="62" t="str">
        <x:v>W10</x:v>
      </x:c>
      <x:c r="L11" s="62" t="str">
        <x:v>W11</x:v>
      </x:c>
      <x:c r="M11" s="62" t="str">
        <x:v>W12</x:v>
      </x:c>
      <x:c r="N11" s="62" t="str">
        <x:v>W13</x:v>
      </x:c>
    </x:row>
    <x:row r="12" ht="20" customHeight="1">
      <x:c r="A12" s="29" t="str">
        <x:v>Opening cash</x:v>
      </x:c>
      <x:c r="B12" s="70" t="n">
        <x:f>'Inputs'!$B$10</x:f>
        <x:v>90</x:v>
      </x:c>
      <x:c r="C12" s="71" t="n">
        <x:f>B23</x:f>
        <x:v>74</x:v>
      </x:c>
      <x:c r="D12" s="71" t="n">
        <x:f>C23</x:f>
        <x:v>78</x:v>
      </x:c>
      <x:c r="E12" s="71" t="n">
        <x:f>D23</x:f>
        <x:v>62</x:v>
      </x:c>
      <x:c r="F12" s="71" t="n">
        <x:f>E23</x:f>
        <x:v>66</x:v>
      </x:c>
      <x:c r="G12" s="71" t="n">
        <x:f>F23</x:f>
        <x:v>55</x:v>
      </x:c>
      <x:c r="H12" s="71" t="n">
        <x:f>G23</x:f>
        <x:v>55</x:v>
      </x:c>
      <x:c r="I12" s="71" t="n">
        <x:f>H23</x:f>
        <x:v>55</x:v>
      </x:c>
      <x:c r="J12" s="71" t="n">
        <x:f>I23</x:f>
        <x:v>55</x:v>
      </x:c>
      <x:c r="K12" s="71" t="n">
        <x:f>J23</x:f>
        <x:v>55</x:v>
      </x:c>
      <x:c r="L12" s="71" t="n">
        <x:f>K23</x:f>
        <x:v>55</x:v>
      </x:c>
      <x:c r="M12" s="71" t="n">
        <x:f>L23</x:f>
        <x:v>55</x:v>
      </x:c>
      <x:c r="N12" s="71" t="n">
        <x:f>M23</x:f>
        <x:v>55</x:v>
      </x:c>
    </x:row>
    <x:row r="13" ht="20" customHeight="1">
      <x:c r="A13" s="29" t="str">
        <x:v>Receipts</x:v>
      </x:c>
      <x:c r="B13" s="70" t="n">
        <x:f>'Inputs'!$B$15*'Inputs'!$B$16</x:f>
        <x:v>54</x:v>
      </x:c>
      <x:c r="C13" s="70" t="n">
        <x:f>'Inputs'!$B$15*'Inputs'!$B$16</x:f>
        <x:v>54</x:v>
      </x:c>
      <x:c r="D13" s="70" t="n">
        <x:f>'Inputs'!$B$15*'Inputs'!$B$16</x:f>
        <x:v>54</x:v>
      </x:c>
      <x:c r="E13" s="70" t="n">
        <x:f>'Inputs'!$B$15*'Inputs'!$B$16</x:f>
        <x:v>54</x:v>
      </x:c>
      <x:c r="F13" s="70" t="n">
        <x:f>'Inputs'!$B$15*'Inputs'!$B$16</x:f>
        <x:v>54</x:v>
      </x:c>
      <x:c r="G13" s="70" t="n">
        <x:f>'Inputs'!$B$15*'Inputs'!$B$16</x:f>
        <x:v>54</x:v>
      </x:c>
      <x:c r="H13" s="70" t="n">
        <x:f>'Inputs'!$B$15*'Inputs'!$B$16</x:f>
        <x:v>54</x:v>
      </x:c>
      <x:c r="I13" s="70" t="n">
        <x:f>'Inputs'!$B$15*'Inputs'!$B$16</x:f>
        <x:v>54</x:v>
      </x:c>
      <x:c r="J13" s="70" t="n">
        <x:f>'Inputs'!$B$15*'Inputs'!$B$16</x:f>
        <x:v>54</x:v>
      </x:c>
      <x:c r="K13" s="70" t="n">
        <x:f>'Inputs'!$B$15*'Inputs'!$B$16</x:f>
        <x:v>54</x:v>
      </x:c>
      <x:c r="L13" s="70" t="n">
        <x:f>'Inputs'!$B$15*'Inputs'!$B$16</x:f>
        <x:v>54</x:v>
      </x:c>
      <x:c r="M13" s="70" t="n">
        <x:f>'Inputs'!$B$15*'Inputs'!$B$16</x:f>
        <x:v>54</x:v>
      </x:c>
      <x:c r="N13" s="70" t="n">
        <x:f>'Inputs'!$B$15*'Inputs'!$B$16</x:f>
        <x:v>54</x:v>
      </x:c>
    </x:row>
    <x:row r="14" ht="20" customHeight="1">
      <x:c r="A14" s="29" t="str">
        <x:v>Supplier payments</x:v>
      </x:c>
      <x:c r="B14" s="70" t="n">
        <x:f>-'Inputs'!$B$17</x:f>
        <x:v>-45</x:v>
      </x:c>
      <x:c r="C14" s="70" t="n">
        <x:f>-'Inputs'!$B$17</x:f>
        <x:v>-45</x:v>
      </x:c>
      <x:c r="D14" s="70" t="n">
        <x:f>-'Inputs'!$B$17</x:f>
        <x:v>-45</x:v>
      </x:c>
      <x:c r="E14" s="70" t="n">
        <x:f>-'Inputs'!$B$17</x:f>
        <x:v>-45</x:v>
      </x:c>
      <x:c r="F14" s="70" t="n">
        <x:f>-'Inputs'!$B$17</x:f>
        <x:v>-45</x:v>
      </x:c>
      <x:c r="G14" s="70" t="n">
        <x:f>-'Inputs'!$B$17</x:f>
        <x:v>-45</x:v>
      </x:c>
      <x:c r="H14" s="70" t="n">
        <x:f>-'Inputs'!$B$17</x:f>
        <x:v>-45</x:v>
      </x:c>
      <x:c r="I14" s="70" t="n">
        <x:f>-'Inputs'!$B$17</x:f>
        <x:v>-45</x:v>
      </x:c>
      <x:c r="J14" s="70" t="n">
        <x:f>-'Inputs'!$B$17</x:f>
        <x:v>-45</x:v>
      </x:c>
      <x:c r="K14" s="70" t="n">
        <x:f>-'Inputs'!$B$17</x:f>
        <x:v>-45</x:v>
      </x:c>
      <x:c r="L14" s="70" t="n">
        <x:f>-'Inputs'!$B$17</x:f>
        <x:v>-45</x:v>
      </x:c>
      <x:c r="M14" s="70" t="n">
        <x:f>-'Inputs'!$B$17</x:f>
        <x:v>-45</x:v>
      </x:c>
      <x:c r="N14" s="70" t="n">
        <x:f>-'Inputs'!$B$17</x:f>
        <x:v>-45</x:v>
      </x:c>
    </x:row>
    <x:row r="15" ht="20" customHeight="1">
      <x:c r="A15" s="29" t="str">
        <x:v>Payroll</x:v>
      </x:c>
      <x:c r="B15" s="70" t="n">
        <x:f>IF(MOD(1,2)=1,-'Inputs'!$B$18,0)</x:f>
        <x:v>-20</x:v>
      </x:c>
      <x:c r="C15" s="70" t="n">
        <x:f>IF(MOD(2,2)=1,-'Inputs'!$B$18,0)</x:f>
        <x:v>0</x:v>
      </x:c>
      <x:c r="D15" s="70" t="n">
        <x:f>IF(MOD(3,2)=1,-'Inputs'!$B$18,0)</x:f>
        <x:v>-20</x:v>
      </x:c>
      <x:c r="E15" s="70" t="n">
        <x:f>IF(MOD(4,2)=1,-'Inputs'!$B$18,0)</x:f>
        <x:v>0</x:v>
      </x:c>
      <x:c r="F15" s="70" t="n">
        <x:f>IF(MOD(5,2)=1,-'Inputs'!$B$18,0)</x:f>
        <x:v>-20</x:v>
      </x:c>
      <x:c r="G15" s="70" t="n">
        <x:f>IF(MOD(6,2)=1,-'Inputs'!$B$18,0)</x:f>
        <x:v>0</x:v>
      </x:c>
      <x:c r="H15" s="70" t="n">
        <x:f>IF(MOD(7,2)=1,-'Inputs'!$B$18,0)</x:f>
        <x:v>-20</x:v>
      </x:c>
      <x:c r="I15" s="70" t="n">
        <x:f>IF(MOD(8,2)=1,-'Inputs'!$B$18,0)</x:f>
        <x:v>0</x:v>
      </x:c>
      <x:c r="J15" s="70" t="n">
        <x:f>IF(MOD(9,2)=1,-'Inputs'!$B$18,0)</x:f>
        <x:v>-20</x:v>
      </x:c>
      <x:c r="K15" s="70" t="n">
        <x:f>IF(MOD(10,2)=1,-'Inputs'!$B$18,0)</x:f>
        <x:v>0</x:v>
      </x:c>
      <x:c r="L15" s="70" t="n">
        <x:f>IF(MOD(11,2)=1,-'Inputs'!$B$18,0)</x:f>
        <x:v>-20</x:v>
      </x:c>
      <x:c r="M15" s="70" t="n">
        <x:f>IF(MOD(12,2)=1,-'Inputs'!$B$18,0)</x:f>
        <x:v>0</x:v>
      </x:c>
      <x:c r="N15" s="70" t="n">
        <x:f>IF(MOD(13,2)=1,-'Inputs'!$B$18,0)</x:f>
        <x:v>-20</x:v>
      </x:c>
    </x:row>
    <x:row r="16" ht="20" customHeight="1">
      <x:c r="A16" s="29" t="str">
        <x:v>Tax</x:v>
      </x:c>
      <x:c r="B16" s="70" t="n">
        <x:f>IF(1='Inputs'!$B$23,-'Inputs'!$B$22,0)</x:f>
        <x:v>0</x:v>
      </x:c>
      <x:c r="C16" s="70" t="n">
        <x:f>IF(2='Inputs'!$B$23,-'Inputs'!$B$22,0)</x:f>
        <x:v>0</x:v>
      </x:c>
      <x:c r="D16" s="70" t="n">
        <x:f>IF(3='Inputs'!$B$23,-'Inputs'!$B$22,0)</x:f>
        <x:v>0</x:v>
      </x:c>
      <x:c r="E16" s="70" t="n">
        <x:f>IF(4='Inputs'!$B$23,-'Inputs'!$B$22,0)</x:f>
        <x:v>0</x:v>
      </x:c>
      <x:c r="F16" s="70" t="n">
        <x:f>IF(5='Inputs'!$B$23,-'Inputs'!$B$22,0)</x:f>
        <x:v>-10</x:v>
      </x:c>
      <x:c r="G16" s="70" t="n">
        <x:f>IF(6='Inputs'!$B$23,-'Inputs'!$B$22,0)</x:f>
        <x:v>0</x:v>
      </x:c>
      <x:c r="H16" s="70" t="n">
        <x:f>IF(7='Inputs'!$B$23,-'Inputs'!$B$22,0)</x:f>
        <x:v>0</x:v>
      </x:c>
      <x:c r="I16" s="70" t="n">
        <x:f>IF(8='Inputs'!$B$23,-'Inputs'!$B$22,0)</x:f>
        <x:v>0</x:v>
      </x:c>
      <x:c r="J16" s="70" t="n">
        <x:f>IF(9='Inputs'!$B$23,-'Inputs'!$B$22,0)</x:f>
        <x:v>0</x:v>
      </x:c>
      <x:c r="K16" s="70" t="n">
        <x:f>IF(10='Inputs'!$B$23,-'Inputs'!$B$22,0)</x:f>
        <x:v>0</x:v>
      </x:c>
      <x:c r="L16" s="70" t="n">
        <x:f>IF(11='Inputs'!$B$23,-'Inputs'!$B$22,0)</x:f>
        <x:v>0</x:v>
      </x:c>
      <x:c r="M16" s="70" t="n">
        <x:f>IF(12='Inputs'!$B$23,-'Inputs'!$B$22,0)</x:f>
        <x:v>0</x:v>
      </x:c>
      <x:c r="N16" s="70" t="n">
        <x:f>IF(13='Inputs'!$B$23,-'Inputs'!$B$22,0)</x:f>
        <x:v>0</x:v>
      </x:c>
    </x:row>
    <x:row r="17" ht="20" customHeight="1">
      <x:c r="A17" s="29" t="str">
        <x:v>Other outflows</x:v>
      </x:c>
      <x:c r="B17" s="70" t="n">
        <x:f>-'Inputs'!$B$19</x:f>
        <x:v>-5</x:v>
      </x:c>
      <x:c r="C17" s="70" t="n">
        <x:f>-'Inputs'!$B$19</x:f>
        <x:v>-5</x:v>
      </x:c>
      <x:c r="D17" s="70" t="n">
        <x:f>-'Inputs'!$B$19</x:f>
        <x:v>-5</x:v>
      </x:c>
      <x:c r="E17" s="70" t="n">
        <x:f>-'Inputs'!$B$19</x:f>
        <x:v>-5</x:v>
      </x:c>
      <x:c r="F17" s="70" t="n">
        <x:f>-'Inputs'!$B$19</x:f>
        <x:v>-5</x:v>
      </x:c>
      <x:c r="G17" s="70" t="n">
        <x:f>-'Inputs'!$B$19</x:f>
        <x:v>-5</x:v>
      </x:c>
      <x:c r="H17" s="70" t="n">
        <x:f>-'Inputs'!$B$19</x:f>
        <x:v>-5</x:v>
      </x:c>
      <x:c r="I17" s="70" t="n">
        <x:f>-'Inputs'!$B$19</x:f>
        <x:v>-5</x:v>
      </x:c>
      <x:c r="J17" s="70" t="n">
        <x:f>-'Inputs'!$B$19</x:f>
        <x:v>-5</x:v>
      </x:c>
      <x:c r="K17" s="70" t="n">
        <x:f>-'Inputs'!$B$19</x:f>
        <x:v>-5</x:v>
      </x:c>
      <x:c r="L17" s="70" t="n">
        <x:f>-'Inputs'!$B$19</x:f>
        <x:v>-5</x:v>
      </x:c>
      <x:c r="M17" s="70" t="n">
        <x:f>-'Inputs'!$B$19</x:f>
        <x:v>-5</x:v>
      </x:c>
      <x:c r="N17" s="70" t="n">
        <x:f>-'Inputs'!$B$19</x:f>
        <x:v>-5</x:v>
      </x:c>
    </x:row>
    <x:row r="18" ht="20" customHeight="1">
      <x:c r="A18" s="11" t="str">
        <x:v>Cash before funding</x:v>
      </x:c>
      <x:c r="B18" s="75" t="n">
        <x:f>SUM(B12:B17)</x:f>
        <x:v>74</x:v>
      </x:c>
      <x:c r="C18" s="75" t="n">
        <x:f>SUM(C12:C17)</x:f>
        <x:v>78</x:v>
      </x:c>
      <x:c r="D18" s="75" t="n">
        <x:f>SUM(D12:D17)</x:f>
        <x:v>62</x:v>
      </x:c>
      <x:c r="E18" s="75" t="n">
        <x:f>SUM(E12:E17)</x:f>
        <x:v>66</x:v>
      </x:c>
      <x:c r="F18" s="75" t="n">
        <x:f>SUM(F12:F17)</x:f>
        <x:v>40</x:v>
      </x:c>
      <x:c r="G18" s="75" t="n">
        <x:f>SUM(G12:G17)</x:f>
        <x:v>59</x:v>
      </x:c>
      <x:c r="H18" s="75" t="n">
        <x:f>SUM(H12:H17)</x:f>
        <x:v>39</x:v>
      </x:c>
      <x:c r="I18" s="75" t="n">
        <x:f>SUM(I12:I17)</x:f>
        <x:v>59</x:v>
      </x:c>
      <x:c r="J18" s="75" t="n">
        <x:f>SUM(J12:J17)</x:f>
        <x:v>39</x:v>
      </x:c>
      <x:c r="K18" s="75" t="n">
        <x:f>SUM(K12:K17)</x:f>
        <x:v>59</x:v>
      </x:c>
      <x:c r="L18" s="75" t="n">
        <x:f>SUM(L12:L17)</x:f>
        <x:v>39</x:v>
      </x:c>
      <x:c r="M18" s="75" t="n">
        <x:f>SUM(M12:M17)</x:f>
        <x:v>59</x:v>
      </x:c>
      <x:c r="N18" s="75" t="n">
        <x:f>SUM(N12:N17)</x:f>
        <x:v>39</x:v>
      </x:c>
    </x:row>
    <x:row r="19" ht="20" customHeight="1">
      <x:c r="A19" s="29" t="str">
        <x:v>Opening facility</x:v>
      </x:c>
      <x:c r="B19" s="71" t="n">
        <x:f>0</x:f>
        <x:v>0</x:v>
      </x:c>
      <x:c r="C19" s="71" t="n">
        <x:f>B22</x:f>
        <x:v>0</x:v>
      </x:c>
      <x:c r="D19" s="71" t="n">
        <x:f>C22</x:f>
        <x:v>0</x:v>
      </x:c>
      <x:c r="E19" s="71" t="n">
        <x:f>D22</x:f>
        <x:v>0</x:v>
      </x:c>
      <x:c r="F19" s="71" t="n">
        <x:f>E22</x:f>
        <x:v>0</x:v>
      </x:c>
      <x:c r="G19" s="71" t="n">
        <x:f>F22</x:f>
        <x:v>15</x:v>
      </x:c>
      <x:c r="H19" s="71" t="n">
        <x:f>G22</x:f>
        <x:v>11</x:v>
      </x:c>
      <x:c r="I19" s="71" t="n">
        <x:f>H22</x:f>
        <x:v>27</x:v>
      </x:c>
      <x:c r="J19" s="71" t="n">
        <x:f>I22</x:f>
        <x:v>23</x:v>
      </x:c>
      <x:c r="K19" s="71" t="n">
        <x:f>J22</x:f>
        <x:v>39</x:v>
      </x:c>
      <x:c r="L19" s="71" t="n">
        <x:f>K22</x:f>
        <x:v>35</x:v>
      </x:c>
      <x:c r="M19" s="71" t="n">
        <x:f>L22</x:f>
        <x:v>51</x:v>
      </x:c>
      <x:c r="N19" s="71" t="n">
        <x:f>M22</x:f>
        <x:v>47</x:v>
      </x:c>
    </x:row>
    <x:row r="20" ht="20" customHeight="1">
      <x:c r="A20" s="29" t="str">
        <x:v>Facility draw</x:v>
      </x:c>
      <x:c r="B20" s="70" t="n">
        <x:f>MIN(MAX(0,'Inputs'!$B$12-B19),MAX(0,'Inputs'!$B$11-B18))</x:f>
        <x:v>0</x:v>
      </x:c>
      <x:c r="C20" s="70" t="n">
        <x:f>MIN(MAX(0,'Inputs'!$B$12-C19),MAX(0,'Inputs'!$B$11-C18))</x:f>
        <x:v>0</x:v>
      </x:c>
      <x:c r="D20" s="70" t="n">
        <x:f>MIN(MAX(0,'Inputs'!$B$12-D19),MAX(0,'Inputs'!$B$11-D18))</x:f>
        <x:v>0</x:v>
      </x:c>
      <x:c r="E20" s="70" t="n">
        <x:f>MIN(MAX(0,'Inputs'!$B$12-E19),MAX(0,'Inputs'!$B$11-E18))</x:f>
        <x:v>0</x:v>
      </x:c>
      <x:c r="F20" s="70" t="n">
        <x:f>MIN(MAX(0,'Inputs'!$B$12-F19),MAX(0,'Inputs'!$B$11-F18))</x:f>
        <x:v>15</x:v>
      </x:c>
      <x:c r="G20" s="70" t="n">
        <x:f>MIN(MAX(0,'Inputs'!$B$12-G19),MAX(0,'Inputs'!$B$11-G18))</x:f>
        <x:v>0</x:v>
      </x:c>
      <x:c r="H20" s="70" t="n">
        <x:f>MIN(MAX(0,'Inputs'!$B$12-H19),MAX(0,'Inputs'!$B$11-H18))</x:f>
        <x:v>16</x:v>
      </x:c>
      <x:c r="I20" s="70" t="n">
        <x:f>MIN(MAX(0,'Inputs'!$B$12-I19),MAX(0,'Inputs'!$B$11-I18))</x:f>
        <x:v>0</x:v>
      </x:c>
      <x:c r="J20" s="70" t="n">
        <x:f>MIN(MAX(0,'Inputs'!$B$12-J19),MAX(0,'Inputs'!$B$11-J18))</x:f>
        <x:v>16</x:v>
      </x:c>
      <x:c r="K20" s="70" t="n">
        <x:f>MIN(MAX(0,'Inputs'!$B$12-K19),MAX(0,'Inputs'!$B$11-K18))</x:f>
        <x:v>0</x:v>
      </x:c>
      <x:c r="L20" s="70" t="n">
        <x:f>MIN(MAX(0,'Inputs'!$B$12-L19),MAX(0,'Inputs'!$B$11-L18))</x:f>
        <x:v>16</x:v>
      </x:c>
      <x:c r="M20" s="70" t="n">
        <x:f>MIN(MAX(0,'Inputs'!$B$12-M19),MAX(0,'Inputs'!$B$11-M18))</x:f>
        <x:v>0</x:v>
      </x:c>
      <x:c r="N20" s="70" t="n">
        <x:f>MIN(MAX(0,'Inputs'!$B$12-N19),MAX(0,'Inputs'!$B$11-N18))</x:f>
        <x:v>16</x:v>
      </x:c>
    </x:row>
    <x:row r="21" ht="20" customHeight="1">
      <x:c r="A21" s="29" t="str">
        <x:v>Facility repayment</x:v>
      </x:c>
      <x:c r="B21" s="70" t="n">
        <x:f>-MIN(B19+B20,MAX(0,B18-'Inputs'!$B$11))</x:f>
        <x:v>0</x:v>
      </x:c>
      <x:c r="C21" s="70" t="n">
        <x:f>-MIN(C19+C20,MAX(0,C18-'Inputs'!$B$11))</x:f>
        <x:v>0</x:v>
      </x:c>
      <x:c r="D21" s="70" t="n">
        <x:f>-MIN(D19+D20,MAX(0,D18-'Inputs'!$B$11))</x:f>
        <x:v>0</x:v>
      </x:c>
      <x:c r="E21" s="70" t="n">
        <x:f>-MIN(E19+E20,MAX(0,E18-'Inputs'!$B$11))</x:f>
        <x:v>0</x:v>
      </x:c>
      <x:c r="F21" s="70" t="n">
        <x:f>-MIN(F19+F20,MAX(0,F18-'Inputs'!$B$11))</x:f>
        <x:v>0</x:v>
      </x:c>
      <x:c r="G21" s="70" t="n">
        <x:f>-MIN(G19+G20,MAX(0,G18-'Inputs'!$B$11))</x:f>
        <x:v>-4</x:v>
      </x:c>
      <x:c r="H21" s="70" t="n">
        <x:f>-MIN(H19+H20,MAX(0,H18-'Inputs'!$B$11))</x:f>
        <x:v>0</x:v>
      </x:c>
      <x:c r="I21" s="70" t="n">
        <x:f>-MIN(I19+I20,MAX(0,I18-'Inputs'!$B$11))</x:f>
        <x:v>-4</x:v>
      </x:c>
      <x:c r="J21" s="70" t="n">
        <x:f>-MIN(J19+J20,MAX(0,J18-'Inputs'!$B$11))</x:f>
        <x:v>0</x:v>
      </x:c>
      <x:c r="K21" s="70" t="n">
        <x:f>-MIN(K19+K20,MAX(0,K18-'Inputs'!$B$11))</x:f>
        <x:v>-4</x:v>
      </x:c>
      <x:c r="L21" s="70" t="n">
        <x:f>-MIN(L19+L20,MAX(0,L18-'Inputs'!$B$11))</x:f>
        <x:v>0</x:v>
      </x:c>
      <x:c r="M21" s="70" t="n">
        <x:f>-MIN(M19+M20,MAX(0,M18-'Inputs'!$B$11))</x:f>
        <x:v>-4</x:v>
      </x:c>
      <x:c r="N21" s="70" t="n">
        <x:f>-MIN(N19+N20,MAX(0,N18-'Inputs'!$B$11))</x:f>
        <x:v>0</x:v>
      </x:c>
    </x:row>
    <x:row r="22" ht="20" customHeight="1">
      <x:c r="A22" s="11" t="str">
        <x:v>Closing facility</x:v>
      </x:c>
      <x:c r="B22" s="75" t="n">
        <x:f>SUM(B19:B21)</x:f>
        <x:v>0</x:v>
      </x:c>
      <x:c r="C22" s="75" t="n">
        <x:f>SUM(C19:C21)</x:f>
        <x:v>0</x:v>
      </x:c>
      <x:c r="D22" s="75" t="n">
        <x:f>SUM(D19:D21)</x:f>
        <x:v>0</x:v>
      </x:c>
      <x:c r="E22" s="75" t="n">
        <x:f>SUM(E19:E21)</x:f>
        <x:v>0</x:v>
      </x:c>
      <x:c r="F22" s="75" t="n">
        <x:f>SUM(F19:F21)</x:f>
        <x:v>15</x:v>
      </x:c>
      <x:c r="G22" s="75" t="n">
        <x:f>SUM(G19:G21)</x:f>
        <x:v>11</x:v>
      </x:c>
      <x:c r="H22" s="75" t="n">
        <x:f>SUM(H19:H21)</x:f>
        <x:v>27</x:v>
      </x:c>
      <x:c r="I22" s="75" t="n">
        <x:f>SUM(I19:I21)</x:f>
        <x:v>23</x:v>
      </x:c>
      <x:c r="J22" s="75" t="n">
        <x:f>SUM(J19:J21)</x:f>
        <x:v>39</x:v>
      </x:c>
      <x:c r="K22" s="75" t="n">
        <x:f>SUM(K19:K21)</x:f>
        <x:v>35</x:v>
      </x:c>
      <x:c r="L22" s="75" t="n">
        <x:f>SUM(L19:L21)</x:f>
        <x:v>51</x:v>
      </x:c>
      <x:c r="M22" s="75" t="n">
        <x:f>SUM(M19:M21)</x:f>
        <x:v>47</x:v>
      </x:c>
      <x:c r="N22" s="75" t="n">
        <x:f>SUM(N19:N21)</x:f>
        <x:v>63</x:v>
      </x:c>
    </x:row>
    <x:row r="23" ht="20" customHeight="1">
      <x:c r="A23" s="78" t="str">
        <x:v>Closing cash</x:v>
      </x:c>
      <x:c r="B23" s="77" t="n">
        <x:f>SUM(B18,B20,B21)</x:f>
        <x:v>74</x:v>
      </x:c>
      <x:c r="C23" s="77" t="n">
        <x:f>SUM(C18,C20,C21)</x:f>
        <x:v>78</x:v>
      </x:c>
      <x:c r="D23" s="77" t="n">
        <x:f>SUM(D18,D20,D21)</x:f>
        <x:v>62</x:v>
      </x:c>
      <x:c r="E23" s="77" t="n">
        <x:f>SUM(E18,E20,E21)</x:f>
        <x:v>66</x:v>
      </x:c>
      <x:c r="F23" s="77" t="n">
        <x:f>SUM(F18,F20,F21)</x:f>
        <x:v>55</x:v>
      </x:c>
      <x:c r="G23" s="77" t="n">
        <x:f>SUM(G18,G20,G21)</x:f>
        <x:v>55</x:v>
      </x:c>
      <x:c r="H23" s="77" t="n">
        <x:f>SUM(H18,H20,H21)</x:f>
        <x:v>55</x:v>
      </x:c>
      <x:c r="I23" s="77" t="n">
        <x:f>SUM(I18,I20,I21)</x:f>
        <x:v>55</x:v>
      </x:c>
      <x:c r="J23" s="77" t="n">
        <x:f>SUM(J18,J20,J21)</x:f>
        <x:v>55</x:v>
      </x:c>
      <x:c r="K23" s="77" t="n">
        <x:f>SUM(K18,K20,K21)</x:f>
        <x:v>55</x:v>
      </x:c>
      <x:c r="L23" s="77" t="n">
        <x:f>SUM(L18,L20,L21)</x:f>
        <x:v>55</x:v>
      </x:c>
      <x:c r="M23" s="77" t="n">
        <x:f>SUM(M18,M20,M21)</x:f>
        <x:v>55</x:v>
      </x:c>
      <x:c r="N23" s="77" t="n">
        <x:f>SUM(N18,N20,N21)</x:f>
        <x:v>55</x:v>
      </x:c>
    </x:row>
    <x:row r="24" ht="20" customHeight="1">
      <x:c r="A24" s="29" t="str">
        <x:v>Unfunded gap</x:v>
      </x:c>
      <x:c r="B24" s="70" t="n">
        <x:f>MAX(0,'Inputs'!$B$11-B23)</x:f>
        <x:v>0</x:v>
      </x:c>
      <x:c r="C24" s="70" t="n">
        <x:f>MAX(0,'Inputs'!$B$11-C23)</x:f>
        <x:v>0</x:v>
      </x:c>
      <x:c r="D24" s="70" t="n">
        <x:f>MAX(0,'Inputs'!$B$11-D23)</x:f>
        <x:v>0</x:v>
      </x:c>
      <x:c r="E24" s="70" t="n">
        <x:f>MAX(0,'Inputs'!$B$11-E23)</x:f>
        <x:v>0</x:v>
      </x:c>
      <x:c r="F24" s="70" t="n">
        <x:f>MAX(0,'Inputs'!$B$11-F23)</x:f>
        <x:v>0</x:v>
      </x:c>
      <x:c r="G24" s="70" t="n">
        <x:f>MAX(0,'Inputs'!$B$11-G23)</x:f>
        <x:v>0</x:v>
      </x:c>
      <x:c r="H24" s="70" t="n">
        <x:f>MAX(0,'Inputs'!$B$11-H23)</x:f>
        <x:v>0</x:v>
      </x:c>
      <x:c r="I24" s="70" t="n">
        <x:f>MAX(0,'Inputs'!$B$11-I23)</x:f>
        <x:v>0</x:v>
      </x:c>
      <x:c r="J24" s="70" t="n">
        <x:f>MAX(0,'Inputs'!$B$11-J23)</x:f>
        <x:v>0</x:v>
      </x:c>
      <x:c r="K24" s="70" t="n">
        <x:f>MAX(0,'Inputs'!$B$11-K23)</x:f>
        <x:v>0</x:v>
      </x:c>
      <x:c r="L24" s="70" t="n">
        <x:f>MAX(0,'Inputs'!$B$11-L23)</x:f>
        <x:v>0</x:v>
      </x:c>
      <x:c r="M24" s="70" t="n">
        <x:f>MAX(0,'Inputs'!$B$11-M23)</x:f>
        <x:v>0</x:v>
      </x:c>
      <x:c r="N24" s="70" t="n">
        <x:f>MAX(0,'Inputs'!$B$11-N23)</x:f>
        <x:v>0</x:v>
      </x:c>
    </x:row>
    <x:row r="25" ht="20" customHeight="1">
      <x:c r="A25" s="29" t="str">
        <x:v>Cash check</x:v>
      </x:c>
      <x:c r="B25" s="71" t="n">
        <x:f>B23-SUM(B12,B13,B14,B15,B16,B17,B20,B21)</x:f>
        <x:v>0</x:v>
      </x:c>
      <x:c r="C25" s="71" t="n">
        <x:f>C23-SUM(C12,C13,C14,C15,C16,C17,C20,C21)</x:f>
        <x:v>0</x:v>
      </x:c>
      <x:c r="D25" s="71" t="n">
        <x:f>D23-SUM(D12,D13,D14,D15,D16,D17,D20,D21)</x:f>
        <x:v>0</x:v>
      </x:c>
      <x:c r="E25" s="71" t="n">
        <x:f>E23-SUM(E12,E13,E14,E15,E16,E17,E20,E21)</x:f>
        <x:v>0</x:v>
      </x:c>
      <x:c r="F25" s="71" t="n">
        <x:f>F23-SUM(F12,F13,F14,F15,F16,F17,F20,F21)</x:f>
        <x:v>0</x:v>
      </x:c>
      <x:c r="G25" s="71" t="n">
        <x:f>G23-SUM(G12,G13,G14,G15,G16,G17,G20,G21)</x:f>
        <x:v>0</x:v>
      </x:c>
      <x:c r="H25" s="71" t="n">
        <x:f>H23-SUM(H12,H13,H14,H15,H16,H17,H20,H21)</x:f>
        <x:v>0</x:v>
      </x:c>
      <x:c r="I25" s="71" t="n">
        <x:f>I23-SUM(I12,I13,I14,I15,I16,I17,I20,I21)</x:f>
        <x:v>0</x:v>
      </x:c>
      <x:c r="J25" s="71" t="n">
        <x:f>J23-SUM(J12,J13,J14,J15,J16,J17,J20,J21)</x:f>
        <x:v>0</x:v>
      </x:c>
      <x:c r="K25" s="71" t="n">
        <x:f>K23-SUM(K12,K13,K14,K15,K16,K17,K20,K21)</x:f>
        <x:v>0</x:v>
      </x:c>
      <x:c r="L25" s="71" t="n">
        <x:f>L23-SUM(L12,L13,L14,L15,L16,L17,L20,L21)</x:f>
        <x:v>0</x:v>
      </x:c>
      <x:c r="M25" s="71" t="n">
        <x:f>M23-SUM(M12,M13,M14,M15,M16,M17,M20,M21)</x:f>
        <x:v>0</x:v>
      </x:c>
      <x:c r="N25" s="71" t="n">
        <x:f>N23-SUM(N12,N13,N14,N15,N16,N17,N20,N21)</x:f>
        <x:v>0</x:v>
      </x:c>
    </x:row>
    <x:row r="26" ht="20" customHeight="1">
      <x:c r="A26" s="29" t="str">
        <x:v>Facility check</x:v>
      </x:c>
      <x:c r="B26" s="71" t="n">
        <x:f>B22-SUM(B19,B20,B21)</x:f>
        <x:v>0</x:v>
      </x:c>
      <x:c r="C26" s="71" t="n">
        <x:f>C22-SUM(C19,C20,C21)</x:f>
        <x:v>0</x:v>
      </x:c>
      <x:c r="D26" s="71" t="n">
        <x:f>D22-SUM(D19,D20,D21)</x:f>
        <x:v>0</x:v>
      </x:c>
      <x:c r="E26" s="71" t="n">
        <x:f>E22-SUM(E19,E20,E21)</x:f>
        <x:v>0</x:v>
      </x:c>
      <x:c r="F26" s="71" t="n">
        <x:f>F22-SUM(F19,F20,F21)</x:f>
        <x:v>0</x:v>
      </x:c>
      <x:c r="G26" s="71" t="n">
        <x:f>G22-SUM(G19,G20,G21)</x:f>
        <x:v>0</x:v>
      </x:c>
      <x:c r="H26" s="71" t="n">
        <x:f>H22-SUM(H19,H20,H21)</x:f>
        <x:v>0</x:v>
      </x:c>
      <x:c r="I26" s="71" t="n">
        <x:f>I22-SUM(I19,I20,I21)</x:f>
        <x:v>0</x:v>
      </x:c>
      <x:c r="J26" s="71" t="n">
        <x:f>J22-SUM(J19,J20,J21)</x:f>
        <x:v>0</x:v>
      </x:c>
      <x:c r="K26" s="71" t="n">
        <x:f>K22-SUM(K19,K20,K21)</x:f>
        <x:v>0</x:v>
      </x:c>
      <x:c r="L26" s="71" t="n">
        <x:f>L22-SUM(L19,L20,L21)</x:f>
        <x:v>0</x:v>
      </x:c>
      <x:c r="M26" s="71" t="n">
        <x:f>M22-SUM(M19,M20,M21)</x:f>
        <x:v>0</x:v>
      </x:c>
      <x:c r="N26" s="71" t="n">
        <x:f>N22-SUM(N19,N20,N21)</x:f>
        <x:v>0</x:v>
      </x:c>
    </x:row>
    <x:row r="27" ht="20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</x:row>
    <x:row r="28" ht="20" customHeight="1">
      <x:c r="A28" s="61" t="str">
        <x:v>LIQUIDITY SUMMARY</x:v>
      </x:c>
      <x:c r="B28" s="61"/>
      <x:c r="C28" s="61"/>
      <x:c r="D28" s="61"/>
      <x:c r="E28" s="61"/>
      <x:c r="F28" s="61"/>
      <x:c r="G28" s="61"/>
      <x:c r="H28" s="61"/>
      <x:c r="I28" s="61"/>
      <x:c r="J28" s="61"/>
      <x:c r="K28" s="61"/>
      <x:c r="L28" s="61"/>
      <x:c r="M28" s="61"/>
      <x:c r="N28" s="61"/>
    </x:row>
    <x:row r="29" ht="20" customHeight="1">
      <x:c r="A29" s="28" t="str">
        <x:v>Metric</x:v>
      </x:c>
      <x:c r="B29" s="28" t="str">
        <x:v>Value</x:v>
      </x:c>
      <x:c r="C29" s="28" t="str">
        <x:v>Unit</x:v>
      </x:c>
      <x:c r="D29" s="79" t="str">
        <x:v>Notes</x:v>
      </x:c>
      <x:c r="E29" s="80"/>
      <x:c r="F29" s="80"/>
      <x:c r="G29" s="80"/>
      <x:c r="H29" s="80"/>
      <x:c r="I29" s="3"/>
      <x:c r="J29" s="3"/>
      <x:c r="K29" s="3"/>
      <x:c r="L29" s="3"/>
      <x:c r="M29" s="3"/>
      <x:c r="N29" s="3"/>
    </x:row>
    <x:row r="30" ht="20" customHeight="1">
      <x:c r="A30" s="29" t="str">
        <x:v>Minimum closing cash</x:v>
      </x:c>
      <x:c r="B30" s="71" t="n">
        <x:f>MIN(B23:N23)</x:f>
        <x:v>55</x:v>
      </x:c>
      <x:c r="C30" s="29" t="str">
        <x:v>LCY000</x:v>
      </x:c>
      <x:c r="D30" s="37" t="str">
        <x:v>Lowest funded cash balance</x:v>
      </x:c>
      <x:c r="E30" s="38"/>
      <x:c r="F30" s="38"/>
      <x:c r="G30" s="38"/>
      <x:c r="H30" s="38"/>
      <x:c r="I30" s="3"/>
      <x:c r="J30" s="3"/>
      <x:c r="K30" s="3"/>
      <x:c r="L30" s="3"/>
      <x:c r="M30" s="3"/>
      <x:c r="N30" s="3"/>
    </x:row>
    <x:row r="31" ht="20" customHeight="1">
      <x:c r="A31" s="11" t="str">
        <x:v>Peak facility draw</x:v>
      </x:c>
      <x:c r="B31" s="75" t="n">
        <x:f>MAX(B22:N22)</x:f>
        <x:v>63</x:v>
      </x:c>
      <x:c r="C31" s="11" t="str">
        <x:v>LCY000</x:v>
      </x:c>
      <x:c r="D31" s="87" t="str">
        <x:v>Maximum funding used</x:v>
      </x:c>
      <x:c r="E31" s="88"/>
      <x:c r="F31" s="88"/>
      <x:c r="G31" s="88"/>
      <x:c r="H31" s="88"/>
      <x:c r="I31" s="3"/>
      <x:c r="J31" s="3"/>
      <x:c r="K31" s="3"/>
      <x:c r="L31" s="3"/>
      <x:c r="M31" s="3"/>
      <x:c r="N31" s="3"/>
    </x:row>
    <x:row r="32" ht="20" customHeight="1">
      <x:c r="A32" s="11" t="str">
        <x:v>Week 13 closing cash</x:v>
      </x:c>
      <x:c r="B32" s="75" t="n">
        <x:f>N23</x:f>
        <x:v>55</x:v>
      </x:c>
      <x:c r="C32" s="11" t="str">
        <x:v>LCY000</x:v>
      </x:c>
      <x:c r="D32" s="87" t="str">
        <x:v>Ending liquidity</x:v>
      </x:c>
      <x:c r="E32" s="88"/>
      <x:c r="F32" s="88"/>
      <x:c r="G32" s="88"/>
      <x:c r="H32" s="88"/>
      <x:c r="I32" s="3"/>
      <x:c r="J32" s="3"/>
      <x:c r="K32" s="3"/>
      <x:c r="L32" s="3"/>
      <x:c r="M32" s="3"/>
      <x:c r="N32" s="3"/>
    </x:row>
    <x:row r="33" ht="20" customHeight="1">
      <x:c r="A33" s="29" t="str">
        <x:v>Unused facility</x:v>
      </x:c>
      <x:c r="B33" s="70" t="n">
        <x:f>MAX(0,'Inputs'!$B$12-B31)</x:f>
        <x:v>77</x:v>
      </x:c>
      <x:c r="C33" s="29" t="str">
        <x:v>LCY000</x:v>
      </x:c>
      <x:c r="D33" s="37" t="str">
        <x:v>Limit less peak use</x:v>
      </x:c>
      <x:c r="E33" s="38"/>
      <x:c r="F33" s="38"/>
      <x:c r="G33" s="38"/>
      <x:c r="H33" s="38"/>
      <x:c r="I33" s="3"/>
      <x:c r="J33" s="3"/>
      <x:c r="K33" s="3"/>
      <x:c r="L33" s="3"/>
      <x:c r="M33" s="3"/>
      <x:c r="N33" s="3"/>
    </x:row>
    <x:row r="34" ht="20" customHeight="1">
      <x:c r="A34" s="29" t="str">
        <x:v>Peak unfunded gap</x:v>
      </x:c>
      <x:c r="B34" s="71" t="n">
        <x:f>MAX(B24:N24)</x:f>
        <x:v>0</x:v>
      </x:c>
      <x:c r="C34" s="29" t="str">
        <x:v>LCY000</x:v>
      </x:c>
      <x:c r="D34" s="37" t="str">
        <x:v>Liquidity not covered by facility</x:v>
      </x:c>
      <x:c r="E34" s="38"/>
      <x:c r="F34" s="38"/>
      <x:c r="G34" s="38"/>
      <x:c r="H34" s="38"/>
      <x:c r="I34" s="3"/>
      <x:c r="J34" s="3"/>
      <x:c r="K34" s="3"/>
      <x:c r="L34" s="3"/>
      <x:c r="M34" s="3"/>
      <x:c r="N34" s="3"/>
    </x:row>
    <x:row r="35" ht="20" customHeight="1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</x:row>
    <x:row r="36" ht="20" customHeight="1">
      <x:c r="A36" s="127" t="str">
        <x:f>IF(B34&gt;0,"OUTCOME: Facility is not enough.",IF(B31&gt;0,"OUTCOME: A facility draw is required.","OUTCOME: No facility draw is required."))</x:f>
        <x:v>OUTCOME: A facility draw is required.</x:v>
      </x:c>
      <x:c r="B36" s="128"/>
      <x:c r="C36" s="128"/>
      <x:c r="D36" s="128"/>
      <x:c r="E36" s="128"/>
      <x:c r="F36" s="128"/>
      <x:c r="G36" s="128"/>
      <x:c r="H36" s="128"/>
      <x:c r="I36" s="128"/>
      <x:c r="J36" s="128"/>
      <x:c r="K36" s="128"/>
      <x:c r="L36" s="128"/>
      <x:c r="M36" s="128"/>
      <x:c r="N36" s="129"/>
    </x:row>
    <x:row r="37" ht="20" customHeight="1">
      <x:c r="A37" s="130"/>
      <x:c r="B37" s="131"/>
      <x:c r="C37" s="131"/>
      <x:c r="D37" s="131"/>
      <x:c r="E37" s="131"/>
      <x:c r="F37" s="131"/>
      <x:c r="G37" s="131"/>
      <x:c r="H37" s="131"/>
      <x:c r="I37" s="131"/>
      <x:c r="J37" s="131"/>
      <x:c r="K37" s="131"/>
      <x:c r="L37" s="131"/>
      <x:c r="M37" s="131"/>
      <x:c r="N37" s="132"/>
    </x:row>
    <x:row r="38" ht="20" customHeight="1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</x:row>
    <x:row r="39" ht="20" customHeight="1">
      <x:c r="A39" s="60" t="str">
        <x:v>13-Week Cash Flow · v1.4.0</x:v>
      </x:c>
      <x:c r="B39" s="60"/>
      <x:c r="C39" s="60"/>
      <x:c r="D39" s="60"/>
      <x:c r="E39" s="60"/>
      <x:c r="F39" s="60"/>
      <x:c r="G39" s="60"/>
      <x:c r="H39" s="60"/>
      <x:c r="I39" s="60"/>
      <x:c r="J39" s="60"/>
      <x:c r="K39" s="60"/>
      <x:c r="L39" s="60"/>
      <x:c r="M39" s="60"/>
      <x:c r="N39" s="60"/>
    </x:row>
  </x:sheetData>
  <x:mergeCells>
    <x:mergeCell ref="A1:N2"/>
    <x:mergeCell ref="A3:N3"/>
    <x:mergeCell ref="A10:N10"/>
    <x:mergeCell ref="A28:N28"/>
    <x:mergeCell ref="D29:H29"/>
    <x:mergeCell ref="D30:H30"/>
    <x:mergeCell ref="D31:H31"/>
    <x:mergeCell ref="D32:H32"/>
    <x:mergeCell ref="D33:H33"/>
    <x:mergeCell ref="D34:H34"/>
    <x:mergeCell ref="A5:B5"/>
    <x:mergeCell ref="A6:B8"/>
    <x:mergeCell ref="C5:D5"/>
    <x:mergeCell ref="C6:D8"/>
    <x:mergeCell ref="E5:F5"/>
    <x:mergeCell ref="E6:F8"/>
    <x:mergeCell ref="G5:H5"/>
    <x:mergeCell ref="G6:H8"/>
    <x:mergeCell ref="A36:N37"/>
    <x:mergeCell ref="A39:N3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13-Week Cash Flow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93" t="str">
        <x:v>MINIMUM CASH</x:v>
      </x:c>
      <x:c r="B5" s="94"/>
      <x:c r="C5" s="93" t="str">
        <x:v>PEAK FACILITY</x:v>
      </x:c>
      <x:c r="D5" s="94"/>
      <x:c r="E5" s="93" t="str">
        <x:v>CLOSING CASH</x:v>
      </x:c>
      <x:c r="F5" s="94"/>
      <x:c r="G5" s="93" t="str">
        <x:v>FACILITY LEFT</x:v>
      </x:c>
      <x:c r="H5" s="94"/>
    </x:row>
    <x:row r="6" ht="20" customHeight="1">
      <x:c r="A6" s="108" t="n">
        <x:f>'Model'!A6</x:f>
        <x:v>55</x:v>
      </x:c>
      <x:c r="B6" s="109"/>
      <x:c r="C6" s="108" t="n">
        <x:f>'Model'!C6</x:f>
        <x:v>63</x:v>
      </x:c>
      <x:c r="D6" s="109"/>
      <x:c r="E6" s="108" t="n">
        <x:f>'Model'!E6</x:f>
        <x:v>55</x:v>
      </x:c>
      <x:c r="F6" s="109"/>
      <x:c r="G6" s="108" t="n">
        <x:f>'Model'!G6</x:f>
        <x:v>77</x:v>
      </x:c>
      <x:c r="H6" s="109"/>
    </x:row>
    <x:row r="7" ht="20" customHeight="1">
      <x:c r="A7" s="110"/>
      <x:c r="B7" s="111"/>
      <x:c r="C7" s="110"/>
      <x:c r="D7" s="111"/>
      <x:c r="E7" s="110"/>
      <x:c r="F7" s="111"/>
      <x:c r="G7" s="110"/>
      <x:c r="H7" s="111"/>
    </x:row>
    <x:row r="8" ht="20" customHeight="1">
      <x:c r="A8" s="112"/>
      <x:c r="B8" s="113"/>
      <x:c r="C8" s="112"/>
      <x:c r="D8" s="113"/>
      <x:c r="E8" s="112"/>
      <x:c r="F8" s="113"/>
      <x:c r="G8" s="112"/>
      <x:c r="H8" s="113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DECISION VIEW</x:v>
      </x:c>
      <x:c r="B10" s="61"/>
      <x:c r="C10" s="61"/>
      <x:c r="D10" s="61"/>
      <x:c r="E10" s="61"/>
      <x:c r="F10" s="61"/>
      <x:c r="G10" s="61"/>
      <x:c r="H10" s="61"/>
    </x:row>
    <x:row r="11" ht="34" customHeight="1">
      <x:c r="A11" s="134" t="str">
        <x:v>CALCULATION STATUS</x:v>
      </x:c>
      <x:c r="B11" s="134"/>
      <x:c r="C11" s="138" t="str">
        <x:f>'Checks'!B4</x:f>
        <x:v>PASS</x:v>
      </x:c>
      <x:c r="D11" s="139"/>
      <x:c r="E11" s="134" t="str">
        <x:v>LIQUIDITY OUTCOME</x:v>
      </x:c>
      <x:c r="F11" s="134"/>
      <x:c r="G11" s="144" t="str">
        <x:f>'Model'!A36</x:f>
        <x:v>OUTCOME: A facility draw is required.</x:v>
      </x:c>
      <x:c r="H11" s="145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WHAT IT ANSWERS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153" t="str">
        <x:v>When will cash tighten, and how much facility is needed?</x:v>
      </x:c>
      <x:c r="B14" s="154"/>
      <x:c r="C14" s="154"/>
      <x:c r="D14" s="154"/>
      <x:c r="E14" s="154"/>
      <x:c r="F14" s="154"/>
      <x:c r="G14" s="154"/>
      <x:c r="H14" s="155"/>
    </x:row>
    <x:row r="15" ht="20" customHeight="1">
      <x:c r="A15" s="156"/>
      <x:c r="B15" s="157"/>
      <x:c r="C15" s="157"/>
      <x:c r="D15" s="157"/>
      <x:c r="E15" s="157"/>
      <x:c r="F15" s="157"/>
      <x:c r="G15" s="157"/>
      <x:c r="H15" s="158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61" t="str">
        <x:v>MODEL DEPTH</x:v>
      </x:c>
      <x:c r="B17" s="61"/>
      <x:c r="C17" s="61"/>
      <x:c r="D17" s="61"/>
      <x:c r="E17" s="61"/>
      <x:c r="F17" s="61"/>
      <x:c r="G17" s="61"/>
      <x:c r="H17" s="61"/>
    </x:row>
    <x:row r="18" ht="20" customHeight="1">
      <x:c r="A18" s="133" t="str">
        <x:v>Forecast</x:v>
      </x:c>
      <x:c r="B18" s="133"/>
      <x:c r="C18" s="146" t="str">
        <x:v>13 weeks</x:v>
      </x:c>
      <x:c r="D18" s="146"/>
      <x:c r="E18" s="146"/>
      <x:c r="F18" s="146"/>
      <x:c r="G18" s="146"/>
      <x:c r="H18" s="146"/>
    </x:row>
    <x:row r="19" ht="20" customHeight="1">
      <x:c r="A19" s="133" t="str">
        <x:v>Editable inputs</x:v>
      </x:c>
      <x:c r="B19" s="133"/>
      <x:c r="C19" s="146" t="str">
        <x:v>10</x:v>
      </x:c>
      <x:c r="D19" s="146"/>
      <x:c r="E19" s="146"/>
      <x:c r="F19" s="146"/>
      <x:c r="G19" s="146"/>
      <x:c r="H19" s="146"/>
    </x:row>
    <x:row r="20" ht="20" customHeight="1">
      <x:c r="A20" s="133" t="str">
        <x:v>Calculation detail</x:v>
      </x:c>
      <x:c r="B20" s="133"/>
      <x:c r="C20" s="146" t="str">
        <x:v>Visible formulas, schedules, roll-forwards, and bridges</x:v>
      </x:c>
      <x:c r="D20" s="146"/>
      <x:c r="E20" s="146"/>
      <x:c r="F20" s="146"/>
      <x:c r="G20" s="146"/>
      <x:c r="H20" s="146"/>
    </x:row>
    <x:row r="21" ht="20" customHeight="1">
      <x:c r="A21" s="133" t="str">
        <x:v>Workbook flow</x:v>
      </x:c>
      <x:c r="B21" s="133"/>
      <x:c r="C21" s="146" t="str">
        <x:v>Start → Inputs → Model → Results → Checks</x:v>
      </x:c>
      <x:c r="D21" s="146"/>
      <x:c r="E21" s="146"/>
      <x:c r="F21" s="146"/>
      <x:c r="G21" s="146"/>
      <x:c r="H21" s="146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61" t="str">
        <x:v>SCOPE</x:v>
      </x:c>
      <x:c r="B23" s="61"/>
      <x:c r="C23" s="61"/>
      <x:c r="D23" s="61"/>
      <x:c r="E23" s="61"/>
      <x:c r="F23" s="61"/>
      <x:c r="G23" s="61"/>
      <x:c r="H23" s="61"/>
    </x:row>
    <x:row r="24" ht="20" customHeight="1">
      <x:c r="A24" s="167" t="str">
        <x:v>Included: A 13-week direct cash forecast · Automatic facility draw and repayment · Peak funding and closing liquidity</x:v>
      </x:c>
      <x:c r="B24" s="168"/>
      <x:c r="C24" s="168"/>
      <x:c r="D24" s="168"/>
      <x:c r="E24" s="168"/>
      <x:c r="F24" s="168"/>
      <x:c r="G24" s="168"/>
      <x:c r="H24" s="169"/>
    </x:row>
    <x:row r="25" ht="20" customHeight="1">
      <x:c r="A25" s="170"/>
      <x:c r="B25" s="171"/>
      <x:c r="C25" s="171"/>
      <x:c r="D25" s="171"/>
      <x:c r="E25" s="171"/>
      <x:c r="F25" s="171"/>
      <x:c r="G25" s="171"/>
      <x:c r="H25" s="172"/>
    </x:row>
    <x:row r="26" ht="20" customHeight="1">
      <x:c r="A26" s="173"/>
      <x:c r="B26" s="174"/>
      <x:c r="C26" s="174"/>
      <x:c r="D26" s="174"/>
      <x:c r="E26" s="174"/>
      <x:c r="F26" s="174"/>
      <x:c r="G26" s="174"/>
      <x:c r="H26" s="175"/>
    </x:row>
    <x:row r="27" ht="20" customHeight="1">
      <x:c r="A27" s="54" t="str">
        <x:v>Outside this model: Invoice-level inputs, payment priority law, bank feeds, interest, scenarios, and sensitivities.</x:v>
      </x:c>
      <x:c r="B27" s="55"/>
      <x:c r="C27" s="55"/>
      <x:c r="D27" s="55"/>
      <x:c r="E27" s="55"/>
      <x:c r="F27" s="55"/>
      <x:c r="G27" s="55"/>
      <x:c r="H27" s="56"/>
    </x:row>
    <x:row r="28" ht="20" customHeight="1">
      <x:c r="A28" s="57"/>
      <x:c r="B28" s="58"/>
      <x:c r="C28" s="58"/>
      <x:c r="D28" s="58"/>
      <x:c r="E28" s="58"/>
      <x:c r="F28" s="58"/>
      <x:c r="G28" s="58"/>
      <x:c r="H28" s="59"/>
    </x:row>
    <x:row r="29" ht="20" customHeight="1">
      <x:c r="A29" s="179" t="str">
        <x:v>Five visible tabs · No hidden calculations · Calculation status and business outcome are reported separately.</x:v>
      </x:c>
      <x:c r="B29" s="180"/>
      <x:c r="C29" s="180"/>
      <x:c r="D29" s="180"/>
      <x:c r="E29" s="180"/>
      <x:c r="F29" s="180"/>
      <x:c r="G29" s="180"/>
      <x:c r="H29" s="181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13-Week Cash Flow · v1.4.0 · Linked summary only · Trace all formulas on Model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13-Week Cash Flow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182" t="str">
        <x:f>IF(COUNTIF(F9:F18,"PASS")=10,"PASS","FAIL")</x:f>
        <x:v>PASS</x:v>
      </x:c>
      <x:c r="C4" s="182"/>
      <x:c r="D4" s="182"/>
      <x:c r="E4" s="182"/>
      <x:c r="F4" s="182"/>
      <x:c r="G4" s="182"/>
      <x:c r="H4" s="182"/>
    </x:row>
    <x:row r="5" ht="20" customHeight="1">
      <x:c r="A5" s="60" t="str">
        <x:v>MODEL STATUS</x:v>
      </x:c>
      <x:c r="B5" s="60"/>
      <x:c r="C5" s="138" t="str">
        <x:f>B4</x:f>
        <x:v>PASS</x:v>
      </x:c>
      <x:c r="D5" s="184"/>
      <x:c r="E5" s="184"/>
      <x:c r="F5" s="184"/>
      <x:c r="G5" s="184"/>
      <x:c r="H5" s="139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61" t="str">
        <x:v>10 CALCULATION CONTROLS</x:v>
      </x:c>
      <x:c r="B7" s="61"/>
      <x:c r="C7" s="61"/>
      <x:c r="D7" s="61"/>
      <x:c r="E7" s="61"/>
      <x:c r="F7" s="61"/>
      <x:c r="G7" s="61"/>
      <x:c r="H7" s="61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171" t="str">
        <x:v>All editable inputs are numeric</x:v>
      </x:c>
      <x:c r="B9" s="187" t="n">
        <x:f>ROUND(COUNT('Inputs'!B10,'Inputs'!B11,'Inputs'!B12,'Inputs'!B15,'Inputs'!B16,'Inputs'!B17,'Inputs'!B18,'Inputs'!B19,'Inputs'!B22,'Inputs'!B23),6)</x:f>
        <x:v>10</x:v>
      </x:c>
      <x:c r="C9" s="187" t="n">
        <x:f>10</x:f>
        <x:v>10</x:v>
      </x:c>
      <x:c r="D9" s="187" t="n">
        <x:f>ROUND(B9-C9,6)</x:f>
        <x:v>0</x:v>
      </x:c>
      <x:c r="E9" s="187" t="n">
        <x:f>0</x:f>
        <x:v>0</x:v>
      </x:c>
      <x:c r="F9" s="188" t="str">
        <x:f>IF(ABS(ROUND(D9,6))&lt;=E9,"PASS","FAIL")</x:f>
        <x:v>PASS</x:v>
      </x:c>
      <x:c r="G9" s="171" t="str">
        <x:v>Complete the blue cells on Inputs</x:v>
      </x:c>
      <x:c r="H9" s="171"/>
    </x:row>
    <x:row r="10" ht="26" customHeight="1">
      <x:c r="A10" s="171" t="str">
        <x:v>Results headline KPIs reconcile to Model</x:v>
      </x:c>
      <x:c r="B10" s="191" t="n">
        <x:f>ROUND(IFERROR(SUM(ABS('Results'!A6-'Model'!A6),ABS('Results'!C6-'Model'!C6),ABS('Results'!E6-'Model'!E6),ABS('Results'!G6-'Model'!G6)),1E+99),6)</x:f>
        <x:v>0</x:v>
      </x:c>
      <x:c r="C10" s="191" t="n">
        <x:f>0</x:f>
        <x:v>0</x:v>
      </x:c>
      <x:c r="D10" s="191" t="n">
        <x:f>ROUND(B10-C10,6)</x:f>
        <x:v>0</x:v>
      </x:c>
      <x:c r="E10" s="191" t="n">
        <x:f>0.0001</x:f>
        <x:v>0.0001</x:v>
      </x:c>
      <x:c r="F10" s="188" t="str">
        <x:f>IF(ABS(ROUND(D10,6))&lt;=E10,"PASS","FAIL")</x:f>
        <x:v>PASS</x:v>
      </x:c>
      <x:c r="G10" s="171" t="str">
        <x:v>Review Results-to-Model links</x:v>
      </x:c>
      <x:c r="H10" s="171"/>
    </x:row>
    <x:row r="11" ht="26" customHeight="1">
      <x:c r="A11" s="171" t="str">
        <x:v>Liquidity inputs are valid</x:v>
      </x:c>
      <x:c r="B11" s="191" t="n">
        <x:f>ROUND(IF(AND('Inputs'!$B$10&gt;=0,'Inputs'!$B$11&gt;=0,'Inputs'!$B$12&gt;=0,'Inputs'!$B$15&gt;=0,'Inputs'!$B$16&gt;=0,'Inputs'!$B$16&lt;=1,'Inputs'!$B$17&gt;=0,'Inputs'!$B$18&gt;=0,'Inputs'!$B$19&gt;=0,'Inputs'!$B$22&gt;=0),1,0),6)</x:f>
        <x:v>1</x:v>
      </x:c>
      <x:c r="C11" s="191" t="n">
        <x:f>1</x:f>
        <x:v>1</x:v>
      </x:c>
      <x:c r="D11" s="191" t="n">
        <x:f>ROUND(B11-C11,6)</x:f>
        <x:v>0</x:v>
      </x:c>
      <x:c r="E11" s="191" t="n">
        <x:f>0.0001</x:f>
        <x:v>0.0001</x:v>
      </x:c>
      <x:c r="F11" s="188" t="str">
        <x:f>IF(ABS(ROUND(D11,6))&lt;=E11,"PASS","FAIL")</x:f>
        <x:v>PASS</x:v>
      </x:c>
      <x:c r="G11" s="171" t="str">
        <x:v>Inputs: liquidity and weekly cash drivers</x:v>
      </x:c>
      <x:c r="H11" s="171"/>
    </x:row>
    <x:row r="12" ht="26" customHeight="1">
      <x:c r="A12" s="171" t="str">
        <x:v>Tax week is valid</x:v>
      </x:c>
      <x:c r="B12" s="191" t="n">
        <x:f>ROUND(IF(AND('Inputs'!$B$23&gt;=1,'Inputs'!$B$23&lt;=13,'Inputs'!$B$23=INT('Inputs'!$B$23)),1,0),6)</x:f>
        <x:v>1</x:v>
      </x:c>
      <x:c r="C12" s="191" t="n">
        <x:f>1</x:f>
        <x:v>1</x:v>
      </x:c>
      <x:c r="D12" s="191" t="n">
        <x:f>ROUND(B12-C12,6)</x:f>
        <x:v>0</x:v>
      </x:c>
      <x:c r="E12" s="191" t="n">
        <x:f>0.0001</x:f>
        <x:v>0.0001</x:v>
      </x:c>
      <x:c r="F12" s="188" t="str">
        <x:f>IF(ABS(ROUND(D12,6))&lt;=E12,"PASS","FAIL")</x:f>
        <x:v>PASS</x:v>
      </x:c>
      <x:c r="G12" s="171" t="str">
        <x:v>Inputs: tax week</x:v>
      </x:c>
      <x:c r="H12" s="171"/>
    </x:row>
    <x:row r="13" ht="26" customHeight="1">
      <x:c r="A13" s="171" t="str">
        <x:v>Weekly receipts are calculated</x:v>
      </x:c>
      <x:c r="B13" s="194" t="n">
        <x:f>ROUND(MAX(ABS('Model'!B13-'Inputs'!$B$15*'Inputs'!$B$16),ABS('Model'!C13-'Inputs'!$B$15*'Inputs'!$B$16),ABS('Model'!D13-'Inputs'!$B$15*'Inputs'!$B$16),ABS('Model'!E13-'Inputs'!$B$15*'Inputs'!$B$16),ABS('Model'!F13-'Inputs'!$B$15*'Inputs'!$B$16),ABS('Model'!G13-'Inputs'!$B$15*'Inputs'!$B$16),ABS('Model'!H13-'Inputs'!$B$15*'Inputs'!$B$16),ABS('Model'!I13-'Inputs'!$B$15*'Inputs'!$B$16),ABS('Model'!J13-'Inputs'!$B$15*'Inputs'!$B$16),ABS('Model'!K13-'Inputs'!$B$15*'Inputs'!$B$16),ABS('Model'!L13-'Inputs'!$B$15*'Inputs'!$B$16),ABS('Model'!M13-'Inputs'!$B$15*'Inputs'!$B$16),ABS('Model'!N13-'Inputs'!$B$15*'Inputs'!$B$16)),6)</x:f>
        <x:v>0</x:v>
      </x:c>
      <x:c r="C13" s="194" t="n">
        <x:f>0</x:f>
        <x:v>0</x:v>
      </x:c>
      <x:c r="D13" s="194" t="n">
        <x:f>ROUND(B13-C13,6)</x:f>
        <x:v>0</x:v>
      </x:c>
      <x:c r="E13" s="194" t="n">
        <x:f>0.0001</x:f>
        <x:v>0.0001</x:v>
      </x:c>
      <x:c r="F13" s="188" t="str">
        <x:f>IF(ABS(ROUND(D13,6))&lt;=E13,"PASS","FAIL")</x:f>
        <x:v>PASS</x:v>
      </x:c>
      <x:c r="G13" s="171" t="str">
        <x:v>Model: receipts</x:v>
      </x:c>
      <x:c r="H13" s="171"/>
    </x:row>
    <x:row r="14" ht="26" customHeight="1">
      <x:c r="A14" s="171" t="str">
        <x:v>Cash before funding bridge ties</x:v>
      </x:c>
      <x:c r="B14" s="194" t="n">
        <x:f>ROUND(MAX(ABS('Model'!B18-SUM('Model'!B12,'Model'!B13,'Model'!B14,'Model'!B15,'Model'!B16,'Model'!B17)),ABS('Model'!C18-SUM('Model'!C12,'Model'!C13,'Model'!C14,'Model'!C15,'Model'!C16,'Model'!C17)),ABS('Model'!D18-SUM('Model'!D12,'Model'!D13,'Model'!D14,'Model'!D15,'Model'!D16,'Model'!D17)),ABS('Model'!E18-SUM('Model'!E12,'Model'!E13,'Model'!E14,'Model'!E15,'Model'!E16,'Model'!E17)),ABS('Model'!F18-SUM('Model'!F12,'Model'!F13,'Model'!F14,'Model'!F15,'Model'!F16,'Model'!F17)),ABS('Model'!G18-SUM('Model'!G12,'Model'!G13,'Model'!G14,'Model'!G15,'Model'!G16,'Model'!G17)),ABS('Model'!H18-SUM('Model'!H12,'Model'!H13,'Model'!H14,'Model'!H15,'Model'!H16,'Model'!H17)),ABS('Model'!I18-SUM('Model'!I12,'Model'!I13,'Model'!I14,'Model'!I15,'Model'!I16,'Model'!I17)),ABS('Model'!J18-SUM('Model'!J12,'Model'!J13,'Model'!J14,'Model'!J15,'Model'!J16,'Model'!J17)),ABS('Model'!K18-SUM('Model'!K12,'Model'!K13,'Model'!K14,'Model'!K15,'Model'!K16,'Model'!K17)),ABS('Model'!L18-SUM('Model'!L12,'Model'!L13,'Model'!L14,'Model'!L15,'Model'!L16,'Model'!L17)),ABS('Model'!M18-SUM('Model'!M12,'Model'!M13,'Model'!M14,'Model'!M15,'Model'!M16,'Model'!M17)),ABS('Model'!N18-SUM('Model'!N12,'Model'!N13,'Model'!N14,'Model'!N15,'Model'!N16,'Model'!N17))),6)</x:f>
        <x:v>0</x:v>
      </x:c>
      <x:c r="C14" s="194" t="n">
        <x:f>0</x:f>
        <x:v>0</x:v>
      </x:c>
      <x:c r="D14" s="194" t="n">
        <x:f>ROUND(B14-C14,6)</x:f>
        <x:v>0</x:v>
      </x:c>
      <x:c r="E14" s="194" t="n">
        <x:f>0.0001</x:f>
        <x:v>0.0001</x:v>
      </x:c>
      <x:c r="F14" s="188" t="str">
        <x:f>IF(ABS(ROUND(D14,6))&lt;=E14,"PASS","FAIL")</x:f>
        <x:v>PASS</x:v>
      </x:c>
      <x:c r="G14" s="171" t="str">
        <x:v>Model: pre-funding cash</x:v>
      </x:c>
      <x:c r="H14" s="171"/>
    </x:row>
    <x:row r="15" ht="26" customHeight="1">
      <x:c r="A15" s="171" t="str">
        <x:v>Funding mechanics respect the facility</x:v>
      </x:c>
      <x:c r="B15" s="191" t="n">
        <x:f>ROUND(IF(AND(MIN('Model'!B20:N20)&gt;=0,MAX('Model'!B22:N22)&lt;='Inputs'!$B$12+0.0001,MAX('Model'!B21:N21)&lt;=0),1,0),6)</x:f>
        <x:v>1</x:v>
      </x:c>
      <x:c r="C15" s="191" t="n">
        <x:f>1</x:f>
        <x:v>1</x:v>
      </x:c>
      <x:c r="D15" s="191" t="n">
        <x:f>ROUND(B15-C15,6)</x:f>
        <x:v>0</x:v>
      </x:c>
      <x:c r="E15" s="191" t="n">
        <x:f>0.0001</x:f>
        <x:v>0.0001</x:v>
      </x:c>
      <x:c r="F15" s="188" t="str">
        <x:f>IF(ABS(ROUND(D15,6))&lt;=E15,"PASS","FAIL")</x:f>
        <x:v>PASS</x:v>
      </x:c>
      <x:c r="G15" s="171" t="str">
        <x:v>Model: draw and repayment</x:v>
      </x:c>
      <x:c r="H15" s="171"/>
    </x:row>
    <x:row r="16" ht="26" customHeight="1">
      <x:c r="A16" s="171" t="str">
        <x:v>Cash roll-forward ties</x:v>
      </x:c>
      <x:c r="B16" s="194" t="n">
        <x:f>ROUND(MAX(ABS('Model'!B25),ABS('Model'!C25),ABS('Model'!D25),ABS('Model'!E25),ABS('Model'!F25),ABS('Model'!G25),ABS('Model'!H25),ABS('Model'!I25),ABS('Model'!J25),ABS('Model'!K25),ABS('Model'!L25),ABS('Model'!M25),ABS('Model'!N25)),6)</x:f>
        <x:v>0</x:v>
      </x:c>
      <x:c r="C16" s="194" t="n">
        <x:f>0</x:f>
        <x:v>0</x:v>
      </x:c>
      <x:c r="D16" s="194" t="n">
        <x:f>ROUND(B16-C16,6)</x:f>
        <x:v>0</x:v>
      </x:c>
      <x:c r="E16" s="194" t="n">
        <x:f>0.0001</x:f>
        <x:v>0.0001</x:v>
      </x:c>
      <x:c r="F16" s="188" t="str">
        <x:f>IF(ABS(ROUND(D16,6))&lt;=E16,"PASS","FAIL")</x:f>
        <x:v>PASS</x:v>
      </x:c>
      <x:c r="G16" s="171" t="str">
        <x:v>Model: weekly cash</x:v>
      </x:c>
      <x:c r="H16" s="171"/>
    </x:row>
    <x:row r="17" ht="26" customHeight="1">
      <x:c r="A17" s="171" t="str">
        <x:v>Facility roll-forward ties</x:v>
      </x:c>
      <x:c r="B17" s="194" t="n">
        <x:f>ROUND(MAX(ABS('Model'!B26),ABS('Model'!C26),ABS('Model'!D26),ABS('Model'!E26),ABS('Model'!F26),ABS('Model'!G26),ABS('Model'!H26),ABS('Model'!I26),ABS('Model'!J26),ABS('Model'!K26),ABS('Model'!L26),ABS('Model'!M26),ABS('Model'!N26)),6)</x:f>
        <x:v>0</x:v>
      </x:c>
      <x:c r="C17" s="194" t="n">
        <x:f>0</x:f>
        <x:v>0</x:v>
      </x:c>
      <x:c r="D17" s="194" t="n">
        <x:f>ROUND(B17-C17,6)</x:f>
        <x:v>0</x:v>
      </x:c>
      <x:c r="E17" s="194" t="n">
        <x:f>0.0001</x:f>
        <x:v>0.0001</x:v>
      </x:c>
      <x:c r="F17" s="188" t="str">
        <x:f>IF(ABS(ROUND(D17,6))&lt;=E17,"PASS","FAIL")</x:f>
        <x:v>PASS</x:v>
      </x:c>
      <x:c r="G17" s="171" t="str">
        <x:v>Model: facility</x:v>
      </x:c>
      <x:c r="H17" s="171"/>
    </x:row>
    <x:row r="18" ht="26" customHeight="1">
      <x:c r="A18" s="171" t="str">
        <x:v>Liquidity summary ties</x:v>
      </x:c>
      <x:c r="B18" s="194" t="n">
        <x:f>ROUND(ABS('Model'!B30-MIN('Model'!B23:N23))+ABS('Model'!B31-MAX('Model'!B22:N22))+ABS('Model'!B32-'Model'!N23),6)</x:f>
        <x:v>0</x:v>
      </x:c>
      <x:c r="C18" s="194" t="n">
        <x:f>0</x:f>
        <x:v>0</x:v>
      </x:c>
      <x:c r="D18" s="194" t="n">
        <x:f>ROUND(B18-C18,6)</x:f>
        <x:v>0</x:v>
      </x:c>
      <x:c r="E18" s="194" t="n">
        <x:f>0.0001</x:f>
        <x:v>0.0001</x:v>
      </x:c>
      <x:c r="F18" s="188" t="str">
        <x:f>IF(ABS(ROUND(D18,6))&lt;=E18,"PASS","FAIL")</x:f>
        <x:v>PASS</x:v>
      </x:c>
      <x:c r="G18" s="171" t="str">
        <x:v>Model: liquidity summary</x:v>
      </x:c>
      <x:c r="H18" s="171"/>
    </x:row>
    <x:row r="19" ht="20" customHeight="1">
      <x:c r="A19" s="198" t="str">
        <x:v>A warning business outcome can still pass these controls; review Model and Results before making a decision.</x:v>
      </x:c>
      <x:c r="B19" s="199"/>
      <x:c r="C19" s="199"/>
      <x:c r="D19" s="199"/>
      <x:c r="E19" s="199"/>
      <x:c r="F19" s="199"/>
      <x:c r="G19" s="199"/>
      <x:c r="H19" s="200"/>
    </x:row>
    <x:row r="20" ht="20" customHeight="1">
      <x:c r="A20" s="60" t="str">
        <x:v>13-Week Cash Flow · 10 / 10 controls should show PASS · v1.4.0</x:v>
      </x:c>
      <x:c r="B20" s="60"/>
      <x:c r="C20" s="60"/>
      <x:c r="D20" s="60"/>
      <x:c r="E20" s="60"/>
      <x:c r="F20" s="60"/>
      <x:c r="G20" s="60"/>
      <x:c r="H20" s="60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