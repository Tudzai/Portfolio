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3b88f40f9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59957c7b6d06430e"/>
    <x:sheet xmlns:r="http://schemas.openxmlformats.org/officeDocument/2006/relationships" name="Inputs" sheetId="2" r:id="Ra1921edd5a6b4b9e"/>
    <x:sheet xmlns:r="http://schemas.openxmlformats.org/officeDocument/2006/relationships" name="Model" sheetId="3" r:id="R3fa16df3099b4472"/>
    <x:sheet xmlns:r="http://schemas.openxmlformats.org/officeDocument/2006/relationships" name="Results" sheetId="4" r:id="R2cd553eb73994d14"/>
    <x:sheet xmlns:r="http://schemas.openxmlformats.org/officeDocument/2006/relationships" name="Checks" sheetId="5" r:id="Rd326c7d0c18e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;[Red](0.0%);-"/>
    <x:numFmt numFmtId="202" formatCode="#,##0;[Red](#,##0);-"/>
    <x:numFmt numFmtId="203" formatCode="General"/>
    <x:numFmt numFmtId="204" formatCode="0.00;[Red](0.00);-"/>
  </x:numFmts>
  <x:fonts count="15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b/>
      <x:sz val="11"/>
      <x:color rgb="FF68717C"/>
      <x:name val="Carlito"/>
    </x:font>
    <x:font>
      <x:sz val="11"/>
      <x:color rgb="FF202833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B5883A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</x:fills>
  <x:borders count="29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  <x:bottom style="thin">
        <x:color rgb="FFB5883A"/>
      </x:bottom>
    </x:border>
    <x:border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6" xfId="0" applyNumberFormat="1" applyFont="1" applyFill="1" applyBorder="1" applyAlignment="1">
      <x:alignment vertical="center"/>
    </x:xf>
    <x:xf numFmtId="0" fontId="6" fillId="5" borderId="17" xfId="0" applyNumberFormat="1" applyFont="1" applyFill="1" applyBorder="1" applyAlignment="1">
      <x:alignment vertical="center"/>
    </x:xf>
    <x:xf numFmtId="0" fontId="6" fillId="5" borderId="18" xfId="0" applyNumberFormat="1" applyFont="1" applyFill="1" applyBorder="1" applyAlignment="1">
      <x:alignment vertical="center"/>
    </x:xf>
    <x:xf numFmtId="0" fontId="6" fillId="5" borderId="19" xfId="0" applyNumberFormat="1" applyFont="1" applyFill="1" applyBorder="1" applyAlignment="1">
      <x:alignment vertical="center"/>
    </x:xf>
    <x:xf numFmtId="0" fontId="6" fillId="5" borderId="20" xfId="0" applyNumberFormat="1" applyFont="1" applyFill="1" applyBorder="1" applyAlignment="1">
      <x:alignment vertical="center"/>
    </x:xf>
    <x:xf numFmtId="0" fontId="6" fillId="5" borderId="21" xfId="0" applyNumberFormat="1" applyFont="1" applyFill="1" applyBorder="1" applyAlignment="1">
      <x:alignment vertical="center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8" xfId="0" applyNumberFormat="1" applyFont="1" applyFill="1" applyBorder="1" applyAlignment="1">
      <x:alignment vertical="center" wrapText="1"/>
    </x:xf>
    <x:xf numFmtId="0" fontId="6" fillId="5" borderId="19" xfId="0" applyNumberFormat="1" applyFont="1" applyFill="1" applyBorder="1" applyAlignment="1">
      <x:alignment vertical="center" wrapText="1"/>
    </x:xf>
    <x:xf numFmtId="0" fontId="6" fillId="5" borderId="20" xfId="0" applyNumberFormat="1" applyFont="1" applyFill="1" applyBorder="1" applyAlignment="1">
      <x:alignment vertical="center" wrapText="1"/>
    </x:xf>
    <x:xf numFmtId="0" fontId="6" fillId="5" borderId="21" xfId="0" applyNumberFormat="1" applyFont="1" applyFill="1" applyBorder="1" applyAlignment="1">
      <x:alignment vertical="center" wrapText="1"/>
    </x:xf>
    <x:xf numFmtId="0" fontId="2" fillId="6" borderId="7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horizontal="right" vertical="center"/>
    </x:xf>
    <x:xf numFmtId="0" fontId="9" fillId="2" borderId="0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horizontal="right" vertical="center"/>
    </x:xf>
    <x:xf numFmtId="201" fontId="8" fillId="8" borderId="0" xfId="0" applyNumberFormat="1" applyFont="1" applyFill="1" applyBorder="1" applyAlignment="1">
      <x:alignment horizontal="right" vertical="center"/>
    </x:xf>
    <x:xf numFmtId="201" fontId="9" fillId="8" borderId="0" xfId="0" applyNumberFormat="1" applyFont="1" applyFill="1" applyBorder="1" applyAlignment="1">
      <x:alignment horizontal="right" vertical="center"/>
    </x:xf>
    <x:xf numFmtId="202" fontId="9" fillId="2" borderId="0" xfId="0" applyNumberFormat="1" applyFont="1" applyFill="1" applyBorder="1" applyAlignment="1">
      <x:alignment vertical="center"/>
    </x:xf>
    <x:xf numFmtId="202" fontId="9" fillId="2" borderId="0" xfId="0" applyNumberFormat="1" applyFont="1" applyFill="1" applyBorder="1" applyAlignment="1">
      <x:alignment horizontal="right" vertical="center"/>
    </x:xf>
    <x:xf numFmtId="202" fontId="9" fillId="8" borderId="0" xfId="0" applyNumberFormat="1" applyFont="1" applyFill="1" applyBorder="1" applyAlignment="1">
      <x:alignment horizontal="right" vertical="center"/>
    </x:xf>
    <x:xf numFmtId="20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horizontal="right" vertical="center"/>
    </x:xf>
    <x:xf numFmtId="200" fontId="9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horizontal="righ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9" fillId="8" borderId="0" xfId="0" applyNumberFormat="1" applyFont="1" applyFill="1" applyBorder="1" applyAlignment="1">
      <x:alignment horizontal="right" vertical="center"/>
    </x:xf>
    <x:xf numFmtId="0" fontId="10" fillId="2" borderId="0" xfId="0" applyNumberFormat="1" applyFont="1" applyFill="1" applyBorder="1" applyAlignment="1">
      <x:alignment vertical="center"/>
    </x:xf>
    <x:xf numFmtId="200" fontId="10" fillId="2" borderId="0" xfId="0" applyNumberFormat="1" applyFont="1" applyFill="1" applyBorder="1" applyAlignment="1">
      <x:alignment vertical="center"/>
    </x:xf>
    <x:xf numFmtId="200" fontId="10" fillId="2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0" fontId="10" fillId="5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203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right" vertical="center"/>
    </x:xf>
    <x:xf numFmtId="203" fontId="3" fillId="5" borderId="0" xfId="0" applyNumberFormat="1" applyFont="1" applyFill="1" applyBorder="1" applyAlignment="1">
      <x:alignment horizontal="right" vertical="center"/>
    </x:xf>
    <x:xf numFmtId="0" fontId="2" fillId="3" borderId="22" xfId="0" applyNumberFormat="1" applyFont="1" applyFill="1" applyBorder="1" applyAlignment="1">
      <x:alignment vertical="center"/>
    </x:xf>
    <x:xf numFmtId="0" fontId="2" fillId="3" borderId="23" xfId="0" applyNumberFormat="1" applyFont="1" applyFill="1" applyBorder="1" applyAlignment="1">
      <x:alignment vertical="center"/>
    </x:xf>
    <x:xf numFmtId="0" fontId="2" fillId="3" borderId="22" xfId="0" applyNumberFormat="1" applyFont="1" applyFill="1" applyBorder="1" applyAlignment="1">
      <x:alignment horizontal="center" vertical="center"/>
    </x:xf>
    <x:xf numFmtId="0" fontId="2" fillId="3" borderId="23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vertical="center"/>
    </x:xf>
    <x:xf numFmtId="0" fontId="11" fillId="8" borderId="3" xfId="0" applyNumberFormat="1" applyFont="1" applyFill="1" applyBorder="1" applyAlignment="1">
      <x:alignment vertical="center"/>
    </x:xf>
    <x:xf numFmtId="0" fontId="11" fillId="8" borderId="24" xfId="0" applyNumberFormat="1" applyFont="1" applyFill="1" applyBorder="1" applyAlignment="1">
      <x:alignment vertical="center"/>
    </x:xf>
    <x:xf numFmtId="0" fontId="11" fillId="8" borderId="25" xfId="0" applyNumberFormat="1" applyFont="1" applyFill="1" applyBorder="1" applyAlignment="1">
      <x:alignment vertical="center"/>
    </x:xf>
    <x:xf numFmtId="0" fontId="11" fillId="8" borderId="4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200" fontId="11" fillId="8" borderId="1" xfId="0" applyNumberFormat="1" applyFont="1" applyFill="1" applyBorder="1" applyAlignment="1">
      <x:alignment vertical="center"/>
    </x:xf>
    <x:xf numFmtId="200" fontId="11" fillId="8" borderId="3" xfId="0" applyNumberFormat="1" applyFont="1" applyFill="1" applyBorder="1" applyAlignment="1">
      <x:alignment vertical="center"/>
    </x:xf>
    <x:xf numFmtId="200" fontId="11" fillId="8" borderId="24" xfId="0" applyNumberFormat="1" applyFont="1" applyFill="1" applyBorder="1" applyAlignment="1">
      <x:alignment vertical="center"/>
    </x:xf>
    <x:xf numFmtId="200" fontId="11" fillId="8" borderId="25" xfId="0" applyNumberFormat="1" applyFont="1" applyFill="1" applyBorder="1" applyAlignment="1">
      <x:alignment vertical="center"/>
    </x:xf>
    <x:xf numFmtId="200" fontId="11" fillId="8" borderId="4" xfId="0" applyNumberFormat="1" applyFont="1" applyFill="1" applyBorder="1" applyAlignment="1">
      <x:alignment vertical="center"/>
    </x:xf>
    <x:xf numFmtId="200" fontId="11" fillId="8" borderId="6" xfId="0" applyNumberFormat="1" applyFont="1" applyFill="1" applyBorder="1" applyAlignment="1">
      <x:alignment vertical="center"/>
    </x:xf>
    <x:xf numFmtId="200" fontId="11" fillId="8" borderId="1" xfId="0" applyNumberFormat="1" applyFont="1" applyFill="1" applyBorder="1" applyAlignment="1">
      <x:alignment horizontal="center" vertical="center"/>
    </x:xf>
    <x:xf numFmtId="200" fontId="11" fillId="8" borderId="3" xfId="0" applyNumberFormat="1" applyFont="1" applyFill="1" applyBorder="1" applyAlignment="1">
      <x:alignment horizontal="center" vertical="center"/>
    </x:xf>
    <x:xf numFmtId="200" fontId="11" fillId="8" borderId="24" xfId="0" applyNumberFormat="1" applyFont="1" applyFill="1" applyBorder="1" applyAlignment="1">
      <x:alignment horizontal="center" vertical="center"/>
    </x:xf>
    <x:xf numFmtId="200" fontId="11" fillId="8" borderId="25" xfId="0" applyNumberFormat="1" applyFont="1" applyFill="1" applyBorder="1" applyAlignment="1">
      <x:alignment horizontal="center" vertical="center"/>
    </x:xf>
    <x:xf numFmtId="200" fontId="11" fillId="8" borderId="4" xfId="0" applyNumberFormat="1" applyFont="1" applyFill="1" applyBorder="1" applyAlignment="1">
      <x:alignment horizontal="center" vertical="center"/>
    </x:xf>
    <x:xf numFmtId="200" fontId="11" fillId="8" borderId="6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vertical="center"/>
    </x:xf>
    <x:xf numFmtId="0" fontId="12" fillId="8" borderId="26" xfId="0" applyNumberFormat="1" applyFont="1" applyFill="1" applyBorder="1" applyAlignment="1">
      <x:alignment vertical="center"/>
    </x:xf>
    <x:xf numFmtId="0" fontId="12" fillId="8" borderId="27" xfId="0" applyNumberFormat="1" applyFont="1" applyFill="1" applyBorder="1" applyAlignment="1">
      <x:alignment vertical="center"/>
    </x:xf>
    <x:xf numFmtId="0" fontId="12" fillId="8" borderId="26" xfId="0" applyNumberFormat="1" applyFont="1" applyFill="1" applyBorder="1" applyAlignment="1">
      <x:alignment horizontal="center" vertical="center"/>
    </x:xf>
    <x:xf numFmtId="0" fontId="12" fillId="8" borderId="27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vertical="center"/>
    </x:xf>
    <x:xf numFmtId="0" fontId="13" fillId="9" borderId="26" xfId="0" applyNumberFormat="1" applyFont="1" applyFill="1" applyBorder="1" applyAlignment="1">
      <x:alignment vertical="center"/>
    </x:xf>
    <x:xf numFmtId="0" fontId="13" fillId="9" borderId="27" xfId="0" applyNumberFormat="1" applyFont="1" applyFill="1" applyBorder="1" applyAlignment="1">
      <x:alignment vertical="center"/>
    </x:xf>
    <x:xf numFmtId="0" fontId="13" fillId="9" borderId="26" xfId="0" applyNumberFormat="1" applyFont="1" applyFill="1" applyBorder="1" applyAlignment="1">
      <x:alignment vertical="center" wrapText="1"/>
    </x:xf>
    <x:xf numFmtId="0" fontId="13" fillId="9" borderId="27" xfId="0" applyNumberFormat="1" applyFont="1" applyFill="1" applyBorder="1" applyAlignment="1">
      <x:alignment vertical="center" wrapText="1"/>
    </x:xf>
    <x:xf numFmtId="0" fontId="13" fillId="9" borderId="26" xfId="0" applyNumberFormat="1" applyFont="1" applyFill="1" applyBorder="1" applyAlignment="1">
      <x:alignment horizontal="center" vertical="center" wrapText="1"/>
    </x:xf>
    <x:xf numFmtId="0" fontId="13" fillId="9" borderId="27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24" xfId="0" applyNumberFormat="1" applyFont="1" applyFill="1" applyBorder="1" applyAlignment="1">
      <x:alignment vertical="center"/>
    </x:xf>
    <x:xf numFmtId="0" fontId="1" fillId="8" borderId="25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24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25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6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vertical="center"/>
    </x:xf>
    <x:xf numFmtId="0" fontId="3" fillId="5" borderId="26" xfId="0" applyNumberFormat="1" applyFont="1" applyFill="1" applyBorder="1" applyAlignment="1">
      <x:alignment horizontal="center"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27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6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vertical="center"/>
    </x:xf>
    <x:xf numFmtId="0" fontId="6" fillId="9" borderId="26" xfId="0" applyNumberFormat="1" applyFont="1" applyFill="1" applyBorder="1" applyAlignment="1">
      <x:alignment horizontal="center"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27" xfId="0" applyNumberFormat="1" applyFont="1" applyFill="1" applyBorder="1" applyAlignment="1">
      <x:alignment horizontal="center" vertical="center"/>
    </x:xf>
    <x:xf numFmtId="0" fontId="3" fillId="5" borderId="24" xfId="0" applyNumberFormat="1" applyFont="1" applyFill="1" applyBorder="1" applyAlignment="1">
      <x:alignment vertical="center"/>
    </x:xf>
    <x:xf numFmtId="0" fontId="3" fillId="5" borderId="25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24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25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2" fillId="8" borderId="1" xfId="0" applyNumberFormat="1" applyFont="1" applyFill="1" applyBorder="1" applyAlignment="1">
      <x:alignment vertical="center"/>
    </x:xf>
    <x:xf numFmtId="0" fontId="12" fillId="8" borderId="3" xfId="0" applyNumberFormat="1" applyFont="1" applyFill="1" applyBorder="1" applyAlignment="1">
      <x:alignment vertical="center"/>
    </x:xf>
    <x:xf numFmtId="0" fontId="12" fillId="8" borderId="4" xfId="0" applyNumberFormat="1" applyFont="1" applyFill="1" applyBorder="1" applyAlignment="1">
      <x:alignment vertical="center"/>
    </x:xf>
    <x:xf numFmtId="0" fontId="12" fillId="8" borderId="6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2" fillId="8" borderId="3" xfId="0" applyNumberFormat="1" applyFont="1" applyFill="1" applyBorder="1" applyAlignment="1">
      <x:alignment horizontal="center" vertical="center"/>
    </x:xf>
    <x:xf numFmtId="0" fontId="12" fillId="8" borderId="4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26" xfId="0" applyNumberFormat="1" applyFont="1" applyFill="1" applyBorder="1" applyAlignment="1">
      <x:alignment vertical="center"/>
    </x:xf>
    <x:xf numFmtId="0" fontId="11" fillId="5" borderId="27" xfId="0" applyNumberFormat="1" applyFont="1" applyFill="1" applyBorder="1" applyAlignment="1">
      <x:alignment vertical="center"/>
    </x:xf>
    <x:xf numFmtId="0" fontId="11" fillId="5" borderId="26" xfId="0" applyNumberFormat="1" applyFont="1" applyFill="1" applyBorder="1" applyAlignment="1">
      <x:alignment horizontal="center" vertical="center"/>
    </x:xf>
    <x:xf numFmtId="0" fontId="11" fillId="5" borderId="27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deebbca874c38" /><Relationship Type="http://schemas.openxmlformats.org/officeDocument/2006/relationships/theme" Target="/xl/theme/theme1.xml" Id="Rb34293c4eab24bcb" /><Relationship Type="http://schemas.openxmlformats.org/officeDocument/2006/relationships/sharedStrings" Target="/xl/sharedStrings.xml" Id="Rb10067545d2f494c" /><Relationship Type="http://schemas.openxmlformats.org/officeDocument/2006/relationships/worksheet" Target="/xl/worksheets/sheet1.xml" Id="R59957c7b6d06430e" /><Relationship Type="http://schemas.openxmlformats.org/officeDocument/2006/relationships/worksheet" Target="/xl/worksheets/sheet2.xml" Id="Ra1921edd5a6b4b9e" /><Relationship Type="http://schemas.openxmlformats.org/officeDocument/2006/relationships/worksheet" Target="/xl/worksheets/sheet3.xml" Id="R3fa16df3099b4472" /><Relationship Type="http://schemas.openxmlformats.org/officeDocument/2006/relationships/worksheet" Target="/xl/worksheets/sheet4.xml" Id="R2cd553eb73994d14" /><Relationship Type="http://schemas.openxmlformats.org/officeDocument/2006/relationships/worksheet" Target="/xl/worksheets/sheet5.xml" Id="Rd326c7d0c18e4e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TDAT-FM-CORE-001 · Base plus five-year forecast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03" t="str">
        <x:v>Three-Statement Model Starter</x:v>
      </x:c>
      <x:c r="B5" s="204"/>
      <x:c r="C5" s="204"/>
      <x:c r="D5" s="204"/>
      <x:c r="E5" s="204"/>
      <x:c r="F5" s="205"/>
      <x:c r="G5" s="60" t="str">
        <x:v>MODEL STATUS</x:v>
      </x:c>
      <x:c r="H5" s="60"/>
    </x:row>
    <x:row r="6" ht="20" customHeight="1">
      <x:c r="A6" s="206"/>
      <x:c r="B6" s="207"/>
      <x:c r="C6" s="207"/>
      <x:c r="D6" s="207"/>
      <x:c r="E6" s="207"/>
      <x:c r="F6" s="208"/>
      <x:c r="G6" s="216" t="str">
        <x:f>'Checks'!B4</x:f>
        <x:v>PASS</x:v>
      </x:c>
      <x:c r="H6" s="217"/>
    </x:row>
    <x:row r="7" ht="20" customHeight="1">
      <x:c r="A7" s="209"/>
      <x:c r="B7" s="210"/>
      <x:c r="C7" s="210"/>
      <x:c r="D7" s="210"/>
      <x:c r="E7" s="210"/>
      <x:c r="F7" s="211"/>
      <x:c r="G7" s="218"/>
      <x:c r="H7" s="219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74" t="str">
        <x:v>WHAT THIS MODEL IS FOR</x:v>
      </x:c>
      <x:c r="B9" s="74"/>
      <x:c r="C9" s="74"/>
      <x:c r="D9" s="74"/>
      <x:c r="E9" s="74"/>
      <x:c r="F9" s="74"/>
      <x:c r="G9" s="74"/>
      <x:c r="H9" s="74"/>
    </x:row>
    <x:row r="10" ht="20" customHeight="1">
      <x:c r="A10" s="153" t="str">
        <x:v>How do five years of operating drivers flow through profit, cash, debt, and the balance sheet?</x:v>
      </x:c>
      <x:c r="B10" s="154"/>
      <x:c r="C10" s="154"/>
      <x:c r="D10" s="154"/>
      <x:c r="E10" s="154"/>
      <x:c r="F10" s="154"/>
      <x:c r="G10" s="154"/>
      <x:c r="H10" s="155"/>
    </x:row>
    <x:row r="11" ht="20" customHeight="1">
      <x:c r="A11" s="156"/>
      <x:c r="B11" s="157"/>
      <x:c r="C11" s="157"/>
      <x:c r="D11" s="157"/>
      <x:c r="E11" s="157"/>
      <x:c r="F11" s="157"/>
      <x:c r="G11" s="157"/>
      <x:c r="H11" s="158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74" t="str">
        <x:v>USE IT IN FOUR STEPS</x:v>
      </x:c>
      <x:c r="B13" s="74"/>
      <x:c r="C13" s="74"/>
      <x:c r="D13" s="74"/>
      <x:c r="E13" s="74"/>
      <x:c r="F13" s="74"/>
      <x:c r="G13" s="74"/>
      <x:c r="H13" s="74"/>
    </x:row>
    <x:row r="14" ht="20" customHeight="1">
      <x:c r="A14" s="223" t="str">
        <x:v>1 · INPUTS</x:v>
      </x:c>
      <x:c r="B14" s="224"/>
      <x:c r="C14" s="223" t="str">
        <x:v>2 · MODEL</x:v>
      </x:c>
      <x:c r="D14" s="224"/>
      <x:c r="E14" s="223" t="str">
        <x:v>3 · RESULTS</x:v>
      </x:c>
      <x:c r="F14" s="224"/>
      <x:c r="G14" s="223" t="str">
        <x:v>4 · CHECKS</x:v>
      </x:c>
      <x:c r="H14" s="224"/>
    </x:row>
    <x:row r="15" ht="20" customHeight="1">
      <x:c r="A15" s="225" t="str">
        <x:v>Edit only blue cells</x:v>
      </x:c>
      <x:c r="B15" s="226"/>
      <x:c r="C15" s="225" t="str">
        <x:v>Trace schedules and formulas</x:v>
      </x:c>
      <x:c r="D15" s="226"/>
      <x:c r="E15" s="225" t="str">
        <x:v>Read the linked decision view</x:v>
      </x:c>
      <x:c r="F15" s="226"/>
      <x:c r="G15" s="225" t="str">
        <x:v>Resolve every FAIL</x:v>
      </x:c>
      <x:c r="H15" s="226"/>
    </x:row>
    <x:row r="16" ht="20" customHeight="1">
      <x:c r="A16" s="227"/>
      <x:c r="B16" s="228"/>
      <x:c r="C16" s="227"/>
      <x:c r="D16" s="228"/>
      <x:c r="E16" s="227"/>
      <x:c r="F16" s="228"/>
      <x:c r="G16" s="227"/>
      <x:c r="H16" s="228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74" t="str">
        <x:v>DEPTH WITHOUT EXTRA TABS</x:v>
      </x:c>
      <x:c r="B18" s="74"/>
      <x:c r="C18" s="74"/>
      <x:c r="D18" s="74"/>
      <x:c r="E18" s="74"/>
      <x:c r="F18" s="74"/>
      <x:c r="G18" s="74"/>
      <x:c r="H18" s="74"/>
    </x:row>
    <x:row r="19" ht="20" customHeight="1">
      <x:c r="A19" s="77" t="str">
        <x:v>Forecast</x:v>
      </x:c>
      <x:c r="B19" s="77"/>
      <x:c r="C19" s="146" t="str">
        <x:v>Base plus five-year forecast</x:v>
      </x:c>
      <x:c r="D19" s="146"/>
      <x:c r="E19" s="146"/>
      <x:c r="F19" s="146"/>
      <x:c r="G19" s="146"/>
      <x:c r="H19" s="146"/>
    </x:row>
    <x:row r="20" ht="20" customHeight="1">
      <x:c r="A20" s="77" t="str">
        <x:v>Editable inputs</x:v>
      </x:c>
      <x:c r="B20" s="77"/>
      <x:c r="C20" s="146" t="str">
        <x:v>24</x:v>
      </x:c>
      <x:c r="D20" s="146"/>
      <x:c r="E20" s="146"/>
      <x:c r="F20" s="146"/>
      <x:c r="G20" s="146"/>
      <x:c r="H20" s="146"/>
    </x:row>
    <x:row r="21" ht="20" customHeight="1">
      <x:c r="A21" s="77" t="str">
        <x:v>Visible sheets</x:v>
      </x:c>
      <x:c r="B21" s="77"/>
      <x:c r="C21" s="146" t="str">
        <x:v>5</x:v>
      </x:c>
      <x:c r="D21" s="146"/>
      <x:c r="E21" s="146"/>
      <x:c r="F21" s="146"/>
      <x:c r="G21" s="146"/>
      <x:c r="H21" s="146"/>
    </x:row>
    <x:row r="22" ht="20" customHeight="1">
      <x:c r="A22" s="77" t="str">
        <x:v>Setup</x:v>
      </x:c>
      <x:c r="B22" s="77"/>
      <x:c r="C22" s="146" t="str">
        <x:v>20–30 minutes</x:v>
      </x:c>
      <x:c r="D22" s="146"/>
      <x:c r="E22" s="146"/>
      <x:c r="F22" s="146"/>
      <x:c r="G22" s="146"/>
      <x:c r="H22" s="146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74" t="str">
        <x:v>FIT &amp; SCOPE</x:v>
      </x:c>
      <x:c r="B24" s="74"/>
      <x:c r="C24" s="74"/>
      <x:c r="D24" s="74"/>
      <x:c r="E24" s="74"/>
      <x:c r="F24" s="74"/>
      <x:c r="G24" s="74"/>
      <x:c r="H24" s="74"/>
    </x:row>
    <x:row r="25" ht="20" customHeight="1">
      <x:c r="A25" s="167" t="str">
        <x:v>Included: Five-year integrated income statement, cash flow, and balance sheet · Explicit working-capital, PP&amp;E, debt, and retained-earnings schedules · Visible driver ramps with ten calculation controls</x:v>
      </x:c>
      <x:c r="B25" s="168"/>
      <x:c r="C25" s="168"/>
      <x:c r="D25" s="168"/>
      <x:c r="E25" s="168"/>
      <x:c r="F25" s="168"/>
      <x:c r="G25" s="168"/>
      <x:c r="H25" s="169"/>
    </x:row>
    <x:row r="26" ht="20" customHeight="1">
      <x:c r="A26" s="173"/>
      <x:c r="B26" s="174"/>
      <x:c r="C26" s="174"/>
      <x:c r="D26" s="174"/>
      <x:c r="E26" s="174"/>
      <x:c r="F26" s="174"/>
      <x:c r="G26" s="174"/>
      <x:c r="H26" s="175"/>
    </x:row>
    <x:row r="27" ht="20" customHeight="1">
      <x:c r="A27" s="235" t="str">
        <x:v>Scope boundary: Monthly phasing, multiple scenarios, lease accounting, deferred tax, share issuance, and external-data automation.</x:v>
      </x:c>
      <x:c r="B27" s="236"/>
      <x:c r="C27" s="236"/>
      <x:c r="D27" s="236"/>
      <x:c r="E27" s="236"/>
      <x:c r="F27" s="236"/>
      <x:c r="G27" s="236"/>
      <x:c r="H27" s="237"/>
    </x:row>
    <x:row r="28" ht="20" customHeight="1">
      <x:c r="A28" s="238"/>
      <x:c r="B28" s="239"/>
      <x:c r="C28" s="239"/>
      <x:c r="D28" s="239"/>
      <x:c r="E28" s="239"/>
      <x:c r="F28" s="239"/>
      <x:c r="G28" s="239"/>
      <x:c r="H28" s="240"/>
    </x:row>
    <x:row r="29" ht="20" customHeight="1">
      <x:c r="A29" s="242" t="str">
        <x:v>Synthetic demonstration only · Tested 2026-08-17 · Excel 365 · Macro-free · No external links</x:v>
      </x:c>
      <x:c r="B29" s="242"/>
      <x:c r="C29" s="242"/>
      <x:c r="D29" s="242"/>
      <x:c r="E29" s="242"/>
      <x:c r="F29" s="242"/>
      <x:c r="G29" s="242"/>
      <x:c r="H29" s="242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Three-Statement Model Starter · Start → Inputs → Model → Results → Checks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Three-Statement Model Starter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BASE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Base revenue</x:v>
      </x:c>
      <x:c r="B10" s="39" t="n">
        <x:v>1200</x:v>
      </x:c>
      <x:c r="C10" s="3" t="str">
        <x:v>LCY m</x:v>
      </x:c>
      <x:c r="D10" s="37" t="str">
        <x:v>Reference revenue for Year 1.</x:v>
      </x:c>
      <x:c r="E10" s="38"/>
      <x:c r="F10" s="38"/>
      <x:c r="G10" s="38"/>
      <x:c r="H10" s="38"/>
    </x:row>
    <x:row r="11" ht="20" customHeight="1">
      <x:c r="A11" s="26" t="str">
        <x:v>DRIVER RAMP</x:v>
      </x:c>
      <x:c r="B11" s="26"/>
      <x:c r="C11" s="26"/>
      <x:c r="D11" s="26"/>
      <x:c r="E11" s="26"/>
      <x:c r="F11" s="26"/>
      <x:c r="G11" s="26"/>
      <x:c r="H11" s="26"/>
    </x:row>
    <x:row r="12" ht="20" customHeight="1">
      <x:c r="A12" s="28" t="str">
        <x:v>Input</x:v>
      </x:c>
      <x:c r="B12" s="28" t="str">
        <x:v>Value</x:v>
      </x:c>
      <x:c r="C12" s="28" t="str">
        <x:v>Unit</x:v>
      </x:c>
      <x:c r="D12" s="28" t="str">
        <x:v>Purpose</x:v>
      </x:c>
      <x:c r="E12" s="28"/>
      <x:c r="F12" s="28"/>
      <x:c r="G12" s="28"/>
      <x:c r="H12" s="28"/>
    </x:row>
    <x:row r="13" ht="20" customHeight="1">
      <x:c r="A13" s="3" t="str">
        <x:v>Revenue growth — Year 1</x:v>
      </x:c>
      <x:c r="B13" s="42" t="n">
        <x:v>0.08</x:v>
      </x:c>
      <x:c r="C13" s="3" t="str">
        <x:v>%</x:v>
      </x:c>
      <x:c r="D13" s="37" t="str">
        <x:v>Starting point of the five-year growth ramp.</x:v>
      </x:c>
      <x:c r="E13" s="38"/>
      <x:c r="F13" s="38"/>
      <x:c r="G13" s="38"/>
      <x:c r="H13" s="38"/>
    </x:row>
    <x:row r="14" ht="20" customHeight="1">
      <x:c r="A14" s="3" t="str">
        <x:v>Revenue growth — Year 5</x:v>
      </x:c>
      <x:c r="B14" s="42" t="n">
        <x:v>0.05</x:v>
      </x:c>
      <x:c r="C14" s="3" t="str">
        <x:v>%</x:v>
      </x:c>
      <x:c r="D14" s="37" t="str">
        <x:v>Ending point; Years 2–4 interpolate automatically.</x:v>
      </x:c>
      <x:c r="E14" s="38"/>
      <x:c r="F14" s="38"/>
      <x:c r="G14" s="38"/>
      <x:c r="H14" s="38"/>
    </x:row>
    <x:row r="15" ht="20" customHeight="1">
      <x:c r="A15" s="3" t="str">
        <x:v>Gross margin — Year 1</x:v>
      </x:c>
      <x:c r="B15" s="42" t="n">
        <x:v>0.36</x:v>
      </x:c>
      <x:c r="C15" s="3" t="str">
        <x:v>%</x:v>
      </x:c>
      <x:c r="D15" s="37" t="str">
        <x:v>Starting gross-margin assumption.</x:v>
      </x:c>
      <x:c r="E15" s="38"/>
      <x:c r="F15" s="38"/>
      <x:c r="G15" s="38"/>
      <x:c r="H15" s="38"/>
    </x:row>
    <x:row r="16" ht="20" customHeight="1">
      <x:c r="A16" s="3" t="str">
        <x:v>Gross margin — Year 5</x:v>
      </x:c>
      <x:c r="B16" s="42" t="n">
        <x:v>0.38</x:v>
      </x:c>
      <x:c r="C16" s="3" t="str">
        <x:v>%</x:v>
      </x:c>
      <x:c r="D16" s="37" t="str">
        <x:v>Ending gross-margin assumption.</x:v>
      </x:c>
      <x:c r="E16" s="38"/>
      <x:c r="F16" s="38"/>
      <x:c r="G16" s="38"/>
      <x:c r="H16" s="38"/>
    </x:row>
    <x:row r="17" ht="20" customHeight="1">
      <x:c r="A17" s="3" t="str">
        <x:v>Opex / revenue — Year 1</x:v>
      </x:c>
      <x:c r="B17" s="42" t="n">
        <x:v>0.2</x:v>
      </x:c>
      <x:c r="C17" s="3" t="str">
        <x:v>%</x:v>
      </x:c>
      <x:c r="D17" s="37" t="str">
        <x:v>Starting operating-expense ratio.</x:v>
      </x:c>
      <x:c r="E17" s="38"/>
      <x:c r="F17" s="38"/>
      <x:c r="G17" s="38"/>
      <x:c r="H17" s="38"/>
    </x:row>
    <x:row r="18" ht="20" customHeight="1">
      <x:c r="A18" s="3" t="str">
        <x:v>Opex / revenue — Year 5</x:v>
      </x:c>
      <x:c r="B18" s="42" t="n">
        <x:v>0.18</x:v>
      </x:c>
      <x:c r="C18" s="3" t="str">
        <x:v>%</x:v>
      </x:c>
      <x:c r="D18" s="37" t="str">
        <x:v>Ending operating-expense ratio.</x:v>
      </x:c>
      <x:c r="E18" s="38"/>
      <x:c r="F18" s="38"/>
      <x:c r="G18" s="38"/>
      <x:c r="H18" s="38"/>
    </x:row>
    <x:row r="19" ht="20" customHeight="1">
      <x:c r="A19" s="3" t="str">
        <x:v>Cash tax rate</x:v>
      </x:c>
      <x:c r="B19" s="42" t="n">
        <x:v>0.2</x:v>
      </x:c>
      <x:c r="C19" s="3" t="str">
        <x:v>%</x:v>
      </x:c>
      <x:c r="D19" s="37" t="str">
        <x:v>Applied only to positive earnings before tax.</x:v>
      </x:c>
      <x:c r="E19" s="38"/>
      <x:c r="F19" s="38"/>
      <x:c r="G19" s="38"/>
      <x:c r="H19" s="38"/>
    </x:row>
    <x:row r="20" ht="20" customHeight="1">
      <x:c r="A20" s="26" t="str">
        <x:v>WORKING CAPITAL RAMP</x:v>
      </x:c>
      <x:c r="B20" s="26"/>
      <x:c r="C20" s="26"/>
      <x:c r="D20" s="26"/>
      <x:c r="E20" s="26"/>
      <x:c r="F20" s="26"/>
      <x:c r="G20" s="26"/>
      <x:c r="H20" s="26"/>
    </x:row>
    <x:row r="21" ht="20" customHeight="1">
      <x:c r="A21" s="28" t="str">
        <x:v>Input</x:v>
      </x:c>
      <x:c r="B21" s="28" t="str">
        <x:v>Value</x:v>
      </x:c>
      <x:c r="C21" s="28" t="str">
        <x:v>Unit</x:v>
      </x:c>
      <x:c r="D21" s="28" t="str">
        <x:v>Purpose</x:v>
      </x:c>
      <x:c r="E21" s="28"/>
      <x:c r="F21" s="28"/>
      <x:c r="G21" s="28"/>
      <x:c r="H21" s="28"/>
    </x:row>
    <x:row r="22" ht="20" customHeight="1">
      <x:c r="A22" s="3" t="str">
        <x:v>Receivable days — Year 1</x:v>
      </x:c>
      <x:c r="B22" s="45" t="n">
        <x:v>45</x:v>
      </x:c>
      <x:c r="C22" s="3" t="str">
        <x:v>Days</x:v>
      </x:c>
      <x:c r="D22" s="37" t="str">
        <x:v>Starting DSO.</x:v>
      </x:c>
      <x:c r="E22" s="38"/>
      <x:c r="F22" s="38"/>
      <x:c r="G22" s="38"/>
      <x:c r="H22" s="38"/>
    </x:row>
    <x:row r="23" ht="20" customHeight="1">
      <x:c r="A23" s="3" t="str">
        <x:v>Receivable days — Year 5</x:v>
      </x:c>
      <x:c r="B23" s="45" t="n">
        <x:v>40</x:v>
      </x:c>
      <x:c r="C23" s="3" t="str">
        <x:v>Days</x:v>
      </x:c>
      <x:c r="D23" s="37" t="str">
        <x:v>Ending DSO; intermediate years interpolate.</x:v>
      </x:c>
      <x:c r="E23" s="38"/>
      <x:c r="F23" s="38"/>
      <x:c r="G23" s="38"/>
      <x:c r="H23" s="38"/>
    </x:row>
    <x:row r="24" ht="20" customHeight="1">
      <x:c r="A24" s="3" t="str">
        <x:v>Inventory days — Year 1</x:v>
      </x:c>
      <x:c r="B24" s="45" t="n">
        <x:v>35</x:v>
      </x:c>
      <x:c r="C24" s="3" t="str">
        <x:v>Days</x:v>
      </x:c>
      <x:c r="D24" s="37" t="str">
        <x:v>Starting DIO.</x:v>
      </x:c>
      <x:c r="E24" s="38"/>
      <x:c r="F24" s="38"/>
      <x:c r="G24" s="38"/>
      <x:c r="H24" s="38"/>
    </x:row>
    <x:row r="25" ht="20" customHeight="1">
      <x:c r="A25" s="3" t="str">
        <x:v>Inventory days — Year 5</x:v>
      </x:c>
      <x:c r="B25" s="45" t="n">
        <x:v>30</x:v>
      </x:c>
      <x:c r="C25" s="3" t="str">
        <x:v>Days</x:v>
      </x:c>
      <x:c r="D25" s="37" t="str">
        <x:v>Ending DIO.</x:v>
      </x:c>
      <x:c r="E25" s="38"/>
      <x:c r="F25" s="38"/>
      <x:c r="G25" s="38"/>
      <x:c r="H25" s="38"/>
    </x:row>
    <x:row r="26" ht="20" customHeight="1">
      <x:c r="A26" s="3" t="str">
        <x:v>Payable days — Year 1</x:v>
      </x:c>
      <x:c r="B26" s="45" t="n">
        <x:v>40</x:v>
      </x:c>
      <x:c r="C26" s="3" t="str">
        <x:v>Days</x:v>
      </x:c>
      <x:c r="D26" s="37" t="str">
        <x:v>Starting DPO.</x:v>
      </x:c>
      <x:c r="E26" s="38"/>
      <x:c r="F26" s="38"/>
      <x:c r="G26" s="38"/>
      <x:c r="H26" s="38"/>
    </x:row>
    <x:row r="27" ht="20" customHeight="1">
      <x:c r="A27" s="3" t="str">
        <x:v>Payable days — Year 5</x:v>
      </x:c>
      <x:c r="B27" s="45" t="n">
        <x:v>45</x:v>
      </x:c>
      <x:c r="C27" s="3" t="str">
        <x:v>Days</x:v>
      </x:c>
      <x:c r="D27" s="37" t="str">
        <x:v>Ending DPO.</x:v>
      </x:c>
      <x:c r="E27" s="38"/>
      <x:c r="F27" s="38"/>
      <x:c r="G27" s="38"/>
      <x:c r="H27" s="38"/>
    </x:row>
    <x:row r="28" ht="20" customHeight="1">
      <x:c r="A28" s="26" t="str">
        <x:v>OPENING BALANCES</x:v>
      </x:c>
      <x:c r="B28" s="26"/>
      <x:c r="C28" s="26"/>
      <x:c r="D28" s="26"/>
      <x:c r="E28" s="26"/>
      <x:c r="F28" s="26"/>
      <x:c r="G28" s="26"/>
      <x:c r="H28" s="26"/>
    </x:row>
    <x:row r="29" ht="20" customHeight="1">
      <x:c r="A29" s="28" t="str">
        <x:v>Input</x:v>
      </x:c>
      <x:c r="B29" s="28" t="str">
        <x:v>Value</x:v>
      </x:c>
      <x:c r="C29" s="28" t="str">
        <x:v>Unit</x:v>
      </x:c>
      <x:c r="D29" s="28" t="str">
        <x:v>Purpose</x:v>
      </x:c>
      <x:c r="E29" s="28"/>
      <x:c r="F29" s="28"/>
      <x:c r="G29" s="28"/>
      <x:c r="H29" s="28"/>
    </x:row>
    <x:row r="30" ht="20" customHeight="1">
      <x:c r="A30" s="3" t="str">
        <x:v>Opening cash</x:v>
      </x:c>
      <x:c r="B30" s="39" t="n">
        <x:v>130</x:v>
      </x:c>
      <x:c r="C30" s="3" t="str">
        <x:v>LCY m</x:v>
      </x:c>
      <x:c r="D30" s="37" t="str">
        <x:v>Starting cash balance.</x:v>
      </x:c>
      <x:c r="E30" s="38"/>
      <x:c r="F30" s="38"/>
      <x:c r="G30" s="38"/>
      <x:c r="H30" s="38"/>
    </x:row>
    <x:row r="31" ht="20" customHeight="1">
      <x:c r="A31" s="3" t="str">
        <x:v>Opening net PP&amp;E</x:v>
      </x:c>
      <x:c r="B31" s="39" t="n">
        <x:v>350</x:v>
      </x:c>
      <x:c r="C31" s="3" t="str">
        <x:v>LCY m</x:v>
      </x:c>
      <x:c r="D31" s="37" t="str">
        <x:v>Starting property, plant, and equipment.</x:v>
      </x:c>
      <x:c r="E31" s="38"/>
      <x:c r="F31" s="38"/>
      <x:c r="G31" s="38"/>
      <x:c r="H31" s="38"/>
    </x:row>
    <x:row r="32" ht="20" customHeight="1">
      <x:c r="A32" s="3" t="str">
        <x:v>Capex / revenue</x:v>
      </x:c>
      <x:c r="B32" s="42" t="n">
        <x:v>0.045</x:v>
      </x:c>
      <x:c r="C32" s="3" t="str">
        <x:v>%</x:v>
      </x:c>
      <x:c r="D32" s="37" t="str">
        <x:v>Held constant across the five forecast years.</x:v>
      </x:c>
      <x:c r="E32" s="38"/>
      <x:c r="F32" s="38"/>
      <x:c r="G32" s="38"/>
      <x:c r="H32" s="38"/>
    </x:row>
    <x:row r="33" ht="20" customHeight="1">
      <x:c r="A33" s="3" t="str">
        <x:v>Depreciation / opening PP&amp;E</x:v>
      </x:c>
      <x:c r="B33" s="42" t="n">
        <x:v>0.1</x:v>
      </x:c>
      <x:c r="C33" s="3" t="str">
        <x:v>%</x:v>
      </x:c>
      <x:c r="D33" s="37" t="str">
        <x:v>No same-year depreciation is applied to new capex.</x:v>
      </x:c>
      <x:c r="E33" s="38"/>
      <x:c r="F33" s="38"/>
      <x:c r="G33" s="38"/>
      <x:c r="H33" s="38"/>
    </x:row>
    <x:row r="34" ht="20" customHeight="1">
      <x:c r="A34" s="26" t="str">
        <x:v>FINANCING</x:v>
      </x:c>
      <x:c r="B34" s="26"/>
      <x:c r="C34" s="26"/>
      <x:c r="D34" s="26"/>
      <x:c r="E34" s="26"/>
      <x:c r="F34" s="26"/>
      <x:c r="G34" s="26"/>
      <x:c r="H34" s="26"/>
    </x:row>
    <x:row r="35" ht="20" customHeight="1">
      <x:c r="A35" s="28" t="str">
        <x:v>Input</x:v>
      </x:c>
      <x:c r="B35" s="28" t="str">
        <x:v>Value</x:v>
      </x:c>
      <x:c r="C35" s="28" t="str">
        <x:v>Unit</x:v>
      </x:c>
      <x:c r="D35" s="28" t="str">
        <x:v>Purpose</x:v>
      </x:c>
      <x:c r="E35" s="28"/>
      <x:c r="F35" s="28"/>
      <x:c r="G35" s="28"/>
      <x:c r="H35" s="28"/>
    </x:row>
    <x:row r="36" ht="20" customHeight="1">
      <x:c r="A36" s="3" t="str">
        <x:v>Opening debt</x:v>
      </x:c>
      <x:c r="B36" s="39" t="n">
        <x:v>210</x:v>
      </x:c>
      <x:c r="C36" s="3" t="str">
        <x:v>LCY m</x:v>
      </x:c>
      <x:c r="D36" s="37" t="str">
        <x:v>Starting gross debt.</x:v>
      </x:c>
      <x:c r="E36" s="38"/>
      <x:c r="F36" s="38"/>
      <x:c r="G36" s="38"/>
      <x:c r="H36" s="38"/>
    </x:row>
    <x:row r="37" ht="20" customHeight="1">
      <x:c r="A37" s="3" t="str">
        <x:v>New borrowing per year</x:v>
      </x:c>
      <x:c r="B37" s="39" t="n">
        <x:v>0</x:v>
      </x:c>
      <x:c r="C37" s="3" t="str">
        <x:v>LCY m</x:v>
      </x:c>
      <x:c r="D37" s="37" t="str">
        <x:v>Repeated annually.</x:v>
      </x:c>
      <x:c r="E37" s="38"/>
      <x:c r="F37" s="38"/>
      <x:c r="G37" s="38"/>
      <x:c r="H37" s="38"/>
    </x:row>
    <x:row r="38" ht="20" customHeight="1">
      <x:c r="A38" s="3" t="str">
        <x:v>Requested repayment per year</x:v>
      </x:c>
      <x:c r="B38" s="39" t="n">
        <x:v>20</x:v>
      </x:c>
      <x:c r="C38" s="3" t="str">
        <x:v>LCY m</x:v>
      </x:c>
      <x:c r="D38" s="37" t="str">
        <x:v>Capped at available debt.</x:v>
      </x:c>
      <x:c r="E38" s="38"/>
      <x:c r="F38" s="38"/>
      <x:c r="G38" s="38"/>
      <x:c r="H38" s="38"/>
    </x:row>
    <x:row r="39" ht="20" customHeight="1">
      <x:c r="A39" s="3" t="str">
        <x:v>Cash interest rate</x:v>
      </x:c>
      <x:c r="B39" s="42" t="n">
        <x:v>0.06</x:v>
      </x:c>
      <x:c r="C39" s="3" t="str">
        <x:v>%</x:v>
      </x:c>
      <x:c r="D39" s="37" t="str">
        <x:v>Applied to average debt.</x:v>
      </x:c>
      <x:c r="E39" s="38"/>
      <x:c r="F39" s="38"/>
      <x:c r="G39" s="38"/>
      <x:c r="H39" s="38"/>
    </x:row>
    <x:row r="40" ht="20" customHeight="1">
      <x:c r="A40" s="3" t="str">
        <x:v>Opening share capital</x:v>
      </x:c>
      <x:c r="B40" s="39" t="n">
        <x:v>200</x:v>
      </x:c>
      <x:c r="C40" s="3" t="str">
        <x:v>LCY m</x:v>
      </x:c>
      <x:c r="D40" s="37" t="str">
        <x:v>Retained earnings are derived at opening.</x:v>
      </x:c>
      <x:c r="E40" s="38"/>
      <x:c r="F40" s="38"/>
      <x:c r="G40" s="38"/>
      <x:c r="H40" s="38"/>
    </x:row>
    <x:row r="41" ht="20" customHeight="1">
      <x:c r="A41" s="3" t="str">
        <x:v>Dividend payout / net income</x:v>
      </x:c>
      <x:c r="B41" s="42" t="n">
        <x:v>0.2</x:v>
      </x:c>
      <x:c r="C41" s="3" t="str">
        <x:v>%</x:v>
      </x:c>
      <x:c r="D41" s="37" t="str">
        <x:v>Applied only to positive net income.</x:v>
      </x:c>
      <x:c r="E41" s="38"/>
      <x:c r="F41" s="38"/>
      <x:c r="G41" s="38"/>
      <x:c r="H41" s="38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</x:row>
    <x:row r="43" ht="20" customHeight="1">
      <x:c r="A43" s="54" t="str">
        <x:v>Synthetic example. Replace only the blue values, trace the calculation on Model, then review Results and Checks.</x:v>
      </x:c>
      <x:c r="B43" s="55"/>
      <x:c r="C43" s="55"/>
      <x:c r="D43" s="55"/>
      <x:c r="E43" s="55"/>
      <x:c r="F43" s="55"/>
      <x:c r="G43" s="55"/>
      <x:c r="H43" s="56"/>
    </x:row>
    <x:row r="44" ht="20" customHeight="1">
      <x:c r="A44" s="57"/>
      <x:c r="B44" s="58"/>
      <x:c r="C44" s="58"/>
      <x:c r="D44" s="58"/>
      <x:c r="E44" s="58"/>
      <x:c r="F44" s="58"/>
      <x:c r="G44" s="58"/>
      <x:c r="H44" s="59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</x:row>
    <x:row r="47" ht="20" customHeight="1">
      <x:c r="A47" s="3"/>
      <x:c r="B47" s="3"/>
      <x:c r="C47" s="3"/>
      <x:c r="D47" s="3"/>
      <x:c r="E47" s="3"/>
      <x:c r="F47" s="3"/>
      <x:c r="G47" s="3"/>
      <x:c r="H47" s="3"/>
    </x:row>
    <x:row r="48" ht="20" customHeight="1">
      <x:c r="A48" s="60" t="str">
        <x:v>Three-Statement Model Starter · 24 editable assumptions · v1.4.0</x:v>
      </x:c>
      <x:c r="B48" s="60"/>
      <x:c r="C48" s="60"/>
      <x:c r="D48" s="60"/>
      <x:c r="E48" s="60"/>
      <x:c r="F48" s="60"/>
      <x:c r="G48" s="60"/>
      <x:c r="H48" s="60"/>
    </x:row>
  </x:sheetData>
  <x:mergeCells>
    <x:mergeCell ref="A1:H2"/>
    <x:mergeCell ref="A3:H3"/>
    <x:mergeCell ref="A5:H6"/>
    <x:mergeCell ref="A8:H8"/>
    <x:mergeCell ref="D9:H9"/>
    <x:mergeCell ref="D10:H10"/>
    <x:mergeCell ref="A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A20:H20"/>
    <x:mergeCell ref="D21:H21"/>
    <x:mergeCell ref="D22:H22"/>
    <x:mergeCell ref="D23:H23"/>
    <x:mergeCell ref="D24:H24"/>
    <x:mergeCell ref="D25:H25"/>
    <x:mergeCell ref="D26:H26"/>
    <x:mergeCell ref="D27:H27"/>
    <x:mergeCell ref="A28:H28"/>
    <x:mergeCell ref="D29:H29"/>
    <x:mergeCell ref="D30:H30"/>
    <x:mergeCell ref="D31:H31"/>
    <x:mergeCell ref="D32:H32"/>
    <x:mergeCell ref="D33:H33"/>
    <x:mergeCell ref="A34:H34"/>
    <x:mergeCell ref="D35:H35"/>
    <x:mergeCell ref="D36:H36"/>
    <x:mergeCell ref="D37:H37"/>
    <x:mergeCell ref="D38:H38"/>
    <x:mergeCell ref="D39:H39"/>
    <x:mergeCell ref="D40:H40"/>
    <x:mergeCell ref="D41:H41"/>
    <x:mergeCell ref="A43:H44"/>
    <x:mergeCell ref="A48:H4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4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Three-Statement Model Starter · Detailed five-year planner · Full statements and schedules remain visible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12" t="str">
        <x:v>FINAL REVENUE</x:v>
      </x:c>
      <x:c r="B5" s="113"/>
      <x:c r="C5" s="112" t="str">
        <x:v>FINAL EBITDA</x:v>
      </x:c>
      <x:c r="D5" s="113"/>
      <x:c r="E5" s="112" t="str">
        <x:v>FINAL NET INCOME</x:v>
      </x:c>
      <x:c r="F5" s="113"/>
      <x:c r="G5" s="112" t="str">
        <x:v>FINAL CASH</x:v>
      </x:c>
      <x:c r="H5" s="113"/>
    </x:row>
    <x:row r="6" ht="20" customHeight="1">
      <x:c r="A6" s="127" t="n">
        <x:f>G29</x:f>
        <x:v>1643.6963292750002</x:v>
      </x:c>
      <x:c r="B6" s="128"/>
      <x:c r="C6" s="127" t="n">
        <x:f>G35</x:f>
        <x:v>328.73926585500004</x:v>
      </x:c>
      <x:c r="D6" s="128"/>
      <x:c r="E6" s="127" t="n">
        <x:f>G42</x:f>
        <x:v>220.97454067620006</x:v>
      </x:c>
      <x:c r="F6" s="128"/>
      <x:c r="G6" s="127" t="n">
        <x:f>G95</x:f>
        <x:v>593.7929048352034</x:v>
      </x:c>
      <x:c r="H6" s="128"/>
    </x:row>
    <x:row r="7" ht="20" customHeight="1">
      <x:c r="A7" s="129"/>
      <x:c r="B7" s="130"/>
      <x:c r="C7" s="129"/>
      <x:c r="D7" s="130"/>
      <x:c r="E7" s="129"/>
      <x:c r="F7" s="130"/>
      <x:c r="G7" s="129"/>
      <x:c r="H7" s="130"/>
    </x:row>
    <x:row r="8" ht="20" customHeight="1">
      <x:c r="A8" s="131"/>
      <x:c r="B8" s="132"/>
      <x:c r="C8" s="131"/>
      <x:c r="D8" s="132"/>
      <x:c r="E8" s="131"/>
      <x:c r="F8" s="132"/>
      <x:c r="G8" s="131"/>
      <x:c r="H8" s="132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8" t="str">
        <x:v>Base financial metrics provide the reference case. Opening balances seed the roll-forwards; closing cash is calculated only by the cash flow statement and then linked to the balance sheet.</x:v>
      </x:c>
      <x:c r="B10" s="69"/>
      <x:c r="C10" s="69"/>
      <x:c r="D10" s="69"/>
      <x:c r="E10" s="69"/>
      <x:c r="F10" s="69"/>
      <x:c r="G10" s="69"/>
      <x:c r="H10" s="70"/>
    </x:row>
    <x:row r="11" ht="20" customHeight="1">
      <x:c r="A11" s="71"/>
      <x:c r="B11" s="72"/>
      <x:c r="C11" s="72"/>
      <x:c r="D11" s="72"/>
      <x:c r="E11" s="72"/>
      <x:c r="F11" s="72"/>
      <x:c r="G11" s="72"/>
      <x:c r="H11" s="73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74" t="str">
        <x:v>DRIVER RAMP</x:v>
      </x:c>
      <x:c r="B13" s="74"/>
      <x:c r="C13" s="74"/>
      <x:c r="D13" s="74"/>
      <x:c r="E13" s="74"/>
      <x:c r="F13" s="74"/>
      <x:c r="G13" s="74"/>
      <x:c r="H13" s="74"/>
    </x:row>
    <x:row r="14" ht="20" customHeight="1">
      <x:c r="A14" s="76" t="str">
        <x:v>Metric</x:v>
      </x:c>
      <x:c r="B14" s="75" t="str">
        <x:v>BASE / OPENING</x:v>
      </x:c>
      <x:c r="C14" s="75" t="str">
        <x:v>YEAR 1</x:v>
      </x:c>
      <x:c r="D14" s="75" t="str">
        <x:v>YEAR 2</x:v>
      </x:c>
      <x:c r="E14" s="75" t="str">
        <x:v>YEAR 3</x:v>
      </x:c>
      <x:c r="F14" s="75" t="str">
        <x:v>YEAR 4</x:v>
      </x:c>
      <x:c r="G14" s="75" t="str">
        <x:v>YEAR 5</x:v>
      </x:c>
      <x:c r="H14" s="78" t="str">
        <x:v>Notes</x:v>
      </x:c>
    </x:row>
    <x:row r="15" ht="20" customHeight="1">
      <x:c r="A15" s="29" t="str">
        <x:v>Revenue growth</x:v>
      </x:c>
      <x:c r="B15" s="85" t="n">
        <x:f>0</x:f>
        <x:v>0</x:v>
      </x:c>
      <x:c r="C15" s="86" t="n">
        <x:f>'Inputs'!$B$13+('Inputs'!$B$14-'Inputs'!$B$13)*0/4</x:f>
        <x:v>0.08</x:v>
      </x:c>
      <x:c r="D15" s="86" t="n">
        <x:f>'Inputs'!$B$13+('Inputs'!$B$14-'Inputs'!$B$13)*1/4</x:f>
        <x:v>0.07250000000000001</x:v>
      </x:c>
      <x:c r="E15" s="86" t="n">
        <x:f>'Inputs'!$B$13+('Inputs'!$B$14-'Inputs'!$B$13)*2/4</x:f>
        <x:v>0.065</x:v>
      </x:c>
      <x:c r="F15" s="86" t="n">
        <x:f>'Inputs'!$B$13+('Inputs'!$B$14-'Inputs'!$B$13)*3/4</x:f>
        <x:v>0.0575</x:v>
      </x:c>
      <x:c r="G15" s="86" t="n">
        <x:f>'Inputs'!$B$13+('Inputs'!$B$14-'Inputs'!$B$13)*4/4</x:f>
        <x:v>0.05</x:v>
      </x:c>
      <x:c r="H15" s="37" t="str">
        <x:v>Applied to prior-year revenue.</x:v>
      </x:c>
    </x:row>
    <x:row r="16" ht="20" customHeight="1">
      <x:c r="A16" s="29" t="str">
        <x:v>Gross margin</x:v>
      </x:c>
      <x:c r="B16" s="86" t="n">
        <x:f>'Inputs'!$B$15</x:f>
        <x:v>0.36</x:v>
      </x:c>
      <x:c r="C16" s="86" t="n">
        <x:f>'Inputs'!$B$15+('Inputs'!$B$16-'Inputs'!$B$15)*0/4</x:f>
        <x:v>0.36</x:v>
      </x:c>
      <x:c r="D16" s="86" t="n">
        <x:f>'Inputs'!$B$15+('Inputs'!$B$16-'Inputs'!$B$15)*1/4</x:f>
        <x:v>0.365</x:v>
      </x:c>
      <x:c r="E16" s="86" t="n">
        <x:f>'Inputs'!$B$15+('Inputs'!$B$16-'Inputs'!$B$15)*2/4</x:f>
        <x:v>0.37</x:v>
      </x:c>
      <x:c r="F16" s="86" t="n">
        <x:f>'Inputs'!$B$15+('Inputs'!$B$16-'Inputs'!$B$15)*3/4</x:f>
        <x:v>0.375</x:v>
      </x:c>
      <x:c r="G16" s="86" t="n">
        <x:f>'Inputs'!$B$15+('Inputs'!$B$16-'Inputs'!$B$15)*4/4</x:f>
        <x:v>0.38</x:v>
      </x:c>
      <x:c r="H16" s="37" t="str">
        <x:v>Revenue less cost of goods sold.</x:v>
      </x:c>
    </x:row>
    <x:row r="17" ht="20" customHeight="1">
      <x:c r="A17" s="29" t="str">
        <x:v>Opex / revenue</x:v>
      </x:c>
      <x:c r="B17" s="86" t="n">
        <x:f>'Inputs'!$B$17</x:f>
        <x:v>0.2</x:v>
      </x:c>
      <x:c r="C17" s="86" t="n">
        <x:f>'Inputs'!$B$17+('Inputs'!$B$18-'Inputs'!$B$17)*0/4</x:f>
        <x:v>0.2</x:v>
      </x:c>
      <x:c r="D17" s="86" t="n">
        <x:f>'Inputs'!$B$17+('Inputs'!$B$18-'Inputs'!$B$17)*1/4</x:f>
        <x:v>0.195</x:v>
      </x:c>
      <x:c r="E17" s="86" t="n">
        <x:f>'Inputs'!$B$17+('Inputs'!$B$18-'Inputs'!$B$17)*2/4</x:f>
        <x:v>0.19</x:v>
      </x:c>
      <x:c r="F17" s="86" t="n">
        <x:f>'Inputs'!$B$17+('Inputs'!$B$18-'Inputs'!$B$17)*3/4</x:f>
        <x:v>0.185</x:v>
      </x:c>
      <x:c r="G17" s="86" t="n">
        <x:f>'Inputs'!$B$17+('Inputs'!$B$18-'Inputs'!$B$17)*4/4</x:f>
        <x:v>0.18</x:v>
      </x:c>
      <x:c r="H17" s="37" t="str">
        <x:v>Recurring operating-cost ratio.</x:v>
      </x:c>
    </x:row>
    <x:row r="18" ht="20" customHeight="1">
      <x:c r="A18" s="29" t="str">
        <x:v>Receivable days (DSO)</x:v>
      </x:c>
      <x:c r="B18" s="89" t="n">
        <x:f>'Inputs'!$B$22</x:f>
        <x:v>45</x:v>
      </x:c>
      <x:c r="C18" s="89" t="n">
        <x:f>'Inputs'!$B$22+('Inputs'!$B$23-'Inputs'!$B$22)*0/4</x:f>
        <x:v>45</x:v>
      </x:c>
      <x:c r="D18" s="89" t="n">
        <x:f>'Inputs'!$B$22+('Inputs'!$B$23-'Inputs'!$B$22)*1/4</x:f>
        <x:v>43.75</x:v>
      </x:c>
      <x:c r="E18" s="89" t="n">
        <x:f>'Inputs'!$B$22+('Inputs'!$B$23-'Inputs'!$B$22)*2/4</x:f>
        <x:v>42.5</x:v>
      </x:c>
      <x:c r="F18" s="89" t="n">
        <x:f>'Inputs'!$B$22+('Inputs'!$B$23-'Inputs'!$B$22)*3/4</x:f>
        <x:v>41.25</x:v>
      </x:c>
      <x:c r="G18" s="89" t="n">
        <x:f>'Inputs'!$B$22+('Inputs'!$B$23-'Inputs'!$B$22)*4/4</x:f>
        <x:v>40</x:v>
      </x:c>
      <x:c r="H18" s="37" t="str">
        <x:v>Drives accounts receivable.</x:v>
      </x:c>
    </x:row>
    <x:row r="19" ht="20" customHeight="1">
      <x:c r="A19" s="29" t="str">
        <x:v>Inventory days (DIO)</x:v>
      </x:c>
      <x:c r="B19" s="89" t="n">
        <x:f>'Inputs'!$B$24</x:f>
        <x:v>35</x:v>
      </x:c>
      <x:c r="C19" s="89" t="n">
        <x:f>'Inputs'!$B$24+('Inputs'!$B$25-'Inputs'!$B$24)*0/4</x:f>
        <x:v>35</x:v>
      </x:c>
      <x:c r="D19" s="89" t="n">
        <x:f>'Inputs'!$B$24+('Inputs'!$B$25-'Inputs'!$B$24)*1/4</x:f>
        <x:v>33.75</x:v>
      </x:c>
      <x:c r="E19" s="89" t="n">
        <x:f>'Inputs'!$B$24+('Inputs'!$B$25-'Inputs'!$B$24)*2/4</x:f>
        <x:v>32.5</x:v>
      </x:c>
      <x:c r="F19" s="89" t="n">
        <x:f>'Inputs'!$B$24+('Inputs'!$B$25-'Inputs'!$B$24)*3/4</x:f>
        <x:v>31.25</x:v>
      </x:c>
      <x:c r="G19" s="89" t="n">
        <x:f>'Inputs'!$B$24+('Inputs'!$B$25-'Inputs'!$B$24)*4/4</x:f>
        <x:v>30</x:v>
      </x:c>
      <x:c r="H19" s="37" t="str">
        <x:v>Drives inventory.</x:v>
      </x:c>
    </x:row>
    <x:row r="20" ht="20" customHeight="1">
      <x:c r="A20" s="29" t="str">
        <x:v>Payable days (DPO)</x:v>
      </x:c>
      <x:c r="B20" s="89" t="n">
        <x:f>'Inputs'!$B$26</x:f>
        <x:v>40</x:v>
      </x:c>
      <x:c r="C20" s="89" t="n">
        <x:f>'Inputs'!$B$26+('Inputs'!$B$27-'Inputs'!$B$26)*0/4</x:f>
        <x:v>40</x:v>
      </x:c>
      <x:c r="D20" s="89" t="n">
        <x:f>'Inputs'!$B$26+('Inputs'!$B$27-'Inputs'!$B$26)*1/4</x:f>
        <x:v>41.25</x:v>
      </x:c>
      <x:c r="E20" s="89" t="n">
        <x:f>'Inputs'!$B$26+('Inputs'!$B$27-'Inputs'!$B$26)*2/4</x:f>
        <x:v>42.5</x:v>
      </x:c>
      <x:c r="F20" s="89" t="n">
        <x:f>'Inputs'!$B$26+('Inputs'!$B$27-'Inputs'!$B$26)*3/4</x:f>
        <x:v>43.75</x:v>
      </x:c>
      <x:c r="G20" s="89" t="n">
        <x:f>'Inputs'!$B$26+('Inputs'!$B$27-'Inputs'!$B$26)*4/4</x:f>
        <x:v>45</x:v>
      </x:c>
      <x:c r="H20" s="37" t="str">
        <x:v>Drives accounts payable.</x:v>
      </x:c>
    </x:row>
    <x:row r="21" ht="20" customHeight="1">
      <x:c r="A21" s="29" t="str">
        <x:v>Capex / revenue</x:v>
      </x:c>
      <x:c r="B21" s="86" t="n">
        <x:f>'Inputs'!$B$32</x:f>
        <x:v>0.045</x:v>
      </x:c>
      <x:c r="C21" s="86" t="n">
        <x:f>'Inputs'!$B$32</x:f>
        <x:v>0.045</x:v>
      </x:c>
      <x:c r="D21" s="86" t="n">
        <x:f>'Inputs'!$B$32</x:f>
        <x:v>0.045</x:v>
      </x:c>
      <x:c r="E21" s="86" t="n">
        <x:f>'Inputs'!$B$32</x:f>
        <x:v>0.045</x:v>
      </x:c>
      <x:c r="F21" s="86" t="n">
        <x:f>'Inputs'!$B$32</x:f>
        <x:v>0.045</x:v>
      </x:c>
      <x:c r="G21" s="86" t="n">
        <x:f>'Inputs'!$B$32</x:f>
        <x:v>0.045</x:v>
      </x:c>
      <x:c r="H21" s="37" t="str">
        <x:v>Capital-expenditure intensity.</x:v>
      </x:c>
    </x:row>
    <x:row r="22" ht="20" customHeight="1">
      <x:c r="A22" s="29" t="str">
        <x:v>Cash interest rate</x:v>
      </x:c>
      <x:c r="B22" s="86" t="n">
        <x:f>'Inputs'!$B$39</x:f>
        <x:v>0.06</x:v>
      </x:c>
      <x:c r="C22" s="86" t="n">
        <x:f>'Inputs'!$B$39</x:f>
        <x:v>0.06</x:v>
      </x:c>
      <x:c r="D22" s="86" t="n">
        <x:f>'Inputs'!$B$39</x:f>
        <x:v>0.06</x:v>
      </x:c>
      <x:c r="E22" s="86" t="n">
        <x:f>'Inputs'!$B$39</x:f>
        <x:v>0.06</x:v>
      </x:c>
      <x:c r="F22" s="86" t="n">
        <x:f>'Inputs'!$B$39</x:f>
        <x:v>0.06</x:v>
      </x:c>
      <x:c r="G22" s="86" t="n">
        <x:f>'Inputs'!$B$39</x:f>
        <x:v>0.06</x:v>
      </x:c>
      <x:c r="H22" s="37" t="str">
        <x:v>Applied to average debt.</x:v>
      </x:c>
    </x:row>
    <x:row r="23" ht="20" customHeight="1">
      <x:c r="A23" s="29" t="str">
        <x:v>New borrowing</x:v>
      </x:c>
      <x:c r="B23" s="94" t="n">
        <x:f>0</x:f>
        <x:v>0</x:v>
      </x:c>
      <x:c r="C23" s="95" t="n">
        <x:f>'Inputs'!$B$37</x:f>
        <x:v>0</x:v>
      </x:c>
      <x:c r="D23" s="95" t="n">
        <x:f>'Inputs'!$B$37</x:f>
        <x:v>0</x:v>
      </x:c>
      <x:c r="E23" s="95" t="n">
        <x:f>'Inputs'!$B$37</x:f>
        <x:v>0</x:v>
      </x:c>
      <x:c r="F23" s="95" t="n">
        <x:f>'Inputs'!$B$37</x:f>
        <x:v>0</x:v>
      </x:c>
      <x:c r="G23" s="95" t="n">
        <x:f>'Inputs'!$B$37</x:f>
        <x:v>0</x:v>
      </x:c>
      <x:c r="H23" s="37" t="str">
        <x:v>Annual financing inflow.</x:v>
      </x:c>
    </x:row>
    <x:row r="24" ht="20" customHeight="1">
      <x:c r="A24" s="29" t="str">
        <x:v>Requested repayment</x:v>
      </x:c>
      <x:c r="B24" s="94" t="n">
        <x:f>0</x:f>
        <x:v>0</x:v>
      </x:c>
      <x:c r="C24" s="95" t="n">
        <x:f>'Inputs'!$B$38</x:f>
        <x:v>20</x:v>
      </x:c>
      <x:c r="D24" s="95" t="n">
        <x:f>'Inputs'!$B$38</x:f>
        <x:v>20</x:v>
      </x:c>
      <x:c r="E24" s="95" t="n">
        <x:f>'Inputs'!$B$38</x:f>
        <x:v>20</x:v>
      </x:c>
      <x:c r="F24" s="95" t="n">
        <x:f>'Inputs'!$B$38</x:f>
        <x:v>20</x:v>
      </x:c>
      <x:c r="G24" s="95" t="n">
        <x:f>'Inputs'!$B$38</x:f>
        <x:v>20</x:v>
      </x:c>
      <x:c r="H24" s="37" t="str">
        <x:v>Capped at available debt.</x:v>
      </x:c>
    </x:row>
    <x:row r="25" ht="20" customHeight="1">
      <x:c r="A25" s="29" t="str">
        <x:v>Dividend payout</x:v>
      </x:c>
      <x:c r="B25" s="86" t="n">
        <x:f>'Inputs'!$B$41</x:f>
        <x:v>0.2</x:v>
      </x:c>
      <x:c r="C25" s="86" t="n">
        <x:f>'Inputs'!$B$41</x:f>
        <x:v>0.2</x:v>
      </x:c>
      <x:c r="D25" s="86" t="n">
        <x:f>'Inputs'!$B$41</x:f>
        <x:v>0.2</x:v>
      </x:c>
      <x:c r="E25" s="86" t="n">
        <x:f>'Inputs'!$B$41</x:f>
        <x:v>0.2</x:v>
      </x:c>
      <x:c r="F25" s="86" t="n">
        <x:f>'Inputs'!$B$41</x:f>
        <x:v>0.2</x:v>
      </x:c>
      <x:c r="G25" s="86" t="n">
        <x:f>'Inputs'!$B$41</x:f>
        <x:v>0.2</x:v>
      </x:c>
      <x:c r="H25" s="37" t="str">
        <x:v>Applied only to positive net income.</x:v>
      </x:c>
    </x:row>
    <x:row r="26" ht="20" customHeight="1">
      <x:c r="A26" s="3"/>
      <x:c r="B26" s="3"/>
      <x:c r="C26" s="3"/>
      <x:c r="D26" s="3"/>
      <x:c r="E26" s="3"/>
      <x:c r="F26" s="3"/>
      <x:c r="G26" s="3"/>
      <x:c r="H26" s="3"/>
    </x:row>
    <x:row r="27" ht="20" customHeight="1">
      <x:c r="A27" s="74" t="str">
        <x:v>INCOME STATEMENT</x:v>
      </x:c>
      <x:c r="B27" s="74"/>
      <x:c r="C27" s="74"/>
      <x:c r="D27" s="74"/>
      <x:c r="E27" s="74"/>
      <x:c r="F27" s="74"/>
      <x:c r="G27" s="74"/>
      <x:c r="H27" s="74"/>
    </x:row>
    <x:row r="28" ht="20" customHeight="1">
      <x:c r="A28" s="76" t="str">
        <x:v>Metric</x:v>
      </x:c>
      <x:c r="B28" s="75" t="str">
        <x:v>BASE / OPENING</x:v>
      </x:c>
      <x:c r="C28" s="75" t="str">
        <x:v>YEAR 1</x:v>
      </x:c>
      <x:c r="D28" s="75" t="str">
        <x:v>YEAR 2</x:v>
      </x:c>
      <x:c r="E28" s="75" t="str">
        <x:v>YEAR 3</x:v>
      </x:c>
      <x:c r="F28" s="75" t="str">
        <x:v>YEAR 4</x:v>
      </x:c>
      <x:c r="G28" s="75" t="str">
        <x:v>YEAR 5</x:v>
      </x:c>
      <x:c r="H28" s="78" t="str">
        <x:v>Notes</x:v>
      </x:c>
    </x:row>
    <x:row r="29" ht="20" customHeight="1">
      <x:c r="A29" s="11" t="str">
        <x:v>Revenue</x:v>
      </x:c>
      <x:c r="B29" s="102" t="n">
        <x:f>'Inputs'!$B$10</x:f>
        <x:v>1200</x:v>
      </x:c>
      <x:c r="C29" s="103" t="n">
        <x:f>MAX(0,B29*(1+C15))</x:f>
        <x:v>1296</x:v>
      </x:c>
      <x:c r="D29" s="103" t="n">
        <x:f>MAX(0,C29*(1+D15))</x:f>
        <x:v>1389.96</x:v>
      </x:c>
      <x:c r="E29" s="103" t="n">
        <x:f>MAX(0,D29*(1+E15))</x:f>
        <x:v>1480.3074</x:v>
      </x:c>
      <x:c r="F29" s="103" t="n">
        <x:f>MAX(0,E29*(1+F15))</x:f>
        <x:v>1565.4250755</x:v>
      </x:c>
      <x:c r="G29" s="103" t="n">
        <x:f>MAX(0,F29*(1+G15))</x:f>
        <x:v>1643.6963292750002</x:v>
      </x:c>
      <x:c r="H29" s="106" t="str">
        <x:v>Base is the reference; forecasts roll from the prior year.</x:v>
      </x:c>
    </x:row>
    <x:row r="30" ht="20" customHeight="1">
      <x:c r="A30" s="29" t="str">
        <x:v>Growth</x:v>
      </x:c>
      <x:c r="B30" s="85" t="n">
        <x:f>0</x:f>
        <x:v>0</x:v>
      </x:c>
      <x:c r="C30" s="85" t="n">
        <x:f>C15</x:f>
        <x:v>0.08</x:v>
      </x:c>
      <x:c r="D30" s="85" t="n">
        <x:f>D15</x:f>
        <x:v>0.07250000000000001</x:v>
      </x:c>
      <x:c r="E30" s="85" t="n">
        <x:f>E15</x:f>
        <x:v>0.065</x:v>
      </x:c>
      <x:c r="F30" s="85" t="n">
        <x:f>F15</x:f>
        <x:v>0.0575</x:v>
      </x:c>
      <x:c r="G30" s="85" t="n">
        <x:f>G15</x:f>
        <x:v>0.05</x:v>
      </x:c>
      <x:c r="H30" s="37" t="str">
        <x:v>Forecast driver shown for traceability.</x:v>
      </x:c>
    </x:row>
    <x:row r="31" ht="20" customHeight="1">
      <x:c r="A31" s="29" t="str">
        <x:v>Cost of goods sold</x:v>
      </x:c>
      <x:c r="B31" s="94" t="n">
        <x:f>-B29*(1-B16)</x:f>
        <x:v>-768</x:v>
      </x:c>
      <x:c r="C31" s="94" t="n">
        <x:f>-C29*(1-C16)</x:f>
        <x:v>-829.44</x:v>
      </x:c>
      <x:c r="D31" s="94" t="n">
        <x:f>-D29*(1-D16)</x:f>
        <x:v>-882.6246</x:v>
      </x:c>
      <x:c r="E31" s="94" t="n">
        <x:f>-E29*(1-E16)</x:f>
        <x:v>-932.593662</x:v>
      </x:c>
      <x:c r="F31" s="94" t="n">
        <x:f>-F29*(1-F16)</x:f>
        <x:v>-978.3906721875001</x:v>
      </x:c>
      <x:c r="G31" s="94" t="n">
        <x:f>-G29*(1-G16)</x:f>
        <x:v>-1019.0917241505001</x:v>
      </x:c>
      <x:c r="H31" s="37" t="str">
        <x:v>Negative expense convention.</x:v>
      </x:c>
    </x:row>
    <x:row r="32" ht="20" customHeight="1">
      <x:c r="A32" s="11" t="str">
        <x:v>Gross profit</x:v>
      </x:c>
      <x:c r="B32" s="103" t="n">
        <x:f>B29+B31</x:f>
        <x:v>432</x:v>
      </x:c>
      <x:c r="C32" s="103" t="n">
        <x:f>C29+C31</x:f>
        <x:v>466.55999999999995</x:v>
      </x:c>
      <x:c r="D32" s="103" t="n">
        <x:f>D29+D31</x:f>
        <x:v>507.33540000000005</x:v>
      </x:c>
      <x:c r="E32" s="103" t="n">
        <x:f>E29+E31</x:f>
        <x:v>547.7137379999999</x:v>
      </x:c>
      <x:c r="F32" s="103" t="n">
        <x:f>F29+F31</x:f>
        <x:v>587.0344033125</x:v>
      </x:c>
      <x:c r="G32" s="103" t="n">
        <x:f>G29+G31</x:f>
        <x:v>624.6046051245</x:v>
      </x:c>
      <x:c r="H32" s="106" t="str">
        <x:v>Revenue plus cost of goods sold.</x:v>
      </x:c>
    </x:row>
    <x:row r="33" ht="20" customHeight="1">
      <x:c r="A33" s="29" t="str">
        <x:v>Gross margin</x:v>
      </x:c>
      <x:c r="B33" s="85" t="n">
        <x:f>IF(B29=0,0,B32/B29)</x:f>
        <x:v>0.36</x:v>
      </x:c>
      <x:c r="C33" s="85" t="n">
        <x:f>IF(C29=0,0,C32/C29)</x:f>
        <x:v>0.35999999999999993</x:v>
      </x:c>
      <x:c r="D33" s="85" t="n">
        <x:f>IF(D29=0,0,D32/D29)</x:f>
        <x:v>0.36500000000000005</x:v>
      </x:c>
      <x:c r="E33" s="85" t="n">
        <x:f>IF(E29=0,0,E32/E29)</x:f>
        <x:v>0.36999999999999994</x:v>
      </x:c>
      <x:c r="F33" s="85" t="n">
        <x:f>IF(F29=0,0,F32/F29)</x:f>
        <x:v>0.375</x:v>
      </x:c>
      <x:c r="G33" s="85" t="n">
        <x:f>IF(G29=0,0,G32/G29)</x:f>
        <x:v>0.38</x:v>
      </x:c>
      <x:c r="H33" s="37" t="str">
        <x:v>Calculated margin check.</x:v>
      </x:c>
    </x:row>
    <x:row r="34" ht="20" customHeight="1">
      <x:c r="A34" s="29" t="str">
        <x:v>Operating expenses</x:v>
      </x:c>
      <x:c r="B34" s="94" t="n">
        <x:f>-B29*B17</x:f>
        <x:v>-240</x:v>
      </x:c>
      <x:c r="C34" s="94" t="n">
        <x:f>-C29*C17</x:f>
        <x:v>-259.2</x:v>
      </x:c>
      <x:c r="D34" s="94" t="n">
        <x:f>-D29*D17</x:f>
        <x:v>-271.04220000000004</x:v>
      </x:c>
      <x:c r="E34" s="94" t="n">
        <x:f>-E29*E17</x:f>
        <x:v>-281.258406</x:v>
      </x:c>
      <x:c r="F34" s="94" t="n">
        <x:f>-F29*F17</x:f>
        <x:v>-289.6036389675</x:v>
      </x:c>
      <x:c r="G34" s="94" t="n">
        <x:f>-G29*G17</x:f>
        <x:v>-295.8653392695</x:v>
      </x:c>
      <x:c r="H34" s="37" t="str">
        <x:v>Negative expense convention.</x:v>
      </x:c>
    </x:row>
    <x:row r="35" ht="20" customHeight="1">
      <x:c r="A35" s="11" t="str">
        <x:v>EBITDA</x:v>
      </x:c>
      <x:c r="B35" s="103" t="n">
        <x:f>B32+B34</x:f>
        <x:v>192</x:v>
      </x:c>
      <x:c r="C35" s="103" t="n">
        <x:f>C32+C34</x:f>
        <x:v>207.35999999999996</x:v>
      </x:c>
      <x:c r="D35" s="103" t="n">
        <x:f>D32+D34</x:f>
        <x:v>236.2932</x:v>
      </x:c>
      <x:c r="E35" s="103" t="n">
        <x:f>E32+E34</x:f>
        <x:v>266.45533199999994</x:v>
      </x:c>
      <x:c r="F35" s="103" t="n">
        <x:f>F32+F34</x:f>
        <x:v>297.430764345</x:v>
      </x:c>
      <x:c r="G35" s="103" t="n">
        <x:f>G32+G34</x:f>
        <x:v>328.73926585500004</x:v>
      </x:c>
      <x:c r="H35" s="106" t="str">
        <x:v>Gross profit plus operating expenses.</x:v>
      </x:c>
    </x:row>
    <x:row r="36" ht="20" customHeight="1">
      <x:c r="A36" s="29" t="str">
        <x:v>EBITDA margin</x:v>
      </x:c>
      <x:c r="B36" s="85" t="n">
        <x:f>IF(B29=0,0,B35/B29)</x:f>
        <x:v>0.16</x:v>
      </x:c>
      <x:c r="C36" s="85" t="n">
        <x:f>IF(C29=0,0,C35/C29)</x:f>
        <x:v>0.15999999999999998</x:v>
      </x:c>
      <x:c r="D36" s="85" t="n">
        <x:f>IF(D29=0,0,D35/D29)</x:f>
        <x:v>0.17</x:v>
      </x:c>
      <x:c r="E36" s="85" t="n">
        <x:f>IF(E29=0,0,E35/E29)</x:f>
        <x:v>0.17999999999999997</x:v>
      </x:c>
      <x:c r="F36" s="85" t="n">
        <x:f>IF(F29=0,0,F35/F29)</x:f>
        <x:v>0.19</x:v>
      </x:c>
      <x:c r="G36" s="85" t="n">
        <x:f>IF(G29=0,0,G35/G29)</x:f>
        <x:v>0.2</x:v>
      </x:c>
      <x:c r="H36" s="37" t="str">
        <x:v>EBITDA divided by revenue.</x:v>
      </x:c>
    </x:row>
    <x:row r="37" ht="20" customHeight="1">
      <x:c r="A37" s="29" t="str">
        <x:v>Depreciation &amp; amortization</x:v>
      </x:c>
      <x:c r="B37" s="95" t="n">
        <x:f>-MIN(MAX(0,'Inputs'!$B$31),MAX(0,'Inputs'!$B$31)*'Inputs'!$B$33)</x:f>
        <x:v>-35</x:v>
      </x:c>
      <x:c r="C37" s="94" t="n">
        <x:f>C57</x:f>
        <x:v>-35</x:v>
      </x:c>
      <x:c r="D37" s="94" t="n">
        <x:f>D57</x:f>
        <x:v>-37.332</x:v>
      </x:c>
      <x:c r="E37" s="94" t="n">
        <x:f>E57</x:f>
        <x:v>-39.85362000000001</x:v>
      </x:c>
      <x:c r="F37" s="94" t="n">
        <x:f>F57</x:f>
        <x:v>-42.52964130000001</x:v>
      </x:c>
      <x:c r="G37" s="94" t="n">
        <x:f>G57</x:f>
        <x:v>-45.32109000975001</x:v>
      </x:c>
      <x:c r="H37" s="37" t="str">
        <x:v>Forecast links to the PP&amp;E schedule.</x:v>
      </x:c>
    </x:row>
    <x:row r="38" ht="20" customHeight="1">
      <x:c r="A38" s="11" t="str">
        <x:v>EBIT</x:v>
      </x:c>
      <x:c r="B38" s="103" t="n">
        <x:f>B35+B37</x:f>
        <x:v>157</x:v>
      </x:c>
      <x:c r="C38" s="103" t="n">
        <x:f>C35+C37</x:f>
        <x:v>172.35999999999996</x:v>
      </x:c>
      <x:c r="D38" s="103" t="n">
        <x:f>D35+D37</x:f>
        <x:v>198.96120000000002</x:v>
      </x:c>
      <x:c r="E38" s="103" t="n">
        <x:f>E35+E37</x:f>
        <x:v>226.60171199999994</x:v>
      </x:c>
      <x:c r="F38" s="103" t="n">
        <x:f>F35+F37</x:f>
        <x:v>254.901123045</x:v>
      </x:c>
      <x:c r="G38" s="103" t="n">
        <x:f>G35+G37</x:f>
        <x:v>283.41817584525006</x:v>
      </x:c>
      <x:c r="H38" s="106" t="str">
        <x:v>EBITDA after depreciation.</x:v>
      </x:c>
    </x:row>
    <x:row r="39" ht="20" customHeight="1">
      <x:c r="A39" s="29" t="str">
        <x:v>Cash interest</x:v>
      </x:c>
      <x:c r="B39" s="95" t="n">
        <x:f>-MAX(0,'Inputs'!$B$36)*'Inputs'!$B$39</x:f>
        <x:v>-12.6</x:v>
      </x:c>
      <x:c r="C39" s="94" t="n">
        <x:f>C68</x:f>
        <x:v>-12</x:v>
      </x:c>
      <x:c r="D39" s="94" t="n">
        <x:f>D68</x:f>
        <x:v>-10.799999999999999</x:v>
      </x:c>
      <x:c r="E39" s="94" t="n">
        <x:f>E68</x:f>
        <x:v>-9.6</x:v>
      </x:c>
      <x:c r="F39" s="94" t="n">
        <x:f>F68</x:f>
        <x:v>-8.4</x:v>
      </x:c>
      <x:c r="G39" s="94" t="n">
        <x:f>G68</x:f>
        <x:v>-7.199999999999999</x:v>
      </x:c>
      <x:c r="H39" s="37" t="str">
        <x:v>Forecast links to average debt.</x:v>
      </x:c>
    </x:row>
    <x:row r="40" ht="20" customHeight="1">
      <x:c r="A40" s="11" t="str">
        <x:v>Earnings before tax</x:v>
      </x:c>
      <x:c r="B40" s="103" t="n">
        <x:f>B38+B39</x:f>
        <x:v>144.4</x:v>
      </x:c>
      <x:c r="C40" s="103" t="n">
        <x:f>C38+C39</x:f>
        <x:v>160.35999999999996</x:v>
      </x:c>
      <x:c r="D40" s="103" t="n">
        <x:f>D38+D39</x:f>
        <x:v>188.1612</x:v>
      </x:c>
      <x:c r="E40" s="103" t="n">
        <x:f>E38+E39</x:f>
        <x:v>217.00171199999994</x:v>
      </x:c>
      <x:c r="F40" s="103" t="n">
        <x:f>F38+F39</x:f>
        <x:v>246.50112304499999</x:v>
      </x:c>
      <x:c r="G40" s="103" t="n">
        <x:f>G38+G39</x:f>
        <x:v>276.2181758452501</x:v>
      </x:c>
      <x:c r="H40" s="106" t="str">
        <x:v>EBIT after cash interest.</x:v>
      </x:c>
    </x:row>
    <x:row r="41" ht="20" customHeight="1">
      <x:c r="A41" s="29" t="str">
        <x:v>Cash tax</x:v>
      </x:c>
      <x:c r="B41" s="95" t="n">
        <x:f>-MAX(0,B40)*'Inputs'!$B$19</x:f>
        <x:v>-28.880000000000003</x:v>
      </x:c>
      <x:c r="C41" s="95" t="n">
        <x:f>-MAX(0,C40)*'Inputs'!$B$19</x:f>
        <x:v>-32.071999999999996</x:v>
      </x:c>
      <x:c r="D41" s="95" t="n">
        <x:f>-MAX(0,D40)*'Inputs'!$B$19</x:f>
        <x:v>-37.63224</x:v>
      </x:c>
      <x:c r="E41" s="95" t="n">
        <x:f>-MAX(0,E40)*'Inputs'!$B$19</x:f>
        <x:v>-43.40034239999999</x:v>
      </x:c>
      <x:c r="F41" s="95" t="n">
        <x:f>-MAX(0,F40)*'Inputs'!$B$19</x:f>
        <x:v>-49.300224609</x:v>
      </x:c>
      <x:c r="G41" s="95" t="n">
        <x:f>-MAX(0,G40)*'Inputs'!$B$19</x:f>
        <x:v>-55.243635169050016</x:v>
      </x:c>
      <x:c r="H41" s="37" t="str">
        <x:v>No tax benefit is modeled for losses.</x:v>
      </x:c>
    </x:row>
    <x:row r="42" ht="20" customHeight="1">
      <x:c r="A42" s="11" t="str">
        <x:v>Net income</x:v>
      </x:c>
      <x:c r="B42" s="103" t="n">
        <x:f>B40+B41</x:f>
        <x:v>115.52000000000001</x:v>
      </x:c>
      <x:c r="C42" s="103" t="n">
        <x:f>C40+C41</x:f>
        <x:v>128.28799999999995</x:v>
      </x:c>
      <x:c r="D42" s="103" t="n">
        <x:f>D40+D41</x:f>
        <x:v>150.52896</x:v>
      </x:c>
      <x:c r="E42" s="103" t="n">
        <x:f>E40+E41</x:f>
        <x:v>173.60136959999994</x:v>
      </x:c>
      <x:c r="F42" s="103" t="n">
        <x:f>F40+F41</x:f>
        <x:v>197.200898436</x:v>
      </x:c>
      <x:c r="G42" s="103" t="n">
        <x:f>G40+G41</x:f>
        <x:v>220.97454067620006</x:v>
      </x:c>
      <x:c r="H42" s="106" t="str">
        <x:v>Flows into retained earnings and cash flow.</x:v>
      </x:c>
    </x:row>
    <x:row r="43" ht="20" customHeight="1">
      <x:c r="A43" s="3"/>
      <x:c r="B43" s="3"/>
      <x:c r="C43" s="3"/>
      <x:c r="D43" s="3"/>
      <x:c r="E43" s="3"/>
      <x:c r="F43" s="3"/>
      <x:c r="G43" s="3"/>
      <x:c r="H43" s="3"/>
    </x:row>
    <x:row r="44" ht="20" customHeight="1">
      <x:c r="A44" s="74" t="str">
        <x:v>WORKING CAPITAL SCHEDULE</x:v>
      </x:c>
      <x:c r="B44" s="74"/>
      <x:c r="C44" s="74"/>
      <x:c r="D44" s="74"/>
      <x:c r="E44" s="74"/>
      <x:c r="F44" s="74"/>
      <x:c r="G44" s="74"/>
      <x:c r="H44" s="74"/>
    </x:row>
    <x:row r="45" ht="20" customHeight="1">
      <x:c r="A45" s="76" t="str">
        <x:v>Metric</x:v>
      </x:c>
      <x:c r="B45" s="75" t="str">
        <x:v>BASE / OPENING</x:v>
      </x:c>
      <x:c r="C45" s="75" t="str">
        <x:v>YEAR 1</x:v>
      </x:c>
      <x:c r="D45" s="75" t="str">
        <x:v>YEAR 2</x:v>
      </x:c>
      <x:c r="E45" s="75" t="str">
        <x:v>YEAR 3</x:v>
      </x:c>
      <x:c r="F45" s="75" t="str">
        <x:v>YEAR 4</x:v>
      </x:c>
      <x:c r="G45" s="75" t="str">
        <x:v>YEAR 5</x:v>
      </x:c>
      <x:c r="H45" s="78" t="str">
        <x:v>Notes</x:v>
      </x:c>
    </x:row>
    <x:row r="46" ht="20" customHeight="1">
      <x:c r="A46" s="29" t="str">
        <x:v>Accounts receivable</x:v>
      </x:c>
      <x:c r="B46" s="94" t="n">
        <x:f>B29/365*B18</x:f>
        <x:v>147.94520547945206</x:v>
      </x:c>
      <x:c r="C46" s="94" t="n">
        <x:f>C29/365*C18</x:f>
        <x:v>159.78082191780823</x:v>
      </x:c>
      <x:c r="D46" s="94" t="n">
        <x:f>D29/365*D18</x:f>
        <x:v>166.60479452054796</x:v>
      </x:c>
      <x:c r="E46" s="94" t="n">
        <x:f>E29/365*E18</x:f>
        <x:v>172.36456027397261</x:v>
      </x:c>
      <x:c r="F46" s="94" t="n">
        <x:f>F29/365*F18</x:f>
        <x:v>176.91447771061644</x:v>
      </x:c>
      <x:c r="G46" s="94" t="n">
        <x:f>G29/365*G18</x:f>
        <x:v>180.13110457808222</x:v>
      </x:c>
      <x:c r="H46" s="37" t="str">
        <x:v>Revenue × DSO / 365.</x:v>
      </x:c>
    </x:row>
    <x:row r="47" ht="20" customHeight="1">
      <x:c r="A47" s="29" t="str">
        <x:v>Inventory</x:v>
      </x:c>
      <x:c r="B47" s="94" t="n">
        <x:f>ABS(B31)/365*B19</x:f>
        <x:v>73.64383561643835</x:v>
      </x:c>
      <x:c r="C47" s="94" t="n">
        <x:f>ABS(C31)/365*C19</x:f>
        <x:v>79.53534246575342</x:v>
      </x:c>
      <x:c r="D47" s="94" t="n">
        <x:f>ABS(D31)/365*D19</x:f>
        <x:v>81.61254863013698</x:v>
      </x:c>
      <x:c r="E47" s="94" t="n">
        <x:f>ABS(E31)/365*E19</x:f>
        <x:v>83.03916168493151</x:v>
      </x:c>
      <x:c r="F47" s="94" t="n">
        <x:f>ABS(F31)/365*F19</x:f>
        <x:v>83.76632467358733</x:v>
      </x:c>
      <x:c r="G47" s="94" t="n">
        <x:f>ABS(G31)/365*G19</x:f>
        <x:v>83.76096362880823</x:v>
      </x:c>
      <x:c r="H47" s="37" t="str">
        <x:v>COGS × DIO / 365.</x:v>
      </x:c>
    </x:row>
    <x:row r="48" ht="20" customHeight="1">
      <x:c r="A48" s="29" t="str">
        <x:v>Accounts payable</x:v>
      </x:c>
      <x:c r="B48" s="94" t="n">
        <x:f>ABS(B31)/365*B20</x:f>
        <x:v>84.16438356164383</x:v>
      </x:c>
      <x:c r="C48" s="94" t="n">
        <x:f>ABS(C31)/365*C20</x:f>
        <x:v>90.89753424657533</x:v>
      </x:c>
      <x:c r="D48" s="94" t="n">
        <x:f>ABS(D31)/365*D20</x:f>
        <x:v>99.74867054794521</x:v>
      </x:c>
      <x:c r="E48" s="94" t="n">
        <x:f>ABS(E31)/365*E20</x:f>
        <x:v>108.58967297260274</x:v>
      </x:c>
      <x:c r="F48" s="94" t="n">
        <x:f>ABS(F31)/365*F20</x:f>
        <x:v>117.27285454302226</x:v>
      </x:c>
      <x:c r="G48" s="94" t="n">
        <x:f>ABS(G31)/365*G20</x:f>
        <x:v>125.64144544321233</x:v>
      </x:c>
      <x:c r="H48" s="37" t="str">
        <x:v>COGS × DPO / 365.</x:v>
      </x:c>
    </x:row>
    <x:row r="49" ht="20" customHeight="1">
      <x:c r="A49" s="11" t="str">
        <x:v>Operating net working capital</x:v>
      </x:c>
      <x:c r="B49" s="103" t="n">
        <x:f>B46+B47-B48</x:f>
        <x:v>137.4246575342466</x:v>
      </x:c>
      <x:c r="C49" s="103" t="n">
        <x:f>C46+C47-C48</x:f>
        <x:v>148.4186301369863</x:v>
      </x:c>
      <x:c r="D49" s="103" t="n">
        <x:f>D46+D47-D48</x:f>
        <x:v>148.46867260273973</x:v>
      </x:c>
      <x:c r="E49" s="103" t="n">
        <x:f>E46+E47-E48</x:f>
        <x:v>146.81404898630137</x:v>
      </x:c>
      <x:c r="F49" s="103" t="n">
        <x:f>F46+F47-F48</x:f>
        <x:v>143.4079478411815</x:v>
      </x:c>
      <x:c r="G49" s="103" t="n">
        <x:f>G46+G47-G48</x:f>
        <x:v>138.2506227636781</x:v>
      </x:c>
      <x:c r="H49" s="106" t="str">
        <x:v>AR + inventory − AP.</x:v>
      </x:c>
    </x:row>
    <x:row r="50" ht="20" customHeight="1">
      <x:c r="A50" s="29" t="str">
        <x:v>Change in NWC</x:v>
      </x:c>
      <x:c r="B50" s="94" t="n">
        <x:f>0</x:f>
        <x:v>0</x:v>
      </x:c>
      <x:c r="C50" s="94" t="n">
        <x:f>C49-B49</x:f>
        <x:v>10.993972602739717</x:v>
      </x:c>
      <x:c r="D50" s="94" t="n">
        <x:f>D49-C49</x:f>
        <x:v>0.050042465753421084</x:v>
      </x:c>
      <x:c r="E50" s="94" t="n">
        <x:f>E49-D49</x:f>
        <x:v>-1.6546236164383572</x:v>
      </x:c>
      <x:c r="F50" s="94" t="n">
        <x:f>F49-E49</x:f>
        <x:v>-3.4061011451198624</x:v>
      </x:c>
      <x:c r="G50" s="94" t="n">
        <x:f>G49-F49</x:f>
        <x:v>-5.157325077503401</x:v>
      </x:c>
      <x:c r="H50" s="37" t="str">
        <x:v>Increase is a use of cash.</x:v>
      </x:c>
    </x:row>
    <x:row r="51" ht="20" customHeight="1">
      <x:c r="A51" s="11" t="str">
        <x:v>Cash effect of NWC</x:v>
      </x:c>
      <x:c r="B51" s="103" t="n">
        <x:f>-B50</x:f>
        <x:v>0</x:v>
      </x:c>
      <x:c r="C51" s="103" t="n">
        <x:f>-C50</x:f>
        <x:v>-10.993972602739717</x:v>
      </x:c>
      <x:c r="D51" s="103" t="n">
        <x:f>-D50</x:f>
        <x:v>-0.050042465753421084</x:v>
      </x:c>
      <x:c r="E51" s="103" t="n">
        <x:f>-E50</x:f>
        <x:v>1.6546236164383572</x:v>
      </x:c>
      <x:c r="F51" s="103" t="n">
        <x:f>-F50</x:f>
        <x:v>3.4061011451198624</x:v>
      </x:c>
      <x:c r="G51" s="103" t="n">
        <x:f>-G50</x:f>
        <x:v>5.157325077503401</x:v>
      </x:c>
      <x:c r="H51" s="106" t="str">
        <x:v>Negative of the change in NWC.</x:v>
      </x:c>
    </x:row>
    <x:row r="52" ht="20" customHeight="1">
      <x:c r="A52" s="3"/>
      <x:c r="B52" s="3"/>
      <x:c r="C52" s="3"/>
      <x:c r="D52" s="3"/>
      <x:c r="E52" s="3"/>
      <x:c r="F52" s="3"/>
      <x:c r="G52" s="3"/>
      <x:c r="H52" s="3"/>
    </x:row>
    <x:row r="53" ht="20" customHeight="1">
      <x:c r="A53" s="74" t="str">
        <x:v>PP&amp;E ROLL-FORWARD</x:v>
      </x:c>
      <x:c r="B53" s="74"/>
      <x:c r="C53" s="74"/>
      <x:c r="D53" s="74"/>
      <x:c r="E53" s="74"/>
      <x:c r="F53" s="74"/>
      <x:c r="G53" s="74"/>
      <x:c r="H53" s="74"/>
    </x:row>
    <x:row r="54" ht="20" customHeight="1">
      <x:c r="A54" s="76" t="str">
        <x:v>Metric</x:v>
      </x:c>
      <x:c r="B54" s="75" t="str">
        <x:v>BASE / OPENING</x:v>
      </x:c>
      <x:c r="C54" s="75" t="str">
        <x:v>YEAR 1</x:v>
      </x:c>
      <x:c r="D54" s="75" t="str">
        <x:v>YEAR 2</x:v>
      </x:c>
      <x:c r="E54" s="75" t="str">
        <x:v>YEAR 3</x:v>
      </x:c>
      <x:c r="F54" s="75" t="str">
        <x:v>YEAR 4</x:v>
      </x:c>
      <x:c r="G54" s="75" t="str">
        <x:v>YEAR 5</x:v>
      </x:c>
      <x:c r="H54" s="78" t="str">
        <x:v>Notes</x:v>
      </x:c>
    </x:row>
    <x:row r="55" ht="20" customHeight="1">
      <x:c r="A55" s="29" t="str">
        <x:v>Opening net PP&amp;E</x:v>
      </x:c>
      <x:c r="B55" s="95" t="n">
        <x:f>'Inputs'!$B$31</x:f>
        <x:v>350</x:v>
      </x:c>
      <x:c r="C55" s="94" t="n">
        <x:f>B58</x:f>
        <x:v>350</x:v>
      </x:c>
      <x:c r="D55" s="94" t="n">
        <x:f>C58</x:f>
        <x:v>373.32</x:v>
      </x:c>
      <x:c r="E55" s="94" t="n">
        <x:f>D58</x:f>
        <x:v>398.5362</x:v>
      </x:c>
      <x:c r="F55" s="94" t="n">
        <x:f>E58</x:f>
        <x:v>425.29641300000003</x:v>
      </x:c>
      <x:c r="G55" s="94" t="n">
        <x:f>F58</x:f>
        <x:v>453.21090009750003</x:v>
      </x:c>
      <x:c r="H55" s="37" t="str">
        <x:v>Prior closing balance seeds the next year.</x:v>
      </x:c>
    </x:row>
    <x:row r="56" ht="20" customHeight="1">
      <x:c r="A56" s="29" t="str">
        <x:v>Capital expenditure</x:v>
      </x:c>
      <x:c r="B56" s="94" t="n">
        <x:f>0</x:f>
        <x:v>0</x:v>
      </x:c>
      <x:c r="C56" s="94" t="n">
        <x:f>C29*C21</x:f>
        <x:v>58.32</x:v>
      </x:c>
      <x:c r="D56" s="94" t="n">
        <x:f>D29*D21</x:f>
        <x:v>62.5482</x:v>
      </x:c>
      <x:c r="E56" s="94" t="n">
        <x:f>E29*E21</x:f>
        <x:v>66.613833</x:v>
      </x:c>
      <x:c r="F56" s="94" t="n">
        <x:f>F29*F21</x:f>
        <x:v>70.4441283975</x:v>
      </x:c>
      <x:c r="G56" s="94" t="n">
        <x:f>G29*G21</x:f>
        <x:v>73.966334817375</x:v>
      </x:c>
      <x:c r="H56" s="37" t="str">
        <x:v>Added to the asset base.</x:v>
      </x:c>
    </x:row>
    <x:row r="57" ht="20" customHeight="1">
      <x:c r="A57" s="29" t="str">
        <x:v>Depreciation</x:v>
      </x:c>
      <x:c r="B57" s="94" t="n">
        <x:f>0</x:f>
        <x:v>0</x:v>
      </x:c>
      <x:c r="C57" s="95" t="n">
        <x:f>-MIN(MAX(0,C55+C56),MAX(0,C55)*'Inputs'!$B$33)</x:f>
        <x:v>-35</x:v>
      </x:c>
      <x:c r="D57" s="95" t="n">
        <x:f>-MIN(MAX(0,D55+D56),MAX(0,D55)*'Inputs'!$B$33)</x:f>
        <x:v>-37.332</x:v>
      </x:c>
      <x:c r="E57" s="95" t="n">
        <x:f>-MIN(MAX(0,E55+E56),MAX(0,E55)*'Inputs'!$B$33)</x:f>
        <x:v>-39.85362000000001</x:v>
      </x:c>
      <x:c r="F57" s="95" t="n">
        <x:f>-MIN(MAX(0,F55+F56),MAX(0,F55)*'Inputs'!$B$33)</x:f>
        <x:v>-42.52964130000001</x:v>
      </x:c>
      <x:c r="G57" s="95" t="n">
        <x:f>-MIN(MAX(0,G55+G56),MAX(0,G55)*'Inputs'!$B$33)</x:f>
        <x:v>-45.32109000975001</x:v>
      </x:c>
      <x:c r="H57" s="37" t="str">
        <x:v>No same-year depreciation on new capex.</x:v>
      </x:c>
    </x:row>
    <x:row r="58" ht="20" customHeight="1">
      <x:c r="A58" s="11" t="str">
        <x:v>Closing net PP&amp;E</x:v>
      </x:c>
      <x:c r="B58" s="103" t="n">
        <x:f>SUM(B55:B57)</x:f>
        <x:v>350</x:v>
      </x:c>
      <x:c r="C58" s="103" t="n">
        <x:f>SUM(C55:C57)</x:f>
        <x:v>373.32</x:v>
      </x:c>
      <x:c r="D58" s="103" t="n">
        <x:f>SUM(D55:D57)</x:f>
        <x:v>398.5362</x:v>
      </x:c>
      <x:c r="E58" s="103" t="n">
        <x:f>SUM(E55:E57)</x:f>
        <x:v>425.29641300000003</x:v>
      </x:c>
      <x:c r="F58" s="103" t="n">
        <x:f>SUM(F55:F57)</x:f>
        <x:v>453.21090009750003</x:v>
      </x:c>
      <x:c r="G58" s="103" t="n">
        <x:f>SUM(G55:G57)</x:f>
        <x:v>481.856144905125</x:v>
      </x:c>
      <x:c r="H58" s="106" t="str">
        <x:v>Opening + capex + depreciation.</x:v>
      </x:c>
    </x:row>
    <x:row r="59" ht="20" customHeight="1">
      <x:c r="A59" s="3"/>
      <x:c r="B59" s="3"/>
      <x:c r="C59" s="3"/>
      <x:c r="D59" s="3"/>
      <x:c r="E59" s="3"/>
      <x:c r="F59" s="3"/>
      <x:c r="G59" s="3"/>
      <x:c r="H59" s="3"/>
    </x:row>
    <x:row r="60" ht="20" customHeight="1">
      <x:c r="A60" s="74" t="str">
        <x:v>DEBT SCHEDULE</x:v>
      </x:c>
      <x:c r="B60" s="74"/>
      <x:c r="C60" s="74"/>
      <x:c r="D60" s="74"/>
      <x:c r="E60" s="74"/>
      <x:c r="F60" s="74"/>
      <x:c r="G60" s="74"/>
      <x:c r="H60" s="74"/>
    </x:row>
    <x:row r="61" ht="20" customHeight="1">
      <x:c r="A61" s="76" t="str">
        <x:v>Metric</x:v>
      </x:c>
      <x:c r="B61" s="75" t="str">
        <x:v>BASE / OPENING</x:v>
      </x:c>
      <x:c r="C61" s="75" t="str">
        <x:v>YEAR 1</x:v>
      </x:c>
      <x:c r="D61" s="75" t="str">
        <x:v>YEAR 2</x:v>
      </x:c>
      <x:c r="E61" s="75" t="str">
        <x:v>YEAR 3</x:v>
      </x:c>
      <x:c r="F61" s="75" t="str">
        <x:v>YEAR 4</x:v>
      </x:c>
      <x:c r="G61" s="75" t="str">
        <x:v>YEAR 5</x:v>
      </x:c>
      <x:c r="H61" s="78" t="str">
        <x:v>Notes</x:v>
      </x:c>
    </x:row>
    <x:row r="62" ht="20" customHeight="1">
      <x:c r="A62" s="29" t="str">
        <x:v>Opening debt</x:v>
      </x:c>
      <x:c r="B62" s="95" t="n">
        <x:f>'Inputs'!$B$36</x:f>
        <x:v>210</x:v>
      </x:c>
      <x:c r="C62" s="94" t="n">
        <x:f>B66</x:f>
        <x:v>210</x:v>
      </x:c>
      <x:c r="D62" s="94" t="n">
        <x:f>C66</x:f>
        <x:v>190</x:v>
      </x:c>
      <x:c r="E62" s="94" t="n">
        <x:f>D66</x:f>
        <x:v>170</x:v>
      </x:c>
      <x:c r="F62" s="94" t="n">
        <x:f>E66</x:f>
        <x:v>150</x:v>
      </x:c>
      <x:c r="G62" s="94" t="n">
        <x:f>F66</x:f>
        <x:v>130</x:v>
      </x:c>
      <x:c r="H62" s="37" t="str">
        <x:v>Prior closing balance seeds the next year.</x:v>
      </x:c>
    </x:row>
    <x:row r="63" ht="20" customHeight="1">
      <x:c r="A63" s="29" t="str">
        <x:v>New borrowing</x:v>
      </x:c>
      <x:c r="B63" s="94" t="n">
        <x:f>0</x:f>
        <x:v>0</x:v>
      </x:c>
      <x:c r="C63" s="94" t="n">
        <x:f>C23</x:f>
        <x:v>0</x:v>
      </x:c>
      <x:c r="D63" s="94" t="n">
        <x:f>D23</x:f>
        <x:v>0</x:v>
      </x:c>
      <x:c r="E63" s="94" t="n">
        <x:f>E23</x:f>
        <x:v>0</x:v>
      </x:c>
      <x:c r="F63" s="94" t="n">
        <x:f>F23</x:f>
        <x:v>0</x:v>
      </x:c>
      <x:c r="G63" s="94" t="n">
        <x:f>G23</x:f>
        <x:v>0</x:v>
      </x:c>
      <x:c r="H63" s="37" t="str">
        <x:v>Positive financing inflow.</x:v>
      </x:c>
    </x:row>
    <x:row r="64" ht="20" customHeight="1">
      <x:c r="A64" s="29" t="str">
        <x:v>Requested repayment</x:v>
      </x:c>
      <x:c r="B64" s="94" t="n">
        <x:f>0</x:f>
        <x:v>0</x:v>
      </x:c>
      <x:c r="C64" s="94" t="n">
        <x:f>C24</x:f>
        <x:v>20</x:v>
      </x:c>
      <x:c r="D64" s="94" t="n">
        <x:f>D24</x:f>
        <x:v>20</x:v>
      </x:c>
      <x:c r="E64" s="94" t="n">
        <x:f>E24</x:f>
        <x:v>20</x:v>
      </x:c>
      <x:c r="F64" s="94" t="n">
        <x:f>F24</x:f>
        <x:v>20</x:v>
      </x:c>
      <x:c r="G64" s="94" t="n">
        <x:f>G24</x:f>
        <x:v>20</x:v>
      </x:c>
      <x:c r="H64" s="37" t="str">
        <x:v>User request before the debt cap.</x:v>
      </x:c>
    </x:row>
    <x:row r="65" ht="20" customHeight="1">
      <x:c r="A65" s="29" t="str">
        <x:v>Actual repayment</x:v>
      </x:c>
      <x:c r="B65" s="94" t="n">
        <x:f>0</x:f>
        <x:v>0</x:v>
      </x:c>
      <x:c r="C65" s="94" t="n">
        <x:f>-MIN(MAX(0,C62+C63),MAX(0,C64))</x:f>
        <x:v>-20</x:v>
      </x:c>
      <x:c r="D65" s="94" t="n">
        <x:f>-MIN(MAX(0,D62+D63),MAX(0,D64))</x:f>
        <x:v>-20</x:v>
      </x:c>
      <x:c r="E65" s="94" t="n">
        <x:f>-MIN(MAX(0,E62+E63),MAX(0,E64))</x:f>
        <x:v>-20</x:v>
      </x:c>
      <x:c r="F65" s="94" t="n">
        <x:f>-MIN(MAX(0,F62+F63),MAX(0,F64))</x:f>
        <x:v>-20</x:v>
      </x:c>
      <x:c r="G65" s="94" t="n">
        <x:f>-MIN(MAX(0,G62+G63),MAX(0,G64))</x:f>
        <x:v>-20</x:v>
      </x:c>
      <x:c r="H65" s="37" t="str">
        <x:v>Negative cash outflow; cannot exceed debt.</x:v>
      </x:c>
    </x:row>
    <x:row r="66" ht="20" customHeight="1">
      <x:c r="A66" s="11" t="str">
        <x:v>Closing debt</x:v>
      </x:c>
      <x:c r="B66" s="103" t="n">
        <x:f>B62+B63+B65</x:f>
        <x:v>210</x:v>
      </x:c>
      <x:c r="C66" s="103" t="n">
        <x:f>C62+C63+C65</x:f>
        <x:v>190</x:v>
      </x:c>
      <x:c r="D66" s="103" t="n">
        <x:f>D62+D63+D65</x:f>
        <x:v>170</x:v>
      </x:c>
      <x:c r="E66" s="103" t="n">
        <x:f>E62+E63+E65</x:f>
        <x:v>150</x:v>
      </x:c>
      <x:c r="F66" s="103" t="n">
        <x:f>F62+F63+F65</x:f>
        <x:v>130</x:v>
      </x:c>
      <x:c r="G66" s="103" t="n">
        <x:f>G62+G63+G65</x:f>
        <x:v>110</x:v>
      </x:c>
      <x:c r="H66" s="106" t="str">
        <x:v>Opening + borrowing + actual repayment.</x:v>
      </x:c>
    </x:row>
    <x:row r="67" ht="20" customHeight="1">
      <x:c r="A67" s="29" t="str">
        <x:v>Average debt</x:v>
      </x:c>
      <x:c r="B67" s="94" t="n">
        <x:f>AVERAGE(B62,B66)</x:f>
        <x:v>210</x:v>
      </x:c>
      <x:c r="C67" s="94" t="n">
        <x:f>AVERAGE(C62,C66)</x:f>
        <x:v>200</x:v>
      </x:c>
      <x:c r="D67" s="94" t="n">
        <x:f>AVERAGE(D62,D66)</x:f>
        <x:v>180</x:v>
      </x:c>
      <x:c r="E67" s="94" t="n">
        <x:f>AVERAGE(E62,E66)</x:f>
        <x:v>160</x:v>
      </x:c>
      <x:c r="F67" s="94" t="n">
        <x:f>AVERAGE(F62,F66)</x:f>
        <x:v>140</x:v>
      </x:c>
      <x:c r="G67" s="94" t="n">
        <x:f>AVERAGE(G62,G66)</x:f>
        <x:v>120</x:v>
      </x:c>
      <x:c r="H67" s="37" t="str">
        <x:v>Used for cash interest.</x:v>
      </x:c>
    </x:row>
    <x:row r="68" ht="20" customHeight="1">
      <x:c r="A68" s="11" t="str">
        <x:v>Cash interest</x:v>
      </x:c>
      <x:c r="B68" s="103" t="n">
        <x:f>-B67*B22</x:f>
        <x:v>-12.6</x:v>
      </x:c>
      <x:c r="C68" s="103" t="n">
        <x:f>-C67*C22</x:f>
        <x:v>-12</x:v>
      </x:c>
      <x:c r="D68" s="103" t="n">
        <x:f>-D67*D22</x:f>
        <x:v>-10.799999999999999</x:v>
      </x:c>
      <x:c r="E68" s="103" t="n">
        <x:f>-E67*E22</x:f>
        <x:v>-9.6</x:v>
      </x:c>
      <x:c r="F68" s="103" t="n">
        <x:f>-F67*F22</x:f>
        <x:v>-8.4</x:v>
      </x:c>
      <x:c r="G68" s="103" t="n">
        <x:f>-G67*G22</x:f>
        <x:v>-7.199999999999999</x:v>
      </x:c>
      <x:c r="H68" s="106" t="str">
        <x:v>Negative income-statement expense.</x:v>
      </x:c>
    </x:row>
    <x:row r="69" ht="20" customHeight="1">
      <x:c r="A69" s="3"/>
      <x:c r="B69" s="3"/>
      <x:c r="C69" s="3"/>
      <x:c r="D69" s="3"/>
      <x:c r="E69" s="3"/>
      <x:c r="F69" s="3"/>
      <x:c r="G69" s="3"/>
      <x:c r="H69" s="3"/>
    </x:row>
    <x:row r="70" ht="20" customHeight="1">
      <x:c r="A70" s="74" t="str">
        <x:v>EQUITY &amp; RETAINED EARNINGS</x:v>
      </x:c>
      <x:c r="B70" s="74"/>
      <x:c r="C70" s="74"/>
      <x:c r="D70" s="74"/>
      <x:c r="E70" s="74"/>
      <x:c r="F70" s="74"/>
      <x:c r="G70" s="74"/>
      <x:c r="H70" s="74"/>
    </x:row>
    <x:row r="71" ht="20" customHeight="1">
      <x:c r="A71" s="76" t="str">
        <x:v>Metric</x:v>
      </x:c>
      <x:c r="B71" s="75" t="str">
        <x:v>BASE / OPENING</x:v>
      </x:c>
      <x:c r="C71" s="75" t="str">
        <x:v>YEAR 1</x:v>
      </x:c>
      <x:c r="D71" s="75" t="str">
        <x:v>YEAR 2</x:v>
      </x:c>
      <x:c r="E71" s="75" t="str">
        <x:v>YEAR 3</x:v>
      </x:c>
      <x:c r="F71" s="75" t="str">
        <x:v>YEAR 4</x:v>
      </x:c>
      <x:c r="G71" s="75" t="str">
        <x:v>YEAR 5</x:v>
      </x:c>
      <x:c r="H71" s="78" t="str">
        <x:v>Notes</x:v>
      </x:c>
    </x:row>
    <x:row r="72" ht="20" customHeight="1">
      <x:c r="A72" s="29" t="str">
        <x:v>Share capital</x:v>
      </x:c>
      <x:c r="B72" s="95" t="n">
        <x:f>'Inputs'!$B$40</x:f>
        <x:v>200</x:v>
      </x:c>
      <x:c r="C72" s="94" t="n">
        <x:f>B72</x:f>
        <x:v>200</x:v>
      </x:c>
      <x:c r="D72" s="94" t="n">
        <x:f>C72</x:f>
        <x:v>200</x:v>
      </x:c>
      <x:c r="E72" s="94" t="n">
        <x:f>D72</x:f>
        <x:v>200</x:v>
      </x:c>
      <x:c r="F72" s="94" t="n">
        <x:f>E72</x:f>
        <x:v>200</x:v>
      </x:c>
      <x:c r="G72" s="94" t="n">
        <x:f>F72</x:f>
        <x:v>200</x:v>
      </x:c>
      <x:c r="H72" s="37" t="str">
        <x:v>Held constant in this planning model.</x:v>
      </x:c>
    </x:row>
    <x:row r="73" ht="20" customHeight="1">
      <x:c r="A73" s="29" t="str">
        <x:v>Opening retained earnings</x:v>
      </x:c>
      <x:c r="B73" s="94" t="n">
        <x:f>B104-B105-B106-B107</x:f>
        <x:v>207.42465753424665</x:v>
      </x:c>
      <x:c r="C73" s="94" t="n">
        <x:f>B76</x:f>
        <x:v>207.42465753424665</x:v>
      </x:c>
      <x:c r="D73" s="94" t="n">
        <x:f>C76</x:f>
        <x:v>310.0550575342466</x:v>
      </x:c>
      <x:c r="E73" s="94" t="n">
        <x:f>D76</x:f>
        <x:v>430.47822553424663</x:v>
      </x:c>
      <x:c r="F73" s="94" t="n">
        <x:f>E76</x:f>
        <x:v>569.3593212142466</x:v>
      </x:c>
      <x:c r="G73" s="94" t="n">
        <x:f>F76</x:f>
        <x:v>727.1200399630466</x:v>
      </x:c>
      <x:c r="H73" s="37" t="str">
        <x:v>Base is derived to make the opening balance sheet explicit.</x:v>
      </x:c>
    </x:row>
    <x:row r="74" ht="20" customHeight="1">
      <x:c r="A74" s="29" t="str">
        <x:v>Net income added</x:v>
      </x:c>
      <x:c r="B74" s="94" t="n">
        <x:f>0</x:f>
        <x:v>0</x:v>
      </x:c>
      <x:c r="C74" s="94" t="n">
        <x:f>C42</x:f>
        <x:v>128.28799999999995</x:v>
      </x:c>
      <x:c r="D74" s="94" t="n">
        <x:f>D42</x:f>
        <x:v>150.52896</x:v>
      </x:c>
      <x:c r="E74" s="94" t="n">
        <x:f>E42</x:f>
        <x:v>173.60136959999994</x:v>
      </x:c>
      <x:c r="F74" s="94" t="n">
        <x:f>F42</x:f>
        <x:v>197.200898436</x:v>
      </x:c>
      <x:c r="G74" s="94" t="n">
        <x:f>G42</x:f>
        <x:v>220.97454067620006</x:v>
      </x:c>
      <x:c r="H74" s="37" t="str">
        <x:v>Forecast net income increases retained earnings.</x:v>
      </x:c>
    </x:row>
    <x:row r="75" ht="20" customHeight="1">
      <x:c r="A75" s="29" t="str">
        <x:v>Dividends</x:v>
      </x:c>
      <x:c r="B75" s="94" t="n">
        <x:f>0</x:f>
        <x:v>0</x:v>
      </x:c>
      <x:c r="C75" s="94" t="n">
        <x:f>-MAX(0,C74)*C25</x:f>
        <x:v>-25.65759999999999</x:v>
      </x:c>
      <x:c r="D75" s="94" t="n">
        <x:f>-MAX(0,D74)*D25</x:f>
        <x:v>-30.105792000000005</x:v>
      </x:c>
      <x:c r="E75" s="94" t="n">
        <x:f>-MAX(0,E74)*E25</x:f>
        <x:v>-34.72027391999999</x:v>
      </x:c>
      <x:c r="F75" s="94" t="n">
        <x:f>-MAX(0,F74)*F25</x:f>
        <x:v>-39.4401796872</x:v>
      </x:c>
      <x:c r="G75" s="94" t="n">
        <x:f>-MAX(0,G74)*G25</x:f>
        <x:v>-44.19490813524001</x:v>
      </x:c>
      <x:c r="H75" s="37" t="str">
        <x:v>Negative equity and financing cash flow.</x:v>
      </x:c>
    </x:row>
    <x:row r="76" ht="20" customHeight="1">
      <x:c r="A76" s="11" t="str">
        <x:v>Closing retained earnings</x:v>
      </x:c>
      <x:c r="B76" s="103" t="n">
        <x:f>SUM(B73:B75)</x:f>
        <x:v>207.42465753424665</x:v>
      </x:c>
      <x:c r="C76" s="103" t="n">
        <x:f>SUM(C73:C75)</x:f>
        <x:v>310.0550575342466</x:v>
      </x:c>
      <x:c r="D76" s="103" t="n">
        <x:f>SUM(D73:D75)</x:f>
        <x:v>430.47822553424663</x:v>
      </x:c>
      <x:c r="E76" s="103" t="n">
        <x:f>SUM(E73:E75)</x:f>
        <x:v>569.3593212142466</x:v>
      </x:c>
      <x:c r="F76" s="103" t="n">
        <x:f>SUM(F73:F75)</x:f>
        <x:v>727.1200399630466</x:v>
      </x:c>
      <x:c r="G76" s="103" t="n">
        <x:f>SUM(G73:G75)</x:f>
        <x:v>903.8996725040066</x:v>
      </x:c>
      <x:c r="H76" s="106" t="str">
        <x:v>Opening retained earnings + net income + dividends.</x:v>
      </x:c>
    </x:row>
    <x:row r="77" ht="20" customHeight="1">
      <x:c r="A77" s="11" t="str">
        <x:v>Total equity</x:v>
      </x:c>
      <x:c r="B77" s="103" t="n">
        <x:f>B72+B76</x:f>
        <x:v>407.42465753424665</x:v>
      </x:c>
      <x:c r="C77" s="103" t="n">
        <x:f>C72+C76</x:f>
        <x:v>510.0550575342466</x:v>
      </x:c>
      <x:c r="D77" s="103" t="n">
        <x:f>D72+D76</x:f>
        <x:v>630.4782255342466</x:v>
      </x:c>
      <x:c r="E77" s="103" t="n">
        <x:f>E72+E76</x:f>
        <x:v>769.3593212142466</x:v>
      </x:c>
      <x:c r="F77" s="103" t="n">
        <x:f>F72+F76</x:f>
        <x:v>927.1200399630466</x:v>
      </x:c>
      <x:c r="G77" s="103" t="n">
        <x:f>G72+G76</x:f>
        <x:v>1103.8996725040065</x:v>
      </x:c>
      <x:c r="H77" s="106" t="str">
        <x:v>Share capital plus retained earnings.</x:v>
      </x:c>
    </x:row>
    <x:row r="78" ht="20" customHeight="1">
      <x:c r="A78" s="3"/>
      <x:c r="B78" s="3"/>
      <x:c r="C78" s="3"/>
      <x:c r="D78" s="3"/>
      <x:c r="E78" s="3"/>
      <x:c r="F78" s="3"/>
      <x:c r="G78" s="3"/>
      <x:c r="H78" s="3"/>
    </x:row>
    <x:row r="79" ht="20" customHeight="1">
      <x:c r="A79" s="74" t="str">
        <x:v>CASH FLOW STATEMENT</x:v>
      </x:c>
      <x:c r="B79" s="74"/>
      <x:c r="C79" s="74"/>
      <x:c r="D79" s="74"/>
      <x:c r="E79" s="74"/>
      <x:c r="F79" s="74"/>
      <x:c r="G79" s="74"/>
      <x:c r="H79" s="74"/>
    </x:row>
    <x:row r="80" ht="20" customHeight="1">
      <x:c r="A80" s="76" t="str">
        <x:v>Metric</x:v>
      </x:c>
      <x:c r="B80" s="75" t="str">
        <x:v>BASE / OPENING</x:v>
      </x:c>
      <x:c r="C80" s="75" t="str">
        <x:v>YEAR 1</x:v>
      </x:c>
      <x:c r="D80" s="75" t="str">
        <x:v>YEAR 2</x:v>
      </x:c>
      <x:c r="E80" s="75" t="str">
        <x:v>YEAR 3</x:v>
      </x:c>
      <x:c r="F80" s="75" t="str">
        <x:v>YEAR 4</x:v>
      </x:c>
      <x:c r="G80" s="75" t="str">
        <x:v>YEAR 5</x:v>
      </x:c>
      <x:c r="H80" s="78" t="str">
        <x:v>Notes</x:v>
      </x:c>
    </x:row>
    <x:row r="81" ht="20" customHeight="1">
      <x:c r="A81" s="29" t="str">
        <x:v>Net income</x:v>
      </x:c>
      <x:c r="B81" s="94" t="n">
        <x:f>0</x:f>
        <x:v>0</x:v>
      </x:c>
      <x:c r="C81" s="94" t="n">
        <x:f>C42</x:f>
        <x:v>128.28799999999995</x:v>
      </x:c>
      <x:c r="D81" s="94" t="n">
        <x:f>D42</x:f>
        <x:v>150.52896</x:v>
      </x:c>
      <x:c r="E81" s="94" t="n">
        <x:f>E42</x:f>
        <x:v>173.60136959999994</x:v>
      </x:c>
      <x:c r="F81" s="94" t="n">
        <x:f>F42</x:f>
        <x:v>197.200898436</x:v>
      </x:c>
      <x:c r="G81" s="94" t="n">
        <x:f>G42</x:f>
        <x:v>220.97454067620006</x:v>
      </x:c>
      <x:c r="H81" s="37" t="str">
        <x:v>Starting point for operating cash flow.</x:v>
      </x:c>
    </x:row>
    <x:row r="82" ht="20" customHeight="1">
      <x:c r="A82" s="29" t="str">
        <x:v>D&amp;A add-back</x:v>
      </x:c>
      <x:c r="B82" s="94" t="n">
        <x:f>0</x:f>
        <x:v>0</x:v>
      </x:c>
      <x:c r="C82" s="94" t="n">
        <x:f>-C37</x:f>
        <x:v>35</x:v>
      </x:c>
      <x:c r="D82" s="94" t="n">
        <x:f>-D37</x:f>
        <x:v>37.332</x:v>
      </x:c>
      <x:c r="E82" s="94" t="n">
        <x:f>-E37</x:f>
        <x:v>39.85362000000001</x:v>
      </x:c>
      <x:c r="F82" s="94" t="n">
        <x:f>-F37</x:f>
        <x:v>42.52964130000001</x:v>
      </x:c>
      <x:c r="G82" s="94" t="n">
        <x:f>-G37</x:f>
        <x:v>45.32109000975001</x:v>
      </x:c>
      <x:c r="H82" s="37" t="str">
        <x:v>Non-cash expense is added back.</x:v>
      </x:c>
    </x:row>
    <x:row r="83" ht="20" customHeight="1">
      <x:c r="A83" s="29" t="str">
        <x:v>Change in accounts receivable</x:v>
      </x:c>
      <x:c r="B83" s="94" t="n">
        <x:f>0</x:f>
        <x:v>0</x:v>
      </x:c>
      <x:c r="C83" s="94" t="n">
        <x:f>-(C46-B46)</x:f>
        <x:v>-11.835616438356169</x:v>
      </x:c>
      <x:c r="D83" s="94" t="n">
        <x:f>-(D46-C46)</x:f>
        <x:v>-6.82397260273973</x:v>
      </x:c>
      <x:c r="E83" s="94" t="n">
        <x:f>-(E46-D46)</x:f>
        <x:v>-5.759765753424659</x:v>
      </x:c>
      <x:c r="F83" s="94" t="n">
        <x:f>-(F46-E46)</x:f>
        <x:v>-4.549917436643824</x:v>
      </x:c>
      <x:c r="G83" s="94" t="n">
        <x:f>-(G46-F46)</x:f>
        <x:v>-3.216626867465777</x:v>
      </x:c>
      <x:c r="H83" s="37" t="str">
        <x:v>Increase in AR uses cash.</x:v>
      </x:c>
    </x:row>
    <x:row r="84" ht="20" customHeight="1">
      <x:c r="A84" s="29" t="str">
        <x:v>Change in inventory</x:v>
      </x:c>
      <x:c r="B84" s="94" t="n">
        <x:f>0</x:f>
        <x:v>0</x:v>
      </x:c>
      <x:c r="C84" s="94" t="n">
        <x:f>-(C47-B47)</x:f>
        <x:v>-5.891506849315064</x:v>
      </x:c>
      <x:c r="D84" s="94" t="n">
        <x:f>-(D47-C47)</x:f>
        <x:v>-2.0772061643835684</x:v>
      </x:c>
      <x:c r="E84" s="94" t="n">
        <x:f>-(E47-D47)</x:f>
        <x:v>-1.4266130547945295</x:v>
      </x:c>
      <x:c r="F84" s="94" t="n">
        <x:f>-(F47-E47)</x:f>
        <x:v>-0.7271629886558202</x:v>
      </x:c>
      <x:c r="G84" s="94" t="n">
        <x:f>-(G47-F47)</x:f>
        <x:v>0.00536104477910726</x:v>
      </x:c>
      <x:c r="H84" s="37" t="str">
        <x:v>Increase in inventory uses cash.</x:v>
      </x:c>
    </x:row>
    <x:row r="85" ht="20" customHeight="1">
      <x:c r="A85" s="29" t="str">
        <x:v>Change in accounts payable</x:v>
      </x:c>
      <x:c r="B85" s="94" t="n">
        <x:f>0</x:f>
        <x:v>0</x:v>
      </x:c>
      <x:c r="C85" s="94" t="n">
        <x:f>C48-B48</x:f>
        <x:v>6.733150684931502</x:v>
      </x:c>
      <x:c r="D85" s="94" t="n">
        <x:f>D48-C48</x:f>
        <x:v>8.851136301369877</x:v>
      </x:c>
      <x:c r="E85" s="94" t="n">
        <x:f>E48-D48</x:f>
        <x:v>8.841002424657532</x:v>
      </x:c>
      <x:c r="F85" s="94" t="n">
        <x:f>F48-E48</x:f>
        <x:v>8.68318157041952</x:v>
      </x:c>
      <x:c r="G85" s="94" t="n">
        <x:f>G48-F48</x:f>
        <x:v>8.368590900190071</x:v>
      </x:c>
      <x:c r="H85" s="37" t="str">
        <x:v>Increase in AP provides cash.</x:v>
      </x:c>
    </x:row>
    <x:row r="86" ht="20" customHeight="1">
      <x:c r="A86" s="11" t="str">
        <x:v>Cash flow from operations</x:v>
      </x:c>
      <x:c r="B86" s="103" t="n">
        <x:f>SUM(B81:B85)</x:f>
        <x:v>0</x:v>
      </x:c>
      <x:c r="C86" s="103" t="n">
        <x:f>SUM(C81:C85)</x:f>
        <x:v>152.2940273972602</x:v>
      </x:c>
      <x:c r="D86" s="103" t="n">
        <x:f>SUM(D81:D85)</x:f>
        <x:v>187.81091753424658</x:v>
      </x:c>
      <x:c r="E86" s="103" t="n">
        <x:f>SUM(E81:E85)</x:f>
        <x:v>215.10961321643828</x:v>
      </x:c>
      <x:c r="F86" s="103" t="n">
        <x:f>SUM(F81:F85)</x:f>
        <x:v>243.13664088111986</x:v>
      </x:c>
      <x:c r="G86" s="103" t="n">
        <x:f>SUM(G81:G85)</x:f>
        <x:v>271.4529557634535</x:v>
      </x:c>
      <x:c r="H86" s="106" t="str">
        <x:v>Net income adjusted for non-cash and working-capital movements.</x:v>
      </x:c>
    </x:row>
    <x:row r="87" ht="20" customHeight="1">
      <x:c r="A87" s="29" t="str">
        <x:v>Capital expenditure</x:v>
      </x:c>
      <x:c r="B87" s="94" t="n">
        <x:f>0</x:f>
        <x:v>0</x:v>
      </x:c>
      <x:c r="C87" s="94" t="n">
        <x:f>-C56</x:f>
        <x:v>-58.32</x:v>
      </x:c>
      <x:c r="D87" s="94" t="n">
        <x:f>-D56</x:f>
        <x:v>-62.5482</x:v>
      </x:c>
      <x:c r="E87" s="94" t="n">
        <x:f>-E56</x:f>
        <x:v>-66.613833</x:v>
      </x:c>
      <x:c r="F87" s="94" t="n">
        <x:f>-F56</x:f>
        <x:v>-70.4441283975</x:v>
      </x:c>
      <x:c r="G87" s="94" t="n">
        <x:f>-G56</x:f>
        <x:v>-73.966334817375</x:v>
      </x:c>
      <x:c r="H87" s="37" t="str">
        <x:v>Investing cash outflow.</x:v>
      </x:c>
    </x:row>
    <x:row r="88" ht="20" customHeight="1">
      <x:c r="A88" s="11" t="str">
        <x:v>Cash flow from investing</x:v>
      </x:c>
      <x:c r="B88" s="103" t="n">
        <x:f>B87</x:f>
        <x:v>0</x:v>
      </x:c>
      <x:c r="C88" s="103" t="n">
        <x:f>C87</x:f>
        <x:v>-58.32</x:v>
      </x:c>
      <x:c r="D88" s="103" t="n">
        <x:f>D87</x:f>
        <x:v>-62.5482</x:v>
      </x:c>
      <x:c r="E88" s="103" t="n">
        <x:f>E87</x:f>
        <x:v>-66.613833</x:v>
      </x:c>
      <x:c r="F88" s="103" t="n">
        <x:f>F87</x:f>
        <x:v>-70.4441283975</x:v>
      </x:c>
      <x:c r="G88" s="103" t="n">
        <x:f>G87</x:f>
        <x:v>-73.966334817375</x:v>
      </x:c>
      <x:c r="H88" s="106" t="str">
        <x:v>Capex only in this planning scope.</x:v>
      </x:c>
    </x:row>
    <x:row r="89" ht="20" customHeight="1">
      <x:c r="A89" s="29" t="str">
        <x:v>New borrowing</x:v>
      </x:c>
      <x:c r="B89" s="94" t="n">
        <x:f>0</x:f>
        <x:v>0</x:v>
      </x:c>
      <x:c r="C89" s="94" t="n">
        <x:f>C63</x:f>
        <x:v>0</x:v>
      </x:c>
      <x:c r="D89" s="94" t="n">
        <x:f>D63</x:f>
        <x:v>0</x:v>
      </x:c>
      <x:c r="E89" s="94" t="n">
        <x:f>E63</x:f>
        <x:v>0</x:v>
      </x:c>
      <x:c r="F89" s="94" t="n">
        <x:f>F63</x:f>
        <x:v>0</x:v>
      </x:c>
      <x:c r="G89" s="94" t="n">
        <x:f>G63</x:f>
        <x:v>0</x:v>
      </x:c>
      <x:c r="H89" s="37" t="str">
        <x:v>Financing cash inflow.</x:v>
      </x:c>
    </x:row>
    <x:row r="90" ht="20" customHeight="1">
      <x:c r="A90" s="29" t="str">
        <x:v>Debt repayment</x:v>
      </x:c>
      <x:c r="B90" s="94" t="n">
        <x:f>0</x:f>
        <x:v>0</x:v>
      </x:c>
      <x:c r="C90" s="94" t="n">
        <x:f>C65</x:f>
        <x:v>-20</x:v>
      </x:c>
      <x:c r="D90" s="94" t="n">
        <x:f>D65</x:f>
        <x:v>-20</x:v>
      </x:c>
      <x:c r="E90" s="94" t="n">
        <x:f>E65</x:f>
        <x:v>-20</x:v>
      </x:c>
      <x:c r="F90" s="94" t="n">
        <x:f>F65</x:f>
        <x:v>-20</x:v>
      </x:c>
      <x:c r="G90" s="94" t="n">
        <x:f>G65</x:f>
        <x:v>-20</x:v>
      </x:c>
      <x:c r="H90" s="37" t="str">
        <x:v>Financing cash outflow.</x:v>
      </x:c>
    </x:row>
    <x:row r="91" ht="20" customHeight="1">
      <x:c r="A91" s="29" t="str">
        <x:v>Dividends</x:v>
      </x:c>
      <x:c r="B91" s="94" t="n">
        <x:f>0</x:f>
        <x:v>0</x:v>
      </x:c>
      <x:c r="C91" s="94" t="n">
        <x:f>C75</x:f>
        <x:v>-25.65759999999999</x:v>
      </x:c>
      <x:c r="D91" s="94" t="n">
        <x:f>D75</x:f>
        <x:v>-30.105792000000005</x:v>
      </x:c>
      <x:c r="E91" s="94" t="n">
        <x:f>E75</x:f>
        <x:v>-34.72027391999999</x:v>
      </x:c>
      <x:c r="F91" s="94" t="n">
        <x:f>F75</x:f>
        <x:v>-39.4401796872</x:v>
      </x:c>
      <x:c r="G91" s="94" t="n">
        <x:f>G75</x:f>
        <x:v>-44.19490813524001</x:v>
      </x:c>
      <x:c r="H91" s="37" t="str">
        <x:v>Financing cash outflow.</x:v>
      </x:c>
    </x:row>
    <x:row r="92" ht="20" customHeight="1">
      <x:c r="A92" s="11" t="str">
        <x:v>Cash flow from financing</x:v>
      </x:c>
      <x:c r="B92" s="103" t="n">
        <x:f>SUM(B89:B91)</x:f>
        <x:v>0</x:v>
      </x:c>
      <x:c r="C92" s="103" t="n">
        <x:f>SUM(C89:C91)</x:f>
        <x:v>-45.65759999999999</x:v>
      </x:c>
      <x:c r="D92" s="103" t="n">
        <x:f>SUM(D89:D91)</x:f>
        <x:v>-50.10579200000001</x:v>
      </x:c>
      <x:c r="E92" s="103" t="n">
        <x:f>SUM(E89:E91)</x:f>
        <x:v>-54.72027391999999</x:v>
      </x:c>
      <x:c r="F92" s="103" t="n">
        <x:f>SUM(F89:F91)</x:f>
        <x:v>-59.4401796872</x:v>
      </x:c>
      <x:c r="G92" s="103" t="n">
        <x:f>SUM(G89:G91)</x:f>
        <x:v>-64.19490813524001</x:v>
      </x:c>
      <x:c r="H92" s="106" t="str">
        <x:v>Borrowing less repayment and dividends.</x:v>
      </x:c>
    </x:row>
    <x:row r="93" ht="20" customHeight="1">
      <x:c r="A93" s="11" t="str">
        <x:v>Net change in cash</x:v>
      </x:c>
      <x:c r="B93" s="103" t="n">
        <x:f>SUM(B86,B88,B92)</x:f>
        <x:v>0</x:v>
      </x:c>
      <x:c r="C93" s="103" t="n">
        <x:f>SUM(C86,C88,C92)</x:f>
        <x:v>48.31642739726023</x:v>
      </x:c>
      <x:c r="D93" s="103" t="n">
        <x:f>SUM(D86,D88,D92)</x:f>
        <x:v>75.15692553424657</x:v>
      </x:c>
      <x:c r="E93" s="103" t="n">
        <x:f>SUM(E86,E88,E92)</x:f>
        <x:v>93.7755062964383</x:v>
      </x:c>
      <x:c r="F93" s="103" t="n">
        <x:f>SUM(F86,F88,F92)</x:f>
        <x:v>113.25233279641985</x:v>
      </x:c>
      <x:c r="G93" s="103" t="n">
        <x:f>SUM(G86,G88,G92)</x:f>
        <x:v>133.29171281083845</x:v>
      </x:c>
      <x:c r="H93" s="106" t="str">
        <x:v>CFO + CFI + CFF.</x:v>
      </x:c>
    </x:row>
    <x:row r="94" ht="20" customHeight="1">
      <x:c r="A94" s="29" t="str">
        <x:v>Opening cash</x:v>
      </x:c>
      <x:c r="B94" s="95" t="n">
        <x:f>'Inputs'!$B$30</x:f>
        <x:v>130</x:v>
      </x:c>
      <x:c r="C94" s="94" t="n">
        <x:f>B95</x:f>
        <x:v>130</x:v>
      </x:c>
      <x:c r="D94" s="94" t="n">
        <x:f>C95</x:f>
        <x:v>178.3164273972602</x:v>
      </x:c>
      <x:c r="E94" s="94" t="n">
        <x:f>D95</x:f>
        <x:v>253.47335293150678</x:v>
      </x:c>
      <x:c r="F94" s="94" t="n">
        <x:f>E95</x:f>
        <x:v>347.2488592279451</x:v>
      </x:c>
      <x:c r="G94" s="94" t="n">
        <x:f>F95</x:f>
        <x:v>460.50119202436497</x:v>
      </x:c>
      <x:c r="H94" s="37" t="str">
        <x:v>Prior closing cash seeds the next year.</x:v>
      </x:c>
    </x:row>
    <x:row r="95" ht="20" customHeight="1">
      <x:c r="A95" s="11" t="str">
        <x:v>Closing cash</x:v>
      </x:c>
      <x:c r="B95" s="103" t="n">
        <x:f>B94+B93</x:f>
        <x:v>130</x:v>
      </x:c>
      <x:c r="C95" s="103" t="n">
        <x:f>C94+C93</x:f>
        <x:v>178.3164273972602</x:v>
      </x:c>
      <x:c r="D95" s="103" t="n">
        <x:f>D94+D93</x:f>
        <x:v>253.47335293150678</x:v>
      </x:c>
      <x:c r="E95" s="103" t="n">
        <x:f>E94+E93</x:f>
        <x:v>347.2488592279451</x:v>
      </x:c>
      <x:c r="F95" s="103" t="n">
        <x:f>F94+F93</x:f>
        <x:v>460.50119202436497</x:v>
      </x:c>
      <x:c r="G95" s="103" t="n">
        <x:f>G94+G93</x:f>
        <x:v>593.7929048352034</x:v>
      </x:c>
      <x:c r="H95" s="106" t="str">
        <x:v>Calculated once here, then linked into the balance sheet.</x:v>
      </x:c>
    </x:row>
    <x:row r="96" ht="20" customHeight="1">
      <x:c r="A96" s="29" t="str">
        <x:v>Cash roll-forward check</x:v>
      </x:c>
      <x:c r="B96" s="94" t="n">
        <x:f>ROUND(B95-B94-B93,6)</x:f>
        <x:v>0</x:v>
      </x:c>
      <x:c r="C96" s="94" t="n">
        <x:f>ROUND(C95-C94-C93,6)</x:f>
        <x:v>0</x:v>
      </x:c>
      <x:c r="D96" s="94" t="n">
        <x:f>ROUND(D95-D94-D93,6)</x:f>
        <x:v>0</x:v>
      </x:c>
      <x:c r="E96" s="94" t="n">
        <x:f>ROUND(E95-E94-E93,6)</x:f>
        <x:v>0</x:v>
      </x:c>
      <x:c r="F96" s="94" t="n">
        <x:f>ROUND(F95-F94-F93,6)</x:f>
        <x:v>0</x:v>
      </x:c>
      <x:c r="G96" s="94" t="n">
        <x:f>ROUND(G95-G94-G93,6)</x:f>
        <x:v>0</x:v>
      </x:c>
      <x:c r="H96" s="37" t="str">
        <x:v>Must equal zero.</x:v>
      </x:c>
    </x:row>
    <x:row r="97" ht="20" customHeight="1">
      <x:c r="A97" s="3"/>
      <x:c r="B97" s="3"/>
      <x:c r="C97" s="3"/>
      <x:c r="D97" s="3"/>
      <x:c r="E97" s="3"/>
      <x:c r="F97" s="3"/>
      <x:c r="G97" s="3"/>
      <x:c r="H97" s="3"/>
    </x:row>
    <x:row r="98" ht="20" customHeight="1">
      <x:c r="A98" s="74" t="str">
        <x:v>BALANCE SHEET</x:v>
      </x:c>
      <x:c r="B98" s="74"/>
      <x:c r="C98" s="74"/>
      <x:c r="D98" s="74"/>
      <x:c r="E98" s="74"/>
      <x:c r="F98" s="74"/>
      <x:c r="G98" s="74"/>
      <x:c r="H98" s="74"/>
    </x:row>
    <x:row r="99" ht="20" customHeight="1">
      <x:c r="A99" s="76" t="str">
        <x:v>Metric</x:v>
      </x:c>
      <x:c r="B99" s="75" t="str">
        <x:v>BASE / OPENING</x:v>
      </x:c>
      <x:c r="C99" s="75" t="str">
        <x:v>YEAR 1</x:v>
      </x:c>
      <x:c r="D99" s="75" t="str">
        <x:v>YEAR 2</x:v>
      </x:c>
      <x:c r="E99" s="75" t="str">
        <x:v>YEAR 3</x:v>
      </x:c>
      <x:c r="F99" s="75" t="str">
        <x:v>YEAR 4</x:v>
      </x:c>
      <x:c r="G99" s="75" t="str">
        <x:v>YEAR 5</x:v>
      </x:c>
      <x:c r="H99" s="78" t="str">
        <x:v>Notes</x:v>
      </x:c>
    </x:row>
    <x:row r="100" ht="20" customHeight="1">
      <x:c r="A100" s="29" t="str">
        <x:v>Cash</x:v>
      </x:c>
      <x:c r="B100" s="94" t="n">
        <x:f>B95</x:f>
        <x:v>130</x:v>
      </x:c>
      <x:c r="C100" s="94" t="n">
        <x:f>C95</x:f>
        <x:v>178.3164273972602</x:v>
      </x:c>
      <x:c r="D100" s="94" t="n">
        <x:f>D95</x:f>
        <x:v>253.47335293150678</x:v>
      </x:c>
      <x:c r="E100" s="94" t="n">
        <x:f>E95</x:f>
        <x:v>347.2488592279451</x:v>
      </x:c>
      <x:c r="F100" s="94" t="n">
        <x:f>F95</x:f>
        <x:v>460.50119202436497</x:v>
      </x:c>
      <x:c r="G100" s="94" t="n">
        <x:f>G95</x:f>
        <x:v>593.7929048352034</x:v>
      </x:c>
      <x:c r="H100" s="37" t="str">
        <x:v>Linked directly from the cash flow statement.</x:v>
      </x:c>
    </x:row>
    <x:row r="101" ht="20" customHeight="1">
      <x:c r="A101" s="29" t="str">
        <x:v>Accounts receivable</x:v>
      </x:c>
      <x:c r="B101" s="94" t="n">
        <x:f>B46</x:f>
        <x:v>147.94520547945206</x:v>
      </x:c>
      <x:c r="C101" s="94" t="n">
        <x:f>C46</x:f>
        <x:v>159.78082191780823</x:v>
      </x:c>
      <x:c r="D101" s="94" t="n">
        <x:f>D46</x:f>
        <x:v>166.60479452054796</x:v>
      </x:c>
      <x:c r="E101" s="94" t="n">
        <x:f>E46</x:f>
        <x:v>172.36456027397261</x:v>
      </x:c>
      <x:c r="F101" s="94" t="n">
        <x:f>F46</x:f>
        <x:v>176.91447771061644</x:v>
      </x:c>
      <x:c r="G101" s="94" t="n">
        <x:f>G46</x:f>
        <x:v>180.13110457808222</x:v>
      </x:c>
      <x:c r="H101" s="37" t="str">
        <x:v>Linked from the working-capital schedule.</x:v>
      </x:c>
    </x:row>
    <x:row r="102" ht="20" customHeight="1">
      <x:c r="A102" s="29" t="str">
        <x:v>Inventory</x:v>
      </x:c>
      <x:c r="B102" s="94" t="n">
        <x:f>B47</x:f>
        <x:v>73.64383561643835</x:v>
      </x:c>
      <x:c r="C102" s="94" t="n">
        <x:f>C47</x:f>
        <x:v>79.53534246575342</x:v>
      </x:c>
      <x:c r="D102" s="94" t="n">
        <x:f>D47</x:f>
        <x:v>81.61254863013698</x:v>
      </x:c>
      <x:c r="E102" s="94" t="n">
        <x:f>E47</x:f>
        <x:v>83.03916168493151</x:v>
      </x:c>
      <x:c r="F102" s="94" t="n">
        <x:f>F47</x:f>
        <x:v>83.76632467358733</x:v>
      </x:c>
      <x:c r="G102" s="94" t="n">
        <x:f>G47</x:f>
        <x:v>83.76096362880823</x:v>
      </x:c>
      <x:c r="H102" s="37" t="str">
        <x:v>Linked from the working-capital schedule.</x:v>
      </x:c>
    </x:row>
    <x:row r="103" ht="20" customHeight="1">
      <x:c r="A103" s="29" t="str">
        <x:v>Net PP&amp;E</x:v>
      </x:c>
      <x:c r="B103" s="94" t="n">
        <x:f>B58</x:f>
        <x:v>350</x:v>
      </x:c>
      <x:c r="C103" s="94" t="n">
        <x:f>C58</x:f>
        <x:v>373.32</x:v>
      </x:c>
      <x:c r="D103" s="94" t="n">
        <x:f>D58</x:f>
        <x:v>398.5362</x:v>
      </x:c>
      <x:c r="E103" s="94" t="n">
        <x:f>E58</x:f>
        <x:v>425.29641300000003</x:v>
      </x:c>
      <x:c r="F103" s="94" t="n">
        <x:f>F58</x:f>
        <x:v>453.21090009750003</x:v>
      </x:c>
      <x:c r="G103" s="94" t="n">
        <x:f>G58</x:f>
        <x:v>481.856144905125</x:v>
      </x:c>
      <x:c r="H103" s="37" t="str">
        <x:v>Linked from the PP&amp;E roll-forward.</x:v>
      </x:c>
    </x:row>
    <x:row r="104" ht="20" customHeight="1">
      <x:c r="A104" s="11" t="str">
        <x:v>Total assets</x:v>
      </x:c>
      <x:c r="B104" s="103" t="n">
        <x:f>SUM(B100:B103)</x:f>
        <x:v>701.5890410958905</x:v>
      </x:c>
      <x:c r="C104" s="103" t="n">
        <x:f>SUM(C100:C103)</x:f>
        <x:v>790.9525917808219</x:v>
      </x:c>
      <x:c r="D104" s="103" t="n">
        <x:f>SUM(D100:D103)</x:f>
        <x:v>900.2268960821917</x:v>
      </x:c>
      <x:c r="E104" s="103" t="n">
        <x:f>SUM(E100:E103)</x:f>
        <x:v>1027.9489941868492</x:v>
      </x:c>
      <x:c r="F104" s="103" t="n">
        <x:f>SUM(F100:F103)</x:f>
        <x:v>1174.3928945060688</x:v>
      </x:c>
      <x:c r="G104" s="103" t="n">
        <x:f>SUM(G100:G103)</x:f>
        <x:v>1339.541117947219</x:v>
      </x:c>
      <x:c r="H104" s="106" t="str">
        <x:v>Cash + AR + inventory + PP&amp;E.</x:v>
      </x:c>
    </x:row>
    <x:row r="105" ht="20" customHeight="1">
      <x:c r="A105" s="29" t="str">
        <x:v>Accounts payable</x:v>
      </x:c>
      <x:c r="B105" s="94" t="n">
        <x:f>B48</x:f>
        <x:v>84.16438356164383</x:v>
      </x:c>
      <x:c r="C105" s="94" t="n">
        <x:f>C48</x:f>
        <x:v>90.89753424657533</x:v>
      </x:c>
      <x:c r="D105" s="94" t="n">
        <x:f>D48</x:f>
        <x:v>99.74867054794521</x:v>
      </x:c>
      <x:c r="E105" s="94" t="n">
        <x:f>E48</x:f>
        <x:v>108.58967297260274</x:v>
      </x:c>
      <x:c r="F105" s="94" t="n">
        <x:f>F48</x:f>
        <x:v>117.27285454302226</x:v>
      </x:c>
      <x:c r="G105" s="94" t="n">
        <x:f>G48</x:f>
        <x:v>125.64144544321233</x:v>
      </x:c>
      <x:c r="H105" s="37" t="str">
        <x:v>Linked from the working-capital schedule.</x:v>
      </x:c>
    </x:row>
    <x:row r="106" ht="20" customHeight="1">
      <x:c r="A106" s="29" t="str">
        <x:v>Debt</x:v>
      </x:c>
      <x:c r="B106" s="94" t="n">
        <x:f>B66</x:f>
        <x:v>210</x:v>
      </x:c>
      <x:c r="C106" s="94" t="n">
        <x:f>C66</x:f>
        <x:v>190</x:v>
      </x:c>
      <x:c r="D106" s="94" t="n">
        <x:f>D66</x:f>
        <x:v>170</x:v>
      </x:c>
      <x:c r="E106" s="94" t="n">
        <x:f>E66</x:f>
        <x:v>150</x:v>
      </x:c>
      <x:c r="F106" s="94" t="n">
        <x:f>F66</x:f>
        <x:v>130</x:v>
      </x:c>
      <x:c r="G106" s="94" t="n">
        <x:f>G66</x:f>
        <x:v>110</x:v>
      </x:c>
      <x:c r="H106" s="37" t="str">
        <x:v>Linked from the debt schedule.</x:v>
      </x:c>
    </x:row>
    <x:row r="107" ht="20" customHeight="1">
      <x:c r="A107" s="29" t="str">
        <x:v>Share capital</x:v>
      </x:c>
      <x:c r="B107" s="94" t="n">
        <x:f>B72</x:f>
        <x:v>200</x:v>
      </x:c>
      <x:c r="C107" s="94" t="n">
        <x:f>C72</x:f>
        <x:v>200</x:v>
      </x:c>
      <x:c r="D107" s="94" t="n">
        <x:f>D72</x:f>
        <x:v>200</x:v>
      </x:c>
      <x:c r="E107" s="94" t="n">
        <x:f>E72</x:f>
        <x:v>200</x:v>
      </x:c>
      <x:c r="F107" s="94" t="n">
        <x:f>F72</x:f>
        <x:v>200</x:v>
      </x:c>
      <x:c r="G107" s="94" t="n">
        <x:f>G72</x:f>
        <x:v>200</x:v>
      </x:c>
      <x:c r="H107" s="37" t="str">
        <x:v>Linked from the equity schedule.</x:v>
      </x:c>
    </x:row>
    <x:row r="108" ht="20" customHeight="1">
      <x:c r="A108" s="29" t="str">
        <x:v>Retained earnings</x:v>
      </x:c>
      <x:c r="B108" s="94" t="n">
        <x:f>B76</x:f>
        <x:v>207.42465753424665</x:v>
      </x:c>
      <x:c r="C108" s="94" t="n">
        <x:f>C76</x:f>
        <x:v>310.0550575342466</x:v>
      </x:c>
      <x:c r="D108" s="94" t="n">
        <x:f>D76</x:f>
        <x:v>430.47822553424663</x:v>
      </x:c>
      <x:c r="E108" s="94" t="n">
        <x:f>E76</x:f>
        <x:v>569.3593212142466</x:v>
      </x:c>
      <x:c r="F108" s="94" t="n">
        <x:f>F76</x:f>
        <x:v>727.1200399630466</x:v>
      </x:c>
      <x:c r="G108" s="94" t="n">
        <x:f>G76</x:f>
        <x:v>903.8996725040066</x:v>
      </x:c>
      <x:c r="H108" s="37" t="str">
        <x:v>Linked from the retained-earnings roll-forward.</x:v>
      </x:c>
    </x:row>
    <x:row r="109" ht="20" customHeight="1">
      <x:c r="A109" s="11" t="str">
        <x:v>Total liabilities &amp; equity</x:v>
      </x:c>
      <x:c r="B109" s="103" t="n">
        <x:f>SUM(B105:B108)</x:f>
        <x:v>701.5890410958905</x:v>
      </x:c>
      <x:c r="C109" s="103" t="n">
        <x:f>SUM(C105:C108)</x:f>
        <x:v>790.9525917808219</x:v>
      </x:c>
      <x:c r="D109" s="103" t="n">
        <x:f>SUM(D105:D108)</x:f>
        <x:v>900.2268960821918</x:v>
      </x:c>
      <x:c r="E109" s="103" t="n">
        <x:f>SUM(E105:E108)</x:f>
        <x:v>1027.9489941868494</x:v>
      </x:c>
      <x:c r="F109" s="103" t="n">
        <x:f>SUM(F105:F108)</x:f>
        <x:v>1174.3928945060688</x:v>
      </x:c>
      <x:c r="G109" s="103" t="n">
        <x:f>SUM(G105:G108)</x:f>
        <x:v>1339.541117947219</x:v>
      </x:c>
      <x:c r="H109" s="106" t="str">
        <x:v>AP + debt + share capital + retained earnings.</x:v>
      </x:c>
    </x:row>
    <x:row r="110" ht="20" customHeight="1">
      <x:c r="A110" s="11" t="str">
        <x:v>Balance check</x:v>
      </x:c>
      <x:c r="B110" s="103" t="n">
        <x:f>ROUND(B104-B109,6)</x:f>
        <x:v>0</x:v>
      </x:c>
      <x:c r="C110" s="103" t="n">
        <x:f>ROUND(C104-C109,6)</x:f>
        <x:v>0</x:v>
      </x:c>
      <x:c r="D110" s="103" t="n">
        <x:f>ROUND(D104-D109,6)</x:f>
        <x:v>0</x:v>
      </x:c>
      <x:c r="E110" s="103" t="n">
        <x:f>ROUND(E104-E109,6)</x:f>
        <x:v>0</x:v>
      </x:c>
      <x:c r="F110" s="103" t="n">
        <x:f>ROUND(F104-F109,6)</x:f>
        <x:v>0</x:v>
      </x:c>
      <x:c r="G110" s="103" t="n">
        <x:f>ROUND(G104-G109,6)</x:f>
        <x:v>0</x:v>
      </x:c>
      <x:c r="H110" s="106" t="str">
        <x:v>Must equal zero in every period.</x:v>
      </x:c>
    </x:row>
    <x:row r="111" ht="20" customHeight="1">
      <x:c r="A111" s="3"/>
      <x:c r="B111" s="3"/>
      <x:c r="C111" s="3"/>
      <x:c r="D111" s="3"/>
      <x:c r="E111" s="3"/>
      <x:c r="F111" s="3"/>
      <x:c r="G111" s="3"/>
      <x:c r="H111" s="3"/>
    </x:row>
    <x:row r="112" ht="20" customHeight="1">
      <x:c r="A112" s="74" t="str">
        <x:v>MODEL CONTROL &amp; BUSINESS OUTCOME</x:v>
      </x:c>
      <x:c r="B112" s="74"/>
      <x:c r="C112" s="74"/>
      <x:c r="D112" s="74"/>
      <x:c r="E112" s="74"/>
      <x:c r="F112" s="74"/>
      <x:c r="G112" s="74"/>
      <x:c r="H112" s="74"/>
    </x:row>
    <x:row r="113" ht="20" customHeight="1">
      <x:c r="A113" s="76" t="str">
        <x:v>Metric</x:v>
      </x:c>
      <x:c r="B113" s="75" t="str">
        <x:v>BASE / OPENING</x:v>
      </x:c>
      <x:c r="C113" s="75" t="str">
        <x:v>YEAR 1</x:v>
      </x:c>
      <x:c r="D113" s="75" t="str">
        <x:v>YEAR 2</x:v>
      </x:c>
      <x:c r="E113" s="75" t="str">
        <x:v>YEAR 3</x:v>
      </x:c>
      <x:c r="F113" s="75" t="str">
        <x:v>YEAR 4</x:v>
      </x:c>
      <x:c r="G113" s="75" t="str">
        <x:v>YEAR 5</x:v>
      </x:c>
      <x:c r="H113" s="78" t="str">
        <x:v>Notes</x:v>
      </x:c>
    </x:row>
    <x:row r="114" ht="20" customHeight="1">
      <x:c r="A114" s="11" t="str">
        <x:v>Maximum balance-sheet difference</x:v>
      </x:c>
      <x:c r="B114" s="103" t="n">
        <x:f>MAX(ABS(B110),ABS(C110),ABS(D110),ABS(E110),ABS(F110),ABS(G110))</x:f>
        <x:v>0</x:v>
      </x:c>
      <x:c r="C114" s="103" t="n">
        <x:f>0</x:f>
        <x:v>0</x:v>
      </x:c>
      <x:c r="D114" s="103" t="n">
        <x:f>0</x:f>
        <x:v>0</x:v>
      </x:c>
      <x:c r="E114" s="103" t="n">
        <x:f>0</x:f>
        <x:v>0</x:v>
      </x:c>
      <x:c r="F114" s="103" t="n">
        <x:f>0</x:f>
        <x:v>0</x:v>
      </x:c>
      <x:c r="G114" s="103" t="n">
        <x:f>0</x:f>
        <x:v>0</x:v>
      </x:c>
      <x:c r="H114" s="106" t="str">
        <x:v>Consolidated control shown in Base column.</x:v>
      </x:c>
    </x:row>
    <x:row r="115" ht="20" customHeight="1">
      <x:c r="A115" s="11" t="str">
        <x:v>Maximum cash roll-forward difference</x:v>
      </x:c>
      <x:c r="B115" s="103" t="n">
        <x:f>MAX(ABS(B96),ABS(C96),ABS(D96),ABS(E96),ABS(F96),ABS(G96))</x:f>
        <x:v>0</x:v>
      </x:c>
      <x:c r="C115" s="103" t="n">
        <x:f>0</x:f>
        <x:v>0</x:v>
      </x:c>
      <x:c r="D115" s="103" t="n">
        <x:f>0</x:f>
        <x:v>0</x:v>
      </x:c>
      <x:c r="E115" s="103" t="n">
        <x:f>0</x:f>
        <x:v>0</x:v>
      </x:c>
      <x:c r="F115" s="103" t="n">
        <x:f>0</x:f>
        <x:v>0</x:v>
      </x:c>
      <x:c r="G115" s="103" t="n">
        <x:f>0</x:f>
        <x:v>0</x:v>
      </x:c>
      <x:c r="H115" s="106" t="str">
        <x:v>Consolidated control shown in Base column.</x:v>
      </x:c>
    </x:row>
    <x:row r="116" ht="20" customHeight="1">
      <x:c r="A116" s="11" t="str">
        <x:v>Minimum forecast cash</x:v>
      </x:c>
      <x:c r="B116" s="103" t="n">
        <x:f>MIN(C95,D95,E95,F95,G95)</x:f>
        <x:v>178.3164273972602</x:v>
      </x:c>
      <x:c r="C116" s="103" t="n">
        <x:f>0</x:f>
        <x:v>0</x:v>
      </x:c>
      <x:c r="D116" s="103" t="n">
        <x:f>0</x:f>
        <x:v>0</x:v>
      </x:c>
      <x:c r="E116" s="103" t="n">
        <x:f>0</x:f>
        <x:v>0</x:v>
      </x:c>
      <x:c r="F116" s="103" t="n">
        <x:f>0</x:f>
        <x:v>0</x:v>
      </x:c>
      <x:c r="G116" s="103" t="n">
        <x:f>0</x:f>
        <x:v>0</x:v>
      </x:c>
      <x:c r="H116" s="106" t="str">
        <x:v>Negative cash is an outcome warning, not a formula error.</x:v>
      </x:c>
    </x:row>
    <x:row r="117" ht="20" customHeight="1">
      <x:c r="A117" s="11" t="str">
        <x:v>Funding outcome</x:v>
      </x:c>
      <x:c r="B117" s="109" t="str">
        <x:f>IF(B116&lt;0,"FUNDING NEEDED","SELF-FUNDED")</x:f>
        <x:v>SELF-FUNDED</x:v>
      </x:c>
      <x:c r="C117" s="109" t="str">
        <x:f>""</x:f>
      </x:c>
      <x:c r="D117" s="109" t="str">
        <x:f>""</x:f>
      </x:c>
      <x:c r="E117" s="109" t="str">
        <x:f>""</x:f>
      </x:c>
      <x:c r="F117" s="109" t="str">
        <x:f>""</x:f>
      </x:c>
      <x:c r="G117" s="109" t="str">
        <x:f>""</x:f>
      </x:c>
      <x:c r="H117" s="106" t="str">
        <x:v>Separate from calculation status.</x:v>
      </x:c>
    </x:row>
    <x:row r="118" ht="20" customHeight="1">
      <x:c r="A118" s="3"/>
      <x:c r="B118" s="3"/>
      <x:c r="C118" s="3"/>
      <x:c r="D118" s="3"/>
      <x:c r="E118" s="3"/>
      <x:c r="F118" s="3"/>
      <x:c r="G118" s="3"/>
      <x:c r="H118" s="3"/>
    </x:row>
    <x:row r="119" ht="20" customHeight="1">
      <x:c r="A119" s="60" t="str">
        <x:v>Three-Statement Model Starter · v1.4.0 · Green = links to Inputs · Black = calculated formulas</x:v>
      </x:c>
      <x:c r="B119" s="60"/>
      <x:c r="C119" s="60"/>
      <x:c r="D119" s="60"/>
      <x:c r="E119" s="60"/>
      <x:c r="F119" s="60"/>
      <x:c r="G119" s="60"/>
      <x:c r="H119" s="60"/>
    </x:row>
  </x:sheetData>
  <x:mergeCells>
    <x:mergeCell ref="A1:H2"/>
    <x:mergeCell ref="A3:H3"/>
    <x:mergeCell ref="A10:H11"/>
    <x:mergeCell ref="A13:H13"/>
    <x:mergeCell ref="A27:H27"/>
    <x:mergeCell ref="A44:H44"/>
    <x:mergeCell ref="A53:H53"/>
    <x:mergeCell ref="A60:H60"/>
    <x:mergeCell ref="A70:H70"/>
    <x:mergeCell ref="A79:H79"/>
    <x:mergeCell ref="A98:H98"/>
    <x:mergeCell ref="A112:H112"/>
    <x:mergeCell ref="A5:B5"/>
    <x:mergeCell ref="A6:B8"/>
    <x:mergeCell ref="C5:D5"/>
    <x:mergeCell ref="C6:D8"/>
    <x:mergeCell ref="E5:F5"/>
    <x:mergeCell ref="E6:F8"/>
    <x:mergeCell ref="G5:H5"/>
    <x:mergeCell ref="G6:H8"/>
    <x:mergeCell ref="A119:H1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Three-Statement Model Starter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12" t="str">
        <x:v>FINAL REVENUE</x:v>
      </x:c>
      <x:c r="B5" s="113"/>
      <x:c r="C5" s="112" t="str">
        <x:v>FINAL EBITDA</x:v>
      </x:c>
      <x:c r="D5" s="113"/>
      <x:c r="E5" s="112" t="str">
        <x:v>FINAL NET INCOME</x:v>
      </x:c>
      <x:c r="F5" s="113"/>
      <x:c r="G5" s="112" t="str">
        <x:v>FINAL CASH</x:v>
      </x:c>
      <x:c r="H5" s="113"/>
    </x:row>
    <x:row r="6" ht="20" customHeight="1">
      <x:c r="A6" s="127" t="n">
        <x:f>'Model'!A6</x:f>
        <x:v>1643.6963292750002</x:v>
      </x:c>
      <x:c r="B6" s="128"/>
      <x:c r="C6" s="127" t="n">
        <x:f>'Model'!C6</x:f>
        <x:v>328.73926585500004</x:v>
      </x:c>
      <x:c r="D6" s="128"/>
      <x:c r="E6" s="127" t="n">
        <x:f>'Model'!E6</x:f>
        <x:v>220.97454067620006</x:v>
      </x:c>
      <x:c r="F6" s="128"/>
      <x:c r="G6" s="127" t="n">
        <x:f>'Model'!G6</x:f>
        <x:v>593.7929048352034</x:v>
      </x:c>
      <x:c r="H6" s="128"/>
    </x:row>
    <x:row r="7" ht="20" customHeight="1">
      <x:c r="A7" s="129"/>
      <x:c r="B7" s="130"/>
      <x:c r="C7" s="129"/>
      <x:c r="D7" s="130"/>
      <x:c r="E7" s="129"/>
      <x:c r="F7" s="130"/>
      <x:c r="G7" s="129"/>
      <x:c r="H7" s="130"/>
    </x:row>
    <x:row r="8" ht="20" customHeight="1">
      <x:c r="A8" s="131"/>
      <x:c r="B8" s="132"/>
      <x:c r="C8" s="131"/>
      <x:c r="D8" s="132"/>
      <x:c r="E8" s="131"/>
      <x:c r="F8" s="132"/>
      <x:c r="G8" s="131"/>
      <x:c r="H8" s="132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74" t="str">
        <x:v>DECISION VIEW</x:v>
      </x:c>
      <x:c r="B10" s="74"/>
      <x:c r="C10" s="74"/>
      <x:c r="D10" s="74"/>
      <x:c r="E10" s="74"/>
      <x:c r="F10" s="74"/>
      <x:c r="G10" s="74"/>
      <x:c r="H10" s="74"/>
    </x:row>
    <x:row r="11" ht="34" customHeight="1">
      <x:c r="A11" s="133" t="str">
        <x:v>CALCULATION STATUS</x:v>
      </x:c>
      <x:c r="B11" s="133"/>
      <x:c r="C11" s="137" t="str">
        <x:f>'Checks'!B4</x:f>
        <x:v>PASS</x:v>
      </x:c>
      <x:c r="D11" s="138"/>
      <x:c r="E11" s="133" t="str">
        <x:v>FUNDING OUTCOME</x:v>
      </x:c>
      <x:c r="F11" s="133"/>
      <x:c r="G11" s="144" t="str">
        <x:f>'Model'!B117</x:f>
        <x:v>SELF-FUNDED</x:v>
      </x:c>
      <x:c r="H11" s="145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74" t="str">
        <x:v>WHAT IT ANSWERS</x:v>
      </x:c>
      <x:c r="B13" s="74"/>
      <x:c r="C13" s="74"/>
      <x:c r="D13" s="74"/>
      <x:c r="E13" s="74"/>
      <x:c r="F13" s="74"/>
      <x:c r="G13" s="74"/>
      <x:c r="H13" s="74"/>
    </x:row>
    <x:row r="14" ht="20" customHeight="1">
      <x:c r="A14" s="153" t="str">
        <x:v>How do five years of operating drivers flow through profit, cash, debt, and the balance sheet?</x:v>
      </x:c>
      <x:c r="B14" s="154"/>
      <x:c r="C14" s="154"/>
      <x:c r="D14" s="154"/>
      <x:c r="E14" s="154"/>
      <x:c r="F14" s="154"/>
      <x:c r="G14" s="154"/>
      <x:c r="H14" s="155"/>
    </x:row>
    <x:row r="15" ht="20" customHeight="1">
      <x:c r="A15" s="156"/>
      <x:c r="B15" s="157"/>
      <x:c r="C15" s="157"/>
      <x:c r="D15" s="157"/>
      <x:c r="E15" s="157"/>
      <x:c r="F15" s="157"/>
      <x:c r="G15" s="157"/>
      <x:c r="H15" s="158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74" t="str">
        <x:v>MODEL DEPTH</x:v>
      </x:c>
      <x:c r="B17" s="74"/>
      <x:c r="C17" s="74"/>
      <x:c r="D17" s="74"/>
      <x:c r="E17" s="74"/>
      <x:c r="F17" s="74"/>
      <x:c r="G17" s="74"/>
      <x:c r="H17" s="74"/>
    </x:row>
    <x:row r="18" ht="20" customHeight="1">
      <x:c r="A18" s="77" t="str">
        <x:v>Forecast</x:v>
      </x:c>
      <x:c r="B18" s="77"/>
      <x:c r="C18" s="146" t="str">
        <x:v>Base plus five-year forecast</x:v>
      </x:c>
      <x:c r="D18" s="146"/>
      <x:c r="E18" s="146"/>
      <x:c r="F18" s="146"/>
      <x:c r="G18" s="146"/>
      <x:c r="H18" s="146"/>
    </x:row>
    <x:row r="19" ht="20" customHeight="1">
      <x:c r="A19" s="77" t="str">
        <x:v>Editable inputs</x:v>
      </x:c>
      <x:c r="B19" s="77"/>
      <x:c r="C19" s="146" t="str">
        <x:v>24</x:v>
      </x:c>
      <x:c r="D19" s="146"/>
      <x:c r="E19" s="146"/>
      <x:c r="F19" s="146"/>
      <x:c r="G19" s="146"/>
      <x:c r="H19" s="146"/>
    </x:row>
    <x:row r="20" ht="20" customHeight="1">
      <x:c r="A20" s="77" t="str">
        <x:v>Calculation detail</x:v>
      </x:c>
      <x:c r="B20" s="77"/>
      <x:c r="C20" s="146" t="str">
        <x:v>Visible formulas, schedules, roll-forwards, and bridges</x:v>
      </x:c>
      <x:c r="D20" s="146"/>
      <x:c r="E20" s="146"/>
      <x:c r="F20" s="146"/>
      <x:c r="G20" s="146"/>
      <x:c r="H20" s="146"/>
    </x:row>
    <x:row r="21" ht="20" customHeight="1">
      <x:c r="A21" s="77" t="str">
        <x:v>Workbook flow</x:v>
      </x:c>
      <x:c r="B21" s="77"/>
      <x:c r="C21" s="146" t="str">
        <x:v>Start → Inputs → Model → Results → Checks</x:v>
      </x:c>
      <x:c r="D21" s="146"/>
      <x:c r="E21" s="146"/>
      <x:c r="F21" s="146"/>
      <x:c r="G21" s="146"/>
      <x:c r="H21" s="146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74" t="str">
        <x:v>SCOPE</x:v>
      </x:c>
      <x:c r="B23" s="74"/>
      <x:c r="C23" s="74"/>
      <x:c r="D23" s="74"/>
      <x:c r="E23" s="74"/>
      <x:c r="F23" s="74"/>
      <x:c r="G23" s="74"/>
      <x:c r="H23" s="74"/>
    </x:row>
    <x:row r="24" ht="20" customHeight="1">
      <x:c r="A24" s="167" t="str">
        <x:v>Included: Five-year integrated income statement, cash flow, and balance sheet · Explicit working-capital, PP&amp;E, debt, and retained-earnings schedules · Visible driver ramps with ten calculation controls</x:v>
      </x:c>
      <x:c r="B24" s="168"/>
      <x:c r="C24" s="168"/>
      <x:c r="D24" s="168"/>
      <x:c r="E24" s="168"/>
      <x:c r="F24" s="168"/>
      <x:c r="G24" s="168"/>
      <x:c r="H24" s="169"/>
    </x:row>
    <x:row r="25" ht="20" customHeight="1">
      <x:c r="A25" s="170"/>
      <x:c r="B25" s="171"/>
      <x:c r="C25" s="171"/>
      <x:c r="D25" s="171"/>
      <x:c r="E25" s="171"/>
      <x:c r="F25" s="171"/>
      <x:c r="G25" s="171"/>
      <x:c r="H25" s="172"/>
    </x:row>
    <x:row r="26" ht="20" customHeight="1">
      <x:c r="A26" s="173"/>
      <x:c r="B26" s="174"/>
      <x:c r="C26" s="174"/>
      <x:c r="D26" s="174"/>
      <x:c r="E26" s="174"/>
      <x:c r="F26" s="174"/>
      <x:c r="G26" s="174"/>
      <x:c r="H26" s="175"/>
    </x:row>
    <x:row r="27" ht="20" customHeight="1">
      <x:c r="A27" s="54" t="str">
        <x:v>Outside this model: Monthly phasing, multiple scenarios, lease accounting, deferred tax, share issuance, and external-data automation.</x:v>
      </x:c>
      <x:c r="B27" s="55"/>
      <x:c r="C27" s="55"/>
      <x:c r="D27" s="55"/>
      <x:c r="E27" s="55"/>
      <x:c r="F27" s="55"/>
      <x:c r="G27" s="55"/>
      <x:c r="H27" s="56"/>
    </x:row>
    <x:row r="28" ht="20" customHeight="1">
      <x:c r="A28" s="57"/>
      <x:c r="B28" s="58"/>
      <x:c r="C28" s="58"/>
      <x:c r="D28" s="58"/>
      <x:c r="E28" s="58"/>
      <x:c r="F28" s="58"/>
      <x:c r="G28" s="58"/>
      <x:c r="H28" s="59"/>
    </x:row>
    <x:row r="29" ht="20" customHeight="1">
      <x:c r="A29" s="179" t="str">
        <x:v>Five visible tabs · No hidden calculations · Calculation status and business outcome are reported separately.</x:v>
      </x:c>
      <x:c r="B29" s="180"/>
      <x:c r="C29" s="180"/>
      <x:c r="D29" s="180"/>
      <x:c r="E29" s="180"/>
      <x:c r="F29" s="180"/>
      <x:c r="G29" s="180"/>
      <x:c r="H29" s="181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Three-Statement Model Starter · v1.4.0 · Linked summary only · Trace all formulas on Model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Three-Statement Model Starter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182" t="str">
        <x:f>IF(COUNTIF(F9:F18,"PASS")=10,"PASS","FAIL")</x:f>
        <x:v>PASS</x:v>
      </x:c>
      <x:c r="C4" s="182"/>
      <x:c r="D4" s="182"/>
      <x:c r="E4" s="182"/>
      <x:c r="F4" s="182"/>
      <x:c r="G4" s="182"/>
      <x:c r="H4" s="182"/>
    </x:row>
    <x:row r="5" ht="20" customHeight="1">
      <x:c r="A5" s="60" t="str">
        <x:v>MODEL STATUS</x:v>
      </x:c>
      <x:c r="B5" s="60"/>
      <x:c r="C5" s="137" t="str">
        <x:f>B4</x:f>
        <x:v>PASS</x:v>
      </x:c>
      <x:c r="D5" s="184"/>
      <x:c r="E5" s="184"/>
      <x:c r="F5" s="184"/>
      <x:c r="G5" s="184"/>
      <x:c r="H5" s="138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74" t="str">
        <x:v>10 CALCULATION CONTROLS</x:v>
      </x:c>
      <x:c r="B7" s="74"/>
      <x:c r="C7" s="74"/>
      <x:c r="D7" s="74"/>
      <x:c r="E7" s="74"/>
      <x:c r="F7" s="74"/>
      <x:c r="G7" s="74"/>
      <x:c r="H7" s="74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71" t="str">
        <x:v>All editable inputs are numeric</x:v>
      </x:c>
      <x:c r="B9" s="187" t="n">
        <x:f>ROUND(COUNT('Inputs'!B10,'Inputs'!B13,'Inputs'!B14,'Inputs'!B15,'Inputs'!B16,'Inputs'!B17,'Inputs'!B18,'Inputs'!B19,'Inputs'!B22,'Inputs'!B23,'Inputs'!B24,'Inputs'!B25,'Inputs'!B26,'Inputs'!B27,'Inputs'!B30,'Inputs'!B31,'Inputs'!B32,'Inputs'!B33,'Inputs'!B36,'Inputs'!B37,'Inputs'!B38,'Inputs'!B39,'Inputs'!B40,'Inputs'!B41),6)</x:f>
        <x:v>24</x:v>
      </x:c>
      <x:c r="C9" s="187" t="n">
        <x:f>24</x:f>
        <x:v>24</x:v>
      </x:c>
      <x:c r="D9" s="187" t="n">
        <x:f>ROUND(B9-C9,6)</x:f>
        <x:v>0</x:v>
      </x:c>
      <x:c r="E9" s="187" t="n">
        <x:f>0</x:f>
        <x:v>0</x:v>
      </x:c>
      <x:c r="F9" s="188" t="str">
        <x:f>IF(ABS(ROUND(D9,6))&lt;=E9,"PASS","FAIL")</x:f>
        <x:v>PASS</x:v>
      </x:c>
      <x:c r="G9" s="171" t="str">
        <x:v>Complete the blue cells on Inputs</x:v>
      </x:c>
      <x:c r="H9" s="171"/>
    </x:row>
    <x:row r="10" ht="26" customHeight="1">
      <x:c r="A10" s="171" t="str">
        <x:v>Results headline KPIs reconcile to Model</x:v>
      </x:c>
      <x:c r="B10" s="191" t="n">
        <x:f>ROUND(IFERROR(SUM(ABS('Results'!A6-'Model'!A6),ABS('Results'!C6-'Model'!C6),ABS('Results'!E6-'Model'!E6),ABS('Results'!G6-'Model'!G6)),1E+99),6)</x:f>
        <x:v>0</x:v>
      </x:c>
      <x:c r="C10" s="191" t="n">
        <x:f>0</x:f>
        <x:v>0</x:v>
      </x:c>
      <x:c r="D10" s="191" t="n">
        <x:f>ROUND(B10-C10,6)</x:f>
        <x:v>0</x:v>
      </x:c>
      <x:c r="E10" s="191" t="n">
        <x:f>0.0001</x:f>
        <x:v>0.0001</x:v>
      </x:c>
      <x:c r="F10" s="188" t="str">
        <x:f>IF(ABS(ROUND(D10,6))&lt;=E10,"PASS","FAIL")</x:f>
        <x:v>PASS</x:v>
      </x:c>
      <x:c r="G10" s="171" t="str">
        <x:v>Review Results-to-Model links</x:v>
      </x:c>
      <x:c r="H10" s="171"/>
    </x:row>
    <x:row r="11" ht="26" customHeight="1">
      <x:c r="A11" s="171" t="str">
        <x:v>Input ranges are valid</x:v>
      </x:c>
      <x:c r="B11" s="191" t="n">
        <x:f>ROUND(IF(AND('Inputs'!$B$10&gt;=0,'Inputs'!$B$13&gt;-1,'Inputs'!$B$13&lt;=1,'Inputs'!$B$14&gt;-1,'Inputs'!$B$14&lt;=1,'Inputs'!$B$15&gt;=0,'Inputs'!$B$15&lt;=1,'Inputs'!$B$16&gt;=0,'Inputs'!$B$16&lt;=1,'Inputs'!$B$17&gt;=0,'Inputs'!$B$17&lt;=1,'Inputs'!$B$18&gt;=0,'Inputs'!$B$18&lt;=1,'Inputs'!$B$19&gt;=0,'Inputs'!$B$19&lt;=1,'Inputs'!$B$22&gt;=0,'Inputs'!$B$23&gt;=0,'Inputs'!$B$24&gt;=0,'Inputs'!$B$25&gt;=0,'Inputs'!$B$26&gt;=0,'Inputs'!$B$27&gt;=0,'Inputs'!$B$30&gt;=0,'Inputs'!$B$31&gt;=0,'Inputs'!$B$32&gt;=0,'Inputs'!$B$32&lt;=1,'Inputs'!$B$33&gt;=0,'Inputs'!$B$33&lt;=1,'Inputs'!$B$36&gt;=0,'Inputs'!$B$37&gt;=0,'Inputs'!$B$38&gt;=0,'Inputs'!$B$39&gt;=0,'Inputs'!$B$39&lt;=1,'Inputs'!$B$40&gt;=0,'Inputs'!$B$41&gt;=0,'Inputs'!$B$41&lt;=1),1,0),6)</x:f>
        <x:v>1</x:v>
      </x:c>
      <x:c r="C11" s="191" t="n">
        <x:f>1</x:f>
        <x:v>1</x:v>
      </x:c>
      <x:c r="D11" s="191" t="n">
        <x:f>ROUND(B11-C11,6)</x:f>
        <x:v>0</x:v>
      </x:c>
      <x:c r="E11" s="191" t="n">
        <x:f>0.0001</x:f>
        <x:v>0.0001</x:v>
      </x:c>
      <x:c r="F11" s="188" t="str">
        <x:f>IF(ABS(ROUND(D11,6))&lt;=E11,"PASS","FAIL")</x:f>
        <x:v>PASS</x:v>
      </x:c>
      <x:c r="G11" s="171" t="str">
        <x:v>Inputs: review highlighted assumptions</x:v>
      </x:c>
      <x:c r="H11" s="171"/>
    </x:row>
    <x:row r="12" ht="26" customHeight="1">
      <x:c r="A12" s="171" t="str">
        <x:v>Income-statement arithmetic ties</x:v>
      </x:c>
      <x:c r="B12" s="194" t="n">
        <x:f>ROUND(MAX(ABS('Model'!C32-('Model'!C29+'Model'!C31)),ABS('Model'!C35-('Model'!C32+'Model'!C34)),ABS('Model'!C38-('Model'!C35+'Model'!C37)),ABS('Model'!C42-('Model'!C40+'Model'!C41)),ABS('Model'!D32-('Model'!D29+'Model'!D31)),ABS('Model'!D35-('Model'!D32+'Model'!D34)),ABS('Model'!D38-('Model'!D35+'Model'!D37)),ABS('Model'!D42-('Model'!D40+'Model'!D41)),ABS('Model'!E32-('Model'!E29+'Model'!E31)),ABS('Model'!E35-('Model'!E32+'Model'!E34)),ABS('Model'!E38-('Model'!E35+'Model'!E37)),ABS('Model'!E42-('Model'!E40+'Model'!E41)),ABS('Model'!F32-('Model'!F29+'Model'!F31)),ABS('Model'!F35-('Model'!F32+'Model'!F34)),ABS('Model'!F38-('Model'!F35+'Model'!F37)),ABS('Model'!F42-('Model'!F40+'Model'!F41)),ABS('Model'!G32-('Model'!G29+'Model'!G31)),ABS('Model'!G35-('Model'!G32+'Model'!G34)),ABS('Model'!G38-('Model'!G35+'Model'!G37)),ABS('Model'!G42-('Model'!G40+'Model'!G41))),6)</x:f>
        <x:v>0</x:v>
      </x:c>
      <x:c r="C12" s="194" t="n">
        <x:f>0</x:f>
        <x:v>0</x:v>
      </x:c>
      <x:c r="D12" s="194" t="n">
        <x:f>ROUND(B12-C12,6)</x:f>
        <x:v>0</x:v>
      </x:c>
      <x:c r="E12" s="194" t="n">
        <x:f>0.0001</x:f>
        <x:v>0.0001</x:v>
      </x:c>
      <x:c r="F12" s="188" t="str">
        <x:f>IF(ABS(ROUND(D12,6))&lt;=E12,"PASS","FAIL")</x:f>
        <x:v>PASS</x:v>
      </x:c>
      <x:c r="G12" s="171" t="str">
        <x:v>Model: income statement</x:v>
      </x:c>
      <x:c r="H12" s="171"/>
    </x:row>
    <x:row r="13" ht="26" customHeight="1">
      <x:c r="A13" s="171" t="str">
        <x:v>Working-capital schedule ties</x:v>
      </x:c>
      <x:c r="B13" s="194" t="n">
        <x:f>ROUND(MAX(ABS('Model'!C49-('Model'!C46+'Model'!C47-'Model'!C48)),ABS('Model'!C51+'Model'!C50),ABS('Model'!D49-('Model'!D46+'Model'!D47-'Model'!D48)),ABS('Model'!D51+'Model'!D50),ABS('Model'!E49-('Model'!E46+'Model'!E47-'Model'!E48)),ABS('Model'!E51+'Model'!E50),ABS('Model'!F49-('Model'!F46+'Model'!F47-'Model'!F48)),ABS('Model'!F51+'Model'!F50),ABS('Model'!G49-('Model'!G46+'Model'!G47-'Model'!G48)),ABS('Model'!G51+'Model'!G50)),6)</x:f>
        <x:v>0</x:v>
      </x:c>
      <x:c r="C13" s="194" t="n">
        <x:f>0</x:f>
        <x:v>0</x:v>
      </x:c>
      <x:c r="D13" s="194" t="n">
        <x:f>ROUND(B13-C13,6)</x:f>
        <x:v>0</x:v>
      </x:c>
      <x:c r="E13" s="194" t="n">
        <x:f>0.0001</x:f>
        <x:v>0.0001</x:v>
      </x:c>
      <x:c r="F13" s="188" t="str">
        <x:f>IF(ABS(ROUND(D13,6))&lt;=E13,"PASS","FAIL")</x:f>
        <x:v>PASS</x:v>
      </x:c>
      <x:c r="G13" s="171" t="str">
        <x:v>Model: working capital</x:v>
      </x:c>
      <x:c r="H13" s="171"/>
    </x:row>
    <x:row r="14" ht="26" customHeight="1">
      <x:c r="A14" s="171" t="str">
        <x:v>PP&amp;E roll-forward ties</x:v>
      </x:c>
      <x:c r="B14" s="194" t="n">
        <x:f>ROUND(MAX(ABS('Model'!C58-SUM('Model'!C55,'Model'!C56,'Model'!C57)),ABS('Model'!D58-SUM('Model'!D55,'Model'!D56,'Model'!D57)),ABS('Model'!E58-SUM('Model'!E55,'Model'!E56,'Model'!E57)),ABS('Model'!F58-SUM('Model'!F55,'Model'!F56,'Model'!F57)),ABS('Model'!G58-SUM('Model'!G55,'Model'!G56,'Model'!G57))),6)</x:f>
        <x:v>0</x:v>
      </x:c>
      <x:c r="C14" s="194" t="n">
        <x:f>0</x:f>
        <x:v>0</x:v>
      </x:c>
      <x:c r="D14" s="194" t="n">
        <x:f>ROUND(B14-C14,6)</x:f>
        <x:v>0</x:v>
      </x:c>
      <x:c r="E14" s="194" t="n">
        <x:f>0.0001</x:f>
        <x:v>0.0001</x:v>
      </x:c>
      <x:c r="F14" s="188" t="str">
        <x:f>IF(ABS(ROUND(D14,6))&lt;=E14,"PASS","FAIL")</x:f>
        <x:v>PASS</x:v>
      </x:c>
      <x:c r="G14" s="171" t="str">
        <x:v>Model: PP&amp;E roll-forward</x:v>
      </x:c>
      <x:c r="H14" s="171"/>
    </x:row>
    <x:row r="15" ht="26" customHeight="1">
      <x:c r="A15" s="171" t="str">
        <x:v>Debt roll-forward ties</x:v>
      </x:c>
      <x:c r="B15" s="194" t="n">
        <x:f>ROUND(MAX(ABS('Model'!C66-SUM('Model'!C62,'Model'!C63,'Model'!C65)),ABS('Model'!D66-SUM('Model'!D62,'Model'!D63,'Model'!D65)),ABS('Model'!E66-SUM('Model'!E62,'Model'!E63,'Model'!E65)),ABS('Model'!F66-SUM('Model'!F62,'Model'!F63,'Model'!F65)),ABS('Model'!G66-SUM('Model'!G62,'Model'!G63,'Model'!G65))),6)</x:f>
        <x:v>0</x:v>
      </x:c>
      <x:c r="C15" s="194" t="n">
        <x:f>0</x:f>
        <x:v>0</x:v>
      </x:c>
      <x:c r="D15" s="194" t="n">
        <x:f>ROUND(B15-C15,6)</x:f>
        <x:v>0</x:v>
      </x:c>
      <x:c r="E15" s="194" t="n">
        <x:f>0.0001</x:f>
        <x:v>0.0001</x:v>
      </x:c>
      <x:c r="F15" s="188" t="str">
        <x:f>IF(ABS(ROUND(D15,6))&lt;=E15,"PASS","FAIL")</x:f>
        <x:v>PASS</x:v>
      </x:c>
      <x:c r="G15" s="171" t="str">
        <x:v>Model: debt schedule</x:v>
      </x:c>
      <x:c r="H15" s="171"/>
    </x:row>
    <x:row r="16" ht="26" customHeight="1">
      <x:c r="A16" s="171" t="str">
        <x:v>Retained earnings roll-forward ties</x:v>
      </x:c>
      <x:c r="B16" s="194" t="n">
        <x:f>ROUND(MAX(ABS('Model'!C76-SUM('Model'!C73,'Model'!C74,'Model'!C75)),ABS('Model'!D76-SUM('Model'!D73,'Model'!D74,'Model'!D75)),ABS('Model'!E76-SUM('Model'!E73,'Model'!E74,'Model'!E75)),ABS('Model'!F76-SUM('Model'!F73,'Model'!F74,'Model'!F75)),ABS('Model'!G76-SUM('Model'!G73,'Model'!G74,'Model'!G75))),6)</x:f>
        <x:v>0</x:v>
      </x:c>
      <x:c r="C16" s="194" t="n">
        <x:f>0</x:f>
        <x:v>0</x:v>
      </x:c>
      <x:c r="D16" s="194" t="n">
        <x:f>ROUND(B16-C16,6)</x:f>
        <x:v>0</x:v>
      </x:c>
      <x:c r="E16" s="194" t="n">
        <x:f>0.0001</x:f>
        <x:v>0.0001</x:v>
      </x:c>
      <x:c r="F16" s="188" t="str">
        <x:f>IF(ABS(ROUND(D16,6))&lt;=E16,"PASS","FAIL")</x:f>
        <x:v>PASS</x:v>
      </x:c>
      <x:c r="G16" s="171" t="str">
        <x:v>Model: equity schedule</x:v>
      </x:c>
      <x:c r="H16" s="171"/>
    </x:row>
    <x:row r="17" ht="26" customHeight="1">
      <x:c r="A17" s="171" t="str">
        <x:v>Cash roll-forward and BS link tie</x:v>
      </x:c>
      <x:c r="B17" s="194" t="n">
        <x:f>ROUND(MAX(ABS('Model'!B96),ABS('Model'!B95-'Model'!B100),ABS('Model'!C96),ABS('Model'!C95-'Model'!C100),ABS('Model'!D96),ABS('Model'!D95-'Model'!D100),ABS('Model'!E96),ABS('Model'!E95-'Model'!E100),ABS('Model'!F96),ABS('Model'!F95-'Model'!F100),ABS('Model'!G96),ABS('Model'!G95-'Model'!G100)),6)</x:f>
        <x:v>0</x:v>
      </x:c>
      <x:c r="C17" s="194" t="n">
        <x:f>0</x:f>
        <x:v>0</x:v>
      </x:c>
      <x:c r="D17" s="194" t="n">
        <x:f>ROUND(B17-C17,6)</x:f>
        <x:v>0</x:v>
      </x:c>
      <x:c r="E17" s="194" t="n">
        <x:f>0.0001</x:f>
        <x:v>0.0001</x:v>
      </x:c>
      <x:c r="F17" s="188" t="str">
        <x:f>IF(ABS(ROUND(D17,6))&lt;=E17,"PASS","FAIL")</x:f>
        <x:v>PASS</x:v>
      </x:c>
      <x:c r="G17" s="171" t="str">
        <x:v>Model: cash flow and balance sheet</x:v>
      </x:c>
      <x:c r="H17" s="171"/>
    </x:row>
    <x:row r="18" ht="26" customHeight="1">
      <x:c r="A18" s="171" t="str">
        <x:v>Balance sheet ties and schedules stay nonnegative</x:v>
      </x:c>
      <x:c r="B18" s="191" t="n">
        <x:f>ROUND(IF(AND(MAX(ABS('Model'!B110),ABS('Model'!C110),ABS('Model'!D110),ABS('Model'!E110),ABS('Model'!F110),ABS('Model'!G110))&lt;=0.0001,MIN('Model'!C29,'Model'!C46,'Model'!C47,'Model'!C58,'Model'!C66,'Model'!D29,'Model'!D46,'Model'!D47,'Model'!D58,'Model'!D66,'Model'!E29,'Model'!E46,'Model'!E47,'Model'!E58,'Model'!E66,'Model'!F29,'Model'!F46,'Model'!F47,'Model'!F58,'Model'!F66,'Model'!G29,'Model'!G46,'Model'!G47,'Model'!G58,'Model'!G66)&gt;=0),1,0),6)</x:f>
        <x:v>1</x:v>
      </x:c>
      <x:c r="C18" s="191" t="n">
        <x:f>1</x:f>
        <x:v>1</x:v>
      </x:c>
      <x:c r="D18" s="191" t="n">
        <x:f>ROUND(B18-C18,6)</x:f>
        <x:v>0</x:v>
      </x:c>
      <x:c r="E18" s="191" t="n">
        <x:f>0.0001</x:f>
        <x:v>0.0001</x:v>
      </x:c>
      <x:c r="F18" s="188" t="str">
        <x:f>IF(ABS(ROUND(D18,6))&lt;=E18,"PASS","FAIL")</x:f>
        <x:v>PASS</x:v>
      </x:c>
      <x:c r="G18" s="171" t="str">
        <x:v>Model: balance sheet and roll-forwards</x:v>
      </x:c>
      <x:c r="H18" s="171"/>
    </x:row>
    <x:row r="19" ht="20" customHeight="1">
      <x:c r="A19" s="198" t="str">
        <x:v>A warning business outcome can still pass these controls; review Model and Results before making a decision.</x:v>
      </x:c>
      <x:c r="B19" s="199"/>
      <x:c r="C19" s="199"/>
      <x:c r="D19" s="199"/>
      <x:c r="E19" s="199"/>
      <x:c r="F19" s="199"/>
      <x:c r="G19" s="199"/>
      <x:c r="H19" s="200"/>
    </x:row>
    <x:row r="20" ht="20" customHeight="1">
      <x:c r="A20" s="60" t="str">
        <x:v>Three-Statement Model Starter · 10 / 10 controls should show PASS · v1.4.0</x:v>
      </x:c>
      <x:c r="B20" s="60"/>
      <x:c r="C20" s="60"/>
      <x:c r="D20" s="60"/>
      <x:c r="E20" s="60"/>
      <x:c r="F20" s="60"/>
      <x:c r="G20" s="60"/>
      <x:c r="H20" s="60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