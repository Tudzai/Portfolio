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2a9d8332e940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a405de8730a40f4"/>
    <x:sheet xmlns:r="http://schemas.openxmlformats.org/officeDocument/2006/relationships" name="Guide" sheetId="2" r:id="R10ce5ad22dc649f4"/>
    <x:sheet xmlns:r="http://schemas.openxmlformats.org/officeDocument/2006/relationships" name="Assumptions" sheetId="3" r:id="Re41943ef1d874579"/>
    <x:sheet xmlns:r="http://schemas.openxmlformats.org/officeDocument/2006/relationships" name="Peer Inputs" sheetId="4" r:id="R7f1f594ef29e4ac9"/>
    <x:sheet xmlns:r="http://schemas.openxmlformats.org/officeDocument/2006/relationships" name="Multiples Valuation" sheetId="5" r:id="Rd8bb2cbb835542c4"/>
    <x:sheet xmlns:r="http://schemas.openxmlformats.org/officeDocument/2006/relationships" name="Sensitivity" sheetId="6" r:id="Rccadf0e6869f43b8"/>
    <x:sheet xmlns:r="http://schemas.openxmlformats.org/officeDocument/2006/relationships" name="Summary" sheetId="7" r:id="R227d93d7227e40c9"/>
    <x:sheet xmlns:r="http://schemas.openxmlformats.org/officeDocument/2006/relationships" name="Checks" sheetId="8" r:id="Rece72dbebcb342e5"/>
    <x:sheet xmlns:r="http://schemas.openxmlformats.org/officeDocument/2006/relationships" name="Sources &amp; Version" sheetId="9" r:id="R6dffe85465494b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(#,##0.0);-"/>
    <x:numFmt numFmtId="201" formatCode="0.0x;(0.0x);-"/>
    <x:numFmt numFmtId="202" formatCode="#,##0;(#,##0);-"/>
    <x:numFmt numFmtId="203" formatCode="0.0%;(0.0%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9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0" fontId="12" fillId="5" borderId="16" xfId="0" applyNumberFormat="1" applyFont="1" applyFill="1" applyBorder="1" applyAlignment="1">
      <x:alignment horizontal="right"/>
    </x:xf>
    <x:xf numFmtId="200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2" fontId="12" fillId="5" borderId="19" xfId="0" applyNumberFormat="1" applyFont="1" applyFill="1" applyBorder="1" applyAlignment="1">
      <x:alignment horizontal="right"/>
    </x:xf>
    <x:xf numFmtId="202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21" xfId="0" applyNumberFormat="1" applyFont="1" applyFill="1" applyBorder="1"/>
    <x:xf numFmtId="200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2" fontId="12" fillId="5" borderId="22" xfId="0" applyNumberFormat="1" applyFont="1" applyFill="1" applyBorder="1" applyAlignment="1">
      <x:alignment horizontal="right"/>
    </x:xf>
    <x:xf numFmtId="200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2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0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0" fontId="16" fillId="6" borderId="24" xfId="0" applyNumberFormat="1" applyFont="1" applyFill="1" applyBorder="1" applyAlignment="1">
      <x:alignment horizontal="right"/>
    </x:xf>
    <x:xf numFmtId="201" fontId="16" fillId="0" borderId="0" xfId="0" applyNumberFormat="1" applyFont="1" applyFill="1" applyBorder="1"/>
    <x:xf numFmtId="201" fontId="16" fillId="0" borderId="0" xfId="0" applyNumberFormat="1" applyFont="1" applyFill="1" applyBorder="1" applyAlignment="1">
      <x:alignment horizontal="right"/>
    </x:xf>
    <x:xf numFmtId="201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1" fontId="16" fillId="8" borderId="24" xfId="0" applyNumberFormat="1" applyFont="1" applyFill="1" applyBorder="1" applyAlignment="1">
      <x:alignment horizontal="right"/>
    </x:xf>
    <x:xf numFmtId="203" fontId="16" fillId="0" borderId="0" xfId="0" applyNumberFormat="1" applyFont="1" applyFill="1" applyBorder="1"/>
    <x:xf numFmtId="203" fontId="16" fillId="0" borderId="0" xfId="0" applyNumberFormat="1" applyFont="1" applyFill="1" applyBorder="1" applyAlignment="1">
      <x:alignment horizontal="right"/>
    </x:xf>
    <x:xf numFmtId="200" fontId="16" fillId="8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0" fontId="16" fillId="0" borderId="21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0" fontId="16" fillId="6" borderId="22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1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1" fontId="16" fillId="8" borderId="22" xfId="0" applyNumberFormat="1" applyFont="1" applyFill="1" applyBorder="1" applyAlignment="1">
      <x:alignment horizontal="right"/>
    </x:xf>
    <x:xf numFmtId="203" fontId="16" fillId="0" borderId="22" xfId="0" applyNumberFormat="1" applyFont="1" applyFill="1" applyBorder="1" applyAlignment="1">
      <x:alignment horizontal="right"/>
    </x:xf>
    <x:xf numFmtId="200" fontId="16" fillId="8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0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0" fontId="16" fillId="6" borderId="0" xfId="0" applyNumberFormat="1" applyFont="1" applyFill="1" applyBorder="1" applyAlignment="1">
      <x:alignment horizontal="right"/>
    </x:xf>
    <x:xf numFmtId="200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1" fontId="16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right"/>
    </x:xf>
    <x:xf numFmtId="201" fontId="18" fillId="5" borderId="0" xfId="0" applyNumberFormat="1" applyFont="1" applyFill="1" applyBorder="1" applyAlignment="1">
      <x:alignment horizontal="center"/>
    </x:xf>
    <x:xf numFmtId="201" fontId="18" fillId="5" borderId="0" xfId="0" applyNumberFormat="1" applyFont="1" applyFill="1" applyBorder="1" applyAlignment="1">
      <x:alignment horizontal="center" vertical="center"/>
    </x:xf>
    <x:xf numFmtId="201" fontId="16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right"/>
    </x:xf>
    <x:xf numFmtId="201" fontId="19" fillId="8" borderId="0" xfId="0" applyNumberFormat="1" applyFont="1" applyFill="1" applyBorder="1" applyAlignment="1">
      <x:alignment horizontal="center"/>
    </x:xf>
    <x:xf numFmtId="201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203" fontId="16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right"/>
    </x:xf>
    <x:xf numFmtId="203" fontId="18" fillId="5" borderId="0" xfId="0" applyNumberFormat="1" applyFont="1" applyFill="1" applyBorder="1" applyAlignment="1">
      <x:alignment horizontal="center"/>
    </x:xf>
    <x:xf numFmtId="203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0" fontId="0" fillId="0" borderId="21" xfId="0" applyNumberFormat="1" applyFont="1" applyFill="1" applyBorder="1"/>
    <x:xf numFmtId="200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2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0" fontId="23" fillId="0" borderId="22" xfId="0" applyNumberFormat="1" applyFont="1" applyFill="1" applyBorder="1"/>
    <x:xf numFmtId="0" fontId="0" fillId="0" borderId="23" xfId="0" applyNumberFormat="1" applyFont="1" applyFill="1" applyBorder="1"/>
    <x:xf numFmtId="200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1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f5601199704fd4" /><Relationship Type="http://schemas.openxmlformats.org/officeDocument/2006/relationships/theme" Target="/xl/theme/theme1.xml" Id="Ra5df0b7cf5214ca6" /><Relationship Type="http://schemas.openxmlformats.org/officeDocument/2006/relationships/sharedStrings" Target="/xl/sharedStrings.xml" Id="R2c2c6e9e6fc14f67" /><Relationship Type="http://schemas.openxmlformats.org/officeDocument/2006/relationships/worksheet" Target="/xl/worksheets/sheet1.xml" Id="R0a405de8730a40f4" /><Relationship Type="http://schemas.openxmlformats.org/officeDocument/2006/relationships/worksheet" Target="/xl/worksheets/sheet2.xml" Id="R10ce5ad22dc649f4" /><Relationship Type="http://schemas.openxmlformats.org/officeDocument/2006/relationships/worksheet" Target="/xl/worksheets/sheet3.xml" Id="Re41943ef1d874579" /><Relationship Type="http://schemas.openxmlformats.org/officeDocument/2006/relationships/worksheet" Target="/xl/worksheets/sheet4.xml" Id="R7f1f594ef29e4ac9" /><Relationship Type="http://schemas.openxmlformats.org/officeDocument/2006/relationships/worksheet" Target="/xl/worksheets/sheet5.xml" Id="Rd8bb2cbb835542c4" /><Relationship Type="http://schemas.openxmlformats.org/officeDocument/2006/relationships/worksheet" Target="/xl/worksheets/sheet6.xml" Id="Rccadf0e6869f43b8" /><Relationship Type="http://schemas.openxmlformats.org/officeDocument/2006/relationships/worksheet" Target="/xl/worksheets/sheet7.xml" Id="R227d93d7227e40c9" /><Relationship Type="http://schemas.openxmlformats.org/officeDocument/2006/relationships/worksheet" Target="/xl/worksheets/sheet8.xml" Id="Rece72dbebcb342e5" /><Relationship Type="http://schemas.openxmlformats.org/officeDocument/2006/relationships/worksheet" Target="/xl/worksheets/sheet9.xml" Id="R6dffe85465494b9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de0dddcfb6f435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Peer valuation multiples</a:t>
            </a:r>
          </a:p>
        </c:rich>
      </c:tx>
    </c:title>
    <c:plotArea>
      <c:lineChart>
        <c:grouping val="standard"/>
        <c:ser>
          <c:idx val="0"/>
          <c:order val="0"/>
          <c:tx>
            <c:v>EV / EBITDA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'Summary'!$B$16:$B$21</c:f>
              <c:numCache>
                <c:formatCode>0.0x;(0.0x);-</c:formatCode>
                <c:ptCount val="0"/>
              </c:numCache>
            </c:numRef>
          </c:val>
        </c:ser>
        <c:ser>
          <c:idx val="1"/>
          <c:order val="1"/>
          <c:tx>
            <c:v>EV / Revenue</c:v>
          </c:tx>
          <c:marker>
            <c:symbol val="none"/>
          </c:marker>
          <c:cat>
            <c:strRef>
              <c:f>'Summary'!$A$16:$A$21</c:f>
              <c:strCache>
                <c:ptCount val="0"/>
              </c:strCache>
            </c:strRef>
          </c:cat>
          <c:val>
            <c:numRef>
              <c:f>'Summary'!$C$16:$C$21</c:f>
              <c:numCache>
                <c:formatCode>0.0x;(0.0x);-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x;(0.0x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e0dddcfb6f435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44cea982d384d9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TDAT-FM-VAL-002  |  Built to flex. Built to tie. Built to trust.</x:v>
      </x:c>
      <x:c r="B2" s="6" t="str">
        <x:v>TDAT-FM-VAL-002  |  Built to flex. Built to tie. Built to trust.</x:v>
      </x:c>
      <x:c r="C2" s="6" t="str">
        <x:v>TDAT-FM-VAL-002  |  Built to flex. Built to tie. Built to trust.</x:v>
      </x:c>
      <x:c r="D2" s="6" t="str">
        <x:v>TDAT-FM-VAL-002  |  Built to flex. Built to tie. Built to trust.</x:v>
      </x:c>
      <x:c r="E2" s="6" t="str">
        <x:v>TDAT-FM-VAL-002  |  Built to flex. Built to tie. Built to trust.</x:v>
      </x:c>
      <x:c r="F2" s="6" t="str">
        <x:v>TDAT-FM-VAL-002  |  Built to flex. Built to tie. Built to trust.</x:v>
      </x:c>
      <x:c r="G2" s="6" t="str">
        <x:v>TDAT-FM-VAL-002  |  Built to flex. Built to tie. Built to trust.</x:v>
      </x:c>
      <x:c r="H2" s="6" t="str">
        <x:v>TDAT-FM-VAL-002  |  Built to flex. Built to tie. Built to trust.</x:v>
      </x:c>
      <x:c r="I2" s="6" t="str">
        <x:v>TDAT-FM-VAL-002  |  Built to flex. Built to tie. Built to trust.</x:v>
      </x:c>
      <x:c r="J2" s="6" t="str">
        <x:v>TDAT-FM-VAL-002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6" t="str">
        <x:v>Trading Comparables</x:v>
      </x:c>
      <x:c r="B5" s="226" t="str">
        <x:v>Trading Comparables</x:v>
      </x:c>
      <x:c r="C5" s="226" t="str">
        <x:v>Trading Comparables</x:v>
      </x:c>
      <x:c r="D5" s="226" t="str">
        <x:v>Trading Comparables</x:v>
      </x:c>
      <x:c r="E5" s="226" t="str">
        <x:v>Trading Comparables</x:v>
      </x:c>
      <x:c r="F5" s="226" t="str">
        <x:v>Trading Comparables</x:v>
      </x:c>
      <x:c r="G5" s="138" t="str">
        <x:v>CALCULATION INTEGRITY</x:v>
      </x:c>
      <x:c r="H5" s="138" t="str">
        <x:v>CALCULATION INTEGRITY</x:v>
      </x:c>
      <x:c r="I5" s="138" t="str">
        <x:v>CALCULATION INTEGRITY</x:v>
      </x:c>
      <x:c r="J5" s="138" t="str">
        <x:v>CALCULATION INTEGRITY</x:v>
      </x:c>
    </x:row>
    <x:row r="6">
      <x:c r="A6" s="226" t="str">
        <x:v>Trading Comparables</x:v>
      </x:c>
      <x:c r="B6" s="226" t="str">
        <x:v>Trading Comparables</x:v>
      </x:c>
      <x:c r="C6" s="226" t="str">
        <x:v>Trading Comparables</x:v>
      </x:c>
      <x:c r="D6" s="226" t="str">
        <x:v>Trading Comparables</x:v>
      </x:c>
      <x:c r="E6" s="226" t="str">
        <x:v>Trading Comparables</x:v>
      </x:c>
      <x:c r="F6" s="226" t="str">
        <x:v>Trading Comparables</x:v>
      </x:c>
      <x:c r="G6" s="229" t="str">
        <x:f>'Checks'!$B$5</x:f>
        <x:v>PASS</x:v>
      </x:c>
      <x:c r="H6" s="229"/>
      <x:c r="I6" s="229"/>
      <x:c r="J6" s="229"/>
    </x:row>
    <x:row r="7">
      <x:c r="A7" s="226" t="str">
        <x:v>Trading Comparables</x:v>
      </x:c>
      <x:c r="B7" s="226" t="str">
        <x:v>Trading Comparables</x:v>
      </x:c>
      <x:c r="C7" s="226" t="str">
        <x:v>Trading Comparables</x:v>
      </x:c>
      <x:c r="D7" s="226" t="str">
        <x:v>Trading Comparables</x:v>
      </x:c>
      <x:c r="E7" s="226" t="str">
        <x:v>Trading Comparables</x:v>
      </x:c>
      <x:c r="F7" s="226" t="str">
        <x:v>Trading Comparables</x:v>
      </x:c>
      <x:c r="G7" s="229"/>
      <x:c r="H7" s="229"/>
      <x:c r="I7" s="229"/>
      <x:c r="J7" s="229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33" t="str">
        <x:v>How does the target trade against peers on growth, margins, and valuation multiples?</x:v>
      </x:c>
      <x:c r="B10" s="233" t="str">
        <x:v>How does the target trade against peers on growth, margins, and valuation multiples?</x:v>
      </x:c>
      <x:c r="C10" s="233" t="str">
        <x:v>How does the target trade against peers on growth, margins, and valuation multiples?</x:v>
      </x:c>
      <x:c r="D10" s="233" t="str">
        <x:v>How does the target trade against peers on growth, margins, and valuation multiples?</x:v>
      </x:c>
      <x:c r="E10" s="233" t="str">
        <x:v>How does the target trade against peers on growth, margins, and valuation multiples?</x:v>
      </x:c>
      <x:c r="F10" s="233" t="str">
        <x:v>How does the target trade against peers on growth, margins, and valuation multiples?</x:v>
      </x:c>
      <x:c r="G10" s="233" t="str">
        <x:v>How does the target trade against peers on growth, margins, and valuation multiples?</x:v>
      </x:c>
      <x:c r="H10" s="233" t="str">
        <x:v>How does the target trade against peers on growth, margins, and valuation multiples?</x:v>
      </x:c>
      <x:c r="I10" s="233" t="str">
        <x:v>How does the target trade against peers on growth, margins, and valuation multiples?</x:v>
      </x:c>
      <x:c r="J10" s="233" t="str">
        <x:v>How does the target trade against peers on growth, margins, and valuation multiples?</x:v>
      </x:c>
    </x:row>
    <x:row r="11">
      <x:c r="A11" s="233" t="str">
        <x:v>How does the target trade against peers on growth, margins, and valuation multiples?</x:v>
      </x:c>
      <x:c r="B11" s="233" t="str">
        <x:v>How does the target trade against peers on growth, margins, and valuation multiples?</x:v>
      </x:c>
      <x:c r="C11" s="233" t="str">
        <x:v>How does the target trade against peers on growth, margins, and valuation multiples?</x:v>
      </x:c>
      <x:c r="D11" s="233" t="str">
        <x:v>How does the target trade against peers on growth, margins, and valuation multiples?</x:v>
      </x:c>
      <x:c r="E11" s="233" t="str">
        <x:v>How does the target trade against peers on growth, margins, and valuation multiples?</x:v>
      </x:c>
      <x:c r="F11" s="233" t="str">
        <x:v>How does the target trade against peers on growth, margins, and valuation multiples?</x:v>
      </x:c>
      <x:c r="G11" s="233" t="str">
        <x:v>How does the target trade against peers on growth, margins, and valuation multiples?</x:v>
      </x:c>
      <x:c r="H11" s="233" t="str">
        <x:v>How does the target trade against peers on growth, margins, and valuation multiples?</x:v>
      </x:c>
      <x:c r="I11" s="233" t="str">
        <x:v>How does the target trade against peers on growth, margins, and valuation multiples?</x:v>
      </x:c>
      <x:c r="J11" s="233" t="str">
        <x:v>How does the target trade against peers on growth, margins, and valuation multiples?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4" t="str">
        <x:v>Calculation integrity</x:v>
      </x:c>
      <x:c r="B14" s="235" t="str">
        <x:v>Decision readiness</x:v>
      </x:c>
      <x:c r="C14" s="240" t="str">
        <x:f>'Checks'!$B$5</x:f>
        <x:v>PASS</x:v>
      </x:c>
      <x:c r="D14" s="240"/>
      <x:c r="E14" s="240"/>
      <x:c r="F14" s="255" t="str">
        <x:v>TEMPLATE — VALIDATE INPUTS</x:v>
      </x:c>
      <x:c r="G14" s="255" t="str">
        <x:v>TEMPLATE — VALIDATE INPUTS</x:v>
      </x:c>
      <x:c r="H14" s="255" t="str">
        <x:v>TEMPLATE — VALIDATE INPUTS</x:v>
      </x:c>
      <x:c r="I14" s="255" t="str">
        <x:v>TEMPLATE — VALIDATE INPUTS</x:v>
      </x:c>
      <x:c r="J14" s="256" t="str">
        <x:v>TEMPLATE — VALIDATE INPUTS</x:v>
      </x:c>
    </x:row>
    <x:row r="15">
      <x:c r="A15" s="236" t="str">
        <x:v>Published checks</x:v>
      </x:c>
      <x:c r="B15" s="237" t="str">
        <x:v>Template posture</x:v>
      </x:c>
      <x:c r="C15" s="241" t="str">
        <x:f>"11 / 11 PASS"</x:f>
        <x:v>11 / 11 PASS</x:v>
      </x:c>
      <x:c r="D15" s="241"/>
      <x:c r="E15" s="241"/>
      <x:c r="F15" s="257" t="str">
        <x:v>Illustrative, screen-grade worked example</x:v>
      </x:c>
      <x:c r="G15" s="257" t="str">
        <x:v>Illustrative, screen-grade worked example</x:v>
      </x:c>
      <x:c r="H15" s="257" t="str">
        <x:v>Illustrative, screen-grade worked example</x:v>
      </x:c>
      <x:c r="I15" s="257" t="str">
        <x:v>Illustrative, screen-grade worked example</x:v>
      </x:c>
      <x:c r="J15" s="258" t="str">
        <x:v>Illustrative, screen-grade worked example</x:v>
      </x:c>
    </x:row>
    <x:row r="16">
      <x:c r="A16" s="236" t="str">
        <x:v>Scenario</x:v>
      </x:c>
      <x:c r="B16" s="237" t="str">
        <x:v>Evidence</x:v>
      </x:c>
      <x:c r="C16" s="241" t="str">
        <x:f>'Assumptions'!$B$3</x:f>
        <x:v>Base</x:v>
      </x:c>
      <x:c r="D16" s="241"/>
      <x:c r="E16" s="241"/>
      <x:c r="F16" s="257" t="str">
        <x:v>Synthetic / illustrative</x:v>
      </x:c>
      <x:c r="G16" s="257" t="str">
        <x:v>Synthetic / illustrative</x:v>
      </x:c>
      <x:c r="H16" s="257" t="str">
        <x:v>Synthetic / illustrative</x:v>
      </x:c>
      <x:c r="I16" s="257" t="str">
        <x:v>Synthetic / illustrative</x:v>
      </x:c>
      <x:c r="J16" s="258" t="str">
        <x:v>Synthetic / illustrative</x:v>
      </x:c>
    </x:row>
    <x:row r="17">
      <x:c r="A17" s="238" t="str">
        <x:v>Owner</x:v>
      </x:c>
      <x:c r="B17" s="239" t="str">
        <x:v>Use</x:v>
      </x:c>
      <x:c r="C17" s="242" t="str">
        <x:f>'Sources &amp; Version'!$B$12</x:f>
        <x:v>Truong Dinh Anh Tu</x:v>
      </x:c>
      <x:c r="D17" s="242"/>
      <x:c r="E17" s="242"/>
      <x:c r="F17" s="259" t="str">
        <x:v>Investment Banking · Equity Research · Corporate Development · Valuation Advisory</x:v>
      </x:c>
      <x:c r="G17" s="259" t="str">
        <x:v>Investment Banking · Equity Research · Corporate Development · Valuation Advisory</x:v>
      </x:c>
      <x:c r="H17" s="259" t="str">
        <x:v>Investment Banking · Equity Research · Corporate Development · Valuation Advisory</x:v>
      </x:c>
      <x:c r="I17" s="259" t="str">
        <x:v>Investment Banking · Equity Research · Corporate Development · Valuation Advisory</x:v>
      </x:c>
      <x:c r="J17" s="260" t="str">
        <x:v>Investment Banking · Equity Research · Corporate Development · Valuation Advisory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5" t="str">
        <x:v>Model ID</x:v>
      </x:c>
      <x:c r="B20" s="151" t="str">
        <x:v>TDAT-FM-VAL-002</x:v>
      </x:c>
      <x:c r="C20" s="217" t="str">
        <x:v>Version</x:v>
      </x:c>
      <x:c r="D20" s="151" t="str">
        <x:v>1.0.0</x:v>
      </x:c>
      <x:c r="E20" s="217" t="str">
        <x:v>Last QA</x:v>
      </x:c>
      <x:c r="F20" s="152" t="str">
        <x:v>2026-07-13</x:v>
      </x:c>
      <x:c r="G20" s="264" t="str">
        <x:v>Core median EV / EBITDA</x:v>
      </x:c>
      <x:c r="H20" s="264" t="str">
        <x:v>Core median EV / EBITDA</x:v>
      </x:c>
      <x:c r="I20" s="265" t="n">
        <x:f>'Multiples Valuation'!G$13</x:f>
        <x:v>20.0609756097561</x:v>
      </x:c>
      <x:c r="J20" s="265"/>
    </x:row>
    <x:row r="21">
      <x:c r="A21" s="262" t="str">
        <x:v>Domain</x:v>
      </x:c>
      <x:c r="B21" s="154" t="str">
        <x:v>Valuation &amp; Transactions</x:v>
      </x:c>
      <x:c r="C21" s="263" t="str">
        <x:v>Compatibility</x:v>
      </x:c>
      <x:c r="D21" s="154" t="str">
        <x:v>Excel 365</x:v>
      </x:c>
      <x:c r="E21" s="263" t="str">
        <x:v>Macros</x:v>
      </x:c>
      <x:c r="F21" s="155" t="str">
        <x:v>None</x:v>
      </x:c>
      <x:c r="G21" s="264" t="str">
        <x:v>Selected EV / EBITDA</x:v>
      </x:c>
      <x:c r="H21" s="264" t="str">
        <x:v>Selected EV / EBITDA</x:v>
      </x:c>
      <x:c r="I21" s="265" t="n">
        <x:f>'Assumptions'!$F$7</x:f>
        <x:v>20</x:v>
      </x:c>
      <x:c r="J21" s="265"/>
    </x:row>
    <x:row r="22">
      <x:c r="A22" s="262" t="str">
        <x:v>Horizon</x:v>
      </x:c>
      <x:c r="B22" s="154" t="str">
        <x:v>LTM / NTM snapshot</x:v>
      </x:c>
      <x:c r="C22" s="263" t="str">
        <x:v>Frequency</x:v>
      </x:c>
      <x:c r="D22" s="154" t="str">
        <x:v>LTM / NTM snapshot</x:v>
      </x:c>
      <x:c r="E22" s="263" t="str">
        <x:v>External links</x:v>
      </x:c>
      <x:c r="F22" s="155" t="str">
        <x:v>None</x:v>
      </x:c>
      <x:c r="G22" s="264" t="str">
        <x:v>Implied enterprise value</x:v>
      </x:c>
      <x:c r="H22" s="264" t="str">
        <x:v>Implied enterprise value</x:v>
      </x:c>
      <x:c r="I22" s="266" t="n">
        <x:f>'Multiples Valuation'!G$14</x:f>
        <x:v>1920</x:v>
      </x:c>
      <x:c r="J22" s="266"/>
    </x:row>
    <x:row r="23">
      <x:c r="A23" s="262" t="str">
        <x:v>Currency</x:v>
      </x:c>
      <x:c r="B23" s="154" t="str">
        <x:v>LCY</x:v>
      </x:c>
      <x:c r="C23" s="263" t="str">
        <x:v>Units</x:v>
      </x:c>
      <x:c r="D23" s="154" t="str">
        <x:v>LCY millions / shares millions</x:v>
      </x:c>
      <x:c r="E23" s="263" t="str">
        <x:v>Scenario</x:v>
      </x:c>
      <x:c r="F23" s="155" t="str">
        <x:v>Base / Upside / Downside</x:v>
      </x:c>
      <x:c r="G23" s="264" t="str">
        <x:v>Implied equity value</x:v>
      </x:c>
      <x:c r="H23" s="264" t="str">
        <x:v>Implied equity value</x:v>
      </x:c>
      <x:c r="I23" s="266" t="n">
        <x:f>'Multiples Valuation'!G$15</x:f>
        <x:v>1795</x:v>
      </x:c>
      <x:c r="J23" s="266"/>
    </x:row>
    <x:row r="24">
      <x:c r="A24" s="216" t="str">
        <x:v>Owner</x:v>
      </x:c>
      <x:c r="B24" s="157" t="str">
        <x:v>Truong Dinh Anh Tu</x:v>
      </x:c>
      <x:c r="C24" s="218" t="str">
        <x:v>Standard</x:v>
      </x:c>
      <x:c r="D24" s="157" t="str">
        <x:v>TDAT Model Standard 1.0</x:v>
      </x:c>
      <x:c r="E24" s="218" t="str">
        <x:v>Evidence</x:v>
      </x:c>
      <x:c r="F24" s="158" t="str">
        <x:v>Synthetic worked template</x:v>
      </x:c>
      <x:c r="G24" s="264" t="str">
        <x:v>Implied value / share</x:v>
      </x:c>
      <x:c r="H24" s="264" t="str">
        <x:v>Implied value / share</x:v>
      </x:c>
      <x:c r="I24" s="266" t="n">
        <x:f>'Multiples Valuation'!G$16</x:f>
        <x:v>23.933333333333334</x:v>
      </x:c>
      <x:c r="J24" s="266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6" t="str">
        <x:v>Blue font</x:v>
      </x:c>
      <x:c r="B27" s="278" t="str">
        <x:v>Editable hardcode</x:v>
      </x:c>
      <x:c r="C27" s="287" t="str">
        <x:v>Black font</x:v>
      </x:c>
      <x:c r="D27" s="278" t="str">
        <x:v>In-sheet formula</x:v>
      </x:c>
      <x:c r="E27" s="288" t="str">
        <x:v>Green font</x:v>
      </x:c>
      <x:c r="F27" s="278" t="str">
        <x:v>Cross-sheet formula</x:v>
      </x:c>
      <x:c r="G27" s="289" t="str">
        <x:v>Pale amber</x:v>
      </x:c>
      <x:c r="H27" s="289" t="str">
        <x:v>Scenario / review cue</x:v>
      </x:c>
      <x:c r="I27" s="290" t="str">
        <x:v>Teal</x:v>
      </x:c>
      <x:c r="J27" s="291" t="str">
        <x:v>PASS / trusted output</x:v>
      </x:c>
    </x:row>
    <x:row r="28">
      <x:c r="A28" s="280" t="str">
        <x:v>Actual</x:v>
      </x:c>
      <x:c r="B28" s="281" t="str">
        <x:v>Neutral period band</x:v>
      </x:c>
      <x:c r="C28" s="281" t="str">
        <x:v>Forecast</x:v>
      </x:c>
      <x:c r="D28" s="281" t="str">
        <x:v>Pale-blue period band</x:v>
      </x:c>
      <x:c r="E28" s="281" t="str">
        <x:v>Zero</x:v>
      </x:c>
      <x:c r="F28" s="281" t="str">
        <x:v>Displayed as an en dash</x:v>
      </x:c>
      <x:c r="G28" s="281" t="str">
        <x:v>Rule</x:v>
      </x:c>
      <x:c r="H28" s="281" t="str">
        <x:v>Keep formulas copy-across</x:v>
      </x:c>
      <x:c r="I28" s="281" t="str">
        <x:v>Rule</x:v>
      </x:c>
      <x:c r="J28" s="282" t="str">
        <x:v>Recheck after every change</x:v>
      </x:c>
    </x:row>
    <x:row r="29">
      <x:c r="A29" s="283" t="str">
        <x:v>Status</x:v>
      </x:c>
      <x:c r="B29" s="284" t="str">
        <x:v>PASS means controls tie</x:v>
      </x:c>
      <x:c r="C29" s="284" t="str">
        <x:v>Readiness</x:v>
      </x:c>
      <x:c r="D29" s="284" t="str">
        <x:v>Inputs still require review</x:v>
      </x:c>
      <x:c r="E29" s="284" t="str">
        <x:v>Privacy</x:v>
      </x:c>
      <x:c r="F29" s="284" t="str">
        <x:v>Public-safe example</x:v>
      </x:c>
      <x:c r="G29" s="284" t="str">
        <x:v>Use</x:v>
      </x:c>
      <x:c r="H29" s="284" t="str">
        <x:v>Adapt and validate</x:v>
      </x:c>
      <x:c r="I29" s="284" t="str">
        <x:v>Support</x:v>
      </x:c>
      <x:c r="J29" s="285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Trading Comparables  |  Scope, setup, flexibility, and limitations</x:v>
      </x:c>
      <x:c r="B2" s="6" t="str">
        <x:v>Trading Comparables  |  Scope, setup, flexibility, and limitations</x:v>
      </x:c>
      <x:c r="C2" s="6" t="str">
        <x:v>Trading Comparables  |  Scope, setup, flexibility, and limitations</x:v>
      </x:c>
      <x:c r="D2" s="6" t="str">
        <x:v>Trading Comparables  |  Scope, setup, flexibility, and limitations</x:v>
      </x:c>
      <x:c r="E2" s="6" t="str">
        <x:v>Trading Comparables  |  Scope, setup, flexibility, and limitations</x:v>
      </x:c>
      <x:c r="F2" s="6" t="str">
        <x:v>Trading Comparables  |  Scope, setup, flexibility, and limitations</x:v>
      </x:c>
      <x:c r="G2" s="6" t="str">
        <x:v>Trading Comparables  |  Scope, setup, flexibility, and limitations</x:v>
      </x:c>
      <x:c r="H2" s="6" t="str">
        <x:v>Trading Comparables  |  Scope, setup, flexibility, and limitations</x:v>
      </x:c>
      <x:c r="I2" s="6" t="str">
        <x:v>Trading Comparables  |  Scope, setup, flexibility, and limitations</x:v>
      </x:c>
      <x:c r="J2" s="6" t="str">
        <x:v>Trading Comparables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B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C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D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E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F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G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H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I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J6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</x:row>
    <x:row r="7">
      <x:c r="A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B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C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D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E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F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G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H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I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J7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</x:row>
    <x:row r="8">
      <x:c r="A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B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C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D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E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F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G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H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I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  <x:c r="J8" s="12" t="str">
        <x:v>Peer set, calendarization, enterprise value, key multiples, quartiles, and implied valuation range.
Primary users: Investment Banking, Equity Research, Corporate Development, Valuation Advisory. Typical use: Relative valuation, Peer benchmark.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How does the target trade against peers on growth, margins, and valuation multiples?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Peer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Multiples Valuation;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Peer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Multiples Valuation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Target EBITDA × Selected EV / EBITDA recalculation of Implied value per share.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Peer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Multiples Valuation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comps template only. Validate peer selection, data freshness, currency, fiscal basis, normalization, enterprise-value bridge, denominator quality, selected range, and source support before use.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B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C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D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E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F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G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H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I37" s="43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J37" s="44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</x:row>
    <x:row r="38">
      <x:c r="A38" s="45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B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C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D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E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F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G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H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I38" s="46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J38" s="47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</x:row>
    <x:row r="39">
      <x:c r="A39" s="48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B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C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D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E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F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G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H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I39" s="49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  <x:c r="J39" s="50" t="str">
        <x:v>Deliberately excluded in version 1.0.0: live market-data refresh; calendarization; lease/SBC normalization; sector-specific KPI module; fairness or formal valuation opinion.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Trading Comparables  |  One controlled selector and visible driver cases</x:v>
      </x:c>
      <x:c r="B2" s="6" t="str">
        <x:v>Trading Comparables  |  One controlled selector and visible driver cases</x:v>
      </x:c>
      <x:c r="C2" s="6" t="str">
        <x:v>Trading Comparables  |  One controlled selector and visible driver cases</x:v>
      </x:c>
      <x:c r="D2" s="6" t="str">
        <x:v>Trading Comparables  |  One controlled selector and visible driver cases</x:v>
      </x:c>
      <x:c r="E2" s="6" t="str">
        <x:v>Trading Comparables  |  One controlled selector and visible driver cases</x:v>
      </x:c>
      <x:c r="F2" s="6" t="str">
        <x:v>Trading Comparables  |  One controlled selector and visible driver cases</x:v>
      </x:c>
      <x:c r="G2" s="6" t="str">
        <x:v>Trading Comparables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4" t="str">
        <x:v>Target forward EBITDA</x:v>
      </x:c>
      <x:c r="B6" s="85" t="str">
        <x:v>LCYm</x:v>
      </x:c>
      <x:c r="C6" s="86" t="n">
        <x:v>96</x:v>
      </x:c>
      <x:c r="D6" s="86" t="n">
        <x:v>105</x:v>
      </x:c>
      <x:c r="E6" s="86" t="n">
        <x:v>82</x:v>
      </x:c>
      <x:c r="F6" s="87" t="n">
        <x:f>IF($B$3="Base",C6,IF($B$3="Upside",D6,E6))</x:f>
        <x:v>96</x:v>
      </x:c>
      <x:c r="G6" s="88" t="str">
        <x:v>Replace with an approved, sourced assumption.</x:v>
      </x:c>
    </x:row>
    <x:row r="7">
      <x:c r="A7" s="89" t="str">
        <x:v>Selected EV / EBITDA multiple</x:v>
      </x:c>
      <x:c r="B7" s="90" t="str">
        <x:v>x</x:v>
      </x:c>
      <x:c r="C7" s="91" t="n">
        <x:v>20</x:v>
      </x:c>
      <x:c r="D7" s="91" t="n">
        <x:v>22</x:v>
      </x:c>
      <x:c r="E7" s="91" t="n">
        <x:v>16</x:v>
      </x:c>
      <x:c r="F7" s="92" t="n">
        <x:f>IF($B$3="Base",C7,IF($B$3="Upside",D7,E7))</x:f>
        <x:v>20</x:v>
      </x:c>
      <x:c r="G7" s="93" t="str">
        <x:v>Replace with an approved, sourced assumption.</x:v>
      </x:c>
    </x:row>
    <x:row r="8">
      <x:c r="A8" s="89" t="str">
        <x:v>Target net debt</x:v>
      </x:c>
      <x:c r="B8" s="90" t="str">
        <x:v>LCYm</x:v>
      </x:c>
      <x:c r="C8" s="94" t="n">
        <x:v>125</x:v>
      </x:c>
      <x:c r="D8" s="94" t="n">
        <x:v>110</x:v>
      </x:c>
      <x:c r="E8" s="94" t="n">
        <x:v>145</x:v>
      </x:c>
      <x:c r="F8" s="95" t="n">
        <x:f>IF($B$3="Base",C8,IF($B$3="Upside",D8,E8))</x:f>
        <x:v>125</x:v>
      </x:c>
      <x:c r="G8" s="93" t="str">
        <x:v>Replace with an approved, sourced assumption.</x:v>
      </x:c>
    </x:row>
    <x:row r="9">
      <x:c r="A9" s="96" t="str">
        <x:v>Target diluted shares</x:v>
      </x:c>
      <x:c r="B9" s="97" t="str">
        <x:v>m</x:v>
      </x:c>
      <x:c r="C9" s="98" t="n">
        <x:v>75</x:v>
      </x:c>
      <x:c r="D9" s="98" t="n">
        <x:v>74</x:v>
      </x:c>
      <x:c r="E9" s="98" t="n">
        <x:v>77</x:v>
      </x:c>
      <x:c r="F9" s="99" t="n">
        <x:f>IF($B$3="Base",C9,IF($B$3="Upside",D9,E9))</x:f>
        <x:v>75</x:v>
      </x:c>
      <x:c r="G9" s="100" t="str">
        <x:v>Replace with an approved, sourced assumption.</x:v>
      </x:c>
    </x:row>
    <x:row r="11">
      <x:c r="A11" s="42" t="str">
        <x:v>Scenario discipline: change a small number of decision-relevant drivers, preserve the core formula architecture, and document what changed, why, who owns it, and what action follows.</x:v>
      </x:c>
      <x:c r="B11" s="43" t="str">
        <x:v>Scenario discipline: change a small number of decision-relevant drivers, preserve the core formula architecture, and document what changed, why, who owns it, and what action follows.</x:v>
      </x:c>
      <x:c r="C11" s="43" t="str">
        <x:v>Scenario discipline: change a small number of decision-relevant drivers, preserve the core formula architecture, and document what changed, why, who owns it, and what action follows.</x:v>
      </x:c>
      <x:c r="D11" s="43" t="str">
        <x:v>Scenario discipline: change a small number of decision-relevant drivers, preserve the core formula architecture, and document what changed, why, who owns it, and what action follows.</x:v>
      </x:c>
      <x:c r="E11" s="43" t="str">
        <x:v>Scenario discipline: change a small number of decision-relevant drivers, preserve the core formula architecture, and document what changed, why, who owns it, and what action follows.</x:v>
      </x:c>
      <x:c r="F11" s="43" t="str">
        <x:v>Scenario discipline: change a small number of decision-relevant drivers, preserve the core formula architecture, and document what changed, why, who owns it, and what action follows.</x:v>
      </x:c>
      <x:c r="G11" s="44" t="str">
        <x:v>Scenario discipline: change a small number of decision-relevant drivers, preserve the core formula architecture, and document what changed, why, who owns it, and what action follows.</x:v>
      </x:c>
    </x:row>
    <x:row r="12">
      <x:c r="A12" s="45" t="str">
        <x:v>Scenario discipline: change a small number of decision-relevant drivers, preserve the core formula architecture, and document what changed, why, who owns it, and what action follows.</x:v>
      </x:c>
      <x:c r="B12" s="46" t="str">
        <x:v>Scenario discipline: change a small number of decision-relevant drivers, preserve the core formula architecture, and document what changed, why, who owns it, and what action follows.</x:v>
      </x:c>
      <x:c r="C12" s="46" t="str">
        <x:v>Scenario discipline: change a small number of decision-relevant drivers, preserve the core formula architecture, and document what changed, why, who owns it, and what action follows.</x:v>
      </x:c>
      <x:c r="D12" s="46" t="str">
        <x:v>Scenario discipline: change a small number of decision-relevant drivers, preserve the core formula architecture, and document what changed, why, who owns it, and what action follows.</x:v>
      </x:c>
      <x:c r="E12" s="46" t="str">
        <x:v>Scenario discipline: change a small number of decision-relevant drivers, preserve the core formula architecture, and document what changed, why, who owns it, and what action follows.</x:v>
      </x:c>
      <x:c r="F12" s="46" t="str">
        <x:v>Scenario discipline: change a small number of decision-relevant drivers, preserve the core formula architecture, and document what changed, why, who owns it, and what action follows.</x:v>
      </x:c>
      <x:c r="G12" s="47" t="str">
        <x:v>Scenario discipline: change a small number of decision-relevant drivers, preserve the core formula architecture, and document what changed, why, who owns it, and what action follows.</x:v>
      </x:c>
    </x:row>
    <x:row r="13">
      <x:c r="A13" s="48" t="str">
        <x:v>Scenario discipline: change a small number of decision-relevant drivers, preserve the core formula architecture, and document what changed, why, who owns it, and what action follows.</x:v>
      </x:c>
      <x:c r="B13" s="49" t="str">
        <x:v>Scenario discipline: change a small number of decision-relevant drivers, preserve the core formula architecture, and document what changed, why, who owns it, and what action follows.</x:v>
      </x:c>
      <x:c r="C13" s="49" t="str">
        <x:v>Scenario discipline: change a small number of decision-relevant drivers, preserve the core formula architecture, and document what changed, why, who owns it, and what action follows.</x:v>
      </x:c>
      <x:c r="D13" s="49" t="str">
        <x:v>Scenario discipline: change a small number of decision-relevant drivers, preserve the core formula architecture, and document what changed, why, who owns it, and what action follows.</x:v>
      </x:c>
      <x:c r="E13" s="49" t="str">
        <x:v>Scenario discipline: change a small number of decision-relevant drivers, preserve the core formula architecture, and document what changed, why, who owns it, and what action follows.</x:v>
      </x:c>
      <x:c r="F13" s="49" t="str">
        <x:v>Scenario discipline: change a small number of decision-relevant drivers, preserve the core formula architecture, and document what changed, why, who owns it, and what action follows.</x:v>
      </x:c>
      <x:c r="G13" s="50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53" t="str">
        <x:v>TDAT Model Library  |  Trust builds the brand. Insight builds the decision.</x:v>
      </x:c>
      <x:c r="B15" s="53" t="str">
        <x:v>TDAT Model Library  |  Trust builds the brand. Insight builds the decision.</x:v>
      </x:c>
      <x:c r="C15" s="53" t="str">
        <x:v>TDAT Model Library  |  Trust builds the brand. Insight builds the decision.</x:v>
      </x:c>
      <x:c r="D15" s="53" t="str">
        <x:v>TDAT Model Library  |  Trust builds the brand. Insight builds the decision.</x:v>
      </x:c>
      <x:c r="E15" s="53" t="str">
        <x:v>TDAT Model Library  |  Trust builds the brand. Insight builds the decision.</x:v>
      </x:c>
      <x:c r="F15" s="53" t="str">
        <x:v>TDAT Model Library  |  Trust builds the brand. Insight builds the decision.</x:v>
      </x:c>
      <x:c r="G15" s="53" t="str">
        <x:v>TDAT Model Library  |  Trust builds the brand. Insight builds the decision.</x:v>
      </x:c>
    </x:row>
  </x:sheetData>
  <x:mergeCells>
    <x:mergeCell ref="A1:G1"/>
    <x:mergeCell ref="A2:G2"/>
    <x:mergeCell ref="A11:G13"/>
    <x:mergeCell ref="A15:G15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PEER INPUTS</x:v>
      </x:c>
      <x:c r="B1" s="3" t="str">
        <x:v>PEER INPUTS</x:v>
      </x:c>
      <x:c r="C1" s="3" t="str">
        <x:v>PEER INPUTS</x:v>
      </x:c>
      <x:c r="D1" s="3" t="str">
        <x:v>PEER INPUTS</x:v>
      </x:c>
      <x:c r="E1" s="3" t="str">
        <x:v>PEER INPUTS</x:v>
      </x:c>
      <x:c r="F1" s="3" t="str">
        <x:v>PEER INPUTS</x:v>
      </x:c>
      <x:c r="G1" s="3" t="str">
        <x:v>PEER INPUTS</x:v>
      </x:c>
    </x:row>
    <x:row r="2" ht="24" customHeight="1">
      <x:c r="A2" s="6" t="str">
        <x:v>Trading Comparables  |  Synthetic worked inputs — replace blue cells</x:v>
      </x:c>
      <x:c r="B2" s="6" t="str">
        <x:v>Trading Comparables  |  Synthetic worked inputs — replace blue cells</x:v>
      </x:c>
      <x:c r="C2" s="6" t="str">
        <x:v>Trading Comparables  |  Synthetic worked inputs — replace blue cells</x:v>
      </x:c>
      <x:c r="D2" s="6" t="str">
        <x:v>Trading Comparables  |  Synthetic worked inputs — replace blue cells</x:v>
      </x:c>
      <x:c r="E2" s="6" t="str">
        <x:v>Trading Comparables  |  Synthetic worked inputs — replace blue cells</x:v>
      </x:c>
      <x:c r="F2" s="6" t="str">
        <x:v>Trading Comparables  |  Synthetic worked inputs — replace blue cells</x:v>
      </x:c>
      <x:c r="G2" s="6" t="str">
        <x:v>Trading Comparables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Input / Period</x:v>
      </x:c>
      <x:c r="B5" s="67" t="str">
        <x:v>Target</x:v>
      </x:c>
      <x:c r="C5" s="67" t="str">
        <x:v>Core A</x:v>
      </x:c>
      <x:c r="D5" s="67" t="str">
        <x:v>Core B</x:v>
      </x:c>
      <x:c r="E5" s="67" t="str">
        <x:v>Core C</x:v>
      </x:c>
      <x:c r="F5" s="67" t="str">
        <x:v>Secondary</x:v>
      </x:c>
      <x:c r="G5" s="68" t="str">
        <x:v>Adjacent</x:v>
      </x:c>
    </x:row>
    <x:row r="6">
      <x:c r="A6" s="102" t="str">
        <x:v>Share price</x:v>
      </x:c>
      <x:c r="B6" s="103" t="n">
        <x:v>18</x:v>
      </x:c>
      <x:c r="C6" s="103" t="n">
        <x:v>22</x:v>
      </x:c>
      <x:c r="D6" s="103" t="n">
        <x:v>14</x:v>
      </x:c>
      <x:c r="E6" s="103" t="n">
        <x:v>31</x:v>
      </x:c>
      <x:c r="F6" s="103" t="n">
        <x:v>12</x:v>
      </x:c>
      <x:c r="G6" s="103" t="n">
        <x:v>25</x:v>
      </x:c>
    </x:row>
    <x:row r="7">
      <x:c r="A7" s="104" t="str">
        <x:v>Diluted shares</x:v>
      </x:c>
      <x:c r="B7" s="105" t="n">
        <x:v>75</x:v>
      </x:c>
      <x:c r="C7" s="105" t="n">
        <x:v>90</x:v>
      </x:c>
      <x:c r="D7" s="105" t="n">
        <x:v>110</x:v>
      </x:c>
      <x:c r="E7" s="105" t="n">
        <x:v>60</x:v>
      </x:c>
      <x:c r="F7" s="105" t="n">
        <x:v>130</x:v>
      </x:c>
      <x:c r="G7" s="105" t="n">
        <x:v>80</x:v>
      </x:c>
    </x:row>
    <x:row r="8">
      <x:c r="A8" s="104" t="str">
        <x:v>Debt and debt-like claims</x:v>
      </x:c>
      <x:c r="B8" s="106" t="n">
        <x:v>180</x:v>
      </x:c>
      <x:c r="C8" s="106" t="n">
        <x:v>210</x:v>
      </x:c>
      <x:c r="D8" s="106" t="n">
        <x:v>150</x:v>
      </x:c>
      <x:c r="E8" s="106" t="n">
        <x:v>260</x:v>
      </x:c>
      <x:c r="F8" s="106" t="n">
        <x:v>190</x:v>
      </x:c>
      <x:c r="G8" s="106" t="n">
        <x:v>230</x:v>
      </x:c>
    </x:row>
    <x:row r="9">
      <x:c r="A9" s="104" t="str">
        <x:v>Cash and non-operating assets</x:v>
      </x:c>
      <x:c r="B9" s="106" t="n">
        <x:v>55</x:v>
      </x:c>
      <x:c r="C9" s="106" t="n">
        <x:v>70</x:v>
      </x:c>
      <x:c r="D9" s="106" t="n">
        <x:v>45</x:v>
      </x:c>
      <x:c r="E9" s="106" t="n">
        <x:v>80</x:v>
      </x:c>
      <x:c r="F9" s="106" t="n">
        <x:v>35</x:v>
      </x:c>
      <x:c r="G9" s="106" t="n">
        <x:v>65</x:v>
      </x:c>
    </x:row>
    <x:row r="10">
      <x:c r="A10" s="104" t="str">
        <x:v>LTM revenue</x:v>
      </x:c>
      <x:c r="B10" s="106" t="n">
        <x:v>500</x:v>
      </x:c>
      <x:c r="C10" s="106" t="n">
        <x:v>620</x:v>
      </x:c>
      <x:c r="D10" s="106" t="n">
        <x:v>560</x:v>
      </x:c>
      <x:c r="E10" s="106" t="n">
        <x:v>730</x:v>
      </x:c>
      <x:c r="F10" s="106" t="n">
        <x:v>480</x:v>
      </x:c>
      <x:c r="G10" s="106" t="n">
        <x:v>680</x:v>
      </x:c>
    </x:row>
    <x:row r="11">
      <x:c r="A11" s="104" t="str">
        <x:v>LTM EBITDA</x:v>
      </x:c>
      <x:c r="B11" s="106" t="n">
        <x:v>90</x:v>
      </x:c>
      <x:c r="C11" s="106" t="n">
        <x:v>105</x:v>
      </x:c>
      <x:c r="D11" s="106" t="n">
        <x:v>82</x:v>
      </x:c>
      <x:c r="E11" s="106" t="n">
        <x:v>130</x:v>
      </x:c>
      <x:c r="F11" s="106" t="n">
        <x:v>65</x:v>
      </x:c>
      <x:c r="G11" s="106" t="n">
        <x:v>95</x:v>
      </x:c>
    </x:row>
    <x:row r="12">
      <x:c r="A12" s="104" t="str">
        <x:v>LTM EBIT</x:v>
      </x:c>
      <x:c r="B12" s="106" t="n">
        <x:v>72</x:v>
      </x:c>
      <x:c r="C12" s="106" t="n">
        <x:v>82</x:v>
      </x:c>
      <x:c r="D12" s="106" t="n">
        <x:v>64</x:v>
      </x:c>
      <x:c r="E12" s="106" t="n">
        <x:v>102</x:v>
      </x:c>
      <x:c r="F12" s="106" t="n">
        <x:v>48</x:v>
      </x:c>
      <x:c r="G12" s="106" t="n">
        <x:v>73</x:v>
      </x:c>
    </x:row>
    <x:row r="13">
      <x:c r="A13" s="104" t="str">
        <x:v>LTM net income</x:v>
      </x:c>
      <x:c r="B13" s="106" t="n">
        <x:v>42</x:v>
      </x:c>
      <x:c r="C13" s="106" t="n">
        <x:v>51</x:v>
      </x:c>
      <x:c r="D13" s="106" t="n">
        <x:v>38</x:v>
      </x:c>
      <x:c r="E13" s="106" t="n">
        <x:v>64</x:v>
      </x:c>
      <x:c r="F13" s="106" t="n">
        <x:v>29</x:v>
      </x:c>
      <x:c r="G13" s="106" t="n">
        <x:v>45</x:v>
      </x:c>
    </x:row>
    <x:row r="14">
      <x:c r="A14" s="107" t="str">
        <x:v>Core peer flag (1 = core)</x:v>
      </x:c>
      <x:c r="B14" s="108" t="n">
        <x:v>0</x:v>
      </x:c>
      <x:c r="C14" s="108" t="n">
        <x:v>1</x:v>
      </x:c>
      <x:c r="D14" s="108" t="n">
        <x:v>1</x:v>
      </x:c>
      <x:c r="E14" s="108" t="n">
        <x:v>1</x:v>
      </x:c>
      <x:c r="F14" s="108" t="n">
        <x:v>0</x:v>
      </x:c>
      <x:c r="G14" s="108" t="n">
        <x:v>0</x:v>
      </x:c>
    </x:row>
    <x:row r="16">
      <x:c r="A16" s="42" t="str">
        <x:v>Synthetic input pack. Preserve source definitions, units, period basis, and sign convention when replacing values.</x:v>
      </x:c>
      <x:c r="B16" s="43" t="str">
        <x:v>Synthetic input pack. Preserve source definitions, units, period basis, and sign convention when replacing values.</x:v>
      </x:c>
      <x:c r="C16" s="43" t="str">
        <x:v>Synthetic input pack. Preserve source definitions, units, period basis, and sign convention when replacing values.</x:v>
      </x:c>
      <x:c r="D16" s="43" t="str">
        <x:v>Synthetic input pack. Preserve source definitions, units, period basis, and sign convention when replacing values.</x:v>
      </x:c>
      <x:c r="E16" s="43" t="str">
        <x:v>Synthetic input pack. Preserve source definitions, units, period basis, and sign convention when replacing values.</x:v>
      </x:c>
      <x:c r="F16" s="43" t="str">
        <x:v>Synthetic input pack. Preserve source definitions, units, period basis, and sign convention when replacing values.</x:v>
      </x:c>
      <x:c r="G16" s="44" t="str">
        <x:v>Synthetic input pack. Preserve source definitions, units, period basis, and sign convention when replacing values.</x:v>
      </x:c>
    </x:row>
    <x:row r="17">
      <x:c r="A17" s="45" t="str">
        <x:v>Synthetic input pack. Preserve source definitions, units, period basis, and sign convention when replacing values.</x:v>
      </x:c>
      <x:c r="B17" s="46" t="str">
        <x:v>Synthetic input pack. Preserve source definitions, units, period basis, and sign convention when replacing values.</x:v>
      </x:c>
      <x:c r="C17" s="46" t="str">
        <x:v>Synthetic input pack. Preserve source definitions, units, period basis, and sign convention when replacing values.</x:v>
      </x:c>
      <x:c r="D17" s="46" t="str">
        <x:v>Synthetic input pack. Preserve source definitions, units, period basis, and sign convention when replacing values.</x:v>
      </x:c>
      <x:c r="E17" s="46" t="str">
        <x:v>Synthetic input pack. Preserve source definitions, units, period basis, and sign convention when replacing values.</x:v>
      </x:c>
      <x:c r="F17" s="46" t="str">
        <x:v>Synthetic input pack. Preserve source definitions, units, period basis, and sign convention when replacing values.</x:v>
      </x:c>
      <x:c r="G17" s="47" t="str">
        <x:v>Synthetic input pack. Preserve source definitions, units, period basis, and sign convention when replacing values.</x:v>
      </x:c>
    </x:row>
    <x:row r="18">
      <x:c r="A18" s="48" t="str">
        <x:v>Synthetic input pack. Preserve source definitions, units, period basis, and sign convention when replacing values.</x:v>
      </x:c>
      <x:c r="B18" s="49" t="str">
        <x:v>Synthetic input pack. Preserve source definitions, units, period basis, and sign convention when replacing values.</x:v>
      </x:c>
      <x:c r="C18" s="49" t="str">
        <x:v>Synthetic input pack. Preserve source definitions, units, period basis, and sign convention when replacing values.</x:v>
      </x:c>
      <x:c r="D18" s="49" t="str">
        <x:v>Synthetic input pack. Preserve source definitions, units, period basis, and sign convention when replacing values.</x:v>
      </x:c>
      <x:c r="E18" s="49" t="str">
        <x:v>Synthetic input pack. Preserve source definitions, units, period basis, and sign convention when replacing values.</x:v>
      </x:c>
      <x:c r="F18" s="49" t="str">
        <x:v>Synthetic input pack. Preserve source definitions, units, period basis, and sign convention when replacing values.</x:v>
      </x:c>
      <x:c r="G18" s="50" t="str">
        <x:v>Synthetic input pack. Preserve source definitions, units, period basis, and sign convention when replacing values.</x:v>
      </x:c>
    </x:row>
    <x:row r="20">
      <x:c r="A20" s="53" t="str">
        <x:v>TDAT Model Library  |  Trust builds the brand. Insight builds the decision.</x:v>
      </x:c>
      <x:c r="B20" s="53" t="str">
        <x:v>TDAT Model Library  |  Trust builds the brand. Insight builds the decision.</x:v>
      </x:c>
      <x:c r="C20" s="53" t="str">
        <x:v>TDAT Model Library  |  Trust builds the brand. Insight builds the decision.</x:v>
      </x:c>
      <x:c r="D20" s="53" t="str">
        <x:v>TDAT Model Library  |  Trust builds the brand. Insight builds the decision.</x:v>
      </x:c>
      <x:c r="E20" s="53" t="str">
        <x:v>TDAT Model Library  |  Trust builds the brand. Insight builds the decision.</x:v>
      </x:c>
      <x:c r="F20" s="53" t="str">
        <x:v>TDAT Model Library  |  Trust builds the brand. Insight builds the decision.</x:v>
      </x:c>
      <x:c r="G20" s="53" t="str">
        <x:v>TDAT Model Library  |  Trust builds the brand. Insight builds the decision.</x:v>
      </x:c>
    </x:row>
  </x:sheetData>
  <x:mergeCells>
    <x:mergeCell ref="A1:G1"/>
    <x:mergeCell ref="A2:G2"/>
    <x:mergeCell ref="A16:G18"/>
    <x:mergeCell ref="A20:G20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</x:cols>
  <x:sheetData>
    <x:row r="1" ht="34" customHeight="1">
      <x:c r="A1" s="3" t="str">
        <x:v>MULTIPLES VALUATION</x:v>
      </x:c>
      <x:c r="B1" s="3" t="str">
        <x:v>MULTIPLES VALUATION</x:v>
      </x:c>
      <x:c r="C1" s="3" t="str">
        <x:v>MULTIPLES VALUATION</x:v>
      </x:c>
      <x:c r="D1" s="3" t="str">
        <x:v>MULTIPLES VALUATION</x:v>
      </x:c>
      <x:c r="E1" s="3" t="str">
        <x:v>MULTIPLES VALUATION</x:v>
      </x:c>
      <x:c r="F1" s="3" t="str">
        <x:v>MULTIPLES VALUATION</x:v>
      </x:c>
      <x:c r="G1" s="3" t="str">
        <x:v>MULTIPLES VALUATION</x:v>
      </x:c>
    </x:row>
    <x:row r="2" ht="24" customHeight="1">
      <x:c r="A2" s="6" t="str">
        <x:v>Trading Comparables  |  Formula-driven core mechanics</x:v>
      </x:c>
      <x:c r="B2" s="6" t="str">
        <x:v>Trading Comparables  |  Formula-driven core mechanics</x:v>
      </x:c>
      <x:c r="C2" s="6" t="str">
        <x:v>Trading Comparables  |  Formula-driven core mechanics</x:v>
      </x:c>
      <x:c r="D2" s="6" t="str">
        <x:v>Trading Comparables  |  Formula-driven core mechanics</x:v>
      </x:c>
      <x:c r="E2" s="6" t="str">
        <x:v>Trading Comparables  |  Formula-driven core mechanics</x:v>
      </x:c>
      <x:c r="F2" s="6" t="str">
        <x:v>Trading Comparables  |  Formula-driven core mechanics</x:v>
      </x:c>
      <x:c r="G2" s="6" t="str">
        <x:v>Trading Comparables  |  Formula-driven core mechanics</x:v>
      </x:c>
    </x:row>
    <x:row r="3" ht="4" customHeight="1">
      <x:c r="A3" s="7"/>
      <x:c r="B3" s="7"/>
      <x:c r="C3" s="7"/>
      <x:c r="D3" s="7"/>
      <x:c r="E3" s="7"/>
      <x:c r="F3" s="7"/>
      <x:c r="G3" s="7"/>
    </x:row>
    <x:row r="5" ht="24" customHeight="1">
      <x:c r="A5" s="66" t="str">
        <x:v>Calculation / Period</x:v>
      </x:c>
      <x:c r="B5" s="67" t="str">
        <x:v>Target</x:v>
      </x:c>
      <x:c r="C5" s="67" t="str">
        <x:v>Core A</x:v>
      </x:c>
      <x:c r="D5" s="67" t="str">
        <x:v>Core B</x:v>
      </x:c>
      <x:c r="E5" s="67" t="str">
        <x:v>Core C</x:v>
      </x:c>
      <x:c r="F5" s="67" t="str">
        <x:v>Secondary</x:v>
      </x:c>
      <x:c r="G5" s="68" t="str">
        <x:v>Adjacent</x:v>
      </x:c>
    </x:row>
    <x:row r="6">
      <x:c r="A6" s="126" t="str">
        <x:v>Equity value</x:v>
      </x:c>
      <x:c r="B6" s="127" t="n">
        <x:f>'Peer Inputs'!B$6*'Peer Inputs'!B$7</x:f>
        <x:v>1350</x:v>
      </x:c>
      <x:c r="C6" s="127" t="n">
        <x:f>'Peer Inputs'!C$6*'Peer Inputs'!C$7</x:f>
        <x:v>1980</x:v>
      </x:c>
      <x:c r="D6" s="127" t="n">
        <x:f>'Peer Inputs'!D$6*'Peer Inputs'!D$7</x:f>
        <x:v>1540</x:v>
      </x:c>
      <x:c r="E6" s="127" t="n">
        <x:f>'Peer Inputs'!E$6*'Peer Inputs'!E$7</x:f>
        <x:v>1860</x:v>
      </x:c>
      <x:c r="F6" s="127" t="n">
        <x:f>'Peer Inputs'!F$6*'Peer Inputs'!F$7</x:f>
        <x:v>1560</x:v>
      </x:c>
      <x:c r="G6" s="127" t="n">
        <x:f>'Peer Inputs'!G$6*'Peer Inputs'!G$7</x:f>
        <x:v>2000</x:v>
      </x:c>
    </x:row>
    <x:row r="7">
      <x:c r="A7" s="128" t="str">
        <x:v>Enterprise value</x:v>
      </x:c>
      <x:c r="B7" s="129" t="n">
        <x:f>B$6+'Peer Inputs'!B$8-'Peer Inputs'!B$9</x:f>
        <x:v>1475</x:v>
      </x:c>
      <x:c r="C7" s="129" t="n">
        <x:f>C$6+'Peer Inputs'!C$8-'Peer Inputs'!C$9</x:f>
        <x:v>2120</x:v>
      </x:c>
      <x:c r="D7" s="129" t="n">
        <x:f>D$6+'Peer Inputs'!D$8-'Peer Inputs'!D$9</x:f>
        <x:v>1645</x:v>
      </x:c>
      <x:c r="E7" s="129" t="n">
        <x:f>E$6+'Peer Inputs'!E$8-'Peer Inputs'!E$9</x:f>
        <x:v>2040</x:v>
      </x:c>
      <x:c r="F7" s="129" t="n">
        <x:f>F$6+'Peer Inputs'!F$8-'Peer Inputs'!F$9</x:f>
        <x:v>1715</x:v>
      </x:c>
      <x:c r="G7" s="129" t="n">
        <x:f>G$6+'Peer Inputs'!G$8-'Peer Inputs'!G$9</x:f>
        <x:v>2165</x:v>
      </x:c>
    </x:row>
    <x:row r="8">
      <x:c r="A8" s="130" t="str">
        <x:v>EV / Revenue</x:v>
      </x:c>
      <x:c r="B8" s="131" t="n">
        <x:f>IF('Peer Inputs'!B$10&lt;=0,0,B$7/'Peer Inputs'!B$10)</x:f>
        <x:v>2.95</x:v>
      </x:c>
      <x:c r="C8" s="131" t="n">
        <x:f>IF('Peer Inputs'!C$10&lt;=0,0,C$7/'Peer Inputs'!C$10)</x:f>
        <x:v>3.4193548387096775</x:v>
      </x:c>
      <x:c r="D8" s="131" t="n">
        <x:f>IF('Peer Inputs'!D$10&lt;=0,0,D$7/'Peer Inputs'!D$10)</x:f>
        <x:v>2.9375</x:v>
      </x:c>
      <x:c r="E8" s="131" t="n">
        <x:f>IF('Peer Inputs'!E$10&lt;=0,0,E$7/'Peer Inputs'!E$10)</x:f>
        <x:v>2.7945205479452055</x:v>
      </x:c>
      <x:c r="F8" s="131" t="n">
        <x:f>IF('Peer Inputs'!F$10&lt;=0,0,F$7/'Peer Inputs'!F$10)</x:f>
        <x:v>3.5729166666666665</x:v>
      </x:c>
      <x:c r="G8" s="131" t="n">
        <x:f>IF('Peer Inputs'!G$10&lt;=0,0,G$7/'Peer Inputs'!G$10)</x:f>
        <x:v>3.1838235294117645</x:v>
      </x:c>
    </x:row>
    <x:row r="9">
      <x:c r="A9" s="132" t="str">
        <x:v>EV / EBITDA</x:v>
      </x:c>
      <x:c r="B9" s="133" t="n">
        <x:f>IF('Peer Inputs'!B$11&lt;=0,0,B$7/'Peer Inputs'!B$11)</x:f>
        <x:v>16.38888888888889</x:v>
      </x:c>
      <x:c r="C9" s="133" t="n">
        <x:f>IF('Peer Inputs'!C$11&lt;=0,0,C$7/'Peer Inputs'!C$11)</x:f>
        <x:v>20.19047619047619</x:v>
      </x:c>
      <x:c r="D9" s="133" t="n">
        <x:f>IF('Peer Inputs'!D$11&lt;=0,0,D$7/'Peer Inputs'!D$11)</x:f>
        <x:v>20.0609756097561</x:v>
      </x:c>
      <x:c r="E9" s="133" t="n">
        <x:f>IF('Peer Inputs'!E$11&lt;=0,0,E$7/'Peer Inputs'!E$11)</x:f>
        <x:v>15.692307692307692</x:v>
      </x:c>
      <x:c r="F9" s="133" t="n">
        <x:f>IF('Peer Inputs'!F$11&lt;=0,0,F$7/'Peer Inputs'!F$11)</x:f>
        <x:v>26.384615384615383</x:v>
      </x:c>
      <x:c r="G9" s="133" t="n">
        <x:f>IF('Peer Inputs'!G$11&lt;=0,0,G$7/'Peer Inputs'!G$11)</x:f>
        <x:v>22.789473684210527</x:v>
      </x:c>
    </x:row>
    <x:row r="10">
      <x:c r="A10" s="130" t="str">
        <x:v>EV / EBIT</x:v>
      </x:c>
      <x:c r="B10" s="131" t="n">
        <x:f>IF('Peer Inputs'!B$12&lt;=0,0,B$7/'Peer Inputs'!B$12)</x:f>
        <x:v>20.48611111111111</x:v>
      </x:c>
      <x:c r="C10" s="131" t="n">
        <x:f>IF('Peer Inputs'!C$12&lt;=0,0,C$7/'Peer Inputs'!C$12)</x:f>
        <x:v>25.853658536585368</x:v>
      </x:c>
      <x:c r="D10" s="131" t="n">
        <x:f>IF('Peer Inputs'!D$12&lt;=0,0,D$7/'Peer Inputs'!D$12)</x:f>
        <x:v>25.703125</x:v>
      </x:c>
      <x:c r="E10" s="131" t="n">
        <x:f>IF('Peer Inputs'!E$12&lt;=0,0,E$7/'Peer Inputs'!E$12)</x:f>
        <x:v>20</x:v>
      </x:c>
      <x:c r="F10" s="131" t="n">
        <x:f>IF('Peer Inputs'!F$12&lt;=0,0,F$7/'Peer Inputs'!F$12)</x:f>
        <x:v>35.729166666666664</x:v>
      </x:c>
      <x:c r="G10" s="131" t="n">
        <x:f>IF('Peer Inputs'!G$12&lt;=0,0,G$7/'Peer Inputs'!G$12)</x:f>
        <x:v>29.65753424657534</x:v>
      </x:c>
    </x:row>
    <x:row r="11">
      <x:c r="A11" s="130" t="str">
        <x:v>P / E</x:v>
      </x:c>
      <x:c r="B11" s="131" t="n">
        <x:f>IF('Peer Inputs'!B$13&lt;=0,0,B$6/'Peer Inputs'!B$13)</x:f>
        <x:v>32.142857142857146</x:v>
      </x:c>
      <x:c r="C11" s="131" t="n">
        <x:f>IF('Peer Inputs'!C$13&lt;=0,0,C$6/'Peer Inputs'!C$13)</x:f>
        <x:v>38.8235294117647</x:v>
      </x:c>
      <x:c r="D11" s="131" t="n">
        <x:f>IF('Peer Inputs'!D$13&lt;=0,0,D$6/'Peer Inputs'!D$13)</x:f>
        <x:v>40.526315789473685</x:v>
      </x:c>
      <x:c r="E11" s="131" t="n">
        <x:f>IF('Peer Inputs'!E$13&lt;=0,0,E$6/'Peer Inputs'!E$13)</x:f>
        <x:v>29.0625</x:v>
      </x:c>
      <x:c r="F11" s="131" t="n">
        <x:f>IF('Peer Inputs'!F$13&lt;=0,0,F$6/'Peer Inputs'!F$13)</x:f>
        <x:v>53.793103448275865</x:v>
      </x:c>
      <x:c r="G11" s="131" t="n">
        <x:f>IF('Peer Inputs'!G$13&lt;=0,0,G$6/'Peer Inputs'!G$13)</x:f>
        <x:v>44.44444444444444</x:v>
      </x:c>
    </x:row>
    <x:row r="12">
      <x:c r="A12" s="130" t="str">
        <x:v>EBITDA margin</x:v>
      </x:c>
      <x:c r="B12" s="134" t="n">
        <x:f>IF('Peer Inputs'!B$10=0,0,'Peer Inputs'!B$11/'Peer Inputs'!B$10)</x:f>
        <x:v>0.18</x:v>
      </x:c>
      <x:c r="C12" s="134" t="n">
        <x:f>IF('Peer Inputs'!C$10=0,0,'Peer Inputs'!C$11/'Peer Inputs'!C$10)</x:f>
        <x:v>0.1693548387096774</x:v>
      </x:c>
      <x:c r="D12" s="134" t="n">
        <x:f>IF('Peer Inputs'!D$10=0,0,'Peer Inputs'!D$11/'Peer Inputs'!D$10)</x:f>
        <x:v>0.14642857142857144</x:v>
      </x:c>
      <x:c r="E12" s="134" t="n">
        <x:f>IF('Peer Inputs'!E$10=0,0,'Peer Inputs'!E$11/'Peer Inputs'!E$10)</x:f>
        <x:v>0.1780821917808219</x:v>
      </x:c>
      <x:c r="F12" s="134" t="n">
        <x:f>IF('Peer Inputs'!F$10=0,0,'Peer Inputs'!F$11/'Peer Inputs'!F$10)</x:f>
        <x:v>0.13541666666666666</x:v>
      </x:c>
      <x:c r="G12" s="134" t="n">
        <x:f>IF('Peer Inputs'!G$10=0,0,'Peer Inputs'!G$11/'Peer Inputs'!G$10)</x:f>
        <x:v>0.13970588235294118</x:v>
      </x:c>
    </x:row>
    <x:row r="13">
      <x:c r="A13" s="130" t="str">
        <x:v>Core-peer EV / EBITDA median</x:v>
      </x:c>
      <x:c r="B13" s="131" t="n">
        <x:f>MEDIAN('Multiples Valuation'!C9:E9)</x:f>
        <x:v>20.0609756097561</x:v>
      </x:c>
      <x:c r="C13" s="131" t="n">
        <x:f>MEDIAN('Multiples Valuation'!C9:E9)</x:f>
        <x:v>20.0609756097561</x:v>
      </x:c>
      <x:c r="D13" s="131" t="n">
        <x:f>MEDIAN('Multiples Valuation'!C9:E9)</x:f>
        <x:v>20.0609756097561</x:v>
      </x:c>
      <x:c r="E13" s="131" t="n">
        <x:f>MEDIAN('Multiples Valuation'!C9:E9)</x:f>
        <x:v>20.0609756097561</x:v>
      </x:c>
      <x:c r="F13" s="131" t="n">
        <x:f>MEDIAN('Multiples Valuation'!C9:E9)</x:f>
        <x:v>20.0609756097561</x:v>
      </x:c>
      <x:c r="G13" s="131" t="n">
        <x:f>MEDIAN('Multiples Valuation'!C9:E9)</x:f>
        <x:v>20.0609756097561</x:v>
      </x:c>
    </x:row>
    <x:row r="14">
      <x:c r="A14" s="128" t="str">
        <x:v>Implied target enterprise value</x:v>
      </x:c>
      <x:c r="B14" s="129" t="n">
        <x:f>'Assumptions'!$F$6*'Assumptions'!$F$7</x:f>
        <x:v>1920</x:v>
      </x:c>
      <x:c r="C14" s="129" t="n">
        <x:f>'Assumptions'!$F$6*'Assumptions'!$F$7</x:f>
        <x:v>1920</x:v>
      </x:c>
      <x:c r="D14" s="129" t="n">
        <x:f>'Assumptions'!$F$6*'Assumptions'!$F$7</x:f>
        <x:v>1920</x:v>
      </x:c>
      <x:c r="E14" s="129" t="n">
        <x:f>'Assumptions'!$F$6*'Assumptions'!$F$7</x:f>
        <x:v>1920</x:v>
      </x:c>
      <x:c r="F14" s="129" t="n">
        <x:f>'Assumptions'!$F$6*'Assumptions'!$F$7</x:f>
        <x:v>1920</x:v>
      </x:c>
      <x:c r="G14" s="129" t="n">
        <x:f>'Assumptions'!$F$6*'Assumptions'!$F$7</x:f>
        <x:v>1920</x:v>
      </x:c>
    </x:row>
    <x:row r="15">
      <x:c r="A15" s="128" t="str">
        <x:v>Implied target equity value</x:v>
      </x:c>
      <x:c r="B15" s="129" t="n">
        <x:f>B$14-'Assumptions'!$F$8</x:f>
        <x:v>1795</x:v>
      </x:c>
      <x:c r="C15" s="129" t="n">
        <x:f>B$14-'Assumptions'!$F$8</x:f>
        <x:v>1795</x:v>
      </x:c>
      <x:c r="D15" s="129" t="n">
        <x:f>B$14-'Assumptions'!$F$8</x:f>
        <x:v>1795</x:v>
      </x:c>
      <x:c r="E15" s="129" t="n">
        <x:f>B$14-'Assumptions'!$F$8</x:f>
        <x:v>1795</x:v>
      </x:c>
      <x:c r="F15" s="129" t="n">
        <x:f>B$14-'Assumptions'!$F$8</x:f>
        <x:v>1795</x:v>
      </x:c>
      <x:c r="G15" s="129" t="n">
        <x:f>B$14-'Assumptions'!$F$8</x:f>
        <x:v>1795</x:v>
      </x:c>
    </x:row>
    <x:row r="16">
      <x:c r="A16" s="132" t="str">
        <x:v>Implied value per share</x:v>
      </x:c>
      <x:c r="B16" s="135" t="n">
        <x:f>IF('Assumptions'!$F$9=0,0,B$15/'Assumptions'!$F$9)</x:f>
        <x:v>23.933333333333334</x:v>
      </x:c>
      <x:c r="C16" s="135" t="n">
        <x:f>IF('Assumptions'!$F$9=0,0,B$15/'Assumptions'!$F$9)</x:f>
        <x:v>23.933333333333334</x:v>
      </x:c>
      <x:c r="D16" s="135" t="n">
        <x:f>IF('Assumptions'!$F$9=0,0,B$15/'Assumptions'!$F$9)</x:f>
        <x:v>23.933333333333334</x:v>
      </x:c>
      <x:c r="E16" s="135" t="n">
        <x:f>IF('Assumptions'!$F$9=0,0,B$15/'Assumptions'!$F$9)</x:f>
        <x:v>23.933333333333334</x:v>
      </x:c>
      <x:c r="F16" s="135" t="n">
        <x:f>IF('Assumptions'!$F$9=0,0,B$15/'Assumptions'!$F$9)</x:f>
        <x:v>23.933333333333334</x:v>
      </x:c>
      <x:c r="G16" s="135" t="n">
        <x:f>IF('Assumptions'!$F$9=0,0,B$15/'Assumptions'!$F$9)</x:f>
        <x:v>23.933333333333334</x:v>
      </x:c>
    </x:row>
    <x:row r="17">
      <x:c r="A17" s="136" t="str">
        <x:v>Enterprise value bridge check</x:v>
      </x:c>
      <x:c r="B17" s="137" t="n">
        <x:f>B$7-B$6-'Peer Inputs'!B$8+'Peer Inputs'!B$9</x:f>
        <x:v>0</x:v>
      </x:c>
      <x:c r="C17" s="137" t="n">
        <x:f>C$7-C$6-'Peer Inputs'!C$8+'Peer Inputs'!C$9</x:f>
        <x:v>0</x:v>
      </x:c>
      <x:c r="D17" s="137" t="n">
        <x:f>D$7-D$6-'Peer Inputs'!D$8+'Peer Inputs'!D$9</x:f>
        <x:v>0</x:v>
      </x:c>
      <x:c r="E17" s="137" t="n">
        <x:f>E$7-E$6-'Peer Inputs'!E$8+'Peer Inputs'!E$9</x:f>
        <x:v>0</x:v>
      </x:c>
      <x:c r="F17" s="137" t="n">
        <x:f>F$7-F$6-'Peer Inputs'!F$8+'Peer Inputs'!F$9</x:f>
        <x:v>0</x:v>
      </x:c>
      <x:c r="G17" s="137" t="n">
        <x:f>G$7-G$6-'Peer Inputs'!G$8+'Peer Inputs'!G$9</x:f>
        <x:v>0</x:v>
      </x:c>
    </x:row>
    <x:row r="19">
      <x:c r="A19" s="42" t="str">
        <x:v>Review row definitions, sign convention, period basis, scenario mechanics, and every breakpoint before relying on the output.</x:v>
      </x:c>
      <x:c r="B19" s="43" t="str">
        <x:v>Review row definitions, sign convention, period basis, scenario mechanics, and every breakpoint before relying on the output.</x:v>
      </x:c>
      <x:c r="C19" s="43" t="str">
        <x:v>Review row definitions, sign convention, period basis, scenario mechanics, and every breakpoint before relying on the output.</x:v>
      </x:c>
      <x:c r="D19" s="43" t="str">
        <x:v>Review row definitions, sign convention, period basis, scenario mechanics, and every breakpoint before relying on the output.</x:v>
      </x:c>
      <x:c r="E19" s="43" t="str">
        <x:v>Review row definitions, sign convention, period basis, scenario mechanics, and every breakpoint before relying on the output.</x:v>
      </x:c>
      <x:c r="F19" s="43" t="str">
        <x:v>Review row definitions, sign convention, period basis, scenario mechanics, and every breakpoint before relying on the output.</x:v>
      </x:c>
      <x:c r="G19" s="44" t="str">
        <x:v>Review row definitions, sign convention, period basis, scenario mechanics, and every breakpoint before relying on the output.</x:v>
      </x:c>
    </x:row>
    <x:row r="20">
      <x:c r="A20" s="45" t="str">
        <x:v>Review row definitions, sign convention, period basis, scenario mechanics, and every breakpoint before relying on the output.</x:v>
      </x:c>
      <x:c r="B20" s="46" t="str">
        <x:v>Review row definitions, sign convention, period basis, scenario mechanics, and every breakpoint before relying on the output.</x:v>
      </x:c>
      <x:c r="C20" s="46" t="str">
        <x:v>Review row definitions, sign convention, period basis, scenario mechanics, and every breakpoint before relying on the output.</x:v>
      </x:c>
      <x:c r="D20" s="46" t="str">
        <x:v>Review row definitions, sign convention, period basis, scenario mechanics, and every breakpoint before relying on the output.</x:v>
      </x:c>
      <x:c r="E20" s="46" t="str">
        <x:v>Review row definitions, sign convention, period basis, scenario mechanics, and every breakpoint before relying on the output.</x:v>
      </x:c>
      <x:c r="F20" s="46" t="str">
        <x:v>Review row definitions, sign convention, period basis, scenario mechanics, and every breakpoint before relying on the output.</x:v>
      </x:c>
      <x:c r="G20" s="47" t="str">
        <x:v>Review row definitions, sign convention, period basis, scenario mechanics, and every breakpoint before relying on the output.</x:v>
      </x:c>
    </x:row>
    <x:row r="21">
      <x:c r="A21" s="48" t="str">
        <x:v>Review row definitions, sign convention, period basis, scenario mechanics, and every breakpoint before relying on the output.</x:v>
      </x:c>
      <x:c r="B21" s="49" t="str">
        <x:v>Review row definitions, sign convention, period basis, scenario mechanics, and every breakpoint before relying on the output.</x:v>
      </x:c>
      <x:c r="C21" s="49" t="str">
        <x:v>Review row definitions, sign convention, period basis, scenario mechanics, and every breakpoint before relying on the output.</x:v>
      </x:c>
      <x:c r="D21" s="49" t="str">
        <x:v>Review row definitions, sign convention, period basis, scenario mechanics, and every breakpoint before relying on the output.</x:v>
      </x:c>
      <x:c r="E21" s="49" t="str">
        <x:v>Review row definitions, sign convention, period basis, scenario mechanics, and every breakpoint before relying on the output.</x:v>
      </x:c>
      <x:c r="F21" s="49" t="str">
        <x:v>Review row definitions, sign convention, period basis, scenario mechanics, and every breakpoint before relying on the output.</x:v>
      </x:c>
      <x:c r="G21" s="50" t="str">
        <x:v>Review row definitions, sign convention, period basis, scenario mechanics, and every breakpoint before relying on the output.</x:v>
      </x:c>
    </x:row>
    <x:row r="23">
      <x:c r="A23" s="53" t="str">
        <x:v>TDAT Model Library  |  Trust builds the brand. Insight builds the decision.</x:v>
      </x:c>
      <x:c r="B23" s="53" t="str">
        <x:v>TDAT Model Library  |  Trust builds the brand. Insight builds the decision.</x:v>
      </x:c>
      <x:c r="C23" s="53" t="str">
        <x:v>TDAT Model Library  |  Trust builds the brand. Insight builds the decision.</x:v>
      </x:c>
      <x:c r="D23" s="53" t="str">
        <x:v>TDAT Model Library  |  Trust builds the brand. Insight builds the decision.</x:v>
      </x:c>
      <x:c r="E23" s="53" t="str">
        <x:v>TDAT Model Library  |  Trust builds the brand. Insight builds the decision.</x:v>
      </x:c>
      <x:c r="F23" s="53" t="str">
        <x:v>TDAT Model Library  |  Trust builds the brand. Insight builds the decision.</x:v>
      </x:c>
      <x:c r="G23" s="53" t="str">
        <x:v>TDAT Model Library  |  Trust builds the brand. Insight builds the decision.</x:v>
      </x:c>
    </x:row>
  </x:sheetData>
  <x:mergeCells>
    <x:mergeCell ref="A1:G1"/>
    <x:mergeCell ref="A2:G2"/>
    <x:mergeCell ref="A19:G21"/>
    <x:mergeCell ref="A23:G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Trading Comparables  |  Formula-backed decision range</x:v>
      </x:c>
      <x:c r="B2" s="6" t="str">
        <x:v>Trading Comparables  |  Formula-backed decision range</x:v>
      </x:c>
      <x:c r="C2" s="6" t="str">
        <x:v>Trading Comparables  |  Formula-backed decision range</x:v>
      </x:c>
      <x:c r="D2" s="6" t="str">
        <x:v>Trading Comparables  |  Formula-backed decision range</x:v>
      </x:c>
      <x:c r="E2" s="6" t="str">
        <x:v>Trading Comparables  |  Formula-backed decision range</x:v>
      </x:c>
      <x:c r="F2" s="6" t="str">
        <x:v>Trading Comparables  |  Formula-backed decision range</x:v>
      </x:c>
      <x:c r="G2" s="6" t="str">
        <x:v>Trading Comparables  |  Formula-backed decision range</x:v>
      </x:c>
      <x:c r="H2" s="6" t="str">
        <x:v>Trading Comparables  |  Formula-backed decision range</x:v>
      </x:c>
      <x:c r="I2" s="6" t="str">
        <x:v>Trading Comparables  |  Formula-backed decision range</x:v>
      </x:c>
      <x:c r="J2" s="6" t="str">
        <x:v>Trading Comparables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8" t="str">
        <x:v>Implied value per share — Target EBITDA by Selected EV / EBITDA</x:v>
      </x:c>
      <x:c r="B5" s="138" t="str">
        <x:v>Implied value per share — Target EBITDA by Selected EV / EBITDA</x:v>
      </x:c>
      <x:c r="C5" s="138" t="str">
        <x:v>Implied value per share — Target EBITDA by Selected EV / EBITDA</x:v>
      </x:c>
      <x:c r="D5" s="138" t="str">
        <x:v>Implied value per share — Target EBITDA by Selected EV / EBITDA</x:v>
      </x:c>
      <x:c r="E5" s="138" t="str">
        <x:v>Implied value per share — Target EBITDA by Selected EV / EBITDA</x:v>
      </x:c>
      <x:c r="F5" s="138" t="str">
        <x:v>Implied value per share — Target EBITDA by Selected EV / EBITDA</x:v>
      </x:c>
      <x:c r="G5" s="138" t="str">
        <x:v>Implied value per share — Target EBITDA by Selected EV / EBITDA</x:v>
      </x:c>
      <x:c r="H5" s="138" t="str">
        <x:v>Implied value per share — Target EBITDA by Selected EV / EBITDA</x:v>
      </x:c>
      <x:c r="I5" s="138" t="str">
        <x:v>Implied value per share — Target EBITDA by Selected EV / EBITDA</x:v>
      </x:c>
      <x:c r="J5" s="138" t="str">
        <x:v>Implied value per share — Target EBITDA by Selected EV / EBITDA</x:v>
      </x:c>
    </x:row>
    <x:row r="6">
      <x:c r="A6" t="str">
        <x:v>Target EBITDA</x:v>
      </x:c>
      <x:c r="B6" t="str">
        <x:v>Selected EV / EBITDA</x:v>
      </x:c>
    </x:row>
    <x:row r="7">
      <x:c r="B7" s="76" t="n">
        <x:v>16</x:v>
      </x:c>
      <x:c r="C7" s="76" t="n">
        <x:v>18</x:v>
      </x:c>
      <x:c r="D7" s="76" t="n">
        <x:v>20</x:v>
      </x:c>
      <x:c r="E7" s="76" t="n">
        <x:v>22</x:v>
      </x:c>
      <x:c r="F7" s="76" t="n">
        <x:v>24</x:v>
      </x:c>
    </x:row>
    <x:row r="8">
      <x:c r="A8" s="71" t="n">
        <x:v>80</x:v>
      </x:c>
      <x:c r="B8" s="140" t="n">
        <x:f>($A8*B$7-'Assumptions'!$F$8)/'Assumptions'!$F$9</x:f>
        <x:v>15.4</x:v>
      </x:c>
      <x:c r="C8" s="140" t="n">
        <x:f>($A8*C$7-'Assumptions'!$F$8)/'Assumptions'!$F$9</x:f>
        <x:v>17.533333333333335</x:v>
      </x:c>
      <x:c r="D8" s="140" t="n">
        <x:f>($A8*D$7-'Assumptions'!$F$8)/'Assumptions'!$F$9</x:f>
        <x:v>19.666666666666668</x:v>
      </x:c>
      <x:c r="E8" s="140" t="n">
        <x:f>($A8*E$7-'Assumptions'!$F$8)/'Assumptions'!$F$9</x:f>
        <x:v>21.8</x:v>
      </x:c>
      <x:c r="F8" s="140" t="n">
        <x:f>($A8*F$7-'Assumptions'!$F$8)/'Assumptions'!$F$9</x:f>
        <x:v>23.933333333333334</x:v>
      </x:c>
    </x:row>
    <x:row r="9">
      <x:c r="A9" s="71" t="n">
        <x:v>88</x:v>
      </x:c>
      <x:c r="B9" s="140" t="n">
        <x:f>($A9*B$7-'Assumptions'!$F$8)/'Assumptions'!$F$9</x:f>
        <x:v>17.106666666666666</x:v>
      </x:c>
      <x:c r="C9" s="140" t="n">
        <x:f>($A9*C$7-'Assumptions'!$F$8)/'Assumptions'!$F$9</x:f>
        <x:v>19.453333333333333</x:v>
      </x:c>
      <x:c r="D9" s="140" t="n">
        <x:f>($A9*D$7-'Assumptions'!$F$8)/'Assumptions'!$F$9</x:f>
        <x:v>21.8</x:v>
      </x:c>
      <x:c r="E9" s="140" t="n">
        <x:f>($A9*E$7-'Assumptions'!$F$8)/'Assumptions'!$F$9</x:f>
        <x:v>24.14666666666667</x:v>
      </x:c>
      <x:c r="F9" s="140" t="n">
        <x:f>($A9*F$7-'Assumptions'!$F$8)/'Assumptions'!$F$9</x:f>
        <x:v>26.493333333333332</x:v>
      </x:c>
    </x:row>
    <x:row r="10">
      <x:c r="A10" s="71" t="n">
        <x:v>96</x:v>
      </x:c>
      <x:c r="B10" s="140" t="n">
        <x:f>($A10*B$7-'Assumptions'!$F$8)/'Assumptions'!$F$9</x:f>
        <x:v>18.813333333333333</x:v>
      </x:c>
      <x:c r="C10" s="140" t="n">
        <x:f>($A10*C$7-'Assumptions'!$F$8)/'Assumptions'!$F$9</x:f>
        <x:v>21.373333333333335</x:v>
      </x:c>
      <x:c r="D10" s="140" t="n">
        <x:f>($A10*D$7-'Assumptions'!$F$8)/'Assumptions'!$F$9</x:f>
        <x:v>23.933333333333334</x:v>
      </x:c>
      <x:c r="E10" s="140" t="n">
        <x:f>($A10*E$7-'Assumptions'!$F$8)/'Assumptions'!$F$9</x:f>
        <x:v>26.493333333333332</x:v>
      </x:c>
      <x:c r="F10" s="140" t="n">
        <x:f>($A10*F$7-'Assumptions'!$F$8)/'Assumptions'!$F$9</x:f>
        <x:v>29.053333333333335</x:v>
      </x:c>
    </x:row>
    <x:row r="11">
      <x:c r="A11" s="71" t="n">
        <x:v>104</x:v>
      </x:c>
      <x:c r="B11" s="140" t="n">
        <x:f>($A11*B$7-'Assumptions'!$F$8)/'Assumptions'!$F$9</x:f>
        <x:v>20.52</x:v>
      </x:c>
      <x:c r="C11" s="140" t="n">
        <x:f>($A11*C$7-'Assumptions'!$F$8)/'Assumptions'!$F$9</x:f>
        <x:v>23.293333333333333</x:v>
      </x:c>
      <x:c r="D11" s="140" t="n">
        <x:f>($A11*D$7-'Assumptions'!$F$8)/'Assumptions'!$F$9</x:f>
        <x:v>26.066666666666666</x:v>
      </x:c>
      <x:c r="E11" s="140" t="n">
        <x:f>($A11*E$7-'Assumptions'!$F$8)/'Assumptions'!$F$9</x:f>
        <x:v>28.84</x:v>
      </x:c>
      <x:c r="F11" s="140" t="n">
        <x:f>($A11*F$7-'Assumptions'!$F$8)/'Assumptions'!$F$9</x:f>
        <x:v>31.613333333333333</x:v>
      </x:c>
    </x:row>
    <x:row r="12">
      <x:c r="A12" s="71" t="n">
        <x:v>112</x:v>
      </x:c>
      <x:c r="B12" s="140" t="n">
        <x:f>($A12*B$7-'Assumptions'!$F$8)/'Assumptions'!$F$9</x:f>
        <x:v>22.226666666666667</x:v>
      </x:c>
      <x:c r="C12" s="140" t="n">
        <x:f>($A12*C$7-'Assumptions'!$F$8)/'Assumptions'!$F$9</x:f>
        <x:v>25.213333333333335</x:v>
      </x:c>
      <x:c r="D12" s="140" t="n">
        <x:f>($A12*D$7-'Assumptions'!$F$8)/'Assumptions'!$F$9</x:f>
        <x:v>28.2</x:v>
      </x:c>
      <x:c r="E12" s="140" t="n">
        <x:f>($A12*E$7-'Assumptions'!$F$8)/'Assumptions'!$F$9</x:f>
        <x:v>31.186666666666667</x:v>
      </x:c>
      <x:c r="F12" s="140" t="n">
        <x:f>($A12*F$7-'Assumptions'!$F$8)/'Assumptions'!$F$9</x:f>
        <x:v>34.17333333333333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50" t="str">
        <x:v>Base</x:v>
      </x:c>
      <x:c r="B18" s="151" t="str">
        <x:v>Most likely operating and finance assumptions.</x:v>
      </x:c>
      <x:c r="C18" s="151" t="str">
        <x:v>Base</x:v>
      </x:c>
      <x:c r="D18" s="152" t="str">
        <x:v>What must be true for the base case to hold?</x:v>
      </x:c>
    </x:row>
    <x:row r="19">
      <x:c r="A19" s="153" t="str">
        <x:v>Upside</x:v>
      </x:c>
      <x:c r="B19" s="154" t="str">
        <x:v>Stronger performance, faster conversion, or lower risk/cost.</x:v>
      </x:c>
      <x:c r="C19" s="154" t="str">
        <x:v>Upside</x:v>
      </x:c>
      <x:c r="D19" s="155" t="str">
        <x:v>Which actions unlock the upside?</x:v>
      </x:c>
    </x:row>
    <x:row r="20">
      <x:c r="A20" s="156" t="str">
        <x:v>Downside</x:v>
      </x:c>
      <x:c r="B20" s="157" t="str">
        <x:v>Slower activity, weaker conversion, or higher risk/cost.</x:v>
      </x:c>
      <x:c r="C20" s="157" t="str">
        <x:v>Downside</x:v>
      </x:c>
      <x:c r="D20" s="158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Trading Comparables  |  Decision outputs, trend, breakpoints, and action prompts</x:v>
      </x:c>
      <x:c r="B2" s="6" t="str">
        <x:v>Trading Comparables  |  Decision outputs, trend, breakpoints, and action prompts</x:v>
      </x:c>
      <x:c r="C2" s="6" t="str">
        <x:v>Trading Comparables  |  Decision outputs, trend, breakpoints, and action prompts</x:v>
      </x:c>
      <x:c r="D2" s="6" t="str">
        <x:v>Trading Comparables  |  Decision outputs, trend, breakpoints, and action prompts</x:v>
      </x:c>
      <x:c r="E2" s="6" t="str">
        <x:v>Trading Comparables  |  Decision outputs, trend, breakpoints, and action prompts</x:v>
      </x:c>
      <x:c r="F2" s="6" t="str">
        <x:v>Trading Comparables  |  Decision outputs, trend, breakpoints, and action prompts</x:v>
      </x:c>
      <x:c r="G2" s="6" t="str">
        <x:v>Trading Comparables  |  Decision outputs, trend, breakpoints, and action prompts</x:v>
      </x:c>
      <x:c r="H2" s="6" t="str">
        <x:v>Trading Comparables  |  Decision outputs, trend, breakpoints, and action prompts</x:v>
      </x:c>
      <x:c r="I2" s="6" t="str">
        <x:v>Trading Comparables  |  Decision outputs, trend, breakpoints, and action prompts</x:v>
      </x:c>
      <x:c r="J2" s="6" t="str">
        <x:v>Trading Comparables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60" t="str">
        <x:v>CORE MEDIAN EV / EBITDA</x:v>
      </x:c>
      <x:c r="B5" s="160" t="str">
        <x:v>CORE MEDIAN EV / EBITDA</x:v>
      </x:c>
      <x:c r="C5" s="160" t="str">
        <x:v>CORE MEDIAN EV / EBITDA</x:v>
      </x:c>
      <x:c r="D5" s="160" t="str">
        <x:v>SELECTED EV / EBITDA</x:v>
      </x:c>
      <x:c r="E5" s="160" t="str">
        <x:v>SELECTED EV / EBITDA</x:v>
      </x:c>
      <x:c r="F5" s="160" t="str">
        <x:v>SELECTED EV / EBITDA</x:v>
      </x:c>
      <x:c r="G5" s="160" t="str">
        <x:v>IMPLIED ENTERPRISE VALUE</x:v>
      </x:c>
      <x:c r="H5" s="160" t="str">
        <x:v>IMPLIED ENTERPRISE VALUE</x:v>
      </x:c>
      <x:c r="I5" s="160" t="str">
        <x:v>IMPLIED ENTERPRISE VALUE</x:v>
      </x:c>
      <x:c r="J5" s="178" t="str">
        <x:v>MODEL STATUS</x:v>
      </x:c>
    </x:row>
    <x:row r="6">
      <x:c r="A6" s="164" t="n">
        <x:f>'Multiples Valuation'!G$13</x:f>
        <x:v>20.0609756097561</x:v>
      </x:c>
      <x:c r="B6" s="164"/>
      <x:c r="C6" s="164"/>
      <x:c r="D6" s="168" t="n">
        <x:f>'Assumptions'!$F$7</x:f>
        <x:v>20</x:v>
      </x:c>
      <x:c r="E6" s="168"/>
      <x:c r="F6" s="168"/>
      <x:c r="G6" s="172" t="n">
        <x:f>'Multiples Valuation'!G$14</x:f>
        <x:v>1920</x:v>
      </x:c>
      <x:c r="H6" s="172"/>
      <x:c r="I6" s="172"/>
      <x:c r="J6" s="182" t="str">
        <x:f>'Checks'!$B$5</x:f>
        <x:v>PASS</x:v>
      </x:c>
    </x:row>
    <x:row r="7">
      <x:c r="A7" s="164"/>
      <x:c r="B7" s="164"/>
      <x:c r="C7" s="164"/>
      <x:c r="D7" s="168"/>
      <x:c r="E7" s="168"/>
      <x:c r="F7" s="168"/>
      <x:c r="G7" s="172"/>
      <x:c r="H7" s="172"/>
      <x:c r="I7" s="172"/>
      <x:c r="J7" s="182"/>
    </x:row>
    <x:row r="9">
      <x:c r="A9" s="160" t="str">
        <x:v>IMPLIED EQUITY VALUE</x:v>
      </x:c>
      <x:c r="B9" s="160" t="str">
        <x:v>IMPLIED EQUITY VALUE</x:v>
      </x:c>
      <x:c r="C9" s="160" t="str">
        <x:v>IMPLIED EQUITY VALUE</x:v>
      </x:c>
      <x:c r="D9" s="160" t="str">
        <x:v>IMPLIED VALUE / SHARE</x:v>
      </x:c>
      <x:c r="E9" s="160" t="str">
        <x:v>IMPLIED VALUE / SHARE</x:v>
      </x:c>
      <x:c r="F9" s="160" t="str">
        <x:v>IMPLIED VALUE / SHARE</x:v>
      </x:c>
      <x:c r="G9" s="160" t="str">
        <x:v>TARGET EBITDA MARGIN</x:v>
      </x:c>
      <x:c r="H9" s="160" t="str">
        <x:v>TARGET EBITDA MARGIN</x:v>
      </x:c>
      <x:c r="I9" s="160" t="str">
        <x:v>TARGET EBITDA MARGIN</x:v>
      </x:c>
      <x:c r="J9" s="178" t="str">
        <x:v>SCENARIO</x:v>
      </x:c>
    </x:row>
    <x:row r="10">
      <x:c r="A10" s="172" t="n">
        <x:f>'Multiples Valuation'!G$15</x:f>
        <x:v>1795</x:v>
      </x:c>
      <x:c r="B10" s="172"/>
      <x:c r="C10" s="172"/>
      <x:c r="D10" s="172" t="n">
        <x:f>'Multiples Valuation'!G$16</x:f>
        <x:v>23.933333333333334</x:v>
      </x:c>
      <x:c r="E10" s="172"/>
      <x:c r="F10" s="172"/>
      <x:c r="G10" s="176" t="n">
        <x:f>'Multiples Valuation'!B$12</x:f>
        <x:v>0.18</x:v>
      </x:c>
      <x:c r="H10" s="176"/>
      <x:c r="I10" s="176"/>
      <x:c r="J10" s="185" t="str">
        <x:f>'Assumptions'!$B$3</x:f>
        <x:v>Base</x:v>
      </x:c>
    </x:row>
    <x:row r="11">
      <x:c r="A11" s="172"/>
      <x:c r="B11" s="172"/>
      <x:c r="C11" s="172"/>
      <x:c r="D11" s="172"/>
      <x:c r="E11" s="172"/>
      <x:c r="F11" s="172"/>
      <x:c r="G11" s="176"/>
      <x:c r="H11" s="176"/>
      <x:c r="I11" s="176"/>
      <x:c r="J11" s="185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EV / EBITDA</x:v>
      </x:c>
      <x:c r="C15" s="68" t="str">
        <x:v>EV / Revenue</x:v>
      </x:c>
    </x:row>
    <x:row r="16">
      <x:c r="A16" t="str">
        <x:v>Target</x:v>
      </x:c>
      <x:c r="B16" s="187" t="n">
        <x:f>'Multiples Valuation'!B$9</x:f>
        <x:v>16.38888888888889</x:v>
      </x:c>
      <x:c r="C16" s="187" t="n">
        <x:f>'Multiples Valuation'!B$8</x:f>
        <x:v>2.95</x:v>
      </x:c>
    </x:row>
    <x:row r="17">
      <x:c r="A17" t="str">
        <x:v>Core A</x:v>
      </x:c>
      <x:c r="B17" s="187" t="n">
        <x:f>'Multiples Valuation'!C$9</x:f>
        <x:v>20.19047619047619</x:v>
      </x:c>
      <x:c r="C17" s="187" t="n">
        <x:f>'Multiples Valuation'!C$8</x:f>
        <x:v>3.4193548387096775</x:v>
      </x:c>
    </x:row>
    <x:row r="18">
      <x:c r="A18" t="str">
        <x:v>Core B</x:v>
      </x:c>
      <x:c r="B18" s="187" t="n">
        <x:f>'Multiples Valuation'!D$9</x:f>
        <x:v>20.0609756097561</x:v>
      </x:c>
      <x:c r="C18" s="187" t="n">
        <x:f>'Multiples Valuation'!D$8</x:f>
        <x:v>2.9375</x:v>
      </x:c>
    </x:row>
    <x:row r="19">
      <x:c r="A19" t="str">
        <x:v>Core C</x:v>
      </x:c>
      <x:c r="B19" s="187" t="n">
        <x:f>'Multiples Valuation'!E$9</x:f>
        <x:v>15.692307692307692</x:v>
      </x:c>
      <x:c r="C19" s="187" t="n">
        <x:f>'Multiples Valuation'!E$8</x:f>
        <x:v>2.7945205479452055</x:v>
      </x:c>
    </x:row>
    <x:row r="20">
      <x:c r="A20" t="str">
        <x:v>Secondary</x:v>
      </x:c>
      <x:c r="B20" s="187" t="n">
        <x:f>'Multiples Valuation'!F$9</x:f>
        <x:v>26.384615384615383</x:v>
      </x:c>
      <x:c r="C20" s="187" t="n">
        <x:f>'Multiples Valuation'!F$8</x:f>
        <x:v>3.5729166666666665</x:v>
      </x:c>
    </x:row>
    <x:row r="21">
      <x:c r="A21" t="str">
        <x:v>Adjacent</x:v>
      </x:c>
      <x:c r="B21" s="187" t="n">
        <x:f>'Multiples Valuation'!G$9</x:f>
        <x:v>22.789473684210527</x:v>
      </x:c>
      <x:c r="C21" s="187" t="n">
        <x:f>'Multiples Valuation'!G$8</x:f>
        <x:v>3.1838235294117645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How does the target trade against peers on growth, margins, and valuation multiples?</x:v>
      </x:c>
      <x:c r="C32" s="17" t="str"/>
      <x:c r="D32" s="17" t="str"/>
      <x:c r="E32" s="17" t="str"/>
      <x:c r="F32" s="17" t="str"/>
      <x:c r="G32" s="17" t="str"/>
      <x:c r="H32" s="189" t="str">
        <x:v>Decision owner</x:v>
      </x:c>
      <x:c r="I32" s="189" t="str"/>
      <x:c r="J32" s="189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9" t="str">
        <x:v>Finance / business owner</x:v>
      </x:c>
      <x:c r="I33" s="189" t="str"/>
      <x:c r="J33" s="189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9" t="str">
        <x:v>Finance leader</x:v>
      </x:c>
      <x:c r="I34" s="189" t="str"/>
      <x:c r="J34" s="189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9" t="str">
        <x:v>Model owner</x:v>
      </x:c>
      <x:c r="I35" s="189" t="str"/>
      <x:c r="J35" s="189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9" t="str">
        <x:v>Reviewer</x:v>
      </x:c>
      <x:c r="I36" s="189" t="str"/>
      <x:c r="J36" s="189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9" t="str">
        <x:v>Action owner</x:v>
      </x:c>
      <x:c r="I37" s="189" t="str"/>
      <x:c r="J37" s="189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f44cea982d384d9e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Trading Comparables  |  One assertion per row — investigate every FAIL</x:v>
      </x:c>
      <x:c r="B2" s="6" t="str">
        <x:v>Trading Comparables  |  One assertion per row — investigate every FAIL</x:v>
      </x:c>
      <x:c r="C2" s="6" t="str">
        <x:v>Trading Comparables  |  One assertion per row — investigate every FAIL</x:v>
      </x:c>
      <x:c r="D2" s="6" t="str">
        <x:v>Trading Comparables  |  One assertion per row — investigate every FAIL</x:v>
      </x:c>
      <x:c r="E2" s="6" t="str">
        <x:v>Trading Comparables  |  One assertion per row — investigate every FAIL</x:v>
      </x:c>
      <x:c r="F2" s="6" t="str">
        <x:v>Trading Comparables  |  One assertion per row — investigate every FAIL</x:v>
      </x:c>
      <x:c r="G2" s="6" t="str">
        <x:v>Trading Comparables  |  One assertion per row — investigate every FAIL</x:v>
      </x:c>
      <x:c r="H2" s="6" t="str">
        <x:v>Trading Comparables  |  One assertion per row — investigate every FAIL</x:v>
      </x:c>
      <x:c r="I2" s="6" t="str">
        <x:v>Trading Comparables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91" t="str">
        <x:f>IF(COUNTIF(G8:G18,"FAIL")=0,"PASS","FAIL")</x:f>
        <x:v>PASS</x:v>
      </x:c>
      <x:c r="C5" s="191"/>
      <x:c r="D5" s="193" t="str">
        <x:v>Published controls: 11. PASS means the listed calculations tie within tolerance; source and decision readiness remain separate.</x:v>
      </x:c>
      <x:c r="E5" s="193" t="str">
        <x:v>Published controls: 11. PASS means the listed calculations tie within tolerance; source and decision readiness remain separate.</x:v>
      </x:c>
      <x:c r="F5" s="193" t="str">
        <x:v>Published controls: 11. PASS means the listed calculations tie within tolerance; source and decision readiness remain separate.</x:v>
      </x:c>
      <x:c r="G5" s="193" t="str">
        <x:v>Published controls: 11. PASS means the listed calculations tie within tolerance; source and decision readiness remain separate.</x:v>
      </x:c>
      <x:c r="H5" s="193" t="str">
        <x:v>Published controls: 11. PASS means the listed calculations tie within tolerance; source and decision readiness remain separate.</x:v>
      </x:c>
      <x:c r="I5" s="193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202" t="str">
        <x:v>Enterprise value bridges tie</x:v>
      </x:c>
      <x:c r="B8" s="202" t="str">
        <x:v>Model</x:v>
      </x:c>
      <x:c r="C8" s="203" t="n">
        <x:f>SUM('Multiples Valuation'!B17:G17)</x:f>
        <x:v>0</x:v>
      </x:c>
      <x:c r="D8" s="203" t="n">
        <x:v>0</x:v>
      </x:c>
      <x:c r="E8" s="203" t="n">
        <x:f>C8-D8</x:f>
        <x:v>0</x:v>
      </x:c>
      <x:c r="F8" s="203" t="n">
        <x:v>0.01</x:v>
      </x:c>
      <x:c r="G8" s="204" t="str">
        <x:f>IF(ABS(E8)&lt;=F8,"PASS","FAIL")</x:f>
        <x:v>PASS</x:v>
      </x:c>
      <x:c r="H8" s="205" t="str">
        <x:v>Multiples Valuation — EV bridge</x:v>
      </x:c>
      <x:c r="I8" s="205" t="str">
        <x:v>Equity value plus debt less cash equals enterprise value.</x:v>
      </x:c>
    </x:row>
    <x:row r="9">
      <x:c r="A9" s="206" t="str">
        <x:v>Core peer set contains three names</x:v>
      </x:c>
      <x:c r="B9" s="206" t="str">
        <x:v>Model</x:v>
      </x:c>
      <x:c r="C9" s="207" t="n">
        <x:f>SUM('Peer Inputs'!C$14:'Peer Inputs'!E$14)</x:f>
        <x:v>3</x:v>
      </x:c>
      <x:c r="D9" s="207" t="n">
        <x:v>3</x:v>
      </x:c>
      <x:c r="E9" s="207" t="n">
        <x:f>C9-D9</x:f>
        <x:v>0</x:v>
      </x:c>
      <x:c r="F9" s="207" t="n">
        <x:v>0</x:v>
      </x:c>
      <x:c r="G9" s="208" t="str">
        <x:f>IF(ABS(E9)&lt;=F9,"PASS","FAIL")</x:f>
        <x:v>PASS</x:v>
      </x:c>
      <x:c r="H9" s="209" t="str">
        <x:v>Peer Inputs — Core peer flag</x:v>
      </x:c>
      <x:c r="I9" s="209" t="str">
        <x:v>Core peers should drive the selected range.</x:v>
      </x:c>
    </x:row>
    <x:row r="10">
      <x:c r="A10" s="206" t="str">
        <x:v>EBITDA denominators are positive</x:v>
      </x:c>
      <x:c r="B10" s="206" t="str">
        <x:v>Model</x:v>
      </x:c>
      <x:c r="C10" s="210" t="n">
        <x:f>MAX(0,0.0001-MIN('Peer Inputs'!B$11:'Peer Inputs'!G$11))</x:f>
        <x:v>0</x:v>
      </x:c>
      <x:c r="D10" s="210" t="n">
        <x:v>0</x:v>
      </x:c>
      <x:c r="E10" s="210" t="n">
        <x:f>C10-D10</x:f>
        <x:v>0</x:v>
      </x:c>
      <x:c r="F10" s="210" t="n">
        <x:v>0.0001</x:v>
      </x:c>
      <x:c r="G10" s="208" t="str">
        <x:f>IF(ABS(E10)&lt;=F10,"PASS","FAIL")</x:f>
        <x:v>PASS</x:v>
      </x:c>
      <x:c r="H10" s="209" t="str">
        <x:v>Peer Inputs — EBITDA</x:v>
      </x:c>
      <x:c r="I10" s="209" t="str">
        <x:v>Negative or near-zero denominators should be shown as NM.</x:v>
      </x:c>
    </x:row>
    <x:row r="11">
      <x:c r="A11" s="206" t="str">
        <x:v>Selected multiple is within displayed peer range</x:v>
      </x:c>
      <x:c r="B11" s="206" t="str">
        <x:v>Model</x:v>
      </x:c>
      <x:c r="C11" s="210" t="n">
        <x:f>MAX(0,MIN('Multiples Valuation'!B9:G9)-'Assumptions'!$F$7)+MAX(0,'Assumptions'!$F$7-MAX('Multiples Valuation'!B9:G9))</x:f>
        <x:v>0</x:v>
      </x:c>
      <x:c r="D11" s="210" t="n">
        <x:v>0</x:v>
      </x:c>
      <x:c r="E11" s="210" t="n">
        <x:f>C11-D11</x:f>
        <x:v>0</x:v>
      </x:c>
      <x:c r="F11" s="210" t="n">
        <x:v>0.0001</x:v>
      </x:c>
      <x:c r="G11" s="208" t="str">
        <x:f>IF(ABS(E11)&lt;=F11,"PASS","FAIL")</x:f>
        <x:v>PASS</x:v>
      </x:c>
      <x:c r="H11" s="209" t="str">
        <x:v>Assumptions / Multiples</x:v>
      </x:c>
      <x:c r="I11" s="209" t="str">
        <x:v>A selected multiple outside the peer range needs explicit judgment.</x:v>
      </x:c>
    </x:row>
    <x:row r="12">
      <x:c r="A12" s="206" t="str">
        <x:v>Scenario selector is valid</x:v>
      </x:c>
      <x:c r="B12" s="206" t="str">
        <x:v>Current</x:v>
      </x:c>
      <x:c r="C12" s="207" t="n">
        <x:f>COUNTIF('Assumptions'!$C$5:$E$5,'Assumptions'!$B$3)</x:f>
        <x:v>1</x:v>
      </x:c>
      <x:c r="D12" s="207" t="n">
        <x:v>1</x:v>
      </x:c>
      <x:c r="E12" s="207" t="n">
        <x:f>C12-D12</x:f>
        <x:v>0</x:v>
      </x:c>
      <x:c r="F12" s="207" t="n">
        <x:v>0</x:v>
      </x:c>
      <x:c r="G12" s="208" t="str">
        <x:f>IF(ABS(E12)&lt;=F12,"PASS","FAIL")</x:f>
        <x:v>PASS</x:v>
      </x:c>
      <x:c r="H12" s="209" t="str">
        <x:v>Assumptions B3</x:v>
      </x:c>
      <x:c r="I12" s="209" t="str">
        <x:v>Base, Upside, or Downside only.</x:v>
      </x:c>
    </x:row>
    <x:row r="13">
      <x:c r="A13" s="206" t="str">
        <x:v>Period headers are complete</x:v>
      </x:c>
      <x:c r="B13" s="206" t="str">
        <x:v>All periods</x:v>
      </x:c>
      <x:c r="C13" s="207" t="n">
        <x:f>COUNTA('Peer Inputs'!B5:G5)</x:f>
        <x:v>6</x:v>
      </x:c>
      <x:c r="D13" s="207" t="n">
        <x:v>6</x:v>
      </x:c>
      <x:c r="E13" s="207" t="n">
        <x:f>C13-D13</x:f>
        <x:v>0</x:v>
      </x:c>
      <x:c r="F13" s="207" t="n">
        <x:v>0</x:v>
      </x:c>
      <x:c r="G13" s="208" t="str">
        <x:f>IF(ABS(E13)&lt;=F13,"PASS","FAIL")</x:f>
        <x:v>PASS</x:v>
      </x:c>
      <x:c r="H13" s="209" t="str">
        <x:v>Peer Inputs row 5</x:v>
      </x:c>
      <x:c r="I13" s="209" t="str">
        <x:v>All modeled periods must have a visible header.</x:v>
      </x:c>
    </x:row>
    <x:row r="14">
      <x:c r="A14" s="206" t="str">
        <x:v>Source input grid is complete</x:v>
      </x:c>
      <x:c r="B14" s="206" t="str">
        <x:v>All periods</x:v>
      </x:c>
      <x:c r="C14" s="207" t="n">
        <x:f>COUNTA('Peer Inputs'!B6:G14)</x:f>
        <x:v>54</x:v>
      </x:c>
      <x:c r="D14" s="207" t="n">
        <x:v>54</x:v>
      </x:c>
      <x:c r="E14" s="207" t="n">
        <x:f>C14-D14</x:f>
        <x:v>0</x:v>
      </x:c>
      <x:c r="F14" s="207" t="n">
        <x:v>0</x:v>
      </x:c>
      <x:c r="G14" s="208" t="str">
        <x:f>IF(ABS(E14)&lt;=F14,"PASS","FAIL")</x:f>
        <x:v>PASS</x:v>
      </x:c>
      <x:c r="H14" s="209" t="str">
        <x:v>Peer Inputs</x:v>
      </x:c>
      <x:c r="I14" s="209" t="str">
        <x:v>Replace blanks with an approved value or an explicitly documented zero.</x:v>
      </x:c>
    </x:row>
    <x:row r="15">
      <x:c r="A15" s="206" t="str">
        <x:v>Selected assumptions are complete</x:v>
      </x:c>
      <x:c r="B15" s="206" t="str">
        <x:v>Current</x:v>
      </x:c>
      <x:c r="C15" s="207" t="n">
        <x:f>COUNT('Assumptions'!F6:F9)</x:f>
        <x:v>4</x:v>
      </x:c>
      <x:c r="D15" s="207" t="n">
        <x:v>4</x:v>
      </x:c>
      <x:c r="E15" s="207" t="n">
        <x:f>C15-D15</x:f>
        <x:v>0</x:v>
      </x:c>
      <x:c r="F15" s="207" t="n">
        <x:v>0</x:v>
      </x:c>
      <x:c r="G15" s="208" t="str">
        <x:f>IF(ABS(E15)&lt;=F15,"PASS","FAIL")</x:f>
        <x:v>PASS</x:v>
      </x:c>
      <x:c r="H15" s="209" t="str">
        <x:v>Assumptions column F</x:v>
      </x:c>
      <x:c r="I15" s="209" t="str">
        <x:v>Every scenario driver must resolve to a numeric selected value.</x:v>
      </x:c>
    </x:row>
    <x:row r="16">
      <x:c r="A16" s="206" t="str">
        <x:v>Core model cells calculate to numbers</x:v>
      </x:c>
      <x:c r="B16" s="206" t="str">
        <x:v>All periods</x:v>
      </x:c>
      <x:c r="C16" s="207" t="n">
        <x:f>COUNT('Multiples Valuation'!B6:G17)</x:f>
        <x:v>72</x:v>
      </x:c>
      <x:c r="D16" s="207" t="n">
        <x:v>72</x:v>
      </x:c>
      <x:c r="E16" s="207" t="n">
        <x:f>C16-D16</x:f>
        <x:v>0</x:v>
      </x:c>
      <x:c r="F16" s="207" t="n">
        <x:v>0</x:v>
      </x:c>
      <x:c r="G16" s="208" t="str">
        <x:f>IF(ABS(E16)&lt;=F16,"PASS","FAIL")</x:f>
        <x:v>PASS</x:v>
      </x:c>
      <x:c r="H16" s="209" t="str">
        <x:v>Multiples Valuation</x:v>
      </x:c>
      <x:c r="I16" s="209" t="str">
        <x:v>No blank or text output is permitted inside the calculation block.</x:v>
      </x:c>
    </x:row>
    <x:row r="17">
      <x:c r="A17" s="206" t="str">
        <x:v>Sensitivity base ties the headline output</x:v>
      </x:c>
      <x:c r="B17" s="206" t="str">
        <x:v>Base center</x:v>
      </x:c>
      <x:c r="C17" s="210" t="n">
        <x:f>IF('Assumptions'!$B$3="Base",'Sensitivity'!D10,'Multiples Valuation'!G$16)</x:f>
        <x:v>23.933333333333334</x:v>
      </x:c>
      <x:c r="D17" s="210" t="n">
        <x:f>'Multiples Valuation'!G$16</x:f>
        <x:v>23.933333333333334</x:v>
      </x:c>
      <x:c r="E17" s="210" t="n">
        <x:f>C17-D17</x:f>
        <x:v>0</x:v>
      </x:c>
      <x:c r="F17" s="210" t="n">
        <x:v>0.05</x:v>
      </x:c>
      <x:c r="G17" s="208" t="str">
        <x:f>IF(ABS(E17)&lt;=F17,"PASS","FAIL")</x:f>
        <x:v>PASS</x:v>
      </x:c>
      <x:c r="H17" s="209" t="str">
        <x:v>Sensitivity / core model</x:v>
      </x:c>
      <x:c r="I17" s="209" t="str">
        <x:v>The center cell must recalculate the Base-case headline output; the assertion is N/A under Upside or Downside.</x:v>
      </x:c>
    </x:row>
    <x:row r="18">
      <x:c r="A18" s="211" t="str">
        <x:v>Headline output is non-negative</x:v>
      </x:c>
      <x:c r="B18" s="211" t="str">
        <x:v>All periods</x:v>
      </x:c>
      <x:c r="C18" s="212" t="n">
        <x:f>MAX(0,-MIN('Multiples Valuation'!B16:G16))</x:f>
        <x:v>0</x:v>
      </x:c>
      <x:c r="D18" s="212" t="n">
        <x:v>0</x:v>
      </x:c>
      <x:c r="E18" s="212" t="n">
        <x:f>C18-D18</x:f>
        <x:v>0</x:v>
      </x:c>
      <x:c r="F18" s="212" t="n">
        <x:v>0.01</x:v>
      </x:c>
      <x:c r="G18" s="213" t="str">
        <x:f>IF(ABS(E18)&lt;=F18,"PASS","FAIL")</x:f>
        <x:v>PASS</x:v>
      </x:c>
      <x:c r="H18" s="214" t="str">
        <x:v>Multiples Valuation — impliedShare</x:v>
      </x:c>
      <x:c r="I18" s="214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Trading Comparables  |  Assumption register, release facts, and distribution controls</x:v>
      </x:c>
      <x:c r="B2" s="6" t="str">
        <x:v>Trading Comparables  |  Assumption register, release facts, and distribution controls</x:v>
      </x:c>
      <x:c r="C2" s="6" t="str">
        <x:v>Trading Comparables  |  Assumption register, release facts, and distribution controls</x:v>
      </x:c>
      <x:c r="D2" s="6" t="str">
        <x:v>Trading Comparables  |  Assumption register, release facts, and distribution controls</x:v>
      </x:c>
      <x:c r="E2" s="6" t="str">
        <x:v>Trading Comparables  |  Assumption register, release facts, and distribution controls</x:v>
      </x:c>
      <x:c r="F2" s="6" t="str">
        <x:v>Trading Comparables  |  Assumption register, release facts, and distribution controls</x:v>
      </x:c>
      <x:c r="G2" s="6" t="str">
        <x:v>Trading Comparables  |  Assumption register, release facts, and distribution controls</x:v>
      </x:c>
      <x:c r="H2" s="6" t="str">
        <x:v>Trading Comparables  |  Assumption register, release facts, and distribution controls</x:v>
      </x:c>
      <x:c r="I2" s="6" t="str">
        <x:v>Trading Comparables  |  Assumption register, release facts, and distribution controls</x:v>
      </x:c>
      <x:c r="J2" s="6" t="str">
        <x:v>Trading Comparables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50" t="str">
        <x:v>Worked example</x:v>
      </x:c>
      <x:c r="B7" s="151" t="str">
        <x:v>Synthetic case values</x:v>
      </x:c>
      <x:c r="C7" s="151" t="str">
        <x:v>LCY millions / shares millions</x:v>
      </x:c>
      <x:c r="D7" s="151" t="str">
        <x:v>2026-07-13</x:v>
      </x:c>
      <x:c r="E7" s="151" t="str">
        <x:v>Illustrative</x:v>
      </x:c>
      <x:c r="F7" s="151" t="str">
        <x:v>TDAT model build</x:v>
      </x:c>
      <x:c r="G7" s="151" t="str">
        <x:v>SYN-001</x:v>
      </x:c>
      <x:c r="H7" s="151" t="str">
        <x:v>Illustrative</x:v>
      </x:c>
      <x:c r="I7" s="152" t="str">
        <x:v>Replace before use.</x:v>
      </x:c>
    </x:row>
    <x:row r="8">
      <x:c r="A8" s="153" t="str">
        <x:v>Scenario drivers</x:v>
      </x:c>
      <x:c r="B8" s="154" t="str">
        <x:v>Base / Upside / Downside</x:v>
      </x:c>
      <x:c r="C8" s="154" t="str">
        <x:v>Mixed</x:v>
      </x:c>
      <x:c r="D8" s="154" t="str">
        <x:v>Model horizon</x:v>
      </x:c>
      <x:c r="E8" s="154" t="str">
        <x:v>Assumption</x:v>
      </x:c>
      <x:c r="F8" s="154" t="str">
        <x:v>User / finance owner</x:v>
      </x:c>
      <x:c r="G8" s="154" t="str">
        <x:v>ASM-001</x:v>
      </x:c>
      <x:c r="H8" s="154" t="str">
        <x:v>Open</x:v>
      </x:c>
      <x:c r="I8" s="155" t="str">
        <x:v>Confirm rationale and owner.</x:v>
      </x:c>
    </x:row>
    <x:row r="9">
      <x:c r="A9" s="156" t="str">
        <x:v>Method</x:v>
      </x:c>
      <x:c r="B9" s="157" t="str">
        <x:v>Multiples Valuation</x:v>
      </x:c>
      <x:c r="C9" s="157" t="str">
        <x:v>Method</x:v>
      </x:c>
      <x:c r="D9" s="157" t="str">
        <x:v>Version 1.0.0</x:v>
      </x:c>
      <x:c r="E9" s="157" t="str">
        <x:v>Model method</x:v>
      </x:c>
      <x:c r="F9" s="157" t="str">
        <x:v>Model Guide</x:v>
      </x:c>
      <x:c r="G9" s="157" t="str">
        <x:v>MTH-001</x:v>
      </x:c>
      <x:c r="H9" s="157" t="str">
        <x:v>Template</x:v>
      </x:c>
      <x:c r="I9" s="158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5" t="str">
        <x:v>Owner</x:v>
      </x:c>
      <x:c r="B12" s="151" t="str">
        <x:v>Truong Dinh Anh Tu</x:v>
      </x:c>
      <x:c r="C12" s="217" t="str">
        <x:v>Version</x:v>
      </x:c>
      <x:c r="D12" s="151" t="str">
        <x:v>1.0.0</x:v>
      </x:c>
      <x:c r="E12" s="217" t="str">
        <x:v>Standard</x:v>
      </x:c>
      <x:c r="F12" s="151" t="str">
        <x:v>TDAT Model Standard 1.0</x:v>
      </x:c>
      <x:c r="G12" s="217" t="str">
        <x:v>Last QA</x:v>
      </x:c>
      <x:c r="H12" s="151" t="str">
        <x:v>2026-07-13</x:v>
      </x:c>
      <x:c r="I12" s="217" t="str">
        <x:v>Status</x:v>
      </x:c>
      <x:c r="J12" s="152" t="str">
        <x:v>Available after release gates</x:v>
      </x:c>
    </x:row>
    <x:row r="13">
      <x:c r="A13" s="216" t="str">
        <x:v>Compatibility</x:v>
      </x:c>
      <x:c r="B13" s="157" t="str">
        <x:v>Excel 365</x:v>
      </x:c>
      <x:c r="C13" s="218" t="str">
        <x:v>Macros</x:v>
      </x:c>
      <x:c r="D13" s="157" t="str">
        <x:v>None</x:v>
      </x:c>
      <x:c r="E13" s="218" t="str">
        <x:v>External links</x:v>
      </x:c>
      <x:c r="F13" s="157" t="str">
        <x:v>None</x:v>
      </x:c>
      <x:c r="G13" s="218" t="str">
        <x:v>Circularity</x:v>
      </x:c>
      <x:c r="H13" s="157" t="str">
        <x:v>None</x:v>
      </x:c>
      <x:c r="I13" s="218" t="str">
        <x:v>Evidence</x:v>
      </x:c>
      <x:c r="J13" s="158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22" t="str">
        <x:v>1.0.0</x:v>
      </x:c>
      <x:c r="B17" s="223" t="str">
        <x:v>2026-07-13</x:v>
      </x:c>
      <x:c r="C17" s="223" t="str">
        <x:v>All</x:v>
      </x:c>
      <x:c r="D17" s="223" t="str">
        <x:v>Initial public reusable template</x:v>
      </x:c>
      <x:c r="E17" s="223" t="str">
        <x:v>New model release</x:v>
      </x:c>
      <x:c r="F17" s="223" t="str">
        <x:v>None</x:v>
      </x:c>
      <x:c r="G17" s="223" t="str">
        <x:v>Truong Dinh Anh Tu</x:v>
      </x:c>
      <x:c r="H17" s="223" t="str">
        <x:v>TDAT QA review</x:v>
      </x:c>
      <x:c r="I17" s="224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comps template only. Validate peer selection, data freshness, currency, fiscal basis, normalization, enterprise-value bridge, denominator quality, selected range, and source support before use.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