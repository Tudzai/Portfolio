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ed9c35200840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5b45ccf4a1d74025"/>
    <x:sheet xmlns:r="http://schemas.openxmlformats.org/officeDocument/2006/relationships" name="Inputs" sheetId="2" r:id="R3f888bf6d5f94524"/>
    <x:sheet xmlns:r="http://schemas.openxmlformats.org/officeDocument/2006/relationships" name="Model" sheetId="3" r:id="R75600bcb7ccd4a0e"/>
    <x:sheet xmlns:r="http://schemas.openxmlformats.org/officeDocument/2006/relationships" name="Results" sheetId="4" r:id="R65195cffaed343d5"/>
    <x:sheet xmlns:r="http://schemas.openxmlformats.org/officeDocument/2006/relationships" name="Checks" sheetId="5" r:id="R2db4c4f3b1564f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x;[Red](0.0x);-"/>
    <x:numFmt numFmtId="201" formatCode="#,##0.0;[Red](#,##0.0);-"/>
    <x:numFmt numFmtId="202" formatCode="0.0%;[Red](0.0%);-"/>
    <x:numFmt numFmtId="203" formatCode="0.00;[Red](0.00);-"/>
    <x:numFmt numFmtId="204" formatCode="#,##0;[Red](#,##0);-"/>
  </x:numFmts>
  <x:fonts count="14">
    <x:font>
      <x:sz val="11"/>
      <x:name val="Carlito"/>
    </x:font>
    <x:font>
      <x:sz val="11"/>
      <x:color rgb="FF202833"/>
      <x:name val="Carlito"/>
    </x:font>
    <x:font>
      <x:b/>
      <x:sz val="11"/>
      <x:color rgb="FFFFFFFF"/>
      <x:name val="Carlito"/>
    </x:font>
    <x:font>
      <x:b/>
      <x:sz val="11"/>
      <x:color rgb="FF202833"/>
      <x:name val="Carlito"/>
    </x:font>
    <x:font>
      <x:b/>
      <x:sz val="11"/>
      <x:color rgb="FF0000FF"/>
      <x:name val="Carlito"/>
    </x:font>
    <x:font>
      <x:sz val="11"/>
      <x:color rgb="FF68717C"/>
      <x:name val="Carlito"/>
    </x:font>
    <x:font>
      <x:sz val="11"/>
      <x:color rgb="FF805C19"/>
      <x:name val="Carlito"/>
    </x:font>
    <x:font>
      <x:sz val="11"/>
      <x:color rgb="FF008000"/>
      <x:name val="Carlito"/>
    </x:font>
    <x:font>
      <x:sz val="11"/>
      <x:color rgb="FF202833"/>
      <x:name val="Carlito"/>
    </x:font>
    <x:font>
      <x:b/>
      <x:sz val="11"/>
      <x:color rgb="FF68717C"/>
      <x:name val="Carlito"/>
    </x:font>
    <x:font>
      <x:b/>
      <x:sz val="11"/>
      <x:color rgb="FFB5883A"/>
      <x:name val="Carlito"/>
    </x:font>
    <x:font>
      <x:b/>
      <x:sz val="11"/>
      <x:color rgb="FF247252"/>
      <x:name val="Carlito"/>
    </x:font>
    <x:font>
      <x:b/>
      <x:sz val="11"/>
      <x:color rgb="FF805C19"/>
      <x:name val="Carlito"/>
    </x:font>
    <x:font>
      <x:sz val="11"/>
      <x:color rgb="FFF5F6F8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F5F6F8"/>
      </x:patternFill>
    </x:fill>
    <x:fill>
      <x:patternFill patternType="solid">
        <x:fgColor rgb="FF1C2430"/>
      </x:patternFill>
    </x:fill>
    <x:fill>
      <x:patternFill patternType="solid">
        <x:fgColor rgb="FFB5883A"/>
      </x:patternFill>
    </x:fill>
    <x:fill>
      <x:patternFill patternType="solid">
        <x:fgColor rgb="FFF2E8D5"/>
      </x:patternFill>
    </x:fill>
    <x:fill>
      <x:patternFill patternType="solid">
        <x:fgColor rgb="FF303B49"/>
      </x:patternFill>
    </x:fill>
    <x:fill>
      <x:patternFill patternType="solid">
        <x:fgColor rgb="FFECEFF2"/>
      </x:patternFill>
    </x:fill>
    <x:fill>
      <x:patternFill patternType="solid">
        <x:fgColor rgb="FFFFFFFF"/>
      </x:patternFill>
    </x:fill>
    <x:fill>
      <x:patternFill patternType="solid">
        <x:fgColor rgb="FFF8EBCF"/>
      </x:patternFill>
    </x:fill>
    <x:fill>
      <x:patternFill patternType="solid">
        <x:fgColor rgb="FFE6F2EB"/>
      </x:patternFill>
    </x:fill>
  </x:fills>
  <x:borders count="31">
    <x:border/>
    <x:border>
      <x:left style="thin">
        <x:color rgb="FFD7DBE0"/>
      </x:left>
      <x:top style="thin">
        <x:color rgb="FFD7DBE0"/>
      </x:top>
    </x:border>
    <x:border>
      <x:top style="thin">
        <x:color rgb="FFD7DBE0"/>
      </x:top>
    </x:border>
    <x:border>
      <x:right style="thin">
        <x:color rgb="FFD7DBE0"/>
      </x:right>
      <x:top style="thin">
        <x:color rgb="FFD7DBE0"/>
      </x:top>
    </x:border>
    <x:border>
      <x:left style="thin">
        <x:color rgb="FFD7DBE0"/>
      </x:left>
      <x:bottom style="thin">
        <x:color rgb="FFD7DBE0"/>
      </x:bottom>
    </x:border>
    <x:border>
      <x:bottom style="thin">
        <x:color rgb="FFD7DBE0"/>
      </x:bottom>
    </x:border>
    <x:border>
      <x:right style="thin">
        <x:color rgb="FFD7DBE0"/>
      </x:right>
      <x:bottom style="thin">
        <x:color rgb="FFD7DBE0"/>
      </x:bottom>
    </x:border>
    <x:border>
      <x:bottom style="medium">
        <x:color rgb="FFB5883A"/>
      </x:bottom>
    </x:border>
    <x:border>
      <x:left style="thin">
        <x:color rgb="FFD3AE64"/>
      </x:left>
      <x:right style="thin">
        <x:color rgb="FFD3AE64"/>
      </x:right>
      <x:top style="thin">
        <x:color rgb="FFD3AE64"/>
      </x:top>
      <x:bottom style="thin">
        <x:color rgb="FFD3AE64"/>
      </x:bottom>
    </x:border>
    <x:border>
      <x:left style="thin">
        <x:color rgb="FFD3AE64"/>
      </x:left>
      <x:right style="thin">
        <x:color rgb="FFD3AE64"/>
      </x:right>
    </x:border>
    <x:border>
      <x:left style="thin">
        <x:color rgb="FFD3AE64"/>
      </x:left>
      <x:top style="thin">
        <x:color rgb="FFD3AE64"/>
      </x:top>
    </x:border>
    <x:border>
      <x:top style="thin">
        <x:color rgb="FFD3AE64"/>
      </x:top>
    </x:border>
    <x:border>
      <x:right style="thin">
        <x:color rgb="FFD3AE64"/>
      </x:right>
      <x:top style="thin">
        <x:color rgb="FFD3AE64"/>
      </x:top>
    </x:border>
    <x:border>
      <x:left style="thin">
        <x:color rgb="FFD3AE64"/>
      </x:left>
      <x:bottom style="thin">
        <x:color rgb="FFD3AE64"/>
      </x:bottom>
    </x:border>
    <x:border>
      <x:bottom style="thin">
        <x:color rgb="FFD3AE64"/>
      </x:bottom>
    </x:border>
    <x:border>
      <x:right style="thin">
        <x:color rgb="FFD3AE64"/>
      </x:right>
      <x:bottom style="thin">
        <x:color rgb="FFD3AE64"/>
      </x:bottom>
    </x:border>
    <x:border>
      <x:left style="thin">
        <x:color rgb="FF1C2430"/>
      </x:left>
      <x:top style="thin">
        <x:color rgb="FF1C2430"/>
      </x:top>
      <x:bottom style="thin">
        <x:color rgb="FF1C2430"/>
      </x:bottom>
    </x:border>
    <x:border>
      <x:right style="thin">
        <x:color rgb="FF1C2430"/>
      </x:right>
      <x:top style="thin">
        <x:color rgb="FF1C2430"/>
      </x:top>
      <x:bottom style="thin">
        <x:color rgb="FF1C2430"/>
      </x:bottom>
    </x:border>
    <x:border>
      <x:left style="thin">
        <x:color rgb="FFD7DBE0"/>
      </x:left>
    </x:border>
    <x:border>
      <x:right style="thin">
        <x:color rgb="FFD7DBE0"/>
      </x:right>
    </x:border>
    <x:border>
      <x:left style="thin">
        <x:color rgb="FFB5883A"/>
      </x:left>
      <x:top style="thin">
        <x:color rgb="FFB5883A"/>
      </x:top>
    </x:border>
    <x:border>
      <x:top style="thin">
        <x:color rgb="FFB5883A"/>
      </x:top>
    </x:border>
    <x:border>
      <x:right style="thin">
        <x:color rgb="FFB5883A"/>
      </x:right>
      <x:top style="thin">
        <x:color rgb="FFB5883A"/>
      </x:top>
    </x:border>
    <x:border>
      <x:left style="thin">
        <x:color rgb="FFB5883A"/>
      </x:left>
    </x:border>
    <x:border>
      <x:right style="thin">
        <x:color rgb="FFB5883A"/>
      </x:right>
    </x:border>
    <x:border>
      <x:left style="thin">
        <x:color rgb="FFB5883A"/>
      </x:left>
      <x:bottom style="thin">
        <x:color rgb="FFB5883A"/>
      </x:bottom>
    </x:border>
    <x:border>
      <x:bottom style="thin">
        <x:color rgb="FFB5883A"/>
      </x:bottom>
    </x:border>
    <x:border>
      <x:right style="thin">
        <x:color rgb="FFB5883A"/>
      </x:right>
      <x:bottom style="thin">
        <x:color rgb="FFB5883A"/>
      </x:bottom>
    </x:border>
    <x:border>
      <x:left style="thin">
        <x:color rgb="FFD7DBE0"/>
      </x:left>
      <x:top style="thin">
        <x:color rgb="FFD7DBE0"/>
      </x:top>
      <x:bottom style="thin">
        <x:color rgb="FFD7DBE0"/>
      </x:bottom>
    </x:border>
    <x:border>
      <x:right style="thin">
        <x:color rgb="FFD7DBE0"/>
      </x:right>
      <x:top style="thin">
        <x:color rgb="FFD7DBE0"/>
      </x:top>
      <x:bottom style="thin">
        <x:color rgb="FFD7DBE0"/>
      </x:bottom>
    </x:border>
    <x:border>
      <x:top style="thin">
        <x:color rgb="FFD7DBE0"/>
      </x:top>
      <x:bottom style="thin">
        <x:color rgb="FFD7DBE0"/>
      </x:bottom>
    </x:border>
  </x:borders>
  <x:cellStyleXfs count="1">
    <x:xf numFmtId="0" fontId="0" fillId="0" borderId="0"/>
  </x:cellStyleXfs>
  <x:cellXfs count="3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0" fontId="3" fillId="5" borderId="4" xfId="0" applyNumberFormat="1" applyFont="1" applyFill="1" applyBorder="1" applyAlignment="1">
      <x:alignment vertical="center"/>
    </x:xf>
    <x:xf numFmtId="0" fontId="3" fillId="5" borderId="5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/>
    </x:xf>
    <x:xf numFmtId="0" fontId="2" fillId="6" borderId="7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vertical="center"/>
    </x:xf>
    <x:xf numFmtId="200" fontId="4" fillId="8" borderId="8" xfId="0" applyNumberFormat="1" applyFont="1" applyFill="1" applyBorder="1" applyAlignment="1">
      <x:alignment horizontal="right"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/>
    </x:xf>
    <x:xf numFmtId="0" fontId="5" fillId="8" borderId="5" xfId="0" applyNumberFormat="1" applyFont="1" applyFill="1" applyBorder="1" applyAlignment="1">
      <x:alignment vertical="center"/>
    </x:xf>
    <x:xf numFmtId="0" fontId="5" fillId="8" borderId="4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200" fontId="4" fillId="8" borderId="9" xfId="0" applyNumberFormat="1" applyFont="1" applyFill="1" applyBorder="1" applyAlignment="1">
      <x:alignment horizontal="right" vertical="center"/>
    </x:xf>
    <x:xf numFmtId="201" fontId="4" fillId="8" borderId="8" xfId="0" applyNumberFormat="1" applyFont="1" applyFill="1" applyBorder="1" applyAlignment="1">
      <x:alignment vertical="center"/>
    </x:xf>
    <x:xf numFmtId="201" fontId="4" fillId="8" borderId="8" xfId="0" applyNumberFormat="1" applyFont="1" applyFill="1" applyBorder="1" applyAlignment="1">
      <x:alignment horizontal="right" vertical="center"/>
    </x:xf>
    <x:xf numFmtId="201" fontId="4" fillId="8" borderId="9" xfId="0" applyNumberFormat="1" applyFont="1" applyFill="1" applyBorder="1" applyAlignment="1">
      <x:alignment horizontal="right" vertical="center"/>
    </x:xf>
    <x:xf numFmtId="202" fontId="4" fillId="8" borderId="8" xfId="0" applyNumberFormat="1" applyFont="1" applyFill="1" applyBorder="1" applyAlignment="1">
      <x:alignment vertical="center"/>
    </x:xf>
    <x:xf numFmtId="202" fontId="4" fillId="8" borderId="8" xfId="0" applyNumberFormat="1" applyFont="1" applyFill="1" applyBorder="1" applyAlignment="1">
      <x:alignment horizontal="right" vertical="center"/>
    </x:xf>
    <x:xf numFmtId="202" fontId="4" fillId="8" borderId="9" xfId="0" applyNumberFormat="1" applyFont="1" applyFill="1" applyBorder="1" applyAlignment="1">
      <x:alignment horizontal="right" vertical="center"/>
    </x:xf>
    <x:xf numFmtId="203" fontId="4" fillId="8" borderId="8" xfId="0" applyNumberFormat="1" applyFont="1" applyFill="1" applyBorder="1" applyAlignment="1">
      <x:alignment vertical="center"/>
    </x:xf>
    <x:xf numFmtId="203" fontId="4" fillId="8" borderId="8" xfId="0" applyNumberFormat="1" applyFont="1" applyFill="1" applyBorder="1" applyAlignment="1">
      <x:alignment horizontal="right" vertical="center"/>
    </x:xf>
    <x:xf numFmtId="203" fontId="4" fillId="8" borderId="9" xfId="0" applyNumberFormat="1" applyFont="1" applyFill="1" applyBorder="1" applyAlignment="1">
      <x:alignment horizontal="right" vertical="center"/>
    </x:xf>
    <x:xf numFmtId="0" fontId="1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/>
    </x:xf>
    <x:xf numFmtId="0" fontId="6" fillId="9" borderId="11" xfId="0" applyNumberFormat="1" applyFont="1" applyFill="1" applyBorder="1" applyAlignment="1">
      <x:alignment vertical="center"/>
    </x:xf>
    <x:xf numFmtId="0" fontId="6" fillId="9" borderId="12" xfId="0" applyNumberFormat="1" applyFont="1" applyFill="1" applyBorder="1" applyAlignment="1">
      <x:alignment vertical="center"/>
    </x:xf>
    <x:xf numFmtId="0" fontId="6" fillId="9" borderId="13" xfId="0" applyNumberFormat="1" applyFont="1" applyFill="1" applyBorder="1" applyAlignment="1">
      <x:alignment vertical="center"/>
    </x:xf>
    <x:xf numFmtId="0" fontId="6" fillId="9" borderId="14" xfId="0" applyNumberFormat="1" applyFont="1" applyFill="1" applyBorder="1" applyAlignment="1">
      <x:alignment vertical="center"/>
    </x:xf>
    <x:xf numFmtId="0" fontId="6" fillId="9" borderId="15" xfId="0" applyNumberFormat="1" applyFont="1" applyFill="1" applyBorder="1" applyAlignment="1">
      <x:alignment vertical="center"/>
    </x:xf>
    <x:xf numFmtId="0" fontId="6" fillId="9" borderId="10" xfId="0" applyNumberFormat="1" applyFont="1" applyFill="1" applyBorder="1" applyAlignment="1">
      <x:alignment vertical="center" wrapText="1"/>
    </x:xf>
    <x:xf numFmtId="0" fontId="6" fillId="9" borderId="11" xfId="0" applyNumberFormat="1" applyFont="1" applyFill="1" applyBorder="1" applyAlignment="1">
      <x:alignment vertical="center" wrapText="1"/>
    </x:xf>
    <x:xf numFmtId="0" fontId="6" fillId="9" borderId="12" xfId="0" applyNumberFormat="1" applyFont="1" applyFill="1" applyBorder="1" applyAlignment="1">
      <x:alignment vertical="center" wrapText="1"/>
    </x:xf>
    <x:xf numFmtId="0" fontId="6" fillId="9" borderId="13" xfId="0" applyNumberFormat="1" applyFont="1" applyFill="1" applyBorder="1" applyAlignment="1">
      <x:alignment vertical="center" wrapText="1"/>
    </x:xf>
    <x:xf numFmtId="0" fontId="6" fillId="9" borderId="14" xfId="0" applyNumberFormat="1" applyFont="1" applyFill="1" applyBorder="1" applyAlignment="1">
      <x:alignment vertical="center" wrapText="1"/>
    </x:xf>
    <x:xf numFmtId="0" fontId="6" fillId="9" borderId="15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6" borderId="7" xfId="0" applyNumberFormat="1" applyFont="1" applyFill="1" applyBorder="1" applyAlignment="1">
      <x:alignment horizontal="left" vertical="center"/>
    </x:xf>
    <x:xf numFmtId="0" fontId="3" fillId="7" borderId="4" xfId="0" applyNumberFormat="1" applyFont="1" applyFill="1" applyBorder="1" applyAlignment="1">
      <x:alignment vertical="center"/>
    </x:xf>
    <x:xf numFmtId="0" fontId="3" fillId="7" borderId="5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vertical="center"/>
    </x:xf>
    <x:xf numFmtId="200" fontId="7" fillId="8" borderId="0" xfId="0" applyNumberFormat="1" applyFont="1" applyFill="1" applyBorder="1" applyAlignment="1">
      <x:alignment vertical="center"/>
    </x:xf>
    <x:xf numFmtId="200" fontId="7" fillId="8" borderId="0" xfId="0" applyNumberFormat="1" applyFont="1" applyFill="1" applyBorder="1" applyAlignment="1">
      <x:alignment horizontal="right" vertical="center"/>
    </x:xf>
    <x:xf numFmtId="0" fontId="8" fillId="8" borderId="0" xfId="0" applyNumberFormat="1" applyFont="1" applyFill="1" applyBorder="1" applyAlignment="1">
      <x:alignment vertical="center"/>
    </x:xf>
    <x:xf numFmtId="200" fontId="8" fillId="8" borderId="0" xfId="0" applyNumberFormat="1" applyFont="1" applyFill="1" applyBorder="1" applyAlignment="1">
      <x:alignment vertical="center"/>
    </x:xf>
    <x:xf numFmtId="200" fontId="8" fillId="8" borderId="0" xfId="0" applyNumberFormat="1" applyFont="1" applyFill="1" applyBorder="1" applyAlignment="1">
      <x:alignment horizontal="right" vertical="center"/>
    </x:xf>
    <x:xf numFmtId="200" fontId="3" fillId="5" borderId="0" xfId="0" applyNumberFormat="1" applyFont="1" applyFill="1" applyBorder="1" applyAlignment="1">
      <x:alignment vertical="center"/>
    </x:xf>
    <x:xf numFmtId="200" fontId="3" fillId="5" borderId="0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horizontal="right"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201" fontId="3" fillId="8" borderId="0" xfId="0" applyNumberFormat="1" applyFont="1" applyFill="1" applyBorder="1" applyAlignment="1">
      <x:alignment horizontal="right" vertical="center"/>
    </x:xf>
    <x:xf numFmtId="0" fontId="5" fillId="8" borderId="0" xfId="0" applyNumberFormat="1" applyFont="1" applyFill="1" applyBorder="1" applyAlignment="1">
      <x:alignment horizontal="left" vertical="center" wrapText="1"/>
    </x:xf>
    <x:xf numFmtId="0" fontId="3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horizontal="left" vertical="center" wrapText="1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horizontal="left" vertical="center" wrapText="1"/>
    </x:xf>
    <x:xf numFmtId="0" fontId="9" fillId="5" borderId="0" xfId="0" applyNumberFormat="1" applyFont="1" applyFill="1" applyBorder="1" applyAlignment="1">
      <x:alignment horizontal="left" vertical="center" wrapText="1"/>
    </x:xf>
    <x:xf numFmtId="0" fontId="8" fillId="2" borderId="0" xfId="0" applyNumberFormat="1" applyFont="1" applyFill="1" applyBorder="1" applyAlignment="1">
      <x:alignment vertical="center"/>
    </x:xf>
    <x:xf numFmtId="201" fontId="8" fillId="2" borderId="0" xfId="0" applyNumberFormat="1" applyFont="1" applyFill="1" applyBorder="1" applyAlignment="1">
      <x:alignment vertical="center"/>
    </x:xf>
    <x:xf numFmtId="201" fontId="8" fillId="2" borderId="0" xfId="0" applyNumberFormat="1" applyFont="1" applyFill="1" applyBorder="1" applyAlignment="1">
      <x:alignment horizontal="right" vertical="center"/>
    </x:xf>
    <x:xf numFmtId="201" fontId="8" fillId="8" borderId="0" xfId="0" applyNumberFormat="1" applyFont="1" applyFill="1" applyBorder="1" applyAlignment="1">
      <x:alignment horizontal="right" vertical="center"/>
    </x:xf>
    <x:xf numFmtId="203" fontId="3" fillId="2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horizontal="right" vertical="center"/>
    </x:xf>
    <x:xf numFmtId="0" fontId="1" fillId="10" borderId="0" xfId="0" applyNumberFormat="1" applyFont="1" applyFill="1" applyBorder="1" applyAlignment="1">
      <x:alignment vertical="center"/>
    </x:xf>
    <x:xf numFmtId="203" fontId="3" fillId="10" borderId="0" xfId="0" applyNumberFormat="1" applyFont="1" applyFill="1" applyBorder="1" applyAlignment="1">
      <x:alignment horizontal="right" vertical="center"/>
    </x:xf>
    <x:xf numFmtId="0" fontId="5" fillId="10" borderId="0" xfId="0" applyNumberFormat="1" applyFont="1" applyFill="1" applyBorder="1" applyAlignment="1">
      <x:alignment horizontal="left" vertical="center" wrapText="1"/>
    </x:xf>
    <x:xf numFmtId="0" fontId="3" fillId="10" borderId="0" xfId="0" applyNumberFormat="1" applyFont="1" applyFill="1" applyBorder="1" applyAlignment="1">
      <x:alignment vertical="center"/>
    </x:xf>
    <x:xf numFmtId="0" fontId="9" fillId="10" borderId="0" xfId="0" applyNumberFormat="1" applyFont="1" applyFill="1" applyBorder="1" applyAlignment="1">
      <x:alignment horizontal="left" vertical="center" wrapText="1"/>
    </x:xf>
    <x:xf numFmtId="202" fontId="3" fillId="2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horizontal="right" vertical="center"/>
    </x:xf>
    <x:xf numFmtId="202" fontId="3" fillId="8" borderId="0" xfId="0" applyNumberFormat="1" applyFont="1" applyFill="1" applyBorder="1" applyAlignment="1">
      <x:alignment horizontal="right" vertical="center"/>
    </x:xf>
    <x:xf numFmtId="200" fontId="8" fillId="2" borderId="0" xfId="0" applyNumberFormat="1" applyFont="1" applyFill="1" applyBorder="1" applyAlignment="1">
      <x:alignment vertical="center"/>
    </x:xf>
    <x:xf numFmtId="200" fontId="8" fillId="2" borderId="0" xfId="0" applyNumberFormat="1" applyFont="1" applyFill="1" applyBorder="1" applyAlignment="1">
      <x:alignment horizontal="right" vertical="center"/>
    </x:xf>
    <x:xf numFmtId="203" fontId="8" fillId="2" borderId="0" xfId="0" applyNumberFormat="1" applyFont="1" applyFill="1" applyBorder="1" applyAlignment="1">
      <x:alignment vertical="center"/>
    </x:xf>
    <x:xf numFmtId="203" fontId="8" fillId="2" borderId="0" xfId="0" applyNumberFormat="1" applyFont="1" applyFill="1" applyBorder="1" applyAlignment="1">
      <x:alignment horizontal="right" vertical="center"/>
    </x:xf>
    <x:xf numFmtId="203" fontId="8" fillId="8" borderId="0" xfId="0" applyNumberFormat="1" applyFont="1" applyFill="1" applyBorder="1" applyAlignment="1">
      <x:alignment horizontal="right" vertical="center"/>
    </x:xf>
    <x:xf numFmtId="0" fontId="2" fillId="3" borderId="16" xfId="0" applyNumberFormat="1" applyFont="1" applyFill="1" applyBorder="1" applyAlignment="1">
      <x:alignment vertical="center"/>
    </x:xf>
    <x:xf numFmtId="0" fontId="2" fillId="3" borderId="17" xfId="0" applyNumberFormat="1" applyFont="1" applyFill="1" applyBorder="1" applyAlignment="1">
      <x:alignment vertical="center"/>
    </x:xf>
    <x:xf numFmtId="0" fontId="2" fillId="3" borderId="16" xfId="0" applyNumberFormat="1" applyFont="1" applyFill="1" applyBorder="1" applyAlignment="1">
      <x:alignment horizontal="center" vertical="center"/>
    </x:xf>
    <x:xf numFmtId="0" fontId="2" fillId="3" borderId="17" xfId="0" applyNumberFormat="1" applyFont="1" applyFill="1" applyBorder="1" applyAlignment="1">
      <x:alignment horizontal="center" vertical="center"/>
    </x:xf>
    <x:xf numFmtId="0" fontId="10" fillId="8" borderId="0" xfId="0" applyNumberFormat="1" applyFont="1" applyFill="1" applyBorder="1" applyAlignment="1">
      <x:alignment vertical="center"/>
    </x:xf>
    <x:xf numFmtId="0" fontId="10" fillId="8" borderId="1" xfId="0" applyNumberFormat="1" applyFont="1" applyFill="1" applyBorder="1" applyAlignment="1">
      <x:alignment vertical="center"/>
    </x:xf>
    <x:xf numFmtId="0" fontId="10" fillId="8" borderId="3" xfId="0" applyNumberFormat="1" applyFont="1" applyFill="1" applyBorder="1" applyAlignment="1">
      <x:alignment vertical="center"/>
    </x:xf>
    <x:xf numFmtId="0" fontId="10" fillId="8" borderId="18" xfId="0" applyNumberFormat="1" applyFont="1" applyFill="1" applyBorder="1" applyAlignment="1">
      <x:alignment vertical="center"/>
    </x:xf>
    <x:xf numFmtId="0" fontId="10" fillId="8" borderId="19" xfId="0" applyNumberFormat="1" applyFont="1" applyFill="1" applyBorder="1" applyAlignment="1">
      <x:alignment vertical="center"/>
    </x:xf>
    <x:xf numFmtId="0" fontId="10" fillId="8" borderId="4" xfId="0" applyNumberFormat="1" applyFont="1" applyFill="1" applyBorder="1" applyAlignment="1">
      <x:alignment vertical="center"/>
    </x:xf>
    <x:xf numFmtId="0" fontId="10" fillId="8" borderId="6" xfId="0" applyNumberFormat="1" applyFont="1" applyFill="1" applyBorder="1" applyAlignment="1">
      <x:alignment vertical="center"/>
    </x:xf>
    <x:xf numFmtId="200" fontId="10" fillId="8" borderId="1" xfId="0" applyNumberFormat="1" applyFont="1" applyFill="1" applyBorder="1" applyAlignment="1">
      <x:alignment vertical="center"/>
    </x:xf>
    <x:xf numFmtId="200" fontId="10" fillId="8" borderId="3" xfId="0" applyNumberFormat="1" applyFont="1" applyFill="1" applyBorder="1" applyAlignment="1">
      <x:alignment vertical="center"/>
    </x:xf>
    <x:xf numFmtId="200" fontId="10" fillId="8" borderId="18" xfId="0" applyNumberFormat="1" applyFont="1" applyFill="1" applyBorder="1" applyAlignment="1">
      <x:alignment vertical="center"/>
    </x:xf>
    <x:xf numFmtId="200" fontId="10" fillId="8" borderId="19" xfId="0" applyNumberFormat="1" applyFont="1" applyFill="1" applyBorder="1" applyAlignment="1">
      <x:alignment vertical="center"/>
    </x:xf>
    <x:xf numFmtId="200" fontId="10" fillId="8" borderId="4" xfId="0" applyNumberFormat="1" applyFont="1" applyFill="1" applyBorder="1" applyAlignment="1">
      <x:alignment vertical="center"/>
    </x:xf>
    <x:xf numFmtId="200" fontId="10" fillId="8" borderId="6" xfId="0" applyNumberFormat="1" applyFont="1" applyFill="1" applyBorder="1" applyAlignment="1">
      <x:alignment vertical="center"/>
    </x:xf>
    <x:xf numFmtId="200" fontId="10" fillId="8" borderId="1" xfId="0" applyNumberFormat="1" applyFont="1" applyFill="1" applyBorder="1" applyAlignment="1">
      <x:alignment horizontal="center" vertical="center"/>
    </x:xf>
    <x:xf numFmtId="200" fontId="10" fillId="8" borderId="3" xfId="0" applyNumberFormat="1" applyFont="1" applyFill="1" applyBorder="1" applyAlignment="1">
      <x:alignment horizontal="center" vertical="center"/>
    </x:xf>
    <x:xf numFmtId="200" fontId="10" fillId="8" borderId="18" xfId="0" applyNumberFormat="1" applyFont="1" applyFill="1" applyBorder="1" applyAlignment="1">
      <x:alignment horizontal="center" vertical="center"/>
    </x:xf>
    <x:xf numFmtId="200" fontId="10" fillId="8" borderId="19" xfId="0" applyNumberFormat="1" applyFont="1" applyFill="1" applyBorder="1" applyAlignment="1">
      <x:alignment horizontal="center" vertical="center"/>
    </x:xf>
    <x:xf numFmtId="200" fontId="10" fillId="8" borderId="4" xfId="0" applyNumberFormat="1" applyFont="1" applyFill="1" applyBorder="1" applyAlignment="1">
      <x:alignment horizontal="center" vertical="center"/>
    </x:xf>
    <x:xf numFmtId="200" fontId="10" fillId="8" borderId="6" xfId="0" applyNumberFormat="1" applyFont="1" applyFill="1" applyBorder="1" applyAlignment="1">
      <x:alignment horizontal="center" vertical="center"/>
    </x:xf>
    <x:xf numFmtId="203" fontId="10" fillId="8" borderId="1" xfId="0" applyNumberFormat="1" applyFont="1" applyFill="1" applyBorder="1" applyAlignment="1">
      <x:alignment vertical="center"/>
    </x:xf>
    <x:xf numFmtId="203" fontId="10" fillId="8" borderId="3" xfId="0" applyNumberFormat="1" applyFont="1" applyFill="1" applyBorder="1" applyAlignment="1">
      <x:alignment vertical="center"/>
    </x:xf>
    <x:xf numFmtId="203" fontId="10" fillId="8" borderId="18" xfId="0" applyNumberFormat="1" applyFont="1" applyFill="1" applyBorder="1" applyAlignment="1">
      <x:alignment vertical="center"/>
    </x:xf>
    <x:xf numFmtId="203" fontId="10" fillId="8" borderId="19" xfId="0" applyNumberFormat="1" applyFont="1" applyFill="1" applyBorder="1" applyAlignment="1">
      <x:alignment vertical="center"/>
    </x:xf>
    <x:xf numFmtId="203" fontId="10" fillId="8" borderId="4" xfId="0" applyNumberFormat="1" applyFont="1" applyFill="1" applyBorder="1" applyAlignment="1">
      <x:alignment vertical="center"/>
    </x:xf>
    <x:xf numFmtId="203" fontId="10" fillId="8" borderId="6" xfId="0" applyNumberFormat="1" applyFont="1" applyFill="1" applyBorder="1" applyAlignment="1">
      <x:alignment vertical="center"/>
    </x:xf>
    <x:xf numFmtId="203" fontId="10" fillId="8" borderId="1" xfId="0" applyNumberFormat="1" applyFont="1" applyFill="1" applyBorder="1" applyAlignment="1">
      <x:alignment horizontal="center" vertical="center"/>
    </x:xf>
    <x:xf numFmtId="203" fontId="10" fillId="8" borderId="3" xfId="0" applyNumberFormat="1" applyFont="1" applyFill="1" applyBorder="1" applyAlignment="1">
      <x:alignment horizontal="center" vertical="center"/>
    </x:xf>
    <x:xf numFmtId="203" fontId="10" fillId="8" borderId="18" xfId="0" applyNumberFormat="1" applyFont="1" applyFill="1" applyBorder="1" applyAlignment="1">
      <x:alignment horizontal="center" vertical="center"/>
    </x:xf>
    <x:xf numFmtId="203" fontId="10" fillId="8" borderId="19" xfId="0" applyNumberFormat="1" applyFont="1" applyFill="1" applyBorder="1" applyAlignment="1">
      <x:alignment horizontal="center" vertical="center"/>
    </x:xf>
    <x:xf numFmtId="203" fontId="10" fillId="8" borderId="4" xfId="0" applyNumberFormat="1" applyFont="1" applyFill="1" applyBorder="1" applyAlignment="1">
      <x:alignment horizontal="center" vertical="center"/>
    </x:xf>
    <x:xf numFmtId="203" fontId="10" fillId="8" borderId="6" xfId="0" applyNumberFormat="1" applyFont="1" applyFill="1" applyBorder="1" applyAlignment="1">
      <x:alignment horizontal="center" vertical="center"/>
    </x:xf>
    <x:xf numFmtId="202" fontId="10" fillId="8" borderId="1" xfId="0" applyNumberFormat="1" applyFont="1" applyFill="1" applyBorder="1" applyAlignment="1">
      <x:alignment vertical="center"/>
    </x:xf>
    <x:xf numFmtId="202" fontId="10" fillId="8" borderId="3" xfId="0" applyNumberFormat="1" applyFont="1" applyFill="1" applyBorder="1" applyAlignment="1">
      <x:alignment vertical="center"/>
    </x:xf>
    <x:xf numFmtId="202" fontId="10" fillId="8" borderId="18" xfId="0" applyNumberFormat="1" applyFont="1" applyFill="1" applyBorder="1" applyAlignment="1">
      <x:alignment vertical="center"/>
    </x:xf>
    <x:xf numFmtId="202" fontId="10" fillId="8" borderId="19" xfId="0" applyNumberFormat="1" applyFont="1" applyFill="1" applyBorder="1" applyAlignment="1">
      <x:alignment vertical="center"/>
    </x:xf>
    <x:xf numFmtId="202" fontId="10" fillId="8" borderId="4" xfId="0" applyNumberFormat="1" applyFont="1" applyFill="1" applyBorder="1" applyAlignment="1">
      <x:alignment vertical="center"/>
    </x:xf>
    <x:xf numFmtId="202" fontId="10" fillId="8" borderId="6" xfId="0" applyNumberFormat="1" applyFont="1" applyFill="1" applyBorder="1" applyAlignment="1">
      <x:alignment vertical="center"/>
    </x:xf>
    <x:xf numFmtId="202" fontId="10" fillId="8" borderId="1" xfId="0" applyNumberFormat="1" applyFont="1" applyFill="1" applyBorder="1" applyAlignment="1">
      <x:alignment horizontal="center" vertical="center"/>
    </x:xf>
    <x:xf numFmtId="202" fontId="10" fillId="8" borderId="3" xfId="0" applyNumberFormat="1" applyFont="1" applyFill="1" applyBorder="1" applyAlignment="1">
      <x:alignment horizontal="center" vertical="center"/>
    </x:xf>
    <x:xf numFmtId="202" fontId="10" fillId="8" borderId="18" xfId="0" applyNumberFormat="1" applyFont="1" applyFill="1" applyBorder="1" applyAlignment="1">
      <x:alignment horizontal="center" vertical="center"/>
    </x:xf>
    <x:xf numFmtId="202" fontId="10" fillId="8" borderId="19" xfId="0" applyNumberFormat="1" applyFont="1" applyFill="1" applyBorder="1" applyAlignment="1">
      <x:alignment horizontal="center" vertical="center"/>
    </x:xf>
    <x:xf numFmtId="202" fontId="10" fillId="8" borderId="4" xfId="0" applyNumberFormat="1" applyFont="1" applyFill="1" applyBorder="1" applyAlignment="1">
      <x:alignment horizontal="center" vertical="center"/>
    </x:xf>
    <x:xf numFmtId="202" fontId="10" fillId="8" borderId="6" xfId="0" applyNumberFormat="1" applyFont="1" applyFill="1" applyBorder="1" applyAlignment="1">
      <x:alignment horizontal="center" vertical="center"/>
    </x:xf>
    <x:xf numFmtId="201" fontId="10" fillId="8" borderId="1" xfId="0" applyNumberFormat="1" applyFont="1" applyFill="1" applyBorder="1" applyAlignment="1">
      <x:alignment vertical="center"/>
    </x:xf>
    <x:xf numFmtId="201" fontId="10" fillId="8" borderId="3" xfId="0" applyNumberFormat="1" applyFont="1" applyFill="1" applyBorder="1" applyAlignment="1">
      <x:alignment vertical="center"/>
    </x:xf>
    <x:xf numFmtId="201" fontId="10" fillId="8" borderId="18" xfId="0" applyNumberFormat="1" applyFont="1" applyFill="1" applyBorder="1" applyAlignment="1">
      <x:alignment vertical="center"/>
    </x:xf>
    <x:xf numFmtId="201" fontId="10" fillId="8" borderId="19" xfId="0" applyNumberFormat="1" applyFont="1" applyFill="1" applyBorder="1" applyAlignment="1">
      <x:alignment vertical="center"/>
    </x:xf>
    <x:xf numFmtId="201" fontId="10" fillId="8" borderId="4" xfId="0" applyNumberFormat="1" applyFont="1" applyFill="1" applyBorder="1" applyAlignment="1">
      <x:alignment vertical="center"/>
    </x:xf>
    <x:xf numFmtId="201" fontId="10" fillId="8" borderId="6" xfId="0" applyNumberFormat="1" applyFont="1" applyFill="1" applyBorder="1" applyAlignment="1">
      <x:alignment vertical="center"/>
    </x:xf>
    <x:xf numFmtId="201" fontId="10" fillId="8" borderId="1" xfId="0" applyNumberFormat="1" applyFont="1" applyFill="1" applyBorder="1" applyAlignment="1">
      <x:alignment horizontal="center" vertical="center"/>
    </x:xf>
    <x:xf numFmtId="201" fontId="10" fillId="8" borderId="3" xfId="0" applyNumberFormat="1" applyFont="1" applyFill="1" applyBorder="1" applyAlignment="1">
      <x:alignment horizontal="center" vertical="center"/>
    </x:xf>
    <x:xf numFmtId="201" fontId="10" fillId="8" borderId="18" xfId="0" applyNumberFormat="1" applyFont="1" applyFill="1" applyBorder="1" applyAlignment="1">
      <x:alignment horizontal="center" vertical="center"/>
    </x:xf>
    <x:xf numFmtId="201" fontId="10" fillId="8" borderId="19" xfId="0" applyNumberFormat="1" applyFont="1" applyFill="1" applyBorder="1" applyAlignment="1">
      <x:alignment horizontal="center" vertical="center"/>
    </x:xf>
    <x:xf numFmtId="201" fontId="10" fillId="8" borderId="4" xfId="0" applyNumberFormat="1" applyFont="1" applyFill="1" applyBorder="1" applyAlignment="1">
      <x:alignment horizontal="center" vertical="center"/>
    </x:xf>
    <x:xf numFmtId="201" fontId="10" fillId="8" borderId="6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 applyAlignment="1">
      <x:alignment vertical="center"/>
    </x:xf>
    <x:xf numFmtId="0" fontId="10" fillId="5" borderId="20" xfId="0" applyNumberFormat="1" applyFont="1" applyFill="1" applyBorder="1" applyAlignment="1">
      <x:alignment vertical="center"/>
    </x:xf>
    <x:xf numFmtId="0" fontId="10" fillId="5" borderId="21" xfId="0" applyNumberFormat="1" applyFont="1" applyFill="1" applyBorder="1" applyAlignment="1">
      <x:alignment vertical="center"/>
    </x:xf>
    <x:xf numFmtId="0" fontId="10" fillId="5" borderId="22" xfId="0" applyNumberFormat="1" applyFont="1" applyFill="1" applyBorder="1" applyAlignment="1">
      <x:alignment vertical="center"/>
    </x:xf>
    <x:xf numFmtId="0" fontId="10" fillId="5" borderId="23" xfId="0" applyNumberFormat="1" applyFont="1" applyFill="1" applyBorder="1" applyAlignment="1">
      <x:alignment vertical="center"/>
    </x:xf>
    <x:xf numFmtId="0" fontId="10" fillId="5" borderId="24" xfId="0" applyNumberFormat="1" applyFont="1" applyFill="1" applyBorder="1" applyAlignment="1">
      <x:alignment vertical="center"/>
    </x:xf>
    <x:xf numFmtId="0" fontId="10" fillId="5" borderId="25" xfId="0" applyNumberFormat="1" applyFont="1" applyFill="1" applyBorder="1" applyAlignment="1">
      <x:alignment vertical="center"/>
    </x:xf>
    <x:xf numFmtId="0" fontId="10" fillId="5" borderId="26" xfId="0" applyNumberFormat="1" applyFont="1" applyFill="1" applyBorder="1" applyAlignment="1">
      <x:alignment vertical="center"/>
    </x:xf>
    <x:xf numFmtId="0" fontId="10" fillId="5" borderId="27" xfId="0" applyNumberFormat="1" applyFont="1" applyFill="1" applyBorder="1" applyAlignment="1">
      <x:alignment vertical="center"/>
    </x:xf>
    <x:xf numFmtId="0" fontId="10" fillId="5" borderId="20" xfId="0" applyNumberFormat="1" applyFont="1" applyFill="1" applyBorder="1" applyAlignment="1">
      <x:alignment vertical="center" wrapText="1"/>
    </x:xf>
    <x:xf numFmtId="0" fontId="10" fillId="5" borderId="21" xfId="0" applyNumberFormat="1" applyFont="1" applyFill="1" applyBorder="1" applyAlignment="1">
      <x:alignment vertical="center" wrapText="1"/>
    </x:xf>
    <x:xf numFmtId="0" fontId="10" fillId="5" borderId="22" xfId="0" applyNumberFormat="1" applyFont="1" applyFill="1" applyBorder="1" applyAlignment="1">
      <x:alignment vertical="center" wrapText="1"/>
    </x:xf>
    <x:xf numFmtId="0" fontId="10" fillId="5" borderId="23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10" fillId="5" borderId="24" xfId="0" applyNumberFormat="1" applyFont="1" applyFill="1" applyBorder="1" applyAlignment="1">
      <x:alignment vertical="center" wrapText="1"/>
    </x:xf>
    <x:xf numFmtId="0" fontId="10" fillId="5" borderId="25" xfId="0" applyNumberFormat="1" applyFont="1" applyFill="1" applyBorder="1" applyAlignment="1">
      <x:alignment vertical="center" wrapText="1"/>
    </x:xf>
    <x:xf numFmtId="0" fontId="10" fillId="5" borderId="26" xfId="0" applyNumberFormat="1" applyFont="1" applyFill="1" applyBorder="1" applyAlignment="1">
      <x:alignment vertical="center" wrapText="1"/>
    </x:xf>
    <x:xf numFmtId="0" fontId="10" fillId="5" borderId="27" xfId="0" applyNumberFormat="1" applyFont="1" applyFill="1" applyBorder="1" applyAlignment="1">
      <x:alignment vertical="center" wrapText="1"/>
    </x:xf>
    <x:xf numFmtId="0" fontId="10" fillId="5" borderId="20" xfId="0" applyNumberFormat="1" applyFont="1" applyFill="1" applyBorder="1" applyAlignment="1">
      <x:alignment horizontal="center" vertical="center" wrapText="1"/>
    </x:xf>
    <x:xf numFmtId="0" fontId="10" fillId="5" borderId="21" xfId="0" applyNumberFormat="1" applyFont="1" applyFill="1" applyBorder="1" applyAlignment="1">
      <x:alignment horizontal="center" vertical="center" wrapText="1"/>
    </x:xf>
    <x:xf numFmtId="0" fontId="10" fillId="5" borderId="22" xfId="0" applyNumberFormat="1" applyFont="1" applyFill="1" applyBorder="1" applyAlignment="1">
      <x:alignment horizontal="center" vertical="center" wrapText="1"/>
    </x:xf>
    <x:xf numFmtId="0" fontId="10" fillId="5" borderId="23" xfId="0" applyNumberFormat="1" applyFont="1" applyFill="1" applyBorder="1" applyAlignment="1">
      <x:alignment horizontal="center" vertical="center" wrapText="1"/>
    </x:xf>
    <x:xf numFmtId="0" fontId="10" fillId="5" borderId="0" xfId="0" applyNumberFormat="1" applyFont="1" applyFill="1" applyBorder="1" applyAlignment="1">
      <x:alignment horizontal="center" vertical="center" wrapText="1"/>
    </x:xf>
    <x:xf numFmtId="0" fontId="10" fillId="5" borderId="24" xfId="0" applyNumberFormat="1" applyFont="1" applyFill="1" applyBorder="1" applyAlignment="1">
      <x:alignment horizontal="center" vertical="center" wrapText="1"/>
    </x:xf>
    <x:xf numFmtId="0" fontId="10" fillId="5" borderId="25" xfId="0" applyNumberFormat="1" applyFont="1" applyFill="1" applyBorder="1" applyAlignment="1">
      <x:alignment horizontal="center" vertical="center" wrapText="1"/>
    </x:xf>
    <x:xf numFmtId="0" fontId="10" fillId="5" borderId="26" xfId="0" applyNumberFormat="1" applyFont="1" applyFill="1" applyBorder="1" applyAlignment="1">
      <x:alignment horizontal="center" vertical="center" wrapText="1"/>
    </x:xf>
    <x:xf numFmtId="0" fontId="10" fillId="5" borderId="27" xfId="0" applyNumberFormat="1" applyFont="1" applyFill="1" applyBorder="1" applyAlignment="1">
      <x:alignment horizontal="center" vertical="center" wrapText="1"/>
    </x:xf>
    <x:xf numFmtId="0" fontId="9" fillId="7" borderId="0" xfId="0" applyNumberFormat="1" applyFont="1" applyFill="1" applyBorder="1" applyAlignment="1">
      <x:alignment vertical="center"/>
    </x:xf>
    <x:xf numFmtId="0" fontId="9" fillId="7" borderId="0" xfId="0" applyNumberFormat="1" applyFont="1" applyFill="1" applyBorder="1" applyAlignment="1">
      <x:alignment horizontal="center" vertical="center"/>
    </x:xf>
    <x:xf numFmtId="0" fontId="11" fillId="8" borderId="0" xfId="0" applyNumberFormat="1" applyFont="1" applyFill="1" applyBorder="1" applyAlignment="1">
      <x:alignment vertical="center"/>
    </x:xf>
    <x:xf numFmtId="0" fontId="11" fillId="8" borderId="28" xfId="0" applyNumberFormat="1" applyFont="1" applyFill="1" applyBorder="1" applyAlignment="1">
      <x:alignment vertical="center"/>
    </x:xf>
    <x:xf numFmtId="0" fontId="11" fillId="8" borderId="29" xfId="0" applyNumberFormat="1" applyFont="1" applyFill="1" applyBorder="1" applyAlignment="1">
      <x:alignment vertical="center"/>
    </x:xf>
    <x:xf numFmtId="0" fontId="11" fillId="8" borderId="28" xfId="0" applyNumberFormat="1" applyFont="1" applyFill="1" applyBorder="1" applyAlignment="1">
      <x:alignment horizontal="center" vertical="center"/>
    </x:xf>
    <x:xf numFmtId="0" fontId="11" fillId="8" borderId="29" xfId="0" applyNumberFormat="1" applyFont="1" applyFill="1" applyBorder="1" applyAlignment="1">
      <x:alignment horizontal="center" vertical="center"/>
    </x:xf>
    <x:xf numFmtId="0" fontId="12" fillId="9" borderId="0" xfId="0" applyNumberFormat="1" applyFont="1" applyFill="1" applyBorder="1" applyAlignment="1">
      <x:alignment vertical="center"/>
    </x:xf>
    <x:xf numFmtId="0" fontId="12" fillId="9" borderId="28" xfId="0" applyNumberFormat="1" applyFont="1" applyFill="1" applyBorder="1" applyAlignment="1">
      <x:alignment vertical="center"/>
    </x:xf>
    <x:xf numFmtId="0" fontId="12" fillId="9" borderId="29" xfId="0" applyNumberFormat="1" applyFont="1" applyFill="1" applyBorder="1" applyAlignment="1">
      <x:alignment vertical="center"/>
    </x:xf>
    <x:xf numFmtId="0" fontId="12" fillId="9" borderId="28" xfId="0" applyNumberFormat="1" applyFont="1" applyFill="1" applyBorder="1" applyAlignment="1">
      <x:alignment vertical="center" wrapText="1"/>
    </x:xf>
    <x:xf numFmtId="0" fontId="12" fillId="9" borderId="29" xfId="0" applyNumberFormat="1" applyFont="1" applyFill="1" applyBorder="1" applyAlignment="1">
      <x:alignment vertical="center" wrapText="1"/>
    </x:xf>
    <x:xf numFmtId="0" fontId="12" fillId="9" borderId="28" xfId="0" applyNumberFormat="1" applyFont="1" applyFill="1" applyBorder="1" applyAlignment="1">
      <x:alignment horizontal="center" vertical="center" wrapText="1"/>
    </x:xf>
    <x:xf numFmtId="0" fontId="12" fillId="9" borderId="29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vertical="center"/>
    </x:xf>
    <x:xf numFmtId="0" fontId="3" fillId="8" borderId="2" xfId="0" applyNumberFormat="1" applyFont="1" applyFill="1" applyBorder="1" applyAlignment="1">
      <x:alignment vertical="center"/>
    </x:xf>
    <x:xf numFmtId="0" fontId="3" fillId="8" borderId="3" xfId="0" applyNumberFormat="1" applyFont="1" applyFill="1" applyBorder="1" applyAlignment="1">
      <x:alignment vertical="center"/>
    </x:xf>
    <x:xf numFmtId="0" fontId="3" fillId="8" borderId="4" xfId="0" applyNumberFormat="1" applyFont="1" applyFill="1" applyBorder="1" applyAlignment="1">
      <x:alignment vertical="center"/>
    </x:xf>
    <x:xf numFmtId="0" fontId="3" fillId="8" borderId="5" xfId="0" applyNumberFormat="1" applyFont="1" applyFill="1" applyBorder="1" applyAlignment="1">
      <x:alignment vertical="center"/>
    </x:xf>
    <x:xf numFmtId="0" fontId="3" fillId="8" borderId="6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vertical="center" wrapText="1"/>
    </x:xf>
    <x:xf numFmtId="0" fontId="3" fillId="8" borderId="3" xfId="0" applyNumberFormat="1" applyFont="1" applyFill="1" applyBorder="1" applyAlignment="1">
      <x:alignment vertical="center" wrapText="1"/>
    </x:xf>
    <x:xf numFmtId="0" fontId="3" fillId="8" borderId="4" xfId="0" applyNumberFormat="1" applyFont="1" applyFill="1" applyBorder="1" applyAlignment="1">
      <x:alignment vertical="center" wrapText="1"/>
    </x:xf>
    <x:xf numFmtId="0" fontId="3" fillId="8" borderId="5" xfId="0" applyNumberFormat="1" applyFont="1" applyFill="1" applyBorder="1" applyAlignment="1">
      <x:alignment vertical="center" wrapText="1"/>
    </x:xf>
    <x:xf numFmtId="0" fontId="3" fillId="8" borderId="6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/>
    </x:xf>
    <x:xf numFmtId="0" fontId="1" fillId="8" borderId="2" xfId="0" applyNumberFormat="1" applyFont="1" applyFill="1" applyBorder="1" applyAlignment="1">
      <x:alignment vertical="center"/>
    </x:xf>
    <x:xf numFmtId="0" fontId="1" fillId="8" borderId="3" xfId="0" applyNumberFormat="1" applyFont="1" applyFill="1" applyBorder="1" applyAlignment="1">
      <x:alignment vertical="center"/>
    </x:xf>
    <x:xf numFmtId="0" fontId="1" fillId="8" borderId="18" xfId="0" applyNumberFormat="1" applyFont="1" applyFill="1" applyBorder="1" applyAlignment="1">
      <x:alignment vertical="center"/>
    </x:xf>
    <x:xf numFmtId="0" fontId="1" fillId="8" borderId="19" xfId="0" applyNumberFormat="1" applyFont="1" applyFill="1" applyBorder="1" applyAlignment="1">
      <x:alignment vertical="center"/>
    </x:xf>
    <x:xf numFmtId="0" fontId="1" fillId="8" borderId="4" xfId="0" applyNumberFormat="1" applyFont="1" applyFill="1" applyBorder="1" applyAlignment="1">
      <x:alignment vertical="center"/>
    </x:xf>
    <x:xf numFmtId="0" fontId="1" fillId="8" borderId="5" xfId="0" applyNumberFormat="1" applyFont="1" applyFill="1" applyBorder="1" applyAlignment="1">
      <x:alignment vertical="center"/>
    </x:xf>
    <x:xf numFmtId="0" fontId="1" fillId="8" borderId="6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vertical="center" wrapText="1"/>
    </x:xf>
    <x:xf numFmtId="0" fontId="1" fillId="8" borderId="2" xfId="0" applyNumberFormat="1" applyFont="1" applyFill="1" applyBorder="1" applyAlignment="1">
      <x:alignment vertical="center" wrapText="1"/>
    </x:xf>
    <x:xf numFmtId="0" fontId="1" fillId="8" borderId="3" xfId="0" applyNumberFormat="1" applyFont="1" applyFill="1" applyBorder="1" applyAlignment="1">
      <x:alignment vertical="center" wrapText="1"/>
    </x:xf>
    <x:xf numFmtId="0" fontId="1" fillId="8" borderId="18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19" xfId="0" applyNumberFormat="1" applyFont="1" applyFill="1" applyBorder="1" applyAlignment="1">
      <x:alignment vertical="center" wrapText="1"/>
    </x:xf>
    <x:xf numFmtId="0" fontId="1" fillId="8" borderId="4" xfId="0" applyNumberFormat="1" applyFont="1" applyFill="1" applyBorder="1" applyAlignment="1">
      <x:alignment vertical="center" wrapText="1"/>
    </x:xf>
    <x:xf numFmtId="0" fontId="1" fillId="8" borderId="5" xfId="0" applyNumberFormat="1" applyFont="1" applyFill="1" applyBorder="1" applyAlignment="1">
      <x:alignment vertical="center" wrapText="1"/>
    </x:xf>
    <x:xf numFmtId="0" fontId="1" fillId="8" borderId="6" xfId="0" applyNumberFormat="1" applyFont="1" applyFill="1" applyBorder="1" applyAlignment="1">
      <x:alignment vertical="center" wrapText="1"/>
    </x:xf>
    <x:xf numFmtId="0" fontId="3" fillId="5" borderId="28" xfId="0" applyNumberFormat="1" applyFont="1" applyFill="1" applyBorder="1" applyAlignment="1">
      <x:alignment vertical="center"/>
    </x:xf>
    <x:xf numFmtId="0" fontId="3" fillId="5" borderId="30" xfId="0" applyNumberFormat="1" applyFont="1" applyFill="1" applyBorder="1" applyAlignment="1">
      <x:alignment vertical="center"/>
    </x:xf>
    <x:xf numFmtId="0" fontId="3" fillId="5" borderId="29" xfId="0" applyNumberFormat="1" applyFont="1" applyFill="1" applyBorder="1" applyAlignment="1">
      <x:alignment vertical="center"/>
    </x:xf>
    <x:xf numFmtId="0" fontId="3" fillId="5" borderId="28" xfId="0" applyNumberFormat="1" applyFont="1" applyFill="1" applyBorder="1" applyAlignment="1">
      <x:alignment horizontal="center" vertical="center"/>
    </x:xf>
    <x:xf numFmtId="0" fontId="3" fillId="5" borderId="30" xfId="0" applyNumberFormat="1" applyFont="1" applyFill="1" applyBorder="1" applyAlignment="1">
      <x:alignment horizontal="center" vertical="center"/>
    </x:xf>
    <x:xf numFmtId="0" fontId="3" fillId="5" borderId="29" xfId="0" applyNumberFormat="1" applyFont="1" applyFill="1" applyBorder="1" applyAlignment="1">
      <x:alignment horizontal="center" vertical="center"/>
    </x:xf>
    <x:xf numFmtId="0" fontId="13" fillId="2" borderId="0" xfId="0" applyNumberFormat="1" applyFont="1" applyFill="1" applyBorder="1" applyAlignment="1">
      <x:alignment vertical="center"/>
    </x:xf>
    <x:xf numFmtId="0" fontId="11" fillId="8" borderId="30" xfId="0" applyNumberFormat="1" applyFont="1" applyFill="1" applyBorder="1" applyAlignment="1">
      <x:alignment vertical="center"/>
    </x:xf>
    <x:xf numFmtId="0" fontId="11" fillId="8" borderId="30" xfId="0" applyNumberFormat="1" applyFont="1" applyFill="1" applyBorder="1" applyAlignment="1">
      <x:alignment horizontal="center" vertical="center"/>
    </x:xf>
    <x:xf numFmtId="204" fontId="1" fillId="2" borderId="0" xfId="0" applyNumberFormat="1" applyFont="1" applyFill="1" applyBorder="1" applyAlignment="1">
      <x:alignment vertical="center"/>
    </x:xf>
    <x:xf numFmtId="204" fontId="1" fillId="8" borderId="0" xfId="0" applyNumberFormat="1" applyFont="1" applyFill="1" applyBorder="1" applyAlignment="1">
      <x:alignment vertical="center"/>
    </x:xf>
    <x:xf numFmtId="204" fontId="1" fillId="8" borderId="0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/>
    </x:xf>
    <x:xf numFmtId="203" fontId="1" fillId="8" borderId="0" xfId="0" applyNumberFormat="1" applyFont="1" applyFill="1" applyBorder="1" applyAlignment="1">
      <x:alignment vertical="center"/>
    </x:xf>
    <x:xf numFmtId="203" fontId="1" fillId="8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/>
    </x:xf>
    <x:xf numFmtId="201" fontId="1" fillId="8" borderId="0" xfId="0" applyNumberFormat="1" applyFont="1" applyFill="1" applyBorder="1" applyAlignment="1">
      <x:alignment vertical="center"/>
    </x:xf>
    <x:xf numFmtId="201" fontId="1" fillId="8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/>
    </x:xf>
    <x:xf numFmtId="200" fontId="1" fillId="8" borderId="0" xfId="0" applyNumberFormat="1" applyFont="1" applyFill="1" applyBorder="1" applyAlignment="1">
      <x:alignment vertical="center" wrapText="1"/>
    </x:xf>
    <x:xf numFmtId="0" fontId="6" fillId="9" borderId="28" xfId="0" applyNumberFormat="1" applyFont="1" applyFill="1" applyBorder="1" applyAlignment="1">
      <x:alignment vertical="center"/>
    </x:xf>
    <x:xf numFmtId="0" fontId="6" fillId="9" borderId="30" xfId="0" applyNumberFormat="1" applyFont="1" applyFill="1" applyBorder="1" applyAlignment="1">
      <x:alignment vertical="center"/>
    </x:xf>
    <x:xf numFmtId="0" fontId="6" fillId="9" borderId="29" xfId="0" applyNumberFormat="1" applyFont="1" applyFill="1" applyBorder="1" applyAlignment="1">
      <x:alignment vertical="center"/>
    </x:xf>
    <x:xf numFmtId="0" fontId="6" fillId="9" borderId="28" xfId="0" applyNumberFormat="1" applyFont="1" applyFill="1" applyBorder="1" applyAlignment="1">
      <x:alignment horizontal="center" vertical="center"/>
    </x:xf>
    <x:xf numFmtId="0" fontId="6" fillId="9" borderId="30" xfId="0" applyNumberFormat="1" applyFont="1" applyFill="1" applyBorder="1" applyAlignment="1">
      <x:alignment horizontal="center" vertical="center"/>
    </x:xf>
    <x:xf numFmtId="0" fontId="6" fillId="9" borderId="29" xfId="0" applyNumberFormat="1" applyFont="1" applyFill="1" applyBorder="1" applyAlignment="1">
      <x:alignment horizontal="center" vertical="center"/>
    </x:xf>
    <x:xf numFmtId="0" fontId="3" fillId="5" borderId="18" xfId="0" applyNumberFormat="1" applyFont="1" applyFill="1" applyBorder="1" applyAlignment="1">
      <x:alignment vertical="center"/>
    </x:xf>
    <x:xf numFmtId="0" fontId="3" fillId="5" borderId="19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left" vertical="center"/>
    </x:xf>
    <x:xf numFmtId="0" fontId="3" fillId="5" borderId="2" xfId="0" applyNumberFormat="1" applyFont="1" applyFill="1" applyBorder="1" applyAlignment="1">
      <x:alignment horizontal="left" vertical="center"/>
    </x:xf>
    <x:xf numFmtId="0" fontId="3" fillId="5" borderId="3" xfId="0" applyNumberFormat="1" applyFont="1" applyFill="1" applyBorder="1" applyAlignment="1">
      <x:alignment horizontal="left" vertical="center"/>
    </x:xf>
    <x:xf numFmtId="0" fontId="3" fillId="5" borderId="18" xfId="0" applyNumberFormat="1" applyFont="1" applyFill="1" applyBorder="1" applyAlignment="1">
      <x:alignment horizontal="left" vertical="center"/>
    </x:xf>
    <x:xf numFmtId="0" fontId="3" fillId="5" borderId="0" xfId="0" applyNumberFormat="1" applyFont="1" applyFill="1" applyBorder="1" applyAlignment="1">
      <x:alignment horizontal="left" vertical="center"/>
    </x:xf>
    <x:xf numFmtId="0" fontId="3" fillId="5" borderId="19" xfId="0" applyNumberFormat="1" applyFont="1" applyFill="1" applyBorder="1" applyAlignment="1">
      <x:alignment horizontal="left" vertical="center"/>
    </x:xf>
    <x:xf numFmtId="0" fontId="3" fillId="5" borderId="4" xfId="0" applyNumberFormat="1" applyFont="1" applyFill="1" applyBorder="1" applyAlignment="1">
      <x:alignment horizontal="left" vertical="center"/>
    </x:xf>
    <x:xf numFmtId="0" fontId="3" fillId="5" borderId="5" xfId="0" applyNumberFormat="1" applyFont="1" applyFill="1" applyBorder="1" applyAlignment="1">
      <x:alignment horizontal="left" vertical="center"/>
    </x:xf>
    <x:xf numFmtId="0" fontId="3" fillId="5" borderId="6" xfId="0" applyNumberFormat="1" applyFont="1" applyFill="1" applyBorder="1" applyAlignment="1">
      <x:alignment horizontal="left" vertical="center"/>
    </x:xf>
    <x:xf numFmtId="0" fontId="11" fillId="8" borderId="1" xfId="0" applyNumberFormat="1" applyFont="1" applyFill="1" applyBorder="1" applyAlignment="1">
      <x:alignment vertical="center"/>
    </x:xf>
    <x:xf numFmtId="0" fontId="11" fillId="8" borderId="3" xfId="0" applyNumberFormat="1" applyFont="1" applyFill="1" applyBorder="1" applyAlignment="1">
      <x:alignment vertical="center"/>
    </x:xf>
    <x:xf numFmtId="0" fontId="11" fillId="8" borderId="4" xfId="0" applyNumberFormat="1" applyFont="1" applyFill="1" applyBorder="1" applyAlignment="1">
      <x:alignment vertical="center"/>
    </x:xf>
    <x:xf numFmtId="0" fontId="11" fillId="8" borderId="6" xfId="0" applyNumberFormat="1" applyFont="1" applyFill="1" applyBorder="1" applyAlignment="1">
      <x:alignment vertical="center"/>
    </x:xf>
    <x:xf numFmtId="0" fontId="11" fillId="8" borderId="1" xfId="0" applyNumberFormat="1" applyFont="1" applyFill="1" applyBorder="1" applyAlignment="1">
      <x:alignment horizontal="center" vertical="center"/>
    </x:xf>
    <x:xf numFmtId="0" fontId="11" fillId="8" borderId="3" xfId="0" applyNumberFormat="1" applyFont="1" applyFill="1" applyBorder="1" applyAlignment="1">
      <x:alignment horizontal="center" vertical="center"/>
    </x:xf>
    <x:xf numFmtId="0" fontId="11" fillId="8" borderId="4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0" fillId="5" borderId="28" xfId="0" applyNumberFormat="1" applyFont="1" applyFill="1" applyBorder="1" applyAlignment="1">
      <x:alignment vertical="center"/>
    </x:xf>
    <x:xf numFmtId="0" fontId="10" fillId="5" borderId="29" xfId="0" applyNumberFormat="1" applyFont="1" applyFill="1" applyBorder="1" applyAlignment="1">
      <x:alignment vertical="center"/>
    </x:xf>
    <x:xf numFmtId="0" fontId="10" fillId="5" borderId="28" xfId="0" applyNumberFormat="1" applyFont="1" applyFill="1" applyBorder="1" applyAlignment="1">
      <x:alignment horizontal="center" vertical="center"/>
    </x:xf>
    <x:xf numFmtId="0" fontId="10" fillId="5" borderId="29" xfId="0" applyNumberFormat="1" applyFont="1" applyFill="1" applyBorder="1" applyAlignment="1">
      <x:alignment horizontal="center" vertical="center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1" fillId="8" borderId="3" xfId="0" applyNumberFormat="1" applyFont="1" applyFill="1" applyBorder="1" applyAlignment="1">
      <x:alignment horizontal="center" vertical="center" wrapText="1"/>
    </x:xf>
    <x:xf numFmtId="0" fontId="1" fillId="8" borderId="4" xfId="0" applyNumberFormat="1" applyFont="1" applyFill="1" applyBorder="1" applyAlignment="1">
      <x:alignment horizontal="center" vertical="center" wrapText="1"/>
    </x:xf>
    <x:xf numFmtId="0" fontId="1" fillId="8" borderId="6" xfId="0" applyNumberFormat="1" applyFont="1" applyFill="1" applyBorder="1" applyAlignment="1">
      <x:alignment horizontal="center" vertical="center" wrapText="1"/>
    </x:xf>
    <x:xf numFmtId="0" fontId="6" fillId="9" borderId="1" xfId="0" applyNumberFormat="1" applyFont="1" applyFill="1" applyBorder="1" applyAlignment="1">
      <x:alignment vertical="center"/>
    </x:xf>
    <x:xf numFmtId="0" fontId="6" fillId="9" borderId="2" xfId="0" applyNumberFormat="1" applyFont="1" applyFill="1" applyBorder="1" applyAlignment="1">
      <x:alignment vertical="center"/>
    </x:xf>
    <x:xf numFmtId="0" fontId="6" fillId="9" borderId="3" xfId="0" applyNumberFormat="1" applyFont="1" applyFill="1" applyBorder="1" applyAlignment="1">
      <x:alignment vertical="center"/>
    </x:xf>
    <x:xf numFmtId="0" fontId="6" fillId="9" borderId="4" xfId="0" applyNumberFormat="1" applyFont="1" applyFill="1" applyBorder="1" applyAlignment="1">
      <x:alignment vertical="center"/>
    </x:xf>
    <x:xf numFmtId="0" fontId="6" fillId="9" borderId="5" xfId="0" applyNumberFormat="1" applyFont="1" applyFill="1" applyBorder="1" applyAlignment="1">
      <x:alignment vertical="center"/>
    </x:xf>
    <x:xf numFmtId="0" fontId="6" fillId="9" borderId="6" xfId="0" applyNumberFormat="1" applyFont="1" applyFill="1" applyBorder="1" applyAlignment="1">
      <x:alignment vertical="center"/>
    </x:xf>
    <x:xf numFmtId="0" fontId="6" fillId="9" borderId="1" xfId="0" applyNumberFormat="1" applyFont="1" applyFill="1" applyBorder="1" applyAlignment="1">
      <x:alignment vertical="center" wrapText="1"/>
    </x:xf>
    <x:xf numFmtId="0" fontId="6" fillId="9" borderId="2" xfId="0" applyNumberFormat="1" applyFont="1" applyFill="1" applyBorder="1" applyAlignment="1">
      <x:alignment vertical="center" wrapText="1"/>
    </x:xf>
    <x:xf numFmtId="0" fontId="6" fillId="9" borderId="3" xfId="0" applyNumberFormat="1" applyFont="1" applyFill="1" applyBorder="1" applyAlignment="1">
      <x:alignment vertical="center" wrapText="1"/>
    </x:xf>
    <x:xf numFmtId="0" fontId="6" fillId="9" borderId="4" xfId="0" applyNumberFormat="1" applyFont="1" applyFill="1" applyBorder="1" applyAlignment="1">
      <x:alignment vertical="center" wrapText="1"/>
    </x:xf>
    <x:xf numFmtId="0" fontId="6" fillId="9" borderId="5" xfId="0" applyNumberFormat="1" applyFont="1" applyFill="1" applyBorder="1" applyAlignment="1">
      <x:alignment vertical="center" wrapText="1"/>
    </x:xf>
    <x:xf numFmtId="0" fontId="6" fillId="9" borderId="6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6"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247252"/>
      </x:font>
      <x:fill>
        <x:patternFill patternType="solid">
          <x:bgColor rgb="FFE6F2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db181b92594f25" /><Relationship Type="http://schemas.openxmlformats.org/officeDocument/2006/relationships/theme" Target="/xl/theme/theme1.xml" Id="R11424a0bc96f42e6" /><Relationship Type="http://schemas.openxmlformats.org/officeDocument/2006/relationships/sharedStrings" Target="/xl/sharedStrings.xml" Id="Re355522466344998" /><Relationship Type="http://schemas.openxmlformats.org/officeDocument/2006/relationships/worksheet" Target="/xl/worksheets/sheet1.xml" Id="R5b45ccf4a1d74025" /><Relationship Type="http://schemas.openxmlformats.org/officeDocument/2006/relationships/worksheet" Target="/xl/worksheets/sheet2.xml" Id="R3f888bf6d5f94524" /><Relationship Type="http://schemas.openxmlformats.org/officeDocument/2006/relationships/worksheet" Target="/xl/worksheets/sheet3.xml" Id="R75600bcb7ccd4a0e" /><Relationship Type="http://schemas.openxmlformats.org/officeDocument/2006/relationships/worksheet" Target="/xl/worksheets/sheet4.xml" Id="R65195cffaed343d5" /><Relationship Type="http://schemas.openxmlformats.org/officeDocument/2006/relationships/worksheet" Target="/xl/worksheets/sheet5.xml" Id="R2db4c4f3b1564f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TDAT FINANCIAL MODEL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TDAT-FM-VAL-002 · Base plus five forecast years · v1.4.0 · Five visible tabs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273" t="str">
        <x:v>Trading Comparables</x:v>
      </x:c>
      <x:c r="B5" s="274"/>
      <x:c r="C5" s="274"/>
      <x:c r="D5" s="274"/>
      <x:c r="E5" s="274"/>
      <x:c r="F5" s="275"/>
      <x:c r="G5" s="63" t="str">
        <x:v>MODEL STATUS</x:v>
      </x:c>
      <x:c r="H5" s="63"/>
    </x:row>
    <x:row r="6" ht="20" customHeight="1">
      <x:c r="A6" s="276"/>
      <x:c r="B6" s="277"/>
      <x:c r="C6" s="277"/>
      <x:c r="D6" s="277"/>
      <x:c r="E6" s="277"/>
      <x:c r="F6" s="278"/>
      <x:c r="G6" s="286" t="str">
        <x:f>'Checks'!B4</x:f>
        <x:v>PASS</x:v>
      </x:c>
      <x:c r="H6" s="287"/>
    </x:row>
    <x:row r="7" ht="20" customHeight="1">
      <x:c r="A7" s="279"/>
      <x:c r="B7" s="280"/>
      <x:c r="C7" s="280"/>
      <x:c r="D7" s="280"/>
      <x:c r="E7" s="280"/>
      <x:c r="F7" s="281"/>
      <x:c r="G7" s="288"/>
      <x:c r="H7" s="289"/>
    </x:row>
    <x:row r="8" ht="20" customHeight="1">
      <x:c r="A8" s="3"/>
      <x:c r="B8" s="3"/>
      <x:c r="C8" s="3"/>
      <x:c r="D8" s="3"/>
      <x:c r="E8" s="3"/>
      <x:c r="F8" s="3"/>
      <x:c r="G8" s="3"/>
      <x:c r="H8" s="3"/>
    </x:row>
    <x:row r="9" ht="20" customHeight="1">
      <x:c r="A9" s="64" t="str">
        <x:v>WHAT THIS MODEL IS FOR</x:v>
      </x:c>
      <x:c r="B9" s="64"/>
      <x:c r="C9" s="64"/>
      <x:c r="D9" s="64"/>
      <x:c r="E9" s="64"/>
      <x:c r="F9" s="64"/>
      <x:c r="G9" s="64"/>
      <x:c r="H9" s="64"/>
    </x:row>
    <x:row r="10" ht="20" customHeight="1">
      <x:c r="A10" s="220" t="str">
        <x:v>What share price does the peer set imply as EBITDA and net debt evolve over five years?</x:v>
      </x:c>
      <x:c r="B10" s="221"/>
      <x:c r="C10" s="221"/>
      <x:c r="D10" s="221"/>
      <x:c r="E10" s="221"/>
      <x:c r="F10" s="221"/>
      <x:c r="G10" s="221"/>
      <x:c r="H10" s="222"/>
    </x:row>
    <x:row r="11" ht="20" customHeight="1">
      <x:c r="A11" s="223"/>
      <x:c r="B11" s="224"/>
      <x:c r="C11" s="224"/>
      <x:c r="D11" s="224"/>
      <x:c r="E11" s="224"/>
      <x:c r="F11" s="224"/>
      <x:c r="G11" s="224"/>
      <x:c r="H11" s="225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64" t="str">
        <x:v>USE IT IN FOUR STEPS</x:v>
      </x:c>
      <x:c r="B13" s="64"/>
      <x:c r="C13" s="64"/>
      <x:c r="D13" s="64"/>
      <x:c r="E13" s="64"/>
      <x:c r="F13" s="64"/>
      <x:c r="G13" s="64"/>
      <x:c r="H13" s="64"/>
    </x:row>
    <x:row r="14" ht="20" customHeight="1">
      <x:c r="A14" s="292" t="str">
        <x:v>1 · INPUTS</x:v>
      </x:c>
      <x:c r="B14" s="293"/>
      <x:c r="C14" s="292" t="str">
        <x:v>2 · MODEL</x:v>
      </x:c>
      <x:c r="D14" s="293"/>
      <x:c r="E14" s="292" t="str">
        <x:v>3 · RESULTS</x:v>
      </x:c>
      <x:c r="F14" s="293"/>
      <x:c r="G14" s="292" t="str">
        <x:v>4 · CHECKS</x:v>
      </x:c>
      <x:c r="H14" s="293"/>
    </x:row>
    <x:row r="15" ht="20" customHeight="1">
      <x:c r="A15" s="294" t="str">
        <x:v>Edit only blue cells</x:v>
      </x:c>
      <x:c r="B15" s="295"/>
      <x:c r="C15" s="294" t="str">
        <x:v>Trace schedules and formulas</x:v>
      </x:c>
      <x:c r="D15" s="295"/>
      <x:c r="E15" s="294" t="str">
        <x:v>Read the linked decision view</x:v>
      </x:c>
      <x:c r="F15" s="295"/>
      <x:c r="G15" s="294" t="str">
        <x:v>Resolve every FAIL</x:v>
      </x:c>
      <x:c r="H15" s="295"/>
    </x:row>
    <x:row r="16" ht="20" customHeight="1">
      <x:c r="A16" s="296"/>
      <x:c r="B16" s="297"/>
      <x:c r="C16" s="296"/>
      <x:c r="D16" s="297"/>
      <x:c r="E16" s="296"/>
      <x:c r="F16" s="297"/>
      <x:c r="G16" s="296"/>
      <x:c r="H16" s="297"/>
    </x:row>
    <x:row r="17" ht="20" customHeight="1">
      <x:c r="A17" s="3"/>
      <x:c r="B17" s="3"/>
      <x:c r="C17" s="3"/>
      <x:c r="D17" s="3"/>
      <x:c r="E17" s="3"/>
      <x:c r="F17" s="3"/>
      <x:c r="G17" s="3"/>
      <x:c r="H17" s="3"/>
    </x:row>
    <x:row r="18" ht="20" customHeight="1">
      <x:c r="A18" s="64" t="str">
        <x:v>DEPTH WITHOUT EXTRA TABS</x:v>
      </x:c>
      <x:c r="B18" s="64"/>
      <x:c r="C18" s="64"/>
      <x:c r="D18" s="64"/>
      <x:c r="E18" s="64"/>
      <x:c r="F18" s="64"/>
      <x:c r="G18" s="64"/>
      <x:c r="H18" s="64"/>
    </x:row>
    <x:row r="19" ht="20" customHeight="1">
      <x:c r="A19" s="200" t="str">
        <x:v>Forecast</x:v>
      </x:c>
      <x:c r="B19" s="200"/>
      <x:c r="C19" s="89" t="str">
        <x:v>Base plus five forecast years</x:v>
      </x:c>
      <x:c r="D19" s="89"/>
      <x:c r="E19" s="89"/>
      <x:c r="F19" s="89"/>
      <x:c r="G19" s="89"/>
      <x:c r="H19" s="89"/>
    </x:row>
    <x:row r="20" ht="20" customHeight="1">
      <x:c r="A20" s="200" t="str">
        <x:v>Editable inputs</x:v>
      </x:c>
      <x:c r="B20" s="200"/>
      <x:c r="C20" s="89" t="str">
        <x:v>10</x:v>
      </x:c>
      <x:c r="D20" s="89"/>
      <x:c r="E20" s="89"/>
      <x:c r="F20" s="89"/>
      <x:c r="G20" s="89"/>
      <x:c r="H20" s="89"/>
    </x:row>
    <x:row r="21" ht="20" customHeight="1">
      <x:c r="A21" s="200" t="str">
        <x:v>Visible sheets</x:v>
      </x:c>
      <x:c r="B21" s="200"/>
      <x:c r="C21" s="89" t="str">
        <x:v>5</x:v>
      </x:c>
      <x:c r="D21" s="89"/>
      <x:c r="E21" s="89"/>
      <x:c r="F21" s="89"/>
      <x:c r="G21" s="89"/>
      <x:c r="H21" s="89"/>
    </x:row>
    <x:row r="22" ht="20" customHeight="1">
      <x:c r="A22" s="200" t="str">
        <x:v>Setup</x:v>
      </x:c>
      <x:c r="B22" s="200"/>
      <x:c r="C22" s="89" t="str">
        <x:v>15–20 minutes</x:v>
      </x:c>
      <x:c r="D22" s="89"/>
      <x:c r="E22" s="89"/>
      <x:c r="F22" s="89"/>
      <x:c r="G22" s="89"/>
      <x:c r="H22" s="89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</x:row>
    <x:row r="24" ht="20" customHeight="1">
      <x:c r="A24" s="64" t="str">
        <x:v>FIT &amp; SCOPE</x:v>
      </x:c>
      <x:c r="B24" s="64"/>
      <x:c r="C24" s="64"/>
      <x:c r="D24" s="64"/>
      <x:c r="E24" s="64"/>
      <x:c r="F24" s="64"/>
      <x:c r="G24" s="64"/>
      <x:c r="H24" s="64"/>
    </x:row>
    <x:row r="25" ht="20" customHeight="1">
      <x:c r="A25" s="234" t="str">
        <x:v>Included: Visible peer calibration and five-year EBITDA schedule · Multiple ramp and enterprise-to-equity bridge · Net-debt roll-forward, implied share price, and upside</x:v>
      </x:c>
      <x:c r="B25" s="235"/>
      <x:c r="C25" s="235"/>
      <x:c r="D25" s="235"/>
      <x:c r="E25" s="235"/>
      <x:c r="F25" s="235"/>
      <x:c r="G25" s="235"/>
      <x:c r="H25" s="236"/>
    </x:row>
    <x:row r="26" ht="20" customHeight="1">
      <x:c r="A26" s="240"/>
      <x:c r="B26" s="241"/>
      <x:c r="C26" s="241"/>
      <x:c r="D26" s="241"/>
      <x:c r="E26" s="241"/>
      <x:c r="F26" s="241"/>
      <x:c r="G26" s="241"/>
      <x:c r="H26" s="242"/>
    </x:row>
    <x:row r="27" ht="20" customHeight="1">
      <x:c r="A27" s="304" t="str">
        <x:v>Scope boundary: Full peer financial statements, other valuation multiples, transaction premiums, and valuation advice.</x:v>
      </x:c>
      <x:c r="B27" s="305"/>
      <x:c r="C27" s="305"/>
      <x:c r="D27" s="305"/>
      <x:c r="E27" s="305"/>
      <x:c r="F27" s="305"/>
      <x:c r="G27" s="305"/>
      <x:c r="H27" s="306"/>
    </x:row>
    <x:row r="28" ht="20" customHeight="1">
      <x:c r="A28" s="307"/>
      <x:c r="B28" s="308"/>
      <x:c r="C28" s="308"/>
      <x:c r="D28" s="308"/>
      <x:c r="E28" s="308"/>
      <x:c r="F28" s="308"/>
      <x:c r="G28" s="308"/>
      <x:c r="H28" s="309"/>
    </x:row>
    <x:row r="29" ht="20" customHeight="1">
      <x:c r="A29" s="311" t="str">
        <x:v>Synthetic demonstration only · Tested 2026-08-17 · Excel 365 · Macro-free · No external links</x:v>
      </x:c>
      <x:c r="B29" s="311"/>
      <x:c r="C29" s="311"/>
      <x:c r="D29" s="311"/>
      <x:c r="E29" s="311"/>
      <x:c r="F29" s="311"/>
      <x:c r="G29" s="311"/>
      <x:c r="H29" s="311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63" t="str">
        <x:v>Trading Comparables · Start → Inputs → Model → Results → Checks</x:v>
      </x:c>
      <x:c r="B31" s="63"/>
      <x:c r="C31" s="63"/>
      <x:c r="D31" s="63"/>
      <x:c r="E31" s="63"/>
      <x:c r="F31" s="63"/>
      <x:c r="G31" s="63"/>
      <x:c r="H31" s="63"/>
    </x:row>
  </x:sheetData>
  <x:mergeCells>
    <x:mergeCell ref="A1:H2"/>
    <x:mergeCell ref="A3:H3"/>
    <x:mergeCell ref="A5:F7"/>
    <x:mergeCell ref="G5:H5"/>
    <x:mergeCell ref="G6:H7"/>
    <x:mergeCell ref="A9:H9"/>
    <x:mergeCell ref="A10:H11"/>
    <x:mergeCell ref="A13:H13"/>
    <x:mergeCell ref="A14:B14"/>
    <x:mergeCell ref="A15:B16"/>
    <x:mergeCell ref="C14:D14"/>
    <x:mergeCell ref="C15:D16"/>
    <x:mergeCell ref="E14:F14"/>
    <x:mergeCell ref="E15:F16"/>
    <x:mergeCell ref="G14:H14"/>
    <x:mergeCell ref="G15:H16"/>
    <x:mergeCell ref="A18:H18"/>
    <x:mergeCell ref="A19:B19"/>
    <x:mergeCell ref="C19:H19"/>
    <x:mergeCell ref="A20:B20"/>
    <x:mergeCell ref="C20:H20"/>
    <x:mergeCell ref="A21:B21"/>
    <x:mergeCell ref="C21:H21"/>
    <x:mergeCell ref="A22:B22"/>
    <x:mergeCell ref="C22:H22"/>
    <x:mergeCell ref="A24:H24"/>
    <x:mergeCell ref="A25:H26"/>
    <x:mergeCell ref="A27:H28"/>
    <x:mergeCell ref="A29:H29"/>
    <x:mergeCell ref="A31:H31"/>
  </x:mergeCells>
  <x:conditionalFormatting sqref="G6:H7">
    <x:cfRule type="containsText" dxfId="24" priority="1" operator="containsText" text="FAIL"/>
    <x:cfRule type="containsText" dxfId="25" priority="2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7" customHeight="1">
      <x:c r="A1" s="6" t="str">
        <x:v>INPUTS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Trading Comparables · Only blue cells are editable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8" t="str">
        <x:v>Change the blue assumptions below. The Model sheet expands them into visible formulas, schedules, and roll-forwards.</x:v>
      </x:c>
      <x:c r="B5" s="19"/>
      <x:c r="C5" s="19"/>
      <x:c r="D5" s="19"/>
      <x:c r="E5" s="19"/>
      <x:c r="F5" s="19"/>
      <x:c r="G5" s="19"/>
      <x:c r="H5" s="20"/>
    </x:row>
    <x:row r="6" ht="20" customHeight="1">
      <x:c r="A6" s="21"/>
      <x:c r="B6" s="22"/>
      <x:c r="C6" s="22"/>
      <x:c r="D6" s="22"/>
      <x:c r="E6" s="22"/>
      <x:c r="F6" s="22"/>
      <x:c r="G6" s="22"/>
      <x:c r="H6" s="23"/>
    </x:row>
    <x:row r="7" ht="20" customHeight="1">
      <x:c r="A7" s="3"/>
      <x:c r="B7" s="3"/>
      <x:c r="C7" s="3"/>
      <x:c r="D7" s="3"/>
      <x:c r="E7" s="3"/>
      <x:c r="F7" s="3"/>
      <x:c r="G7" s="3"/>
      <x:c r="H7" s="3"/>
    </x:row>
    <x:row r="8" ht="20" customHeight="1">
      <x:c r="A8" s="26" t="str">
        <x:v>CORE ASSUMPTIONS</x:v>
      </x:c>
      <x:c r="B8" s="26"/>
      <x:c r="C8" s="26"/>
      <x:c r="D8" s="26"/>
      <x:c r="E8" s="26"/>
      <x:c r="F8" s="26"/>
      <x:c r="G8" s="26"/>
      <x:c r="H8" s="26"/>
    </x:row>
    <x:row r="9" ht="20" customHeight="1">
      <x:c r="A9" s="28" t="str">
        <x:v>Input</x:v>
      </x:c>
      <x:c r="B9" s="28" t="str">
        <x:v>Value</x:v>
      </x:c>
      <x:c r="C9" s="28" t="str">
        <x:v>Unit</x:v>
      </x:c>
      <x:c r="D9" s="28" t="str">
        <x:v>Purpose</x:v>
      </x:c>
      <x:c r="E9" s="28"/>
      <x:c r="F9" s="28"/>
      <x:c r="G9" s="28"/>
      <x:c r="H9" s="28"/>
    </x:row>
    <x:row r="10" ht="20" customHeight="1">
      <x:c r="A10" s="3" t="str">
        <x:v>Peer A EV / EBITDA</x:v>
      </x:c>
      <x:c r="B10" s="39" t="n">
        <x:v>20.2</x:v>
      </x:c>
      <x:c r="C10" s="3" t="str">
        <x:v>x</x:v>
      </x:c>
      <x:c r="D10" s="37" t="str">
        <x:v>First selected comparable</x:v>
      </x:c>
      <x:c r="E10" s="38"/>
      <x:c r="F10" s="38"/>
      <x:c r="G10" s="38"/>
      <x:c r="H10" s="38"/>
    </x:row>
    <x:row r="11" ht="20" customHeight="1">
      <x:c r="A11" s="3" t="str">
        <x:v>Peer B EV / EBITDA</x:v>
      </x:c>
      <x:c r="B11" s="39" t="n">
        <x:v>20.1</x:v>
      </x:c>
      <x:c r="C11" s="3" t="str">
        <x:v>x</x:v>
      </x:c>
      <x:c r="D11" s="37" t="str">
        <x:v>Second selected comparable</x:v>
      </x:c>
      <x:c r="E11" s="38"/>
      <x:c r="F11" s="38"/>
      <x:c r="G11" s="38"/>
      <x:c r="H11" s="38"/>
    </x:row>
    <x:row r="12" ht="20" customHeight="1">
      <x:c r="A12" s="3" t="str">
        <x:v>Peer C EV / EBITDA</x:v>
      </x:c>
      <x:c r="B12" s="39" t="n">
        <x:v>15.7</x:v>
      </x:c>
      <x:c r="C12" s="3" t="str">
        <x:v>x</x:v>
      </x:c>
      <x:c r="D12" s="37" t="str">
        <x:v>Third selected comparable</x:v>
      </x:c>
      <x:c r="E12" s="38"/>
      <x:c r="F12" s="38"/>
      <x:c r="G12" s="38"/>
      <x:c r="H12" s="38"/>
    </x:row>
    <x:row r="13" ht="20" customHeight="1">
      <x:c r="A13" s="3" t="str">
        <x:v>Target base EBITDA</x:v>
      </x:c>
      <x:c r="B13" s="42" t="n">
        <x:v>96</x:v>
      </x:c>
      <x:c r="C13" s="3" t="str">
        <x:v>LCY m</x:v>
      </x:c>
      <x:c r="D13" s="37" t="str">
        <x:v>Base-year earnings used to seed the schedule</x:v>
      </x:c>
      <x:c r="E13" s="38"/>
      <x:c r="F13" s="38"/>
      <x:c r="G13" s="38"/>
      <x:c r="H13" s="38"/>
    </x:row>
    <x:row r="14" ht="20" customHeight="1">
      <x:c r="A14" s="3" t="str">
        <x:v>Annual EBITDA growth</x:v>
      </x:c>
      <x:c r="B14" s="45" t="n">
        <x:v>0.05</x:v>
      </x:c>
      <x:c r="C14" s="3" t="str">
        <x:v>%</x:v>
      </x:c>
      <x:c r="D14" s="37" t="str">
        <x:v>Applied consistently through Year 5</x:v>
      </x:c>
      <x:c r="E14" s="38"/>
      <x:c r="F14" s="38"/>
      <x:c r="G14" s="38"/>
      <x:c r="H14" s="38"/>
    </x:row>
    <x:row r="15" ht="20" customHeight="1">
      <x:c r="A15" s="3" t="str">
        <x:v>Year-5 applied multiple</x:v>
      </x:c>
      <x:c r="B15" s="39" t="n">
        <x:v>18</x:v>
      </x:c>
      <x:c r="C15" s="3" t="str">
        <x:v>x</x:v>
      </x:c>
      <x:c r="D15" s="37" t="str">
        <x:v>The peer median fades to this exit level</x:v>
      </x:c>
      <x:c r="E15" s="38"/>
      <x:c r="F15" s="38"/>
      <x:c r="G15" s="38"/>
      <x:c r="H15" s="38"/>
    </x:row>
    <x:row r="16" ht="20" customHeight="1">
      <x:c r="A16" s="3" t="str">
        <x:v>Opening net debt</x:v>
      </x:c>
      <x:c r="B16" s="42" t="n">
        <x:v>125</x:v>
      </x:c>
      <x:c r="C16" s="3" t="str">
        <x:v>LCY m</x:v>
      </x:c>
      <x:c r="D16" s="37" t="str">
        <x:v>Debt less cash at the base date</x:v>
      </x:c>
      <x:c r="E16" s="38"/>
      <x:c r="F16" s="38"/>
      <x:c r="G16" s="38"/>
      <x:c r="H16" s="38"/>
    </x:row>
    <x:row r="17" ht="20" customHeight="1">
      <x:c r="A17" s="3" t="str">
        <x:v>Annual net-debt reduction</x:v>
      </x:c>
      <x:c r="B17" s="42" t="n">
        <x:v>10</x:v>
      </x:c>
      <x:c r="C17" s="3" t="str">
        <x:v>LCY m</x:v>
      </x:c>
      <x:c r="D17" s="37" t="str">
        <x:v>Capped at the balance outstanding</x:v>
      </x:c>
      <x:c r="E17" s="38"/>
      <x:c r="F17" s="38"/>
      <x:c r="G17" s="38"/>
      <x:c r="H17" s="38"/>
    </x:row>
    <x:row r="18" ht="20" customHeight="1">
      <x:c r="A18" s="3" t="str">
        <x:v>Diluted shares</x:v>
      </x:c>
      <x:c r="B18" s="42" t="n">
        <x:v>75</x:v>
      </x:c>
      <x:c r="C18" s="3" t="str">
        <x:v>m</x:v>
      </x:c>
      <x:c r="D18" s="37" t="str">
        <x:v>Held constant in this simple bridge</x:v>
      </x:c>
      <x:c r="E18" s="38"/>
      <x:c r="F18" s="38"/>
      <x:c r="G18" s="38"/>
      <x:c r="H18" s="38"/>
    </x:row>
    <x:row r="19" ht="20" customHeight="1">
      <x:c r="A19" s="3" t="str">
        <x:v>Current share price</x:v>
      </x:c>
      <x:c r="B19" s="48" t="n">
        <x:v>18</x:v>
      </x:c>
      <x:c r="C19" s="3" t="str">
        <x:v>LCY</x:v>
      </x:c>
      <x:c r="D19" s="37" t="str">
        <x:v>Reference price for upside</x:v>
      </x:c>
      <x:c r="E19" s="38"/>
      <x:c r="F19" s="38"/>
      <x:c r="G19" s="38"/>
      <x:c r="H19" s="38"/>
    </x:row>
    <x:row r="20" ht="20" customHeight="1">
      <x:c r="A20" s="3"/>
      <x:c r="B20" s="3"/>
      <x:c r="C20" s="3"/>
      <x:c r="D20" s="3"/>
      <x:c r="E20" s="3"/>
      <x:c r="F20" s="3"/>
      <x:c r="G20" s="3"/>
      <x:c r="H20" s="3"/>
    </x:row>
    <x:row r="21" ht="20" customHeight="1">
      <x:c r="A21" s="57" t="str">
        <x:v>Synthetic example. Replace only the blue values, trace the calculation on Model, then review Results and Checks.</x:v>
      </x:c>
      <x:c r="B21" s="58"/>
      <x:c r="C21" s="58"/>
      <x:c r="D21" s="58"/>
      <x:c r="E21" s="58"/>
      <x:c r="F21" s="58"/>
      <x:c r="G21" s="58"/>
      <x:c r="H21" s="59"/>
    </x:row>
    <x:row r="22" ht="20" customHeight="1">
      <x:c r="A22" s="60"/>
      <x:c r="B22" s="61"/>
      <x:c r="C22" s="61"/>
      <x:c r="D22" s="61"/>
      <x:c r="E22" s="61"/>
      <x:c r="F22" s="61"/>
      <x:c r="G22" s="61"/>
      <x:c r="H22" s="62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</x:row>
    <x:row r="24" ht="20" customHeight="1">
      <x:c r="A24" s="3"/>
      <x:c r="B24" s="3"/>
      <x:c r="C24" s="3"/>
      <x:c r="D24" s="3"/>
      <x:c r="E24" s="3"/>
      <x:c r="F24" s="3"/>
      <x:c r="G24" s="3"/>
      <x:c r="H24" s="3"/>
    </x:row>
    <x:row r="25" ht="20" customHeight="1">
      <x:c r="A25" s="3"/>
      <x:c r="B25" s="3"/>
      <x:c r="C25" s="3"/>
      <x:c r="D25" s="3"/>
      <x:c r="E25" s="3"/>
      <x:c r="F25" s="3"/>
      <x:c r="G25" s="3"/>
      <x:c r="H25" s="3"/>
    </x:row>
    <x:row r="26" ht="20" customHeight="1">
      <x:c r="A26" s="63" t="str">
        <x:v>Trading Comparables · 10 editable assumptions · v1.4.0</x:v>
      </x:c>
      <x:c r="B26" s="63"/>
      <x:c r="C26" s="63"/>
      <x:c r="D26" s="63"/>
      <x:c r="E26" s="63"/>
      <x:c r="F26" s="63"/>
      <x:c r="G26" s="63"/>
      <x:c r="H26" s="63"/>
    </x:row>
  </x:sheetData>
  <x:mergeCells>
    <x:mergeCell ref="A1:H2"/>
    <x:mergeCell ref="A3:H3"/>
    <x:mergeCell ref="A5:H6"/>
    <x:mergeCell ref="A8:H8"/>
    <x:mergeCell ref="D9:H9"/>
    <x:mergeCell ref="D10:H10"/>
    <x:mergeCell ref="D11:H11"/>
    <x:mergeCell ref="D12:H12"/>
    <x:mergeCell ref="D13:H13"/>
    <x:mergeCell ref="D14:H14"/>
    <x:mergeCell ref="D15:H15"/>
    <x:mergeCell ref="D16:H16"/>
    <x:mergeCell ref="D17:H17"/>
    <x:mergeCell ref="D18:H18"/>
    <x:mergeCell ref="D19:H19"/>
    <x:mergeCell ref="A21:H22"/>
    <x:mergeCell ref="A26:H2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30" hidden="0" customWidth="1"/>
  </x:cols>
  <x:sheetData>
    <x:row r="1" ht="27" customHeight="1">
      <x:c r="A1" s="6" t="str">
        <x:v>MODEL DETAIL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Trading Comparables · Five-year analyst valuation bridge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16" t="str">
        <x:v>YEAR-5 MULTIPLE</x:v>
      </x:c>
      <x:c r="B5" s="117"/>
      <x:c r="C5" s="116" t="str">
        <x:v>YEAR-5 SHARE PRICE</x:v>
      </x:c>
      <x:c r="D5" s="117"/>
      <x:c r="E5" s="116" t="str">
        <x:v>YEAR-5 UPSIDE</x:v>
      </x:c>
      <x:c r="F5" s="117"/>
      <x:c r="G5" s="116" t="str">
        <x:v>YEAR-5 EQUITY VALUE</x:v>
      </x:c>
      <x:c r="H5" s="117"/>
    </x:row>
    <x:row r="6" ht="20" customHeight="1">
      <x:c r="A6" s="131" t="n">
        <x:f>G22</x:f>
        <x:v>18</x:v>
      </x:c>
      <x:c r="B6" s="132"/>
      <x:c r="C6" s="143" t="n">
        <x:f>G27</x:f>
        <x:v>28.40552720000001</x:v>
      </x:c>
      <x:c r="D6" s="144"/>
      <x:c r="E6" s="155" t="n">
        <x:f>G28</x:f>
        <x:v>0.5780848444444449</x:v>
      </x:c>
      <x:c r="F6" s="156"/>
      <x:c r="G6" s="167" t="n">
        <x:f>G25</x:f>
        <x:v>2130.4145400000007</x:v>
      </x:c>
      <x:c r="H6" s="168"/>
    </x:row>
    <x:row r="7" ht="20" customHeight="1">
      <x:c r="A7" s="133"/>
      <x:c r="B7" s="134"/>
      <x:c r="C7" s="145"/>
      <x:c r="D7" s="146"/>
      <x:c r="E7" s="157"/>
      <x:c r="F7" s="158"/>
      <x:c r="G7" s="169"/>
      <x:c r="H7" s="170"/>
    </x:row>
    <x:row r="8" ht="20" customHeight="1">
      <x:c r="A8" s="135"/>
      <x:c r="B8" s="136"/>
      <x:c r="C8" s="147"/>
      <x:c r="D8" s="148"/>
      <x:c r="E8" s="159"/>
      <x:c r="F8" s="160"/>
      <x:c r="G8" s="171"/>
      <x:c r="H8" s="172"/>
    </x:row>
    <x:row r="9" ht="20" customHeight="1">
      <x:c r="A9" s="3"/>
      <x:c r="B9" s="3"/>
      <x:c r="C9" s="3"/>
      <x:c r="D9" s="3"/>
      <x:c r="E9" s="3"/>
      <x:c r="F9" s="3"/>
      <x:c r="G9" s="3"/>
      <x:c r="H9" s="3"/>
    </x:row>
    <x:row r="10" ht="20" customHeight="1">
      <x:c r="A10" s="64" t="str">
        <x:v>PEER CALIBRATION</x:v>
      </x:c>
      <x:c r="B10" s="64"/>
      <x:c r="C10" s="64"/>
      <x:c r="D10" s="64"/>
      <x:c r="E10" s="64"/>
      <x:c r="F10" s="64"/>
      <x:c r="G10" s="64"/>
      <x:c r="H10" s="64"/>
    </x:row>
    <x:row r="11" ht="20" customHeight="1">
      <x:c r="A11" s="28" t="str">
        <x:v>Metric</x:v>
      </x:c>
      <x:c r="B11" s="28" t="str">
        <x:v>Value</x:v>
      </x:c>
      <x:c r="C11" s="28" t="str">
        <x:v>Unit</x:v>
      </x:c>
      <x:c r="D11" s="65" t="str">
        <x:v>Notes</x:v>
      </x:c>
      <x:c r="E11" s="66"/>
      <x:c r="F11" s="66"/>
      <x:c r="G11" s="66"/>
      <x:c r="H11" s="66"/>
    </x:row>
    <x:row r="12" ht="20" customHeight="1">
      <x:c r="A12" s="29" t="str">
        <x:v>Peer A EV / EBITDA</x:v>
      </x:c>
      <x:c r="B12" s="69" t="n">
        <x:f>'Inputs'!$B$10</x:f>
        <x:v>20.2</x:v>
      </x:c>
      <x:c r="C12" s="29" t="str">
        <x:v>x</x:v>
      </x:c>
      <x:c r="D12" s="37" t="str">
        <x:v>Selected comparable</x:v>
      </x:c>
      <x:c r="E12" s="38"/>
      <x:c r="F12" s="38"/>
      <x:c r="G12" s="38"/>
      <x:c r="H12" s="38"/>
    </x:row>
    <x:row r="13" ht="20" customHeight="1">
      <x:c r="A13" s="29" t="str">
        <x:v>Peer B EV / EBITDA</x:v>
      </x:c>
      <x:c r="B13" s="69" t="n">
        <x:f>'Inputs'!$B$11</x:f>
        <x:v>20.1</x:v>
      </x:c>
      <x:c r="C13" s="29" t="str">
        <x:v>x</x:v>
      </x:c>
      <x:c r="D13" s="37" t="str">
        <x:v>Selected comparable</x:v>
      </x:c>
      <x:c r="E13" s="38"/>
      <x:c r="F13" s="38"/>
      <x:c r="G13" s="38"/>
      <x:c r="H13" s="38"/>
    </x:row>
    <x:row r="14" ht="20" customHeight="1">
      <x:c r="A14" s="29" t="str">
        <x:v>Peer C EV / EBITDA</x:v>
      </x:c>
      <x:c r="B14" s="69" t="n">
        <x:f>'Inputs'!$B$12</x:f>
        <x:v>15.7</x:v>
      </x:c>
      <x:c r="C14" s="29" t="str">
        <x:v>x</x:v>
      </x:c>
      <x:c r="D14" s="37" t="str">
        <x:v>Selected comparable</x:v>
      </x:c>
      <x:c r="E14" s="38"/>
      <x:c r="F14" s="38"/>
      <x:c r="G14" s="38"/>
      <x:c r="H14" s="38"/>
    </x:row>
    <x:row r="15" ht="20" customHeight="1">
      <x:c r="A15" s="29" t="str">
        <x:v>Peer low</x:v>
      </x:c>
      <x:c r="B15" s="72" t="n">
        <x:f>MIN(B12:B14)</x:f>
        <x:v>15.7</x:v>
      </x:c>
      <x:c r="C15" s="29" t="str">
        <x:v>x</x:v>
      </x:c>
      <x:c r="D15" s="37" t="str">
        <x:v>Lowest selected multiple</x:v>
      </x:c>
      <x:c r="E15" s="38"/>
      <x:c r="F15" s="38"/>
      <x:c r="G15" s="38"/>
      <x:c r="H15" s="38"/>
    </x:row>
    <x:row r="16" ht="20" customHeight="1">
      <x:c r="A16" s="11" t="str">
        <x:v>Peer median</x:v>
      </x:c>
      <x:c r="B16" s="74" t="n">
        <x:f>MEDIAN(B12:B14)</x:f>
        <x:v>20.1</x:v>
      </x:c>
      <x:c r="C16" s="11" t="str">
        <x:v>x</x:v>
      </x:c>
      <x:c r="D16" s="78" t="str">
        <x:v>Starting applied multiple</x:v>
      </x:c>
      <x:c r="E16" s="79"/>
      <x:c r="F16" s="79"/>
      <x:c r="G16" s="79"/>
      <x:c r="H16" s="79"/>
    </x:row>
    <x:row r="17" ht="20" customHeight="1">
      <x:c r="A17" s="29" t="str">
        <x:v>Peer high</x:v>
      </x:c>
      <x:c r="B17" s="72" t="n">
        <x:f>MAX(B12:B14)</x:f>
        <x:v>20.2</x:v>
      </x:c>
      <x:c r="C17" s="29" t="str">
        <x:v>x</x:v>
      </x:c>
      <x:c r="D17" s="37" t="str">
        <x:v>Highest selected multiple</x:v>
      </x:c>
      <x:c r="E17" s="38"/>
      <x:c r="F17" s="38"/>
      <x:c r="G17" s="38"/>
      <x:c r="H17" s="38"/>
    </x:row>
    <x:row r="18" ht="20" customHeight="1">
      <x:c r="A18" s="3"/>
      <x:c r="B18" s="3"/>
      <x:c r="C18" s="3"/>
      <x:c r="D18" s="3"/>
      <x:c r="E18" s="3"/>
      <x:c r="F18" s="3"/>
      <x:c r="G18" s="3"/>
      <x:c r="H18" s="3"/>
    </x:row>
    <x:row r="19" ht="20" customHeight="1">
      <x:c r="A19" s="64" t="str">
        <x:v>FIVE-YEAR VALUE BRIDGE</x:v>
      </x:c>
      <x:c r="B19" s="64"/>
      <x:c r="C19" s="64"/>
      <x:c r="D19" s="64"/>
      <x:c r="E19" s="64"/>
      <x:c r="F19" s="64"/>
      <x:c r="G19" s="64"/>
      <x:c r="H19" s="64"/>
    </x:row>
    <x:row r="20" ht="20" customHeight="1">
      <x:c r="A20" s="6" t="str">
        <x:v>Metric</x:v>
      </x:c>
      <x:c r="B20" s="80" t="str">
        <x:v>BASE / ENTRY</x:v>
      </x:c>
      <x:c r="C20" s="80" t="str">
        <x:v>YEAR 1</x:v>
      </x:c>
      <x:c r="D20" s="80" t="str">
        <x:v>YEAR 2</x:v>
      </x:c>
      <x:c r="E20" s="80" t="str">
        <x:v>YEAR 3</x:v>
      </x:c>
      <x:c r="F20" s="80" t="str">
        <x:v>YEAR 4</x:v>
      </x:c>
      <x:c r="G20" s="80" t="str">
        <x:v>YEAR 5</x:v>
      </x:c>
      <x:c r="H20" s="6" t="str">
        <x:v>How to read it</x:v>
      </x:c>
    </x:row>
    <x:row r="21" ht="42" customHeight="1">
      <x:c r="A21" s="89" t="str">
        <x:v>Target EBITDA</x:v>
      </x:c>
      <x:c r="B21" s="87" t="n">
        <x:f>'Inputs'!$B$13</x:f>
        <x:v>96</x:v>
      </x:c>
      <x:c r="C21" s="87" t="n">
        <x:f>B21*(1+'Inputs'!$B$14)</x:f>
        <x:v>100.80000000000001</x:v>
      </x:c>
      <x:c r="D21" s="87" t="n">
        <x:f>C21*(1+'Inputs'!$B$14)</x:f>
        <x:v>105.84000000000002</x:v>
      </x:c>
      <x:c r="E21" s="87" t="n">
        <x:f>D21*(1+'Inputs'!$B$14)</x:f>
        <x:v>111.13200000000002</x:v>
      </x:c>
      <x:c r="F21" s="87" t="n">
        <x:f>E21*(1+'Inputs'!$B$14)</x:f>
        <x:v>116.68860000000002</x:v>
      </x:c>
      <x:c r="G21" s="87" t="n">
        <x:f>F21*(1+'Inputs'!$B$14)</x:f>
        <x:v>122.52303000000003</x:v>
      </x:c>
      <x:c r="H21" s="90" t="str">
        <x:v>Base EBITDA compounds at the selected annual rate.</x:v>
      </x:c>
    </x:row>
    <x:row r="22" ht="42" customHeight="1">
      <x:c r="A22" s="11" t="str">
        <x:v>Applied EV / EBITDA</x:v>
      </x:c>
      <x:c r="B22" s="74" t="n">
        <x:f>B16</x:f>
        <x:v>20.1</x:v>
      </x:c>
      <x:c r="C22" s="74" t="n">
        <x:f>B16+('Inputs'!$B$15-B16)*1/5</x:f>
        <x:v>19.68</x:v>
      </x:c>
      <x:c r="D22" s="74" t="n">
        <x:f>B16+('Inputs'!$B$15-B16)*2/5</x:f>
        <x:v>19.26</x:v>
      </x:c>
      <x:c r="E22" s="74" t="n">
        <x:f>B16+('Inputs'!$B$15-B16)*3/5</x:f>
        <x:v>18.84</x:v>
      </x:c>
      <x:c r="F22" s="74" t="n">
        <x:f>B16+('Inputs'!$B$15-B16)*4/5</x:f>
        <x:v>18.42</x:v>
      </x:c>
      <x:c r="G22" s="74" t="n">
        <x:f>B16+('Inputs'!$B$15-B16)*5/5</x:f>
        <x:v>18</x:v>
      </x:c>
      <x:c r="H22" s="94" t="str">
        <x:v>Straight-line fade from peer median to the Year-5 multiple.</x:v>
      </x:c>
    </x:row>
    <x:row r="23" ht="28" customHeight="1">
      <x:c r="A23" s="29" t="str">
        <x:v>Enterprise value</x:v>
      </x:c>
      <x:c r="B23" s="98" t="n">
        <x:f>B21*B22</x:f>
        <x:v>1929.6000000000001</x:v>
      </x:c>
      <x:c r="C23" s="98" t="n">
        <x:f>C21*C22</x:f>
        <x:v>1983.7440000000001</x:v>
      </x:c>
      <x:c r="D23" s="98" t="n">
        <x:f>D21*D22</x:f>
        <x:v>2038.4784000000004</x:v>
      </x:c>
      <x:c r="E23" s="98" t="n">
        <x:f>E21*E22</x:f>
        <x:v>2093.72688</x:v>
      </x:c>
      <x:c r="F23" s="98" t="n">
        <x:f>F21*F22</x:f>
        <x:v>2149.4040120000004</x:v>
      </x:c>
      <x:c r="G23" s="98" t="n">
        <x:f>G21*G22</x:f>
        <x:v>2205.4145400000007</x:v>
      </x:c>
      <x:c r="H23" s="88" t="str">
        <x:v>EBITDA multiplied by the applied multiple.</x:v>
      </x:c>
    </x:row>
    <x:row r="24" ht="42" customHeight="1">
      <x:c r="A24" s="29" t="str">
        <x:v>Net debt</x:v>
      </x:c>
      <x:c r="B24" s="98" t="n">
        <x:f>'Inputs'!$B$16</x:f>
        <x:v>125</x:v>
      </x:c>
      <x:c r="C24" s="98" t="n">
        <x:f>MAX(0,B24-'Inputs'!$B$17)</x:f>
        <x:v>115</x:v>
      </x:c>
      <x:c r="D24" s="98" t="n">
        <x:f>MAX(0,C24-'Inputs'!$B$17)</x:f>
        <x:v>105</x:v>
      </x:c>
      <x:c r="E24" s="98" t="n">
        <x:f>MAX(0,D24-'Inputs'!$B$17)</x:f>
        <x:v>95</x:v>
      </x:c>
      <x:c r="F24" s="98" t="n">
        <x:f>MAX(0,E24-'Inputs'!$B$17)</x:f>
        <x:v>85</x:v>
      </x:c>
      <x:c r="G24" s="98" t="n">
        <x:f>MAX(0,F24-'Inputs'!$B$17)</x:f>
        <x:v>75</x:v>
      </x:c>
      <x:c r="H24" s="88" t="str">
        <x:v>Opening balance less the annual reduction; floored at zero.</x:v>
      </x:c>
    </x:row>
    <x:row r="25" ht="28" customHeight="1">
      <x:c r="A25" s="89" t="str">
        <x:v>Equity value</x:v>
      </x:c>
      <x:c r="B25" s="87" t="n">
        <x:f>B23-B24</x:f>
        <x:v>1804.6000000000001</x:v>
      </x:c>
      <x:c r="C25" s="87" t="n">
        <x:f>C23-C24</x:f>
        <x:v>1868.7440000000001</x:v>
      </x:c>
      <x:c r="D25" s="87" t="n">
        <x:f>D23-D24</x:f>
        <x:v>1933.4784000000004</x:v>
      </x:c>
      <x:c r="E25" s="87" t="n">
        <x:f>E23-E24</x:f>
        <x:v>1998.7268800000002</x:v>
      </x:c>
      <x:c r="F25" s="87" t="n">
        <x:f>F23-F24</x:f>
        <x:v>2064.4040120000004</x:v>
      </x:c>
      <x:c r="G25" s="87" t="n">
        <x:f>G23-G24</x:f>
        <x:v>2130.4145400000007</x:v>
      </x:c>
      <x:c r="H25" s="90" t="str">
        <x:v>Enterprise value less net debt.</x:v>
      </x:c>
    </x:row>
    <x:row r="26" ht="28" customHeight="1">
      <x:c r="A26" s="29" t="str">
        <x:v>Diluted shares</x:v>
      </x:c>
      <x:c r="B26" s="98" t="n">
        <x:f>'Inputs'!$B$18</x:f>
        <x:v>75</x:v>
      </x:c>
      <x:c r="C26" s="98" t="n">
        <x:f>'Inputs'!$B$18</x:f>
        <x:v>75</x:v>
      </x:c>
      <x:c r="D26" s="98" t="n">
        <x:f>'Inputs'!$B$18</x:f>
        <x:v>75</x:v>
      </x:c>
      <x:c r="E26" s="98" t="n">
        <x:f>'Inputs'!$B$18</x:f>
        <x:v>75</x:v>
      </x:c>
      <x:c r="F26" s="98" t="n">
        <x:f>'Inputs'!$B$18</x:f>
        <x:v>75</x:v>
      </x:c>
      <x:c r="G26" s="98" t="n">
        <x:f>'Inputs'!$B$18</x:f>
        <x:v>75</x:v>
      </x:c>
      <x:c r="H26" s="88" t="str">
        <x:v>Held constant in this focused valuation bridge.</x:v>
      </x:c>
    </x:row>
    <x:row r="27" ht="28" customHeight="1">
      <x:c r="A27" s="104" t="str">
        <x:v>Implied share price</x:v>
      </x:c>
      <x:c r="B27" s="102" t="n">
        <x:f>IF(B26&lt;=0,0,B25/B26)</x:f>
        <x:v>24.061333333333334</x:v>
      </x:c>
      <x:c r="C27" s="102" t="n">
        <x:f>IF(C26&lt;=0,0,C25/C26)</x:f>
        <x:v>24.916586666666667</x:v>
      </x:c>
      <x:c r="D27" s="102" t="n">
        <x:f>IF(D26&lt;=0,0,D25/D26)</x:f>
        <x:v>25.779712000000007</x:v>
      </x:c>
      <x:c r="E27" s="102" t="n">
        <x:f>IF(E26&lt;=0,0,E25/E26)</x:f>
        <x:v>26.649691733333334</x:v>
      </x:c>
      <x:c r="F27" s="102" t="n">
        <x:f>IF(F26&lt;=0,0,F25/F26)</x:f>
        <x:v>27.525386826666672</x:v>
      </x:c>
      <x:c r="G27" s="102" t="n">
        <x:f>IF(G26&lt;=0,0,G25/G26)</x:f>
        <x:v>28.40552720000001</x:v>
      </x:c>
      <x:c r="H27" s="105" t="str">
        <x:v>Equity value divided by diluted shares.</x:v>
      </x:c>
    </x:row>
    <x:row r="28" ht="42" customHeight="1">
      <x:c r="A28" s="89" t="str">
        <x:v>Upside / (downside)</x:v>
      </x:c>
      <x:c r="B28" s="108" t="n">
        <x:f>IF('Inputs'!$B$19&lt;=0,0,B27/'Inputs'!$B$19-1)</x:f>
        <x:v>0.3367407407407408</x:v>
      </x:c>
      <x:c r="C28" s="108" t="n">
        <x:f>IF('Inputs'!$B$19&lt;=0,0,C27/'Inputs'!$B$19-1)</x:f>
        <x:v>0.3842548148148148</x:v>
      </x:c>
      <x:c r="D28" s="108" t="n">
        <x:f>IF('Inputs'!$B$19&lt;=0,0,D27/'Inputs'!$B$19-1)</x:f>
        <x:v>0.4322062222222227</x:v>
      </x:c>
      <x:c r="E28" s="108" t="n">
        <x:f>IF('Inputs'!$B$19&lt;=0,0,E27/'Inputs'!$B$19-1)</x:f>
        <x:v>0.4805384296296298</x:v>
      </x:c>
      <x:c r="F28" s="108" t="n">
        <x:f>IF('Inputs'!$B$19&lt;=0,0,F27/'Inputs'!$B$19-1)</x:f>
        <x:v>0.5291881570370374</x:v>
      </x:c>
      <x:c r="G28" s="108" t="n">
        <x:f>IF('Inputs'!$B$19&lt;=0,0,G27/'Inputs'!$B$19-1)</x:f>
        <x:v>0.5780848444444449</x:v>
      </x:c>
      <x:c r="H28" s="90" t="str">
        <x:v>Implied price compared with the current share price.</x:v>
      </x:c>
    </x:row>
    <x:row r="29" ht="28" customHeight="1">
      <x:c r="A29" s="29" t="str">
        <x:v>EBITDA roll-forward check</x:v>
      </x:c>
      <x:c r="B29" s="98" t="n">
        <x:f>ROUND(0,6)</x:f>
        <x:v>0</x:v>
      </x:c>
      <x:c r="C29" s="98" t="n">
        <x:f>ROUND(C21-B21*(1+'Inputs'!$B$14),6)</x:f>
        <x:v>0</x:v>
      </x:c>
      <x:c r="D29" s="98" t="n">
        <x:f>ROUND(D21-C21*(1+'Inputs'!$B$14),6)</x:f>
        <x:v>0</x:v>
      </x:c>
      <x:c r="E29" s="98" t="n">
        <x:f>ROUND(E21-D21*(1+'Inputs'!$B$14),6)</x:f>
        <x:v>0</x:v>
      </x:c>
      <x:c r="F29" s="98" t="n">
        <x:f>ROUND(F21-E21*(1+'Inputs'!$B$14),6)</x:f>
        <x:v>0</x:v>
      </x:c>
      <x:c r="G29" s="98" t="n">
        <x:f>ROUND(G21-F21*(1+'Inputs'!$B$14),6)</x:f>
        <x:v>0</x:v>
      </x:c>
      <x:c r="H29" s="88" t="str">
        <x:v>Must equal zero in every forecast year.</x:v>
      </x:c>
    </x:row>
    <x:row r="30" ht="28" customHeight="1">
      <x:c r="A30" s="29" t="str">
        <x:v>Multiple ramp check</x:v>
      </x:c>
      <x:c r="B30" s="72" t="n">
        <x:f>ROUND(B22-B16,6)</x:f>
        <x:v>0</x:v>
      </x:c>
      <x:c r="C30" s="72" t="n">
        <x:f>ROUND(C22-B16-('Inputs'!$B$15-B16)*1/5,6)</x:f>
        <x:v>0</x:v>
      </x:c>
      <x:c r="D30" s="72" t="n">
        <x:f>ROUND(D22-B16-('Inputs'!$B$15-B16)*2/5,6)</x:f>
        <x:v>0</x:v>
      </x:c>
      <x:c r="E30" s="72" t="n">
        <x:f>ROUND(E22-B16-('Inputs'!$B$15-B16)*3/5,6)</x:f>
        <x:v>0</x:v>
      </x:c>
      <x:c r="F30" s="72" t="n">
        <x:f>ROUND(F22-B16-('Inputs'!$B$15-B16)*4/5,6)</x:f>
        <x:v>0</x:v>
      </x:c>
      <x:c r="G30" s="72" t="n">
        <x:f>ROUND(G22-B16-('Inputs'!$B$15-B16)*5/5,6)</x:f>
        <x:v>0</x:v>
      </x:c>
      <x:c r="H30" s="88" t="str">
        <x:v>Must equal zero against the visible ramp.</x:v>
      </x:c>
    </x:row>
    <x:row r="31" ht="28" customHeight="1">
      <x:c r="A31" s="29" t="str">
        <x:v>Net-debt roll-forward check</x:v>
      </x:c>
      <x:c r="B31" s="98" t="n">
        <x:f>ROUND(B24-'Inputs'!$B$16,6)</x:f>
        <x:v>0</x:v>
      </x:c>
      <x:c r="C31" s="98" t="n">
        <x:f>ROUND(C24-MAX(0,B24-'Inputs'!$B$17),6)</x:f>
        <x:v>0</x:v>
      </x:c>
      <x:c r="D31" s="98" t="n">
        <x:f>ROUND(D24-MAX(0,C24-'Inputs'!$B$17),6)</x:f>
        <x:v>0</x:v>
      </x:c>
      <x:c r="E31" s="98" t="n">
        <x:f>ROUND(E24-MAX(0,D24-'Inputs'!$B$17),6)</x:f>
        <x:v>0</x:v>
      </x:c>
      <x:c r="F31" s="98" t="n">
        <x:f>ROUND(F24-MAX(0,E24-'Inputs'!$B$17),6)</x:f>
        <x:v>0</x:v>
      </x:c>
      <x:c r="G31" s="98" t="n">
        <x:f>ROUND(G24-MAX(0,F24-'Inputs'!$B$17),6)</x:f>
        <x:v>0</x:v>
      </x:c>
      <x:c r="H31" s="88" t="str">
        <x:v>Must equal zero after the debt floor.</x:v>
      </x:c>
    </x:row>
    <x:row r="32" ht="42" customHeight="1">
      <x:c r="A32" s="29" t="str">
        <x:v>EV and equity bridge check</x:v>
      </x:c>
      <x:c r="B32" s="98" t="n">
        <x:f>ROUND(ABS(B23-B21*B22)+ABS(B25-B23+B24),6)</x:f>
        <x:v>0</x:v>
      </x:c>
      <x:c r="C32" s="98" t="n">
        <x:f>ROUND(ABS(C23-C21*C22)+ABS(C25-C23+C24),6)</x:f>
        <x:v>0</x:v>
      </x:c>
      <x:c r="D32" s="98" t="n">
        <x:f>ROUND(ABS(D23-D21*D22)+ABS(D25-D23+D24),6)</x:f>
        <x:v>0</x:v>
      </x:c>
      <x:c r="E32" s="98" t="n">
        <x:f>ROUND(ABS(E23-E21*E22)+ABS(E25-E23+E24),6)</x:f>
        <x:v>0</x:v>
      </x:c>
      <x:c r="F32" s="98" t="n">
        <x:f>ROUND(ABS(F23-F21*F22)+ABS(F25-F23+F24),6)</x:f>
        <x:v>0</x:v>
      </x:c>
      <x:c r="G32" s="98" t="n">
        <x:f>ROUND(ABS(G23-G21*G22)+ABS(G25-G23+G24),6)</x:f>
        <x:v>0</x:v>
      </x:c>
      <x:c r="H32" s="88" t="str">
        <x:v>Combines the enterprise and equity bridge controls.</x:v>
      </x:c>
    </x:row>
    <x:row r="33" ht="42" customHeight="1">
      <x:c r="A33" s="29" t="str">
        <x:v>Per-share bridge check</x:v>
      </x:c>
      <x:c r="B33" s="113" t="n">
        <x:f>ROUND(B27-IF(B26&lt;=0,0,B25/B26),6)</x:f>
        <x:v>0</x:v>
      </x:c>
      <x:c r="C33" s="113" t="n">
        <x:f>ROUND(C27-IF(C26&lt;=0,0,C25/C26),6)</x:f>
        <x:v>0</x:v>
      </x:c>
      <x:c r="D33" s="113" t="n">
        <x:f>ROUND(D27-IF(D26&lt;=0,0,D25/D26),6)</x:f>
        <x:v>0</x:v>
      </x:c>
      <x:c r="E33" s="113" t="n">
        <x:f>ROUND(E27-IF(E26&lt;=0,0,E25/E26),6)</x:f>
        <x:v>0</x:v>
      </x:c>
      <x:c r="F33" s="113" t="n">
        <x:f>ROUND(F27-IF(F26&lt;=0,0,F25/F26),6)</x:f>
        <x:v>0</x:v>
      </x:c>
      <x:c r="G33" s="113" t="n">
        <x:f>ROUND(G27-IF(G26&lt;=0,0,G25/G26),6)</x:f>
        <x:v>0</x:v>
      </x:c>
      <x:c r="H33" s="88" t="str">
        <x:v>Must equal zero when the share denominator is positive.</x:v>
      </x:c>
    </x:row>
    <x:row r="34" ht="20" customHeight="1">
      <x:c r="A34" s="3"/>
      <x:c r="B34" s="3"/>
      <x:c r="C34" s="3"/>
      <x:c r="D34" s="3"/>
      <x:c r="E34" s="3"/>
      <x:c r="F34" s="3"/>
      <x:c r="G34" s="3"/>
      <x:c r="H34" s="3"/>
    </x:row>
    <x:row r="35" ht="20" customHeight="1">
      <x:c r="A35" s="3"/>
      <x:c r="B35" s="3"/>
      <x:c r="C35" s="3"/>
      <x:c r="D35" s="3"/>
      <x:c r="E35" s="3"/>
      <x:c r="F35" s="3"/>
      <x:c r="G35" s="3"/>
      <x:c r="H35" s="3"/>
    </x:row>
    <x:row r="36" ht="20" customHeight="1">
      <x:c r="A36" s="191" t="str">
        <x:f>IF(G28&gt;=0,"YEAR-5 IMPLIED UPSIDE OF "&amp;TEXT(G28,"0.0%"),"YEAR-5 IMPLIED DOWNSIDE OF "&amp;TEXT(ABS(G28),"0.0%"))&amp;" · challenge growth, multiple fade, and net debt"</x:f>
        <x:v>YEAR-5 IMPLIED UPSIDE OF 57.8% · challenge growth, multiple fade, and net debt</x:v>
      </x:c>
      <x:c r="B36" s="192"/>
      <x:c r="C36" s="192"/>
      <x:c r="D36" s="192"/>
      <x:c r="E36" s="192"/>
      <x:c r="F36" s="192"/>
      <x:c r="G36" s="192"/>
      <x:c r="H36" s="193"/>
    </x:row>
    <x:row r="37" ht="20" customHeight="1">
      <x:c r="A37" s="194"/>
      <x:c r="B37" s="195"/>
      <x:c r="C37" s="195"/>
      <x:c r="D37" s="195"/>
      <x:c r="E37" s="195"/>
      <x:c r="F37" s="195"/>
      <x:c r="G37" s="195"/>
      <x:c r="H37" s="196"/>
    </x:row>
    <x:row r="38" ht="20" customHeight="1">
      <x:c r="A38" s="197"/>
      <x:c r="B38" s="198"/>
      <x:c r="C38" s="198"/>
      <x:c r="D38" s="198"/>
      <x:c r="E38" s="198"/>
      <x:c r="F38" s="198"/>
      <x:c r="G38" s="198"/>
      <x:c r="H38" s="199"/>
    </x:row>
    <x:row r="39" ht="20" customHeight="1">
      <x:c r="A39" s="3"/>
      <x:c r="B39" s="3"/>
      <x:c r="C39" s="3"/>
      <x:c r="D39" s="3"/>
      <x:c r="E39" s="3"/>
      <x:c r="F39" s="3"/>
      <x:c r="G39" s="3"/>
      <x:c r="H39" s="3"/>
    </x:row>
    <x:row r="40" ht="20" customHeight="1">
      <x:c r="A40" s="3"/>
      <x:c r="B40" s="3"/>
      <x:c r="C40" s="3"/>
      <x:c r="D40" s="3"/>
      <x:c r="E40" s="3"/>
      <x:c r="F40" s="3"/>
      <x:c r="G40" s="3"/>
      <x:c r="H40" s="3"/>
    </x:row>
    <x:row r="41" ht="20" customHeight="1">
      <x:c r="A41" s="3"/>
      <x:c r="B41" s="3"/>
      <x:c r="C41" s="3"/>
      <x:c r="D41" s="3"/>
      <x:c r="E41" s="3"/>
      <x:c r="F41" s="3"/>
      <x:c r="G41" s="3"/>
      <x:c r="H41" s="3"/>
    </x:row>
    <x:row r="42" ht="20" customHeight="1">
      <x:c r="A42" s="3"/>
      <x:c r="B42" s="3"/>
      <x:c r="C42" s="3"/>
      <x:c r="D42" s="3"/>
      <x:c r="E42" s="3"/>
      <x:c r="F42" s="3"/>
      <x:c r="G42" s="3"/>
      <x:c r="H42" s="3"/>
    </x:row>
    <x:row r="43" ht="20" customHeight="1">
      <x:c r="A43" s="3"/>
      <x:c r="B43" s="3"/>
      <x:c r="C43" s="3"/>
      <x:c r="D43" s="3"/>
      <x:c r="E43" s="3"/>
      <x:c r="F43" s="3"/>
      <x:c r="G43" s="3"/>
      <x:c r="H43" s="3"/>
    </x:row>
    <x:row r="44" ht="20" customHeight="1">
      <x:c r="A44" s="3"/>
      <x:c r="B44" s="3"/>
      <x:c r="C44" s="3"/>
      <x:c r="D44" s="3"/>
      <x:c r="E44" s="3"/>
      <x:c r="F44" s="3"/>
      <x:c r="G44" s="3"/>
      <x:c r="H44" s="3"/>
    </x:row>
    <x:row r="45" ht="20" customHeight="1">
      <x:c r="A45" s="3"/>
      <x:c r="B45" s="3"/>
      <x:c r="C45" s="3"/>
      <x:c r="D45" s="3"/>
      <x:c r="E45" s="3"/>
      <x:c r="F45" s="3"/>
      <x:c r="G45" s="3"/>
      <x:c r="H45" s="3"/>
    </x:row>
    <x:row r="46" ht="20" customHeight="1">
      <x:c r="A46" s="3"/>
      <x:c r="B46" s="3"/>
      <x:c r="C46" s="3"/>
      <x:c r="D46" s="3"/>
      <x:c r="E46" s="3"/>
      <x:c r="F46" s="3"/>
      <x:c r="G46" s="3"/>
      <x:c r="H46" s="3"/>
    </x:row>
    <x:row r="47" ht="20" customHeight="1">
      <x:c r="A47" s="63" t="str">
        <x:v>Trading Comparables · Option C standard · Base + five years</x:v>
      </x:c>
      <x:c r="B47" s="63"/>
      <x:c r="C47" s="63"/>
      <x:c r="D47" s="63"/>
      <x:c r="E47" s="63"/>
      <x:c r="F47" s="63"/>
      <x:c r="G47" s="63"/>
      <x:c r="H47" s="63"/>
    </x:row>
  </x:sheetData>
  <x:mergeCells>
    <x:mergeCell ref="A1:H2"/>
    <x:mergeCell ref="A3:H3"/>
    <x:mergeCell ref="A10:H10"/>
    <x:mergeCell ref="D11:H11"/>
    <x:mergeCell ref="D12:H12"/>
    <x:mergeCell ref="D13:H13"/>
    <x:mergeCell ref="D14:H14"/>
    <x:mergeCell ref="D15:H15"/>
    <x:mergeCell ref="D16:H16"/>
    <x:mergeCell ref="D17:H17"/>
    <x:mergeCell ref="A19:H19"/>
    <x:mergeCell ref="A5:B5"/>
    <x:mergeCell ref="A6:B8"/>
    <x:mergeCell ref="C5:D5"/>
    <x:mergeCell ref="C6:D8"/>
    <x:mergeCell ref="E5:F5"/>
    <x:mergeCell ref="E6:F8"/>
    <x:mergeCell ref="G5:H5"/>
    <x:mergeCell ref="G6:H8"/>
    <x:mergeCell ref="A36:H38"/>
    <x:mergeCell ref="A47:H4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7" customHeight="1">
      <x:c r="A1" s="6" t="str">
        <x:v>RESULTS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Trading Comparables · Decision view linked to the detailed Model sheet</x:v>
      </x:c>
      <x:c r="B3" s="9"/>
      <x:c r="C3" s="9"/>
      <x:c r="D3" s="9"/>
      <x:c r="E3" s="9"/>
      <x:c r="F3" s="9"/>
      <x:c r="G3" s="9"/>
      <x:c r="H3" s="9"/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>
      <x:c r="A5" s="116" t="str">
        <x:v>YEAR-5 MULTIPLE</x:v>
      </x:c>
      <x:c r="B5" s="117"/>
      <x:c r="C5" s="116" t="str">
        <x:v>YEAR-5 SHARE PRICE</x:v>
      </x:c>
      <x:c r="D5" s="117"/>
      <x:c r="E5" s="116" t="str">
        <x:v>YEAR-5 UPSIDE</x:v>
      </x:c>
      <x:c r="F5" s="117"/>
      <x:c r="G5" s="116" t="str">
        <x:v>YEAR-5 EQUITY VALUE</x:v>
      </x:c>
      <x:c r="H5" s="117"/>
    </x:row>
    <x:row r="6" ht="20" customHeight="1">
      <x:c r="A6" s="131" t="n">
        <x:f>'Model'!A6</x:f>
        <x:v>18</x:v>
      </x:c>
      <x:c r="B6" s="132"/>
      <x:c r="C6" s="143" t="n">
        <x:f>'Model'!C6</x:f>
        <x:v>28.40552720000001</x:v>
      </x:c>
      <x:c r="D6" s="144"/>
      <x:c r="E6" s="155" t="n">
        <x:f>'Model'!E6</x:f>
        <x:v>0.5780848444444449</x:v>
      </x:c>
      <x:c r="F6" s="156"/>
      <x:c r="G6" s="167" t="n">
        <x:f>'Model'!G6</x:f>
        <x:v>2130.4145400000007</x:v>
      </x:c>
      <x:c r="H6" s="168"/>
    </x:row>
    <x:row r="7" ht="20" customHeight="1">
      <x:c r="A7" s="133"/>
      <x:c r="B7" s="134"/>
      <x:c r="C7" s="145"/>
      <x:c r="D7" s="146"/>
      <x:c r="E7" s="157"/>
      <x:c r="F7" s="158"/>
      <x:c r="G7" s="169"/>
      <x:c r="H7" s="170"/>
    </x:row>
    <x:row r="8" ht="20" customHeight="1">
      <x:c r="A8" s="135"/>
      <x:c r="B8" s="136"/>
      <x:c r="C8" s="147"/>
      <x:c r="D8" s="148"/>
      <x:c r="E8" s="159"/>
      <x:c r="F8" s="160"/>
      <x:c r="G8" s="171"/>
      <x:c r="H8" s="172"/>
    </x:row>
    <x:row r="9" ht="20" customHeight="1">
      <x:c r="A9" s="3"/>
      <x:c r="B9" s="3"/>
      <x:c r="C9" s="3"/>
      <x:c r="D9" s="3"/>
      <x:c r="E9" s="3"/>
      <x:c r="F9" s="3"/>
      <x:c r="G9" s="3"/>
      <x:c r="H9" s="3"/>
    </x:row>
    <x:row r="10" ht="20" customHeight="1">
      <x:c r="A10" s="64" t="str">
        <x:v>DECISION VIEW</x:v>
      </x:c>
      <x:c r="B10" s="64"/>
      <x:c r="C10" s="64"/>
      <x:c r="D10" s="64"/>
      <x:c r="E10" s="64"/>
      <x:c r="F10" s="64"/>
      <x:c r="G10" s="64"/>
      <x:c r="H10" s="64"/>
    </x:row>
    <x:row r="11" ht="34" customHeight="1">
      <x:c r="A11" s="201" t="str">
        <x:v>CALCULATION STATUS</x:v>
      </x:c>
      <x:c r="B11" s="201"/>
      <x:c r="C11" s="205" t="str">
        <x:f>'Checks'!B4</x:f>
        <x:v>PASS</x:v>
      </x:c>
      <x:c r="D11" s="206"/>
      <x:c r="E11" s="201" t="str">
        <x:v>VALUATION OUTCOME</x:v>
      </x:c>
      <x:c r="F11" s="201"/>
      <x:c r="G11" s="212" t="str">
        <x:f>'Model'!A36</x:f>
        <x:v>YEAR-5 IMPLIED UPSIDE OF 57.8% · challenge growth, multiple fade, and net debt</x:v>
      </x:c>
      <x:c r="H11" s="213"/>
    </x:row>
    <x:row r="12" ht="20" customHeight="1">
      <x:c r="A12" s="3"/>
      <x:c r="B12" s="3"/>
      <x:c r="C12" s="3"/>
      <x:c r="D12" s="3"/>
      <x:c r="E12" s="3"/>
      <x:c r="F12" s="3"/>
      <x:c r="G12" s="3"/>
      <x:c r="H12" s="3"/>
    </x:row>
    <x:row r="13" ht="20" customHeight="1">
      <x:c r="A13" s="64" t="str">
        <x:v>WHAT IT ANSWERS</x:v>
      </x:c>
      <x:c r="B13" s="64"/>
      <x:c r="C13" s="64"/>
      <x:c r="D13" s="64"/>
      <x:c r="E13" s="64"/>
      <x:c r="F13" s="64"/>
      <x:c r="G13" s="64"/>
      <x:c r="H13" s="64"/>
    </x:row>
    <x:row r="14" ht="20" customHeight="1">
      <x:c r="A14" s="220" t="str">
        <x:v>What share price does the peer set imply as EBITDA and net debt evolve over five years?</x:v>
      </x:c>
      <x:c r="B14" s="221"/>
      <x:c r="C14" s="221"/>
      <x:c r="D14" s="221"/>
      <x:c r="E14" s="221"/>
      <x:c r="F14" s="221"/>
      <x:c r="G14" s="221"/>
      <x:c r="H14" s="222"/>
    </x:row>
    <x:row r="15" ht="20" customHeight="1">
      <x:c r="A15" s="223"/>
      <x:c r="B15" s="224"/>
      <x:c r="C15" s="224"/>
      <x:c r="D15" s="224"/>
      <x:c r="E15" s="224"/>
      <x:c r="F15" s="224"/>
      <x:c r="G15" s="224"/>
      <x:c r="H15" s="225"/>
    </x:row>
    <x:row r="16" ht="20" customHeight="1">
      <x:c r="A16" s="3"/>
      <x:c r="B16" s="3"/>
      <x:c r="C16" s="3"/>
      <x:c r="D16" s="3"/>
      <x:c r="E16" s="3"/>
      <x:c r="F16" s="3"/>
      <x:c r="G16" s="3"/>
      <x:c r="H16" s="3"/>
    </x:row>
    <x:row r="17" ht="20" customHeight="1">
      <x:c r="A17" s="64" t="str">
        <x:v>MODEL DEPTH</x:v>
      </x:c>
      <x:c r="B17" s="64"/>
      <x:c r="C17" s="64"/>
      <x:c r="D17" s="64"/>
      <x:c r="E17" s="64"/>
      <x:c r="F17" s="64"/>
      <x:c r="G17" s="64"/>
      <x:c r="H17" s="64"/>
    </x:row>
    <x:row r="18" ht="20" customHeight="1">
      <x:c r="A18" s="200" t="str">
        <x:v>Forecast</x:v>
      </x:c>
      <x:c r="B18" s="200"/>
      <x:c r="C18" s="89" t="str">
        <x:v>Base plus five forecast years</x:v>
      </x:c>
      <x:c r="D18" s="89"/>
      <x:c r="E18" s="89"/>
      <x:c r="F18" s="89"/>
      <x:c r="G18" s="89"/>
      <x:c r="H18" s="89"/>
    </x:row>
    <x:row r="19" ht="20" customHeight="1">
      <x:c r="A19" s="200" t="str">
        <x:v>Editable inputs</x:v>
      </x:c>
      <x:c r="B19" s="200"/>
      <x:c r="C19" s="89" t="str">
        <x:v>10</x:v>
      </x:c>
      <x:c r="D19" s="89"/>
      <x:c r="E19" s="89"/>
      <x:c r="F19" s="89"/>
      <x:c r="G19" s="89"/>
      <x:c r="H19" s="89"/>
    </x:row>
    <x:row r="20" ht="20" customHeight="1">
      <x:c r="A20" s="200" t="str">
        <x:v>Calculation detail</x:v>
      </x:c>
      <x:c r="B20" s="200"/>
      <x:c r="C20" s="89" t="str">
        <x:v>Visible formulas, schedules, roll-forwards, and bridges</x:v>
      </x:c>
      <x:c r="D20" s="89"/>
      <x:c r="E20" s="89"/>
      <x:c r="F20" s="89"/>
      <x:c r="G20" s="89"/>
      <x:c r="H20" s="89"/>
    </x:row>
    <x:row r="21" ht="20" customHeight="1">
      <x:c r="A21" s="200" t="str">
        <x:v>Workbook flow</x:v>
      </x:c>
      <x:c r="B21" s="200"/>
      <x:c r="C21" s="89" t="str">
        <x:v>Start → Inputs → Model → Results → Checks</x:v>
      </x:c>
      <x:c r="D21" s="89"/>
      <x:c r="E21" s="89"/>
      <x:c r="F21" s="89"/>
      <x:c r="G21" s="89"/>
      <x:c r="H21" s="89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</x:row>
    <x:row r="23" ht="20" customHeight="1">
      <x:c r="A23" s="64" t="str">
        <x:v>SCOPE</x:v>
      </x:c>
      <x:c r="B23" s="64"/>
      <x:c r="C23" s="64"/>
      <x:c r="D23" s="64"/>
      <x:c r="E23" s="64"/>
      <x:c r="F23" s="64"/>
      <x:c r="G23" s="64"/>
      <x:c r="H23" s="64"/>
    </x:row>
    <x:row r="24" ht="20" customHeight="1">
      <x:c r="A24" s="234" t="str">
        <x:v>Included: Visible peer calibration and five-year EBITDA schedule · Multiple ramp and enterprise-to-equity bridge · Net-debt roll-forward, implied share price, and upside</x:v>
      </x:c>
      <x:c r="B24" s="235"/>
      <x:c r="C24" s="235"/>
      <x:c r="D24" s="235"/>
      <x:c r="E24" s="235"/>
      <x:c r="F24" s="235"/>
      <x:c r="G24" s="235"/>
      <x:c r="H24" s="236"/>
    </x:row>
    <x:row r="25" ht="20" customHeight="1">
      <x:c r="A25" s="237"/>
      <x:c r="B25" s="238"/>
      <x:c r="C25" s="238"/>
      <x:c r="D25" s="238"/>
      <x:c r="E25" s="238"/>
      <x:c r="F25" s="238"/>
      <x:c r="G25" s="238"/>
      <x:c r="H25" s="239"/>
    </x:row>
    <x:row r="26" ht="20" customHeight="1">
      <x:c r="A26" s="240"/>
      <x:c r="B26" s="241"/>
      <x:c r="C26" s="241"/>
      <x:c r="D26" s="241"/>
      <x:c r="E26" s="241"/>
      <x:c r="F26" s="241"/>
      <x:c r="G26" s="241"/>
      <x:c r="H26" s="242"/>
    </x:row>
    <x:row r="27" ht="20" customHeight="1">
      <x:c r="A27" s="57" t="str">
        <x:v>Outside this model: Full peer financial statements, other valuation multiples, transaction premiums, and valuation advice.</x:v>
      </x:c>
      <x:c r="B27" s="58"/>
      <x:c r="C27" s="58"/>
      <x:c r="D27" s="58"/>
      <x:c r="E27" s="58"/>
      <x:c r="F27" s="58"/>
      <x:c r="G27" s="58"/>
      <x:c r="H27" s="59"/>
    </x:row>
    <x:row r="28" ht="20" customHeight="1">
      <x:c r="A28" s="60"/>
      <x:c r="B28" s="61"/>
      <x:c r="C28" s="61"/>
      <x:c r="D28" s="61"/>
      <x:c r="E28" s="61"/>
      <x:c r="F28" s="61"/>
      <x:c r="G28" s="61"/>
      <x:c r="H28" s="62"/>
    </x:row>
    <x:row r="29" ht="20" customHeight="1">
      <x:c r="A29" s="246" t="str">
        <x:v>Five visible tabs · No hidden calculations · Calculation status and business outcome are reported separately.</x:v>
      </x:c>
      <x:c r="B29" s="247"/>
      <x:c r="C29" s="247"/>
      <x:c r="D29" s="247"/>
      <x:c r="E29" s="247"/>
      <x:c r="F29" s="247"/>
      <x:c r="G29" s="247"/>
      <x:c r="H29" s="248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</x:row>
    <x:row r="31" ht="20" customHeight="1">
      <x:c r="A31" s="63" t="str">
        <x:v>Trading Comparables · v1.4.0 · Linked summary only · Trace all formulas on Model</x:v>
      </x:c>
      <x:c r="B31" s="63"/>
      <x:c r="C31" s="63"/>
      <x:c r="D31" s="63"/>
      <x:c r="E31" s="63"/>
      <x:c r="F31" s="63"/>
      <x:c r="G31" s="63"/>
      <x:c r="H31" s="63"/>
    </x:row>
  </x:sheetData>
  <x:mergeCells>
    <x:mergeCell ref="A1:H2"/>
    <x:mergeCell ref="A3:H3"/>
    <x:mergeCell ref="A5:B5"/>
    <x:mergeCell ref="A6:B8"/>
    <x:mergeCell ref="C5:D5"/>
    <x:mergeCell ref="C6:D8"/>
    <x:mergeCell ref="E5:F5"/>
    <x:mergeCell ref="E6:F8"/>
    <x:mergeCell ref="G5:H5"/>
    <x:mergeCell ref="G6:H8"/>
    <x:mergeCell ref="A10:H10"/>
    <x:mergeCell ref="A11:B11"/>
    <x:mergeCell ref="C11:D11"/>
    <x:mergeCell ref="E11:F11"/>
    <x:mergeCell ref="G11:H11"/>
    <x:mergeCell ref="A13:H13"/>
    <x:mergeCell ref="A14:H15"/>
    <x:mergeCell ref="A17:H17"/>
    <x:mergeCell ref="A18:B18"/>
    <x:mergeCell ref="C18:H18"/>
    <x:mergeCell ref="A19:B19"/>
    <x:mergeCell ref="C19:H19"/>
    <x:mergeCell ref="A20:B20"/>
    <x:mergeCell ref="C20:H20"/>
    <x:mergeCell ref="A21:B21"/>
    <x:mergeCell ref="C21:H21"/>
    <x:mergeCell ref="A23:H23"/>
    <x:mergeCell ref="A24:H26"/>
    <x:mergeCell ref="A27:H28"/>
    <x:mergeCell ref="A29:H29"/>
    <x:mergeCell ref="A31:H31"/>
  </x:mergeCells>
  <x:conditionalFormatting sqref="C11:D11">
    <x:cfRule type="containsText" dxfId="0" priority="1" operator="containsText" text="FAIL"/>
    <x:cfRule type="containsText" dxfId="1" priority="2" operator="containsText" text="PASS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23" hidden="0" customWidth="1"/>
    <x:col min="8" max="8" width="16" hidden="0" customWidth="1"/>
  </x:cols>
  <x:sheetData>
    <x:row r="1" ht="27" customHeight="1">
      <x:c r="A1" s="6" t="str">
        <x:v>CHECKS</x:v>
      </x:c>
      <x:c r="B1" s="6"/>
      <x:c r="C1" s="6"/>
      <x:c r="D1" s="6"/>
      <x:c r="E1" s="6"/>
      <x:c r="F1" s="6"/>
      <x:c r="G1" s="6"/>
      <x:c r="H1" s="6"/>
    </x:row>
    <x:row r="2" ht="27" customHeight="1">
      <x:c r="A2" s="6"/>
      <x:c r="B2" s="6"/>
      <x:c r="C2" s="6"/>
      <x:c r="D2" s="6"/>
      <x:c r="E2" s="6"/>
      <x:c r="F2" s="6"/>
      <x:c r="G2" s="6"/>
      <x:c r="H2" s="6"/>
    </x:row>
    <x:row r="3" ht="20" customHeight="1">
      <x:c r="A3" s="9" t="str">
        <x:v>Trading Comparables · Calculation controls only; business outcomes are shown separately</x:v>
      </x:c>
      <x:c r="B3" s="9"/>
      <x:c r="C3" s="9"/>
      <x:c r="D3" s="9"/>
      <x:c r="E3" s="9"/>
      <x:c r="F3" s="9"/>
      <x:c r="G3" s="9"/>
      <x:c r="H3" s="9"/>
    </x:row>
    <x:row r="4" ht="12" customHeight="1">
      <x:c r="A4" s="3"/>
      <x:c r="B4" s="249" t="str">
        <x:f>IF(COUNTIF(F9:F18,"PASS")=10,"PASS","FAIL")</x:f>
        <x:v>PASS</x:v>
      </x:c>
      <x:c r="C4" s="249"/>
      <x:c r="D4" s="249"/>
      <x:c r="E4" s="249"/>
      <x:c r="F4" s="249"/>
      <x:c r="G4" s="249"/>
      <x:c r="H4" s="249"/>
    </x:row>
    <x:row r="5" ht="20" customHeight="1">
      <x:c r="A5" s="63" t="str">
        <x:v>MODEL STATUS</x:v>
      </x:c>
      <x:c r="B5" s="63"/>
      <x:c r="C5" s="205" t="str">
        <x:f>B4</x:f>
        <x:v>PASS</x:v>
      </x:c>
      <x:c r="D5" s="251"/>
      <x:c r="E5" s="251"/>
      <x:c r="F5" s="251"/>
      <x:c r="G5" s="251"/>
      <x:c r="H5" s="206"/>
    </x:row>
    <x:row r="6" ht="20" customHeight="1">
      <x:c r="A6" s="3"/>
      <x:c r="B6" s="3"/>
      <x:c r="C6" s="3"/>
      <x:c r="D6" s="3"/>
      <x:c r="E6" s="3"/>
      <x:c r="F6" s="3"/>
      <x:c r="G6" s="3"/>
      <x:c r="H6" s="3"/>
    </x:row>
    <x:row r="7" ht="20" customHeight="1">
      <x:c r="A7" s="64" t="str">
        <x:v>10 CALCULATION CONTROLS</x:v>
      </x:c>
      <x:c r="B7" s="64"/>
      <x:c r="C7" s="64"/>
      <x:c r="D7" s="64"/>
      <x:c r="E7" s="64"/>
      <x:c r="F7" s="64"/>
      <x:c r="G7" s="64"/>
      <x:c r="H7" s="64"/>
    </x:row>
    <x:row r="8" ht="20" customHeight="1">
      <x:c r="A8" s="28" t="str">
        <x:v>Control</x:v>
      </x:c>
      <x:c r="B8" s="28" t="str">
        <x:v>Actual</x:v>
      </x:c>
      <x:c r="C8" s="28" t="str">
        <x:v>Expected</x:v>
      </x:c>
      <x:c r="D8" s="28" t="str">
        <x:v>Difference</x:v>
      </x:c>
      <x:c r="E8" s="28" t="str">
        <x:v>Tolerance</x:v>
      </x:c>
      <x:c r="F8" s="28" t="str">
        <x:v>Status</x:v>
      </x:c>
      <x:c r="G8" s="28" t="str">
        <x:v>Where to fix</x:v>
      </x:c>
      <x:c r="H8" s="28"/>
    </x:row>
    <x:row r="9" ht="26" customHeight="1">
      <x:c r="A9" s="238" t="str">
        <x:v>All editable inputs are numeric</x:v>
      </x:c>
      <x:c r="B9" s="254" t="n">
        <x:f>ROUND(COUNT('Inputs'!B10,'Inputs'!B11,'Inputs'!B12,'Inputs'!B13,'Inputs'!B14,'Inputs'!B15,'Inputs'!B16,'Inputs'!B17,'Inputs'!B18,'Inputs'!B19),6)</x:f>
        <x:v>10</x:v>
      </x:c>
      <x:c r="C9" s="254" t="n">
        <x:f>10</x:f>
        <x:v>10</x:v>
      </x:c>
      <x:c r="D9" s="254" t="n">
        <x:f>ROUND(B9-C9,6)</x:f>
        <x:v>0</x:v>
      </x:c>
      <x:c r="E9" s="254" t="n">
        <x:f>0</x:f>
        <x:v>0</x:v>
      </x:c>
      <x:c r="F9" s="255" t="str">
        <x:f>IF(ABS(ROUND(D9,6))&lt;=E9,"PASS","FAIL")</x:f>
        <x:v>PASS</x:v>
      </x:c>
      <x:c r="G9" s="238" t="str">
        <x:v>Complete the blue cells on Inputs</x:v>
      </x:c>
      <x:c r="H9" s="238"/>
    </x:row>
    <x:row r="10" ht="26" customHeight="1">
      <x:c r="A10" s="238" t="str">
        <x:v>Results headline KPIs reconcile to Model</x:v>
      </x:c>
      <x:c r="B10" s="258" t="n">
        <x:f>ROUND(IFERROR(SUM(ABS('Results'!A6-'Model'!A6),ABS('Results'!C6-'Model'!C6),ABS('Results'!E6-'Model'!E6),ABS('Results'!G6-'Model'!G6)),1E+99),6)</x:f>
        <x:v>0</x:v>
      </x:c>
      <x:c r="C10" s="258" t="n">
        <x:f>0</x:f>
        <x:v>0</x:v>
      </x:c>
      <x:c r="D10" s="258" t="n">
        <x:f>ROUND(B10-C10,6)</x:f>
        <x:v>0</x:v>
      </x:c>
      <x:c r="E10" s="258" t="n">
        <x:f>0.0001</x:f>
        <x:v>0.0001</x:v>
      </x:c>
      <x:c r="F10" s="255" t="str">
        <x:f>IF(ABS(ROUND(D10,6))&lt;=E10,"PASS","FAIL")</x:f>
        <x:v>PASS</x:v>
      </x:c>
      <x:c r="G10" s="238" t="str">
        <x:v>Review Results-to-Model links</x:v>
      </x:c>
      <x:c r="H10" s="238"/>
    </x:row>
    <x:row r="11" ht="26" customHeight="1">
      <x:c r="A11" s="238" t="str">
        <x:v>Peer and valuation inputs are valid</x:v>
      </x:c>
      <x:c r="B11" s="258" t="n">
        <x:f>ROUND(IF(AND(MIN('Inputs'!$B$10,'Inputs'!$B$11,'Inputs'!$B$12)&gt;0,'Inputs'!$B$13&gt;0,'Inputs'!$B$14&gt;-1,'Inputs'!$B$15&gt;0,'Inputs'!$B$16&gt;=0,'Inputs'!$B$17&gt;=0,'Inputs'!$B$18&gt;0,'Inputs'!$B$19&gt;0),1,0),6)</x:f>
        <x:v>1</x:v>
      </x:c>
      <x:c r="C11" s="258" t="n">
        <x:f>1</x:f>
        <x:v>1</x:v>
      </x:c>
      <x:c r="D11" s="258" t="n">
        <x:f>ROUND(B11-C11,6)</x:f>
        <x:v>0</x:v>
      </x:c>
      <x:c r="E11" s="258" t="n">
        <x:f>0.0001</x:f>
        <x:v>0.0001</x:v>
      </x:c>
      <x:c r="F11" s="255" t="str">
        <x:f>IF(ABS(ROUND(D11,6))&lt;=E11,"PASS","FAIL")</x:f>
        <x:v>PASS</x:v>
      </x:c>
      <x:c r="G11" s="238" t="str">
        <x:v>Inputs: peer, operating, and bridge assumptions</x:v>
      </x:c>
      <x:c r="H11" s="238"/>
    </x:row>
    <x:row r="12" ht="26" customHeight="1">
      <x:c r="A12" s="238" t="str">
        <x:v>Peer statistics are ordered</x:v>
      </x:c>
      <x:c r="B12" s="258" t="n">
        <x:f>ROUND(IF(AND('Model'!B15&lt;='Model'!B16,'Model'!B16&lt;='Model'!B17),1,0),6)</x:f>
        <x:v>1</x:v>
      </x:c>
      <x:c r="C12" s="258" t="n">
        <x:f>1</x:f>
        <x:v>1</x:v>
      </x:c>
      <x:c r="D12" s="258" t="n">
        <x:f>ROUND(B12-C12,6)</x:f>
        <x:v>0</x:v>
      </x:c>
      <x:c r="E12" s="258" t="n">
        <x:f>0.0001</x:f>
        <x:v>0.0001</x:v>
      </x:c>
      <x:c r="F12" s="255" t="str">
        <x:f>IF(ABS(ROUND(D12,6))&lt;=E12,"PASS","FAIL")</x:f>
        <x:v>PASS</x:v>
      </x:c>
      <x:c r="G12" s="238" t="str">
        <x:v>Model: peer calibration</x:v>
      </x:c>
      <x:c r="H12" s="238"/>
    </x:row>
    <x:row r="13" ht="26" customHeight="1">
      <x:c r="A13" s="238" t="str">
        <x:v>EBITDA roll-forward ties</x:v>
      </x:c>
      <x:c r="B13" s="261" t="n">
        <x:f>ROUND(MAX(ABS('Model'!C29),ABS('Model'!D29),ABS('Model'!E29),ABS('Model'!F29),ABS('Model'!G29)),6)</x:f>
        <x:v>0</x:v>
      </x:c>
      <x:c r="C13" s="261" t="n">
        <x:f>0</x:f>
        <x:v>0</x:v>
      </x:c>
      <x:c r="D13" s="261" t="n">
        <x:f>ROUND(B13-C13,6)</x:f>
        <x:v>0</x:v>
      </x:c>
      <x:c r="E13" s="261" t="n">
        <x:f>0.01</x:f>
        <x:v>0.01</x:v>
      </x:c>
      <x:c r="F13" s="255" t="str">
        <x:f>IF(ABS(ROUND(D13,6))&lt;=E13,"PASS","FAIL")</x:f>
        <x:v>PASS</x:v>
      </x:c>
      <x:c r="G13" s="238" t="str">
        <x:v>Model: EBITDA schedule</x:v>
      </x:c>
      <x:c r="H13" s="238"/>
    </x:row>
    <x:row r="14" ht="26" customHeight="1">
      <x:c r="A14" s="238" t="str">
        <x:v>Applied multiple ramp ties</x:v>
      </x:c>
      <x:c r="B14" s="264" t="n">
        <x:f>ROUND(MAX(ABS('Model'!C30),ABS('Model'!D30),ABS('Model'!E30),ABS('Model'!F30),ABS('Model'!G30)),6)</x:f>
        <x:v>0</x:v>
      </x:c>
      <x:c r="C14" s="264" t="n">
        <x:f>0</x:f>
        <x:v>0</x:v>
      </x:c>
      <x:c r="D14" s="264" t="n">
        <x:f>ROUND(B14-C14,6)</x:f>
        <x:v>0</x:v>
      </x:c>
      <x:c r="E14" s="264" t="n">
        <x:f>0.001</x:f>
        <x:v>0.001</x:v>
      </x:c>
      <x:c r="F14" s="255" t="str">
        <x:f>IF(ABS(ROUND(D14,6))&lt;=E14,"PASS","FAIL")</x:f>
        <x:v>PASS</x:v>
      </x:c>
      <x:c r="G14" s="238" t="str">
        <x:v>Model: multiple ramp</x:v>
      </x:c>
      <x:c r="H14" s="238"/>
    </x:row>
    <x:row r="15" ht="26" customHeight="1">
      <x:c r="A15" s="238" t="str">
        <x:v>Net-debt roll-forward ties</x:v>
      </x:c>
      <x:c r="B15" s="261" t="n">
        <x:f>ROUND(MAX(ABS('Model'!C31),ABS('Model'!D31),ABS('Model'!E31),ABS('Model'!F31),ABS('Model'!G31)),6)</x:f>
        <x:v>0</x:v>
      </x:c>
      <x:c r="C15" s="261" t="n">
        <x:f>0</x:f>
        <x:v>0</x:v>
      </x:c>
      <x:c r="D15" s="261" t="n">
        <x:f>ROUND(B15-C15,6)</x:f>
        <x:v>0</x:v>
      </x:c>
      <x:c r="E15" s="261" t="n">
        <x:f>0.01</x:f>
        <x:v>0.01</x:v>
      </x:c>
      <x:c r="F15" s="255" t="str">
        <x:f>IF(ABS(ROUND(D15,6))&lt;=E15,"PASS","FAIL")</x:f>
        <x:v>PASS</x:v>
      </x:c>
      <x:c r="G15" s="238" t="str">
        <x:v>Model: net-debt schedule</x:v>
      </x:c>
      <x:c r="H15" s="238"/>
    </x:row>
    <x:row r="16" ht="26" customHeight="1">
      <x:c r="A16" s="238" t="str">
        <x:v>EV and equity bridges tie</x:v>
      </x:c>
      <x:c r="B16" s="261" t="n">
        <x:f>ROUND(MAX(ABS('Model'!C32),ABS('Model'!D32),ABS('Model'!E32),ABS('Model'!F32),ABS('Model'!G32)),6)</x:f>
        <x:v>0</x:v>
      </x:c>
      <x:c r="C16" s="261" t="n">
        <x:f>0</x:f>
        <x:v>0</x:v>
      </x:c>
      <x:c r="D16" s="261" t="n">
        <x:f>ROUND(B16-C16,6)</x:f>
        <x:v>0</x:v>
      </x:c>
      <x:c r="E16" s="261" t="n">
        <x:f>0.01</x:f>
        <x:v>0.01</x:v>
      </x:c>
      <x:c r="F16" s="255" t="str">
        <x:f>IF(ABS(ROUND(D16,6))&lt;=E16,"PASS","FAIL")</x:f>
        <x:v>PASS</x:v>
      </x:c>
      <x:c r="G16" s="238" t="str">
        <x:v>Model: value bridge</x:v>
      </x:c>
      <x:c r="H16" s="238"/>
    </x:row>
    <x:row r="17" ht="26" customHeight="1">
      <x:c r="A17" s="238" t="str">
        <x:v>Per-share bridge ties</x:v>
      </x:c>
      <x:c r="B17" s="258" t="n">
        <x:f>ROUND(MAX(ABS('Model'!C33),ABS('Model'!D33),ABS('Model'!E33),ABS('Model'!F33),ABS('Model'!G33)),6)</x:f>
        <x:v>0</x:v>
      </x:c>
      <x:c r="C17" s="258" t="n">
        <x:f>0</x:f>
        <x:v>0</x:v>
      </x:c>
      <x:c r="D17" s="258" t="n">
        <x:f>ROUND(B17-C17,6)</x:f>
        <x:v>0</x:v>
      </x:c>
      <x:c r="E17" s="258" t="n">
        <x:f>0.001</x:f>
        <x:v>0.001</x:v>
      </x:c>
      <x:c r="F17" s="255" t="str">
        <x:f>IF(ABS(ROUND(D17,6))&lt;=E17,"PASS","FAIL")</x:f>
        <x:v>PASS</x:v>
      </x:c>
      <x:c r="G17" s="238" t="str">
        <x:v>Model: per-share bridge</x:v>
      </x:c>
      <x:c r="H17" s="238"/>
    </x:row>
    <x:row r="18" ht="26" customHeight="1">
      <x:c r="A18" s="238" t="str">
        <x:v>Year-5 endpoint ties</x:v>
      </x:c>
      <x:c r="B18" s="264" t="n">
        <x:f>ROUND('Model'!G22,6)</x:f>
        <x:v>18</x:v>
      </x:c>
      <x:c r="C18" s="264" t="n">
        <x:f>'Inputs'!$B$15</x:f>
        <x:v>18</x:v>
      </x:c>
      <x:c r="D18" s="264" t="n">
        <x:f>ROUND(B18-C18,6)</x:f>
        <x:v>0</x:v>
      </x:c>
      <x:c r="E18" s="264" t="n">
        <x:f>0.001</x:f>
        <x:v>0.001</x:v>
      </x:c>
      <x:c r="F18" s="255" t="str">
        <x:f>IF(ABS(ROUND(D18,6))&lt;=E18,"PASS","FAIL")</x:f>
        <x:v>PASS</x:v>
      </x:c>
      <x:c r="G18" s="238" t="str">
        <x:v>Inputs: Year-5 multiple</x:v>
      </x:c>
      <x:c r="H18" s="238"/>
    </x:row>
    <x:row r="19" ht="20" customHeight="1">
      <x:c r="A19" s="268" t="str">
        <x:v>A warning business outcome can still pass these controls; review Model and Results before making a decision.</x:v>
      </x:c>
      <x:c r="B19" s="269"/>
      <x:c r="C19" s="269"/>
      <x:c r="D19" s="269"/>
      <x:c r="E19" s="269"/>
      <x:c r="F19" s="269"/>
      <x:c r="G19" s="269"/>
      <x:c r="H19" s="270"/>
    </x:row>
    <x:row r="20" ht="20" customHeight="1">
      <x:c r="A20" s="63" t="str">
        <x:v>Trading Comparables · 10 / 10 controls should show PASS · v1.4.0</x:v>
      </x:c>
      <x:c r="B20" s="63"/>
      <x:c r="C20" s="63"/>
      <x:c r="D20" s="63"/>
      <x:c r="E20" s="63"/>
      <x:c r="F20" s="63"/>
      <x:c r="G20" s="63"/>
      <x:c r="H20" s="63"/>
    </x:row>
  </x:sheetData>
  <x:mergeCells>
    <x:mergeCell ref="A1:H2"/>
    <x:mergeCell ref="A3:H3"/>
    <x:mergeCell ref="B4:H4"/>
    <x:mergeCell ref="A5:B5"/>
    <x:mergeCell ref="C5:H5"/>
    <x:mergeCell ref="A7:H7"/>
    <x:mergeCell ref="G8:H8"/>
    <x:mergeCell ref="G9:H9"/>
    <x:mergeCell ref="G10:H10"/>
    <x:mergeCell ref="G11:H11"/>
    <x:mergeCell ref="G12:H12"/>
    <x:mergeCell ref="G13:H13"/>
    <x:mergeCell ref="G14:H14"/>
    <x:mergeCell ref="G15:H15"/>
    <x:mergeCell ref="G16:H16"/>
    <x:mergeCell ref="G17:H17"/>
    <x:mergeCell ref="G18:H18"/>
    <x:mergeCell ref="A19:H19"/>
    <x:mergeCell ref="A20:H20"/>
  </x:mergeCells>
  <x:conditionalFormatting sqref="C5:H5">
    <x:cfRule type="containsText" dxfId="2" priority="1" operator="containsText" text="FAIL"/>
    <x:cfRule type="containsText" dxfId="3" priority="2" operator="containsText" text="PASS"/>
  </x:conditionalFormatting>
  <x:conditionalFormatting sqref="F9:F9">
    <x:cfRule type="containsText" dxfId="4" priority="3" operator="containsText" text="FAIL"/>
    <x:cfRule type="containsText" dxfId="5" priority="4" operator="containsText" text="PASS"/>
  </x:conditionalFormatting>
  <x:conditionalFormatting sqref="F10:F10">
    <x:cfRule type="containsText" dxfId="6" priority="5" operator="containsText" text="FAIL"/>
    <x:cfRule type="containsText" dxfId="7" priority="6" operator="containsText" text="PASS"/>
  </x:conditionalFormatting>
  <x:conditionalFormatting sqref="F11:F11">
    <x:cfRule type="containsText" dxfId="8" priority="7" operator="containsText" text="FAIL"/>
    <x:cfRule type="containsText" dxfId="9" priority="8" operator="containsText" text="PASS"/>
  </x:conditionalFormatting>
  <x:conditionalFormatting sqref="F12:F12">
    <x:cfRule type="containsText" dxfId="10" priority="9" operator="containsText" text="FAIL"/>
    <x:cfRule type="containsText" dxfId="11" priority="10" operator="containsText" text="PASS"/>
  </x:conditionalFormatting>
  <x:conditionalFormatting sqref="F13:F13">
    <x:cfRule type="containsText" dxfId="12" priority="11" operator="containsText" text="FAIL"/>
    <x:cfRule type="containsText" dxfId="13" priority="12" operator="containsText" text="PASS"/>
  </x:conditionalFormatting>
  <x:conditionalFormatting sqref="F14:F14">
    <x:cfRule type="containsText" dxfId="14" priority="13" operator="containsText" text="FAIL"/>
    <x:cfRule type="containsText" dxfId="15" priority="14" operator="containsText" text="PASS"/>
  </x:conditionalFormatting>
  <x:conditionalFormatting sqref="F15:F15">
    <x:cfRule type="containsText" dxfId="16" priority="15" operator="containsText" text="FAIL"/>
    <x:cfRule type="containsText" dxfId="17" priority="16" operator="containsText" text="PASS"/>
  </x:conditionalFormatting>
  <x:conditionalFormatting sqref="F16:F16">
    <x:cfRule type="containsText" dxfId="18" priority="17" operator="containsText" text="FAIL"/>
    <x:cfRule type="containsText" dxfId="19" priority="18" operator="containsText" text="PASS"/>
  </x:conditionalFormatting>
  <x:conditionalFormatting sqref="F17:F17">
    <x:cfRule type="containsText" dxfId="20" priority="19" operator="containsText" text="FAIL"/>
    <x:cfRule type="containsText" dxfId="21" priority="20" operator="containsText" text="PASS"/>
  </x:conditionalFormatting>
  <x:conditionalFormatting sqref="F18:F18">
    <x:cfRule type="containsText" dxfId="22" priority="21" operator="containsText" text="FAIL"/>
    <x:cfRule type="containsText" dxfId="23" priority="22" operator="containsText" text="PASS"/>
  </x:conditionalFormatting>
  <x:pageMargins left="0.7" right="0.7" top="0.75" bottom="0.75" header="0.3" footer="0.3"/>
</x:worksheet>
</file>