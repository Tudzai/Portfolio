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a0c9f7121444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6c321e0296d046b2"/>
    <x:sheet xmlns:r="http://schemas.openxmlformats.org/officeDocument/2006/relationships" name="Guide" sheetId="2" r:id="R16bbb691ee264cd3"/>
    <x:sheet xmlns:r="http://schemas.openxmlformats.org/officeDocument/2006/relationships" name="Assumptions" sheetId="3" r:id="R1f59deb3133a45a6"/>
    <x:sheet xmlns:r="http://schemas.openxmlformats.org/officeDocument/2006/relationships" name="Actual Budget Data" sheetId="4" r:id="Ra3df6cf2e5ce44d6"/>
    <x:sheet xmlns:r="http://schemas.openxmlformats.org/officeDocument/2006/relationships" name="Variance Bridge" sheetId="5" r:id="Rf223a06aa8b6454c"/>
    <x:sheet xmlns:r="http://schemas.openxmlformats.org/officeDocument/2006/relationships" name="Sensitivity" sheetId="6" r:id="Ra226d5e983534084"/>
    <x:sheet xmlns:r="http://schemas.openxmlformats.org/officeDocument/2006/relationships" name="Summary" sheetId="7" r:id="R026daf18b3274650"/>
    <x:sheet xmlns:r="http://schemas.openxmlformats.org/officeDocument/2006/relationships" name="Checks" sheetId="8" r:id="Rb70a3157d9164de0"/>
    <x:sheet xmlns:r="http://schemas.openxmlformats.org/officeDocument/2006/relationships" name="Sources &amp; Version" sheetId="9" r:id="R78416c0c983f4f0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;(0.0%);-"/>
    <x:numFmt numFmtId="201" formatCode="#,##0.0;(#,##0.0);-"/>
    <x:numFmt numFmtId="202" formatCode="#,##0;(#,##0);-"/>
    <x:numFmt numFmtId="203" formatCode="0.00;(0.00);-"/>
  </x:numFmts>
  <x:fonts count="36">
    <x:font>
      <x:sz val="11"/>
      <x:name val="Carlito"/>
    </x:font>
    <x:font>
      <x:b/>
      <x:sz val="20"/>
      <x:color rgb="FFFFFFFF"/>
      <x:name val="Aptos Display"/>
    </x:font>
    <x:font>
      <x:sz val="9"/>
      <x:color rgb="FFDCE6F2"/>
      <x:name val="Aptos"/>
    </x:font>
    <x:font>
      <x:b/>
      <x:sz val="10"/>
      <x:color rgb="FFFFFFFF"/>
      <x:name val="Aptos"/>
    </x:font>
    <x:font>
      <x:sz val="10"/>
      <x:color rgb="FF101827"/>
      <x:name val="Carlito"/>
    </x:font>
    <x:font>
      <x:b/>
      <x:sz val="11"/>
      <x:color rgb="FFFFFFFF"/>
      <x:name val="Carlito"/>
    </x:font>
    <x:font>
      <x:b/>
      <x:sz val="11"/>
      <x:color rgb="FF101827"/>
      <x:name val="Carlito"/>
    </x:font>
    <x:font>
      <x:sz val="9"/>
      <x:color rgb="FF5B687A"/>
      <x:name val="Carlito"/>
    </x:font>
    <x:font>
      <x:b/>
      <x:sz val="11"/>
      <x:color rgb="FF075CCF"/>
      <x:name val="Carlito"/>
    </x:font>
    <x:font>
      <x:sz val="9"/>
      <x:color rgb="FF8A5A00"/>
      <x:name val="Aptos"/>
    </x:font>
    <x:font>
      <x:b/>
      <x:sz val="9"/>
      <x:color rgb="FFFFFFFF"/>
      <x:name val="Aptos"/>
    </x:font>
    <x:font>
      <x:b/>
      <x:sz val="11"/>
      <x:color rgb="FF8A5A00"/>
      <x:name val="Carlito"/>
    </x:font>
    <x:font>
      <x:sz val="10"/>
      <x:color rgb="FF0000FF"/>
      <x:name val="Aptos"/>
    </x:font>
    <x:font>
      <x:sz val="10"/>
      <x:color rgb="FF000000"/>
      <x:name val="Aptos"/>
    </x:font>
    <x:font>
      <x:sz val="11"/>
      <x:color rgb="FF101827"/>
      <x:name val="Carlito"/>
    </x:font>
    <x:font>
      <x:sz val="11"/>
      <x:color rgb="FF101827"/>
      <x:name val="Carlito"/>
    </x:font>
    <x:font>
      <x:sz val="10"/>
      <x:color rgb="FF008000"/>
      <x:name val="Aptos"/>
    </x:font>
    <x:font>
      <x:b/>
      <x:sz val="9"/>
      <x:color rgb="FFFFFFFF"/>
      <x:name val="Carlito"/>
    </x:font>
    <x:font>
      <x:b/>
      <x:sz val="18"/>
      <x:color rgb="FF075CCF"/>
      <x:name val="Aptos"/>
    </x:font>
    <x:font>
      <x:b/>
      <x:sz val="18"/>
      <x:color rgb="FF0F9F8F"/>
      <x:name val="Aptos"/>
    </x:font>
    <x:font>
      <x:b/>
      <x:sz val="8"/>
      <x:color rgb="FFFFFFFF"/>
      <x:name val="Carlito"/>
    </x:font>
    <x:font>
      <x:b/>
      <x:sz val="14"/>
      <x:color rgb="FF0F9F8F"/>
      <x:name val="Carlito"/>
    </x:font>
    <x:font>
      <x:b/>
      <x:sz val="12"/>
      <x:color rgb="FF8A5A00"/>
      <x:name val="Carlito"/>
    </x:font>
    <x:font>
      <x:sz val="11"/>
      <x:color rgb="FF008000"/>
      <x:name val="Carlito"/>
    </x:font>
    <x:font>
      <x:b/>
      <x:sz val="9"/>
      <x:color rgb="FF075CCF"/>
      <x:name val="Carlito"/>
    </x:font>
    <x:font>
      <x:b/>
      <x:sz val="16"/>
      <x:color rgb="FF0F9F8F"/>
      <x:name val="Carlito"/>
    </x:font>
    <x:font>
      <x:b/>
      <x:sz val="11"/>
      <x:color rgb="FF0F9F8F"/>
      <x:name val="Carlito"/>
    </x:font>
    <x:font>
      <x:b/>
      <x:sz val="11"/>
      <x:color rgb="FF5B687A"/>
      <x:name val="Carlito"/>
    </x:font>
    <x:font>
      <x:b/>
      <x:sz val="22"/>
      <x:color rgb="FF101827"/>
      <x:name val="Aptos Display"/>
    </x:font>
    <x:font>
      <x:b/>
      <x:sz val="20"/>
      <x:color rgb="FF0F9F8F"/>
      <x:name val="Carlito"/>
    </x:font>
    <x:font>
      <x:b/>
      <x:sz val="11"/>
      <x:color rgb="FF008000"/>
      <x:name val="Carlito"/>
    </x:font>
    <x:font>
      <x:b/>
      <x:sz val="11"/>
      <x:color rgb="FF075CCF"/>
      <x:name val="Aptos"/>
    </x:font>
    <x:font>
      <x:sz val="9"/>
      <x:color rgb="FF101827"/>
      <x:name val="Carlito"/>
    </x:font>
    <x:font>
      <x:b/>
      <x:sz val="9"/>
      <x:color rgb="FF0000FF"/>
      <x:name val="Carlito"/>
    </x:font>
    <x:font>
      <x:b/>
      <x:sz val="9"/>
      <x:color rgb="FF000000"/>
      <x:name val="Carlito"/>
    </x:font>
    <x:font>
      <x:b/>
      <x:sz val="9"/>
      <x:color rgb="FF008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7111F"/>
      </x:patternFill>
    </x:fill>
    <x:fill>
      <x:patternFill patternType="solid">
        <x:fgColor rgb="FF101827"/>
      </x:patternFill>
    </x:fill>
    <x:fill>
      <x:patternFill patternType="solid">
        <x:fgColor rgb="FF1479FF"/>
      </x:patternFill>
    </x:fill>
    <x:fill>
      <x:patternFill patternType="solid">
        <x:fgColor rgb="FFEEF5FF"/>
      </x:patternFill>
    </x:fill>
    <x:fill>
      <x:patternFill patternType="solid">
        <x:fgColor rgb="FFF7F9FC"/>
      </x:patternFill>
    </x:fill>
    <x:fill>
      <x:patternFill patternType="solid">
        <x:fgColor rgb="FFFFF4DB"/>
      </x:patternFill>
    </x:fill>
    <x:fill>
      <x:patternFill patternType="solid">
        <x:fgColor rgb="FFE5F6F3"/>
      </x:patternFill>
    </x:fill>
    <x:fill>
      <x:patternFill patternType="solid">
        <x:fgColor rgb="FFFFFFFF"/>
      </x:patternFill>
    </x:fill>
  </x:fills>
  <x:borders count="25">
    <x:border/>
    <x:border>
      <x:left style="thin">
        <x:color rgb="FFC88922"/>
      </x:left>
      <x:top style="thin">
        <x:color rgb="FFC88922"/>
      </x:top>
    </x:border>
    <x:border>
      <x:top style="thin">
        <x:color rgb="FFC88922"/>
      </x:top>
    </x:border>
    <x:border>
      <x:right style="thin">
        <x:color rgb="FFC88922"/>
      </x:right>
      <x:top style="thin">
        <x:color rgb="FFC88922"/>
      </x:top>
    </x:border>
    <x:border>
      <x:left style="thin">
        <x:color rgb="FFC88922"/>
      </x:left>
    </x:border>
    <x:border>
      <x:right style="thin">
        <x:color rgb="FFC88922"/>
      </x:right>
    </x:border>
    <x:border>
      <x:left style="thin">
        <x:color rgb="FFC88922"/>
      </x:left>
      <x:bottom style="thin">
        <x:color rgb="FFC88922"/>
      </x:bottom>
    </x:border>
    <x:border>
      <x:bottom style="thin">
        <x:color rgb="FFC88922"/>
      </x:bottom>
    </x:border>
    <x:border>
      <x:right style="thin">
        <x:color rgb="FFC88922"/>
      </x:right>
      <x:bottom style="thin">
        <x:color rgb="FFC88922"/>
      </x:bottom>
    </x:border>
    <x:border>
      <x:right style="thin">
        <x:color rgb="FFDBE4EF"/>
      </x:right>
    </x:border>
    <x:border>
      <x:left style="thin">
        <x:color rgb="FFDBE4EF"/>
      </x:left>
      <x:right style="thin">
        <x:color rgb="FFDBE4EF"/>
      </x:right>
    </x:border>
    <x:border>
      <x:left style="thin">
        <x:color rgb="FFDBE4EF"/>
      </x:left>
    </x:border>
    <x:border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bottom style="thin">
        <x:color rgb="FFDBE4EF"/>
      </x:bottom>
    </x:border>
    <x:border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top style="thin">
        <x:color rgb="FFDBE4EF"/>
      </x:top>
      <x:bottom style="thin">
        <x:color rgb="FFDBE4EF"/>
      </x:bottom>
    </x:border>
    <x:border>
      <x:right style="thin">
        <x:color rgb="FFDBE4EF"/>
      </x:right>
      <x:top style="thin">
        <x:color rgb="FFDBE4EF"/>
      </x:top>
    </x:border>
    <x:border>
      <x:left style="thin">
        <x:color rgb="FFDBE4EF"/>
      </x:left>
      <x:right style="thin">
        <x:color rgb="FFDBE4EF"/>
      </x:right>
      <x:top style="thin">
        <x:color rgb="FFDBE4EF"/>
      </x:top>
    </x:border>
    <x:border>
      <x:left style="thin">
        <x:color rgb="FFDBE4EF"/>
      </x:left>
      <x:top style="thin">
        <x:color rgb="FFDBE4EF"/>
      </x:top>
    </x:border>
    <x:border>
      <x:bottom style="thin">
        <x:color rgb="FFDBE4EF"/>
      </x:bottom>
    </x:border>
    <x:border>
      <x:top style="thin">
        <x:color rgb="FFDBE4EF"/>
      </x:top>
      <x:bottom style="thin">
        <x:color rgb="FFDBE4EF"/>
      </x:bottom>
    </x:border>
    <x:border>
      <x:top style="thin">
        <x:color rgb="FFDBE4EF"/>
      </x:top>
    </x:border>
    <x:border>
      <x:top style="thin">
        <x:color rgb="FF101827"/>
      </x:top>
    </x:border>
  </x:borders>
  <x:cellStyleXfs count="1">
    <x:xf numFmtId="0" fontId="0" fillId="0" borderId="0"/>
  </x:cellStyleXfs>
  <x:cellXfs count="28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3" xfId="0" applyNumberFormat="1" applyFont="1" applyFill="1" applyBorder="1"/>
    <x:xf numFmtId="0" fontId="9" fillId="7" borderId="4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wrapText="1"/>
    </x:xf>
    <x:xf numFmtId="0" fontId="9" fillId="7" borderId="3" xfId="0" applyNumberFormat="1" applyFont="1" applyFill="1" applyBorder="1" applyAlignment="1">
      <x:alignment wrapText="1"/>
    </x:xf>
    <x:xf numFmtId="0" fontId="9" fillId="7" borderId="4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9" fillId="7" borderId="5" xfId="0" applyNumberFormat="1" applyFont="1" applyFill="1" applyBorder="1" applyAlignment="1">
      <x:alignment wrapText="1"/>
    </x:xf>
    <x:xf numFmtId="0" fontId="9" fillId="7" borderId="6" xfId="0" applyNumberFormat="1" applyFont="1" applyFill="1" applyBorder="1" applyAlignment="1">
      <x:alignment wrapText="1"/>
    </x:xf>
    <x:xf numFmtId="0" fontId="9" fillId="7" borderId="7" xfId="0" applyNumberFormat="1" applyFont="1" applyFill="1" applyBorder="1" applyAlignment="1">
      <x:alignment wrapText="1"/>
    </x:xf>
    <x:xf numFmtId="0" fontId="9" fillId="7" borderId="8" xfId="0" applyNumberFormat="1" applyFont="1" applyFill="1" applyBorder="1" applyAlignment="1">
      <x:alignment wrapText="1"/>
    </x:xf>
    <x:xf numFmtId="0" fontId="9" fillId="7" borderId="1" xfId="0" applyNumberFormat="1" applyFont="1" applyFill="1" applyBorder="1" applyAlignment="1">
      <x:alignment vertical="center" wrapText="1"/>
    </x:xf>
    <x:xf numFmtId="0" fontId="9" fillId="7" borderId="2" xfId="0" applyNumberFormat="1" applyFont="1" applyFill="1" applyBorder="1" applyAlignment="1">
      <x:alignment vertical="center" wrapText="1"/>
    </x:xf>
    <x:xf numFmtId="0" fontId="9" fillId="7" borderId="3" xfId="0" applyNumberFormat="1" applyFont="1" applyFill="1" applyBorder="1" applyAlignment="1">
      <x:alignment vertical="center" wrapText="1"/>
    </x:xf>
    <x:xf numFmtId="0" fontId="9" fillId="7" borderId="4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5" xfId="0" applyNumberFormat="1" applyFont="1" applyFill="1" applyBorder="1" applyAlignment="1">
      <x:alignment vertical="center" wrapText="1"/>
    </x:xf>
    <x:xf numFmtId="0" fontId="9" fillId="7" borderId="6" xfId="0" applyNumberFormat="1" applyFont="1" applyFill="1" applyBorder="1" applyAlignment="1">
      <x:alignment vertical="center" wrapText="1"/>
    </x:xf>
    <x:xf numFmtId="0" fontId="9" fillId="7" borderId="7" xfId="0" applyNumberFormat="1" applyFont="1" applyFill="1" applyBorder="1" applyAlignment="1">
      <x:alignment vertical="center" wrapText="1"/>
    </x:xf>
    <x:xf numFmtId="0" fontId="9" fillId="7" borderId="8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horizontal="center"/>
    </x:xf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12" fillId="5" borderId="0" xfId="0" applyNumberFormat="1" applyFont="1" applyFill="1" applyBorder="1"/>
    <x:xf numFmtId="200" fontId="12" fillId="5" borderId="0" xfId="0" applyNumberFormat="1" applyFont="1" applyFill="1" applyBorder="1"/>
    <x:xf numFmtId="200" fontId="12" fillId="5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200" fontId="13" fillId="0" borderId="0" xfId="0" applyNumberFormat="1" applyFont="1" applyFill="1" applyBorder="1"/>
    <x:xf numFmtId="200" fontId="13" fillId="0" borderId="0" xfId="0" applyNumberFormat="1" applyFont="1" applyFill="1" applyBorder="1" applyAlignment="1">
      <x:alignment horizontal="right"/>
    </x:xf>
    <x:xf numFmtId="201" fontId="12" fillId="5" borderId="0" xfId="0" applyNumberFormat="1" applyFont="1" applyFill="1" applyBorder="1"/>
    <x:xf numFmtId="201" fontId="12" fillId="5" borderId="0" xfId="0" applyNumberFormat="1" applyFont="1" applyFill="1" applyBorder="1" applyAlignment="1">
      <x:alignment horizontal="right"/>
    </x:xf>
    <x:xf numFmtId="201" fontId="13" fillId="0" borderId="0" xfId="0" applyNumberFormat="1" applyFont="1" applyFill="1" applyBorder="1"/>
    <x:xf numFmtId="201" fontId="13" fillId="0" borderId="0" xfId="0" applyNumberFormat="1" applyFont="1" applyFill="1" applyBorder="1" applyAlignment="1">
      <x:alignment horizontal="right"/>
    </x:xf>
    <x:xf numFmtId="0" fontId="14" fillId="0" borderId="0" xfId="0" applyNumberFormat="1" applyFont="1" applyFill="1" applyBorder="1"/>
    <x:xf numFmtId="0" fontId="14" fillId="0" borderId="12" xfId="0" applyNumberFormat="1" applyFont="1" applyFill="1" applyBorder="1"/>
    <x:xf numFmtId="0" fontId="14" fillId="0" borderId="13" xfId="0" applyNumberFormat="1" applyFont="1" applyFill="1" applyBorder="1"/>
    <x:xf numFmtId="200" fontId="12" fillId="5" borderId="13" xfId="0" applyNumberFormat="1" applyFont="1" applyFill="1" applyBorder="1" applyAlignment="1">
      <x:alignment horizontal="right"/>
    </x:xf>
    <x:xf numFmtId="200" fontId="13" fillId="0" borderId="13" xfId="0" applyNumberFormat="1" applyFont="1" applyFill="1" applyBorder="1" applyAlignment="1">
      <x:alignment horizontal="right"/>
    </x:xf>
    <x:xf numFmtId="0" fontId="7" fillId="0" borderId="14" xfId="0" applyNumberFormat="1" applyFont="1" applyFill="1" applyBorder="1" applyAlignment="1">
      <x:alignment wrapText="1"/>
    </x:xf>
    <x:xf numFmtId="0" fontId="14" fillId="0" borderId="15" xfId="0" applyNumberFormat="1" applyFont="1" applyFill="1" applyBorder="1"/>
    <x:xf numFmtId="0" fontId="14" fillId="0" borderId="16" xfId="0" applyNumberFormat="1" applyFont="1" applyFill="1" applyBorder="1"/>
    <x:xf numFmtId="200" fontId="12" fillId="5" borderId="16" xfId="0" applyNumberFormat="1" applyFont="1" applyFill="1" applyBorder="1" applyAlignment="1">
      <x:alignment horizontal="right"/>
    </x:xf>
    <x:xf numFmtId="200" fontId="13" fillId="0" borderId="16" xfId="0" applyNumberFormat="1" applyFont="1" applyFill="1" applyBorder="1" applyAlignment="1">
      <x:alignment horizontal="right"/>
    </x:xf>
    <x:xf numFmtId="0" fontId="7" fillId="0" borderId="17" xfId="0" applyNumberFormat="1" applyFont="1" applyFill="1" applyBorder="1" applyAlignment="1">
      <x:alignment wrapText="1"/>
    </x:xf>
    <x:xf numFmtId="0" fontId="14" fillId="0" borderId="18" xfId="0" applyNumberFormat="1" applyFont="1" applyFill="1" applyBorder="1"/>
    <x:xf numFmtId="0" fontId="14" fillId="0" borderId="19" xfId="0" applyNumberFormat="1" applyFont="1" applyFill="1" applyBorder="1"/>
    <x:xf numFmtId="201" fontId="12" fillId="5" borderId="19" xfId="0" applyNumberFormat="1" applyFont="1" applyFill="1" applyBorder="1" applyAlignment="1">
      <x:alignment horizontal="right"/>
    </x:xf>
    <x:xf numFmtId="201" fontId="13" fillId="0" borderId="19" xfId="0" applyNumberFormat="1" applyFont="1" applyFill="1" applyBorder="1" applyAlignment="1">
      <x:alignment horizontal="right"/>
    </x:xf>
    <x:xf numFmtId="0" fontId="7" fillId="0" borderId="20" xfId="0" applyNumberFormat="1" applyFont="1" applyFill="1" applyBorder="1" applyAlignment="1">
      <x:alignment wrapText="1"/>
    </x:xf>
    <x:xf numFmtId="202" fontId="12" fillId="5" borderId="0" xfId="0" applyNumberFormat="1" applyFont="1" applyFill="1" applyBorder="1"/>
    <x:xf numFmtId="202" fontId="12" fillId="5" borderId="0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/>
    <x:xf numFmtId="203" fontId="12" fillId="5" borderId="0" xfId="0" applyNumberFormat="1" applyFont="1" applyFill="1" applyBorder="1"/>
    <x:xf numFmtId="203" fontId="12" fillId="5" borderId="0" xfId="0" applyNumberFormat="1" applyFont="1" applyFill="1" applyBorder="1" applyAlignment="1">
      <x:alignment horizontal="right"/>
    </x:xf>
    <x:xf numFmtId="0" fontId="15" fillId="0" borderId="21" xfId="0" applyNumberFormat="1" applyFont="1" applyFill="1" applyBorder="1"/>
    <x:xf numFmtId="202" fontId="12" fillId="5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/>
    <x:xf numFmtId="203" fontId="12" fillId="5" borderId="22" xfId="0" applyNumberFormat="1" applyFont="1" applyFill="1" applyBorder="1" applyAlignment="1">
      <x:alignment horizontal="right"/>
    </x:xf>
    <x:xf numFmtId="202" fontId="12" fillId="5" borderId="22" xfId="0" applyNumberFormat="1" applyFont="1" applyFill="1" applyBorder="1" applyAlignment="1">
      <x:alignment horizontal="right"/>
    </x:xf>
    <x:xf numFmtId="201" fontId="12" fillId="5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/>
    <x:xf numFmtId="201" fontId="12" fillId="5" borderId="23" xfId="0" applyNumberFormat="1" applyFont="1" applyFill="1" applyBorder="1" applyAlignment="1">
      <x:alignment horizontal="right"/>
    </x:xf>
    <x:xf numFmtId="0" fontId="16" fillId="0" borderId="0" xfId="0" applyNumberFormat="1" applyFont="1" applyFill="1" applyBorder="1"/>
    <x:xf numFmtId="202" fontId="16" fillId="0" borderId="0" xfId="0" applyNumberFormat="1" applyFont="1" applyFill="1" applyBorder="1"/>
    <x:xf numFmtId="202" fontId="16" fillId="0" borderId="0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 applyAlignment="1">
      <x:alignment wrapText="1"/>
    </x:xf>
    <x:xf numFmtId="203" fontId="16" fillId="0" borderId="0" xfId="0" applyNumberFormat="1" applyFont="1" applyFill="1" applyBorder="1"/>
    <x:xf numFmtId="203" fontId="16" fillId="0" borderId="0" xfId="0" applyNumberFormat="1" applyFont="1" applyFill="1" applyBorder="1" applyAlignment="1">
      <x:alignment horizontal="right"/>
    </x:xf>
    <x:xf numFmtId="201" fontId="16" fillId="0" borderId="0" xfId="0" applyNumberFormat="1" applyFont="1" applyFill="1" applyBorder="1"/>
    <x:xf numFmtId="201" fontId="16" fillId="0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 applyAlignment="1">
      <x:alignment wrapText="1"/>
    </x:xf>
    <x:xf numFmtId="0" fontId="6" fillId="0" borderId="24" xfId="0" applyNumberFormat="1" applyFont="1" applyFill="1" applyBorder="1" applyAlignment="1">
      <x:alignment wrapText="1"/>
    </x:xf>
    <x:xf numFmtId="201" fontId="13" fillId="0" borderId="24" xfId="0" applyNumberFormat="1" applyFont="1" applyFill="1" applyBorder="1" applyAlignment="1">
      <x:alignment horizontal="right"/>
    </x:xf>
    <x:xf numFmtId="0" fontId="6" fillId="6" borderId="24" xfId="0" applyNumberFormat="1" applyFont="1" applyFill="1" applyBorder="1" applyAlignment="1">
      <x:alignment wrapText="1"/>
    </x:xf>
    <x:xf numFmtId="201" fontId="13" fillId="6" borderId="24" xfId="0" applyNumberFormat="1" applyFont="1" applyFill="1" applyBorder="1" applyAlignment="1">
      <x:alignment horizontal="right"/>
    </x:xf>
    <x:xf numFmtId="0" fontId="6" fillId="8" borderId="24" xfId="0" applyNumberFormat="1" applyFont="1" applyFill="1" applyBorder="1" applyAlignment="1">
      <x:alignment wrapText="1"/>
    </x:xf>
    <x:xf numFmtId="201" fontId="13" fillId="8" borderId="24" xfId="0" applyNumberFormat="1" applyFont="1" applyFill="1" applyBorder="1" applyAlignment="1">
      <x:alignment horizontal="right"/>
    </x:xf>
    <x:xf numFmtId="0" fontId="15" fillId="0" borderId="21" xfId="0" applyNumberFormat="1" applyFont="1" applyFill="1" applyBorder="1" applyAlignment="1">
      <x:alignment wrapText="1"/>
    </x:xf>
    <x:xf numFmtId="202" fontId="16" fillId="0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 applyAlignment="1">
      <x:alignment wrapText="1"/>
    </x:xf>
    <x:xf numFmtId="203" fontId="16" fillId="0" borderId="22" xfId="0" applyNumberFormat="1" applyFont="1" applyFill="1" applyBorder="1" applyAlignment="1">
      <x:alignment horizontal="right"/>
    </x:xf>
    <x:xf numFmtId="201" fontId="13" fillId="0" borderId="22" xfId="0" applyNumberFormat="1" applyFont="1" applyFill="1" applyBorder="1" applyAlignment="1">
      <x:alignment horizontal="right"/>
    </x:xf>
    <x:xf numFmtId="201" fontId="16" fillId="0" borderId="22" xfId="0" applyNumberFormat="1" applyFont="1" applyFill="1" applyBorder="1" applyAlignment="1">
      <x:alignment horizontal="right"/>
    </x:xf>
    <x:xf numFmtId="0" fontId="6" fillId="6" borderId="22" xfId="0" applyNumberFormat="1" applyFont="1" applyFill="1" applyBorder="1" applyAlignment="1">
      <x:alignment wrapText="1"/>
    </x:xf>
    <x:xf numFmtId="201" fontId="13" fillId="6" borderId="22" xfId="0" applyNumberFormat="1" applyFont="1" applyFill="1" applyBorder="1" applyAlignment="1">
      <x:alignment horizontal="right"/>
    </x:xf>
    <x:xf numFmtId="0" fontId="6" fillId="8" borderId="22" xfId="0" applyNumberFormat="1" applyFont="1" applyFill="1" applyBorder="1" applyAlignment="1">
      <x:alignment wrapText="1"/>
    </x:xf>
    <x:xf numFmtId="201" fontId="13" fillId="8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 applyAlignment="1">
      <x:alignment wrapText="1"/>
    </x:xf>
    <x:xf numFmtId="200" fontId="13" fillId="0" borderId="23" xfId="0" applyNumberFormat="1" applyFont="1" applyFill="1" applyBorder="1" applyAlignment="1">
      <x:alignment horizontal="right"/>
    </x:xf>
    <x:xf numFmtId="0" fontId="5" fillId="3" borderId="0" xfId="0" applyNumberFormat="1" applyFont="1" applyFill="1" applyBorder="1" applyAlignment="1">
      <x:alignment horizontal="center"/>
    </x:xf>
    <x:xf numFmtId="201" fontId="16" fillId="6" borderId="0" xfId="0" applyNumberFormat="1" applyFont="1" applyFill="1" applyBorder="1" applyAlignment="1">
      <x:alignment horizontal="right"/>
    </x:xf>
    <x:xf numFmtId="201" fontId="16" fillId="6" borderId="16" xfId="0" applyNumberFormat="1" applyFont="1" applyFill="1" applyBorder="1" applyAlignment="1">
      <x:alignment horizontal="right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17" fillId="3" borderId="0" xfId="0" applyNumberFormat="1" applyFont="1" applyFill="1" applyBorder="1"/>
    <x:xf numFmtId="0" fontId="17" fillId="3" borderId="0" xfId="0" applyNumberFormat="1" applyFont="1" applyFill="1" applyBorder="1" applyAlignment="1">
      <x:alignment horizontal="center"/>
    </x:xf>
    <x:xf numFmtId="201" fontId="16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center"/>
    </x:xf>
    <x:xf numFmtId="201" fontId="18" fillId="5" borderId="0" xfId="0" applyNumberFormat="1" applyFont="1" applyFill="1" applyBorder="1" applyAlignment="1">
      <x:alignment horizontal="center" vertical="center"/>
    </x:xf>
    <x:xf numFmtId="201" fontId="16" fillId="8" borderId="0" xfId="0" applyNumberFormat="1" applyFont="1" applyFill="1" applyBorder="1" applyAlignment="1">
      <x:alignment horizontal="right"/>
    </x:xf>
    <x:xf numFmtId="201" fontId="19" fillId="8" borderId="0" xfId="0" applyNumberFormat="1" applyFont="1" applyFill="1" applyBorder="1" applyAlignment="1">
      <x:alignment horizontal="right"/>
    </x:xf>
    <x:xf numFmtId="201" fontId="19" fillId="8" borderId="0" xfId="0" applyNumberFormat="1" applyFont="1" applyFill="1" applyBorder="1" applyAlignment="1">
      <x:alignment horizontal="center"/>
    </x:xf>
    <x:xf numFmtId="201" fontId="19" fillId="8" borderId="0" xfId="0" applyNumberFormat="1" applyFont="1" applyFill="1" applyBorder="1" applyAlignment="1">
      <x:alignment horizontal="center" vertical="center"/>
    </x:xf>
    <x:xf numFmtId="200" fontId="16" fillId="0" borderId="0" xfId="0" applyNumberFormat="1" applyFont="1" applyFill="1" applyBorder="1"/>
    <x:xf numFmtId="200" fontId="16" fillId="0" borderId="0" xfId="0" applyNumberFormat="1" applyFont="1" applyFill="1" applyBorder="1" applyAlignment="1">
      <x:alignment horizontal="right"/>
    </x:xf>
    <x:xf numFmtId="200" fontId="16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center"/>
    </x:xf>
    <x:xf numFmtId="200" fontId="18" fillId="5" borderId="0" xfId="0" applyNumberFormat="1" applyFont="1" applyFill="1" applyBorder="1" applyAlignment="1">
      <x:alignment horizontal="center" vertical="center"/>
    </x:xf>
    <x:xf numFmtId="0" fontId="20" fillId="3" borderId="0" xfId="0" applyNumberFormat="1" applyFont="1" applyFill="1" applyBorder="1"/>
    <x:xf numFmtId="0" fontId="20" fillId="3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21" fillId="8" borderId="0" xfId="0" applyNumberFormat="1" applyFont="1" applyFill="1" applyBorder="1"/>
    <x:xf numFmtId="0" fontId="21" fillId="8" borderId="0" xfId="0" applyNumberFormat="1" applyFont="1" applyFill="1" applyBorder="1" applyAlignment="1">
      <x:alignment horizontal="center"/>
    </x:xf>
    <x:xf numFmtId="0" fontId="21" fillId="8" borderId="0" xfId="0" applyNumberFormat="1" applyFont="1" applyFill="1" applyBorder="1" applyAlignment="1">
      <x:alignment horizontal="center" vertical="center"/>
    </x:xf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horizontal="center"/>
    </x:xf>
    <x:xf numFmtId="0" fontId="22" fillId="7" borderId="0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201" fontId="23" fillId="0" borderId="0" xfId="0" applyNumberFormat="1" applyFont="1" applyFill="1" applyBorder="1"/>
    <x:xf numFmtId="0" fontId="24" fillId="6" borderId="0" xfId="0" applyNumberFormat="1" applyFont="1" applyFill="1" applyBorder="1"/>
    <x:xf numFmtId="0" fontId="24" fillId="6" borderId="0" xfId="0" applyNumberFormat="1" applyFont="1" applyFill="1" applyBorder="1" applyAlignment="1">
      <x:alignment wrapText="1"/>
    </x:xf>
    <x:xf numFmtId="0" fontId="25" fillId="8" borderId="0" xfId="0" applyNumberFormat="1" applyFont="1" applyFill="1" applyBorder="1"/>
    <x:xf numFmtId="0" fontId="25" fillId="8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/>
    <x:xf numFmtId="0" fontId="23" fillId="8" borderId="0" xfId="0" applyNumberFormat="1" applyFont="1" applyFill="1" applyBorder="1"/>
    <x:xf numFmtId="0" fontId="26" fillId="8" borderId="0" xfId="0" applyNumberFormat="1" applyFont="1" applyFill="1" applyBorder="1"/>
    <x:xf numFmtId="0" fontId="26" fillId="8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23" fillId="0" borderId="0" xfId="0" applyNumberFormat="1" applyFont="1" applyFill="1" applyBorder="1"/>
    <x:xf numFmtId="202" fontId="0" fillId="0" borderId="0" xfId="0" applyNumberFormat="1" applyFont="1" applyFill="1" applyBorder="1"/>
    <x:xf numFmtId="202" fontId="23" fillId="0" borderId="0" xfId="0" applyNumberFormat="1" applyFont="1" applyFill="1" applyBorder="1"/>
    <x:xf numFmtId="0" fontId="0" fillId="0" borderId="21" xfId="0" applyNumberFormat="1" applyFont="1" applyFill="1" applyBorder="1"/>
    <x:xf numFmtId="201" fontId="23" fillId="0" borderId="21" xfId="0" applyNumberFormat="1" applyFont="1" applyFill="1" applyBorder="1"/>
    <x:xf numFmtId="0" fontId="26" fillId="8" borderId="21" xfId="0" applyNumberFormat="1" applyFont="1" applyFill="1" applyBorder="1" applyAlignment="1">
      <x:alignment horizontal="center"/>
    </x:xf>
    <x:xf numFmtId="0" fontId="7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/>
    <x:xf numFmtId="201" fontId="23" fillId="0" borderId="22" xfId="0" applyNumberFormat="1" applyFont="1" applyFill="1" applyBorder="1"/>
    <x:xf numFmtId="0" fontId="26" fillId="8" borderId="22" xfId="0" applyNumberFormat="1" applyFont="1" applyFill="1" applyBorder="1" applyAlignment="1">
      <x:alignment horizontal="center"/>
    </x:xf>
    <x:xf numFmtId="0" fontId="7" fillId="0" borderId="22" xfId="0" applyNumberFormat="1" applyFont="1" applyFill="1" applyBorder="1" applyAlignment="1">
      <x:alignment wrapText="1"/>
    </x:xf>
    <x:xf numFmtId="200" fontId="23" fillId="0" borderId="22" xfId="0" applyNumberFormat="1" applyFont="1" applyFill="1" applyBorder="1"/>
    <x:xf numFmtId="202" fontId="23" fillId="0" borderId="22" xfId="0" applyNumberFormat="1" applyFont="1" applyFill="1" applyBorder="1"/>
    <x:xf numFmtId="0" fontId="0" fillId="0" borderId="23" xfId="0" applyNumberFormat="1" applyFont="1" applyFill="1" applyBorder="1"/>
    <x:xf numFmtId="202" fontId="23" fillId="0" borderId="23" xfId="0" applyNumberFormat="1" applyFont="1" applyFill="1" applyBorder="1"/>
    <x:xf numFmtId="0" fontId="26" fillId="8" borderId="23" xfId="0" applyNumberFormat="1" applyFont="1" applyFill="1" applyBorder="1" applyAlignment="1">
      <x:alignment horizontal="center"/>
    </x:xf>
    <x:xf numFmtId="0" fontId="7" fillId="0" borderId="23" xfId="0" applyNumberFormat="1" applyFont="1" applyFill="1" applyBorder="1" applyAlignment="1">
      <x:alignment wrapText="1"/>
    </x:xf>
    <x:xf numFmtId="0" fontId="27" fillId="0" borderId="12" xfId="0" applyNumberFormat="1" applyFont="1" applyFill="1" applyBorder="1" applyAlignment="1">
      <x:alignment wrapText="1"/>
    </x:xf>
    <x:xf numFmtId="0" fontId="27" fillId="0" borderId="18" xfId="0" applyNumberFormat="1" applyFont="1" applyFill="1" applyBorder="1" applyAlignment="1">
      <x:alignment wrapText="1"/>
    </x:xf>
    <x:xf numFmtId="0" fontId="27" fillId="0" borderId="13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28" fillId="5" borderId="0" xfId="0" applyNumberFormat="1" applyFont="1" applyFill="1" applyBorder="1"/>
    <x:xf numFmtId="0" fontId="28" fillId="5" borderId="0" xfId="0" applyNumberFormat="1" applyFont="1" applyFill="1" applyBorder="1" applyAlignment="1">
      <x:alignment vertical="center"/>
    </x:xf>
    <x:xf numFmtId="0" fontId="29" fillId="8" borderId="0" xfId="0" applyNumberFormat="1" applyFont="1" applyFill="1" applyBorder="1"/>
    <x:xf numFmtId="0" fontId="29" fillId="8" borderId="0" xfId="0" applyNumberFormat="1" applyFont="1" applyFill="1" applyBorder="1" applyAlignment="1">
      <x:alignment horizontal="center"/>
    </x:xf>
    <x:xf numFmtId="0" fontId="2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vertical="center" wrapText="1"/>
    </x:xf>
    <x:xf numFmtId="0" fontId="27" fillId="0" borderId="12" xfId="0" applyNumberFormat="1" applyFont="1" applyFill="1" applyBorder="1"/>
    <x:xf numFmtId="0" fontId="27" fillId="0" borderId="13" xfId="0" applyNumberFormat="1" applyFont="1" applyFill="1" applyBorder="1"/>
    <x:xf numFmtId="0" fontId="27" fillId="0" borderId="15" xfId="0" applyNumberFormat="1" applyFont="1" applyFill="1" applyBorder="1"/>
    <x:xf numFmtId="0" fontId="27" fillId="0" borderId="16" xfId="0" applyNumberFormat="1" applyFont="1" applyFill="1" applyBorder="1"/>
    <x:xf numFmtId="0" fontId="27" fillId="0" borderId="18" xfId="0" applyNumberFormat="1" applyFont="1" applyFill="1" applyBorder="1"/>
    <x:xf numFmtId="0" fontId="27" fillId="0" borderId="19" xfId="0" applyNumberFormat="1" applyFont="1" applyFill="1" applyBorder="1"/>
    <x:xf numFmtId="0" fontId="30" fillId="0" borderId="13" xfId="0" applyNumberFormat="1" applyFont="1" applyFill="1" applyBorder="1"/>
    <x:xf numFmtId="0" fontId="30" fillId="0" borderId="16" xfId="0" applyNumberFormat="1" applyFont="1" applyFill="1" applyBorder="1"/>
    <x:xf numFmtId="0" fontId="30" fillId="0" borderId="19" xfId="0" applyNumberFormat="1" applyFont="1" applyFill="1" applyBorder="1"/>
    <x:xf numFmtId="0" fontId="0" fillId="7" borderId="13" xfId="0" applyNumberFormat="1" applyFont="1" applyFill="1" applyBorder="1"/>
    <x:xf numFmtId="0" fontId="0" fillId="7" borderId="14" xfId="0" applyNumberFormat="1" applyFont="1" applyFill="1" applyBorder="1"/>
    <x:xf numFmtId="0" fontId="0" fillId="7" borderId="16" xfId="0" applyNumberFormat="1" applyFont="1" applyFill="1" applyBorder="1"/>
    <x:xf numFmtId="0" fontId="0" fillId="7" borderId="17" xfId="0" applyNumberFormat="1" applyFont="1" applyFill="1" applyBorder="1"/>
    <x:xf numFmtId="0" fontId="0" fillId="7" borderId="19" xfId="0" applyNumberFormat="1" applyFont="1" applyFill="1" applyBorder="1"/>
    <x:xf numFmtId="0" fontId="0" fillId="7" borderId="20" xfId="0" applyNumberFormat="1" applyFont="1" applyFill="1" applyBorder="1"/>
    <x:xf numFmtId="0" fontId="11" fillId="7" borderId="13" xfId="0" applyNumberFormat="1" applyFont="1" applyFill="1" applyBorder="1"/>
    <x:xf numFmtId="0" fontId="11" fillId="7" borderId="14" xfId="0" applyNumberFormat="1" applyFont="1" applyFill="1" applyBorder="1"/>
    <x:xf numFmtId="0" fontId="11" fillId="7" borderId="16" xfId="0" applyNumberFormat="1" applyFont="1" applyFill="1" applyBorder="1"/>
    <x:xf numFmtId="0" fontId="11" fillId="7" borderId="17" xfId="0" applyNumberFormat="1" applyFont="1" applyFill="1" applyBorder="1"/>
    <x:xf numFmtId="0" fontId="11" fillId="7" borderId="19" xfId="0" applyNumberFormat="1" applyFont="1" applyFill="1" applyBorder="1"/>
    <x:xf numFmtId="0" fontId="11" fillId="7" borderId="20" xfId="0" applyNumberFormat="1" applyFont="1" applyFill="1" applyBorder="1"/>
    <x:xf numFmtId="0" fontId="11" fillId="7" borderId="13" xfId="0" applyNumberFormat="1" applyFont="1" applyFill="1" applyBorder="1" applyAlignment="1">
      <x:alignment wrapText="1"/>
    </x:xf>
    <x:xf numFmtId="0" fontId="11" fillId="7" borderId="14" xfId="0" applyNumberFormat="1" applyFont="1" applyFill="1" applyBorder="1" applyAlignment="1">
      <x:alignment wrapText="1"/>
    </x:xf>
    <x:xf numFmtId="0" fontId="11" fillId="7" borderId="16" xfId="0" applyNumberFormat="1" applyFont="1" applyFill="1" applyBorder="1" applyAlignment="1">
      <x:alignment wrapText="1"/>
    </x:xf>
    <x:xf numFmtId="0" fontId="11" fillId="7" borderId="17" xfId="0" applyNumberFormat="1" applyFont="1" applyFill="1" applyBorder="1" applyAlignment="1">
      <x:alignment wrapText="1"/>
    </x:xf>
    <x:xf numFmtId="0" fontId="11" fillId="7" borderId="19" xfId="0" applyNumberFormat="1" applyFont="1" applyFill="1" applyBorder="1" applyAlignment="1">
      <x:alignment wrapText="1"/>
    </x:xf>
    <x:xf numFmtId="0" fontId="11" fillId="7" borderId="2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7" fillId="0" borderId="15" xfId="0" applyNumberFormat="1" applyFont="1" applyFill="1" applyBorder="1" applyAlignment="1">
      <x:alignment wrapText="1"/>
    </x:xf>
    <x:xf numFmtId="0" fontId="27" fillId="0" borderId="16" xfId="0" applyNumberFormat="1" applyFont="1" applyFill="1" applyBorder="1" applyAlignment="1">
      <x:alignment wrapText="1"/>
    </x:xf>
    <x:xf numFmtId="0" fontId="27" fillId="0" borderId="0" xfId="0" applyNumberFormat="1" applyFont="1" applyFill="1" applyBorder="1"/>
    <x:xf numFmtId="201" fontId="31" fillId="0" borderId="0" xfId="0" applyNumberFormat="1" applyFont="1" applyFill="1" applyBorder="1" applyAlignment="1">
      <x:alignment horizontal="right"/>
    </x:xf>
    <x:xf numFmtId="200" fontId="31" fillId="0" borderId="0" xfId="0" applyNumberFormat="1" applyFont="1" applyFill="1" applyBorder="1" applyAlignment="1">
      <x:alignment horizontal="right"/>
    </x:xf>
    <x:xf numFmtId="0" fontId="32" fillId="0" borderId="0" xfId="0" applyNumberFormat="1" applyFont="1" applyFill="1" applyBorder="1"/>
    <x:xf numFmtId="0" fontId="32" fillId="0" borderId="12" xfId="0" applyNumberFormat="1" applyFont="1" applyFill="1" applyBorder="1"/>
    <x:xf numFmtId="0" fontId="32" fillId="0" borderId="13" xfId="0" applyNumberFormat="1" applyFont="1" applyFill="1" applyBorder="1"/>
    <x:xf numFmtId="0" fontId="32" fillId="0" borderId="14" xfId="0" applyNumberFormat="1" applyFont="1" applyFill="1" applyBorder="1"/>
    <x:xf numFmtId="0" fontId="32" fillId="0" borderId="15" xfId="0" applyNumberFormat="1" applyFont="1" applyFill="1" applyBorder="1"/>
    <x:xf numFmtId="0" fontId="32" fillId="0" borderId="16" xfId="0" applyNumberFormat="1" applyFont="1" applyFill="1" applyBorder="1"/>
    <x:xf numFmtId="0" fontId="32" fillId="0" borderId="17" xfId="0" applyNumberFormat="1" applyFont="1" applyFill="1" applyBorder="1"/>
    <x:xf numFmtId="0" fontId="32" fillId="0" borderId="18" xfId="0" applyNumberFormat="1" applyFont="1" applyFill="1" applyBorder="1"/>
    <x:xf numFmtId="0" fontId="32" fillId="0" borderId="19" xfId="0" applyNumberFormat="1" applyFont="1" applyFill="1" applyBorder="1"/>
    <x:xf numFmtId="0" fontId="32" fillId="0" borderId="20" xfId="0" applyNumberFormat="1" applyFont="1" applyFill="1" applyBorder="1"/>
    <x:xf numFmtId="0" fontId="32" fillId="0" borderId="12" xfId="0" applyNumberFormat="1" applyFont="1" applyFill="1" applyBorder="1" applyAlignment="1">
      <x:alignment wrapText="1"/>
    </x:xf>
    <x:xf numFmtId="0" fontId="32" fillId="0" borderId="13" xfId="0" applyNumberFormat="1" applyFont="1" applyFill="1" applyBorder="1" applyAlignment="1">
      <x:alignment wrapText="1"/>
    </x:xf>
    <x:xf numFmtId="0" fontId="32" fillId="0" borderId="14" xfId="0" applyNumberFormat="1" applyFont="1" applyFill="1" applyBorder="1" applyAlignment="1">
      <x:alignment wrapText="1"/>
    </x:xf>
    <x:xf numFmtId="0" fontId="32" fillId="0" borderId="15" xfId="0" applyNumberFormat="1" applyFont="1" applyFill="1" applyBorder="1" applyAlignment="1">
      <x:alignment wrapText="1"/>
    </x:xf>
    <x:xf numFmtId="0" fontId="32" fillId="0" borderId="16" xfId="0" applyNumberFormat="1" applyFont="1" applyFill="1" applyBorder="1" applyAlignment="1">
      <x:alignment wrapText="1"/>
    </x:xf>
    <x:xf numFmtId="0" fontId="32" fillId="0" borderId="17" xfId="0" applyNumberFormat="1" applyFont="1" applyFill="1" applyBorder="1" applyAlignment="1">
      <x:alignment wrapText="1"/>
    </x:xf>
    <x:xf numFmtId="0" fontId="32" fillId="0" borderId="18" xfId="0" applyNumberFormat="1" applyFont="1" applyFill="1" applyBorder="1" applyAlignment="1">
      <x:alignment wrapText="1"/>
    </x:xf>
    <x:xf numFmtId="0" fontId="32" fillId="0" borderId="19" xfId="0" applyNumberFormat="1" applyFont="1" applyFill="1" applyBorder="1" applyAlignment="1">
      <x:alignment wrapText="1"/>
    </x:xf>
    <x:xf numFmtId="0" fontId="32" fillId="0" borderId="20" xfId="0" applyNumberFormat="1" applyFont="1" applyFill="1" applyBorder="1" applyAlignment="1">
      <x:alignment wrapText="1"/>
    </x:xf>
    <x:xf numFmtId="0" fontId="33" fillId="0" borderId="12" xfId="0" applyNumberFormat="1" applyFont="1" applyFill="1" applyBorder="1" applyAlignment="1">
      <x:alignment wrapText="1"/>
    </x:xf>
    <x:xf numFmtId="0" fontId="34" fillId="0" borderId="13" xfId="0" applyNumberFormat="1" applyFont="1" applyFill="1" applyBorder="1" applyAlignment="1">
      <x:alignment wrapText="1"/>
    </x:xf>
    <x:xf numFmtId="0" fontId="35" fillId="0" borderId="13" xfId="0" applyNumberFormat="1" applyFont="1" applyFill="1" applyBorder="1" applyAlignment="1">
      <x:alignment wrapText="1"/>
    </x:xf>
    <x:xf numFmtId="0" fontId="32" fillId="7" borderId="13" xfId="0" applyNumberFormat="1" applyFont="1" applyFill="1" applyBorder="1" applyAlignment="1">
      <x:alignment wrapText="1"/>
    </x:xf>
    <x:xf numFmtId="0" fontId="32" fillId="8" borderId="13" xfId="0" applyNumberFormat="1" applyFont="1" applyFill="1" applyBorder="1" applyAlignment="1">
      <x:alignment wrapText="1"/>
    </x:xf>
    <x:xf numFmtId="0" fontId="32" fillId="8" borderId="14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0F9F8F"/>
      </x:font>
      <x:fill>
        <x:patternFill patternType="solid">
          <x:bgColor rgb="FFE5F6F3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e157ebf8964286" /><Relationship Type="http://schemas.openxmlformats.org/officeDocument/2006/relationships/theme" Target="/xl/theme/theme1.xml" Id="Rbbf6b096de3f4c6a" /><Relationship Type="http://schemas.openxmlformats.org/officeDocument/2006/relationships/sharedStrings" Target="/xl/sharedStrings.xml" Id="Ref5a83e744434ec4" /><Relationship Type="http://schemas.openxmlformats.org/officeDocument/2006/relationships/worksheet" Target="/xl/worksheets/sheet1.xml" Id="R6c321e0296d046b2" /><Relationship Type="http://schemas.openxmlformats.org/officeDocument/2006/relationships/worksheet" Target="/xl/worksheets/sheet2.xml" Id="R16bbb691ee264cd3" /><Relationship Type="http://schemas.openxmlformats.org/officeDocument/2006/relationships/worksheet" Target="/xl/worksheets/sheet3.xml" Id="R1f59deb3133a45a6" /><Relationship Type="http://schemas.openxmlformats.org/officeDocument/2006/relationships/worksheet" Target="/xl/worksheets/sheet4.xml" Id="Ra3df6cf2e5ce44d6" /><Relationship Type="http://schemas.openxmlformats.org/officeDocument/2006/relationships/worksheet" Target="/xl/worksheets/sheet5.xml" Id="Rf223a06aa8b6454c" /><Relationship Type="http://schemas.openxmlformats.org/officeDocument/2006/relationships/worksheet" Target="/xl/worksheets/sheet6.xml" Id="Ra226d5e983534084" /><Relationship Type="http://schemas.openxmlformats.org/officeDocument/2006/relationships/worksheet" Target="/xl/worksheets/sheet7.xml" Id="R026daf18b3274650" /><Relationship Type="http://schemas.openxmlformats.org/officeDocument/2006/relationships/worksheet" Target="/xl/worksheets/sheet8.xml" Id="Rb70a3157d9164de0" /><Relationship Type="http://schemas.openxmlformats.org/officeDocument/2006/relationships/worksheet" Target="/xl/worksheets/sheet9.xml" Id="R78416c0c983f4f0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8be6a6d447e40d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and EBITDA variance by segment</a:t>
            </a:r>
          </a:p>
        </c:rich>
      </c:tx>
    </c:title>
    <c:plotArea>
      <c:lineChart>
        <c:grouping val="standard"/>
        <c:ser>
          <c:idx val="0"/>
          <c:order val="0"/>
          <c:tx>
            <c:v>Revenue variance</c:v>
          </c:tx>
          <c:marker>
            <c:symbol val="none"/>
          </c:marker>
          <c:cat>
            <c:strRef>
              <c:f>'Summary'!$A$16:$A$21</c:f>
              <c:strCache>
                <c:ptCount val="0"/>
              </c:strCache>
            </c:strRef>
          </c:cat>
          <c:val>
            <c:numRef>
              <c:f>'Summary'!$B$16:$B$21</c:f>
              <c:numCache>
                <c:formatCode>#,##0.0;(#,##0.0);-</c:formatCode>
                <c:ptCount val="0"/>
              </c:numCache>
            </c:numRef>
          </c:val>
        </c:ser>
        <c:ser>
          <c:idx val="1"/>
          <c:order val="1"/>
          <c:tx>
            <c:v>EBITDA variance</c:v>
          </c:tx>
          <c:marker>
            <c:symbol val="none"/>
          </c:marker>
          <c:cat>
            <c:strRef>
              <c:f>'Summary'!$A$16:$A$21</c:f>
              <c:strCache>
                <c:ptCount val="0"/>
              </c:strCache>
            </c:strRef>
          </c:cat>
          <c:val>
            <c:numRef>
              <c:f>'Summary'!$C$16:$C$21</c:f>
              <c:numCache>
                <c:formatCode>#,##0.0;(#,##0.0);-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;(#,##0.0);-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13</xdr:row>
      <xdr:rowOff>0</xdr:rowOff>
    </xdr:from>
    <xdr:to>
      <xdr:col>10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be6a6d447e40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78f24369648c4b1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TDAT FINANCIAL MODELS</x:v>
      </x:c>
      <x:c r="B1" s="3" t="str">
        <x:v>TDAT FINANCIAL MODELS</x:v>
      </x:c>
      <x:c r="C1" s="3" t="str">
        <x:v>TDAT FINANCIAL MODELS</x:v>
      </x:c>
      <x:c r="D1" s="3" t="str">
        <x:v>TDAT FINANCIAL MODELS</x:v>
      </x:c>
      <x:c r="E1" s="3" t="str">
        <x:v>TDAT FINANCIAL MODELS</x:v>
      </x:c>
      <x:c r="F1" s="3" t="str">
        <x:v>TDAT FINANCIAL MODELS</x:v>
      </x:c>
      <x:c r="G1" s="3" t="str">
        <x:v>TDAT FINANCIAL MODELS</x:v>
      </x:c>
      <x:c r="H1" s="3" t="str">
        <x:v>TDAT FINANCIAL MODELS</x:v>
      </x:c>
      <x:c r="I1" s="3" t="str">
        <x:v>TDAT FINANCIAL MODELS</x:v>
      </x:c>
      <x:c r="J1" s="3" t="str">
        <x:v>TDAT FINANCIAL MODELS</x:v>
      </x:c>
    </x:row>
    <x:row r="2" ht="24" customHeight="1">
      <x:c r="A2" s="6" t="str">
        <x:v>TDAT-FM-FPA-003  |  Built to flex. Built to tie. Built to trust.</x:v>
      </x:c>
      <x:c r="B2" s="6" t="str">
        <x:v>TDAT-FM-FPA-003  |  Built to flex. Built to tie. Built to trust.</x:v>
      </x:c>
      <x:c r="C2" s="6" t="str">
        <x:v>TDAT-FM-FPA-003  |  Built to flex. Built to tie. Built to trust.</x:v>
      </x:c>
      <x:c r="D2" s="6" t="str">
        <x:v>TDAT-FM-FPA-003  |  Built to flex. Built to tie. Built to trust.</x:v>
      </x:c>
      <x:c r="E2" s="6" t="str">
        <x:v>TDAT-FM-FPA-003  |  Built to flex. Built to tie. Built to trust.</x:v>
      </x:c>
      <x:c r="F2" s="6" t="str">
        <x:v>TDAT-FM-FPA-003  |  Built to flex. Built to tie. Built to trust.</x:v>
      </x:c>
      <x:c r="G2" s="6" t="str">
        <x:v>TDAT-FM-FPA-003  |  Built to flex. Built to tie. Built to trust.</x:v>
      </x:c>
      <x:c r="H2" s="6" t="str">
        <x:v>TDAT-FM-FPA-003  |  Built to flex. Built to tie. Built to trust.</x:v>
      </x:c>
      <x:c r="I2" s="6" t="str">
        <x:v>TDAT-FM-FPA-003  |  Built to flex. Built to tie. Built to trust.</x:v>
      </x:c>
      <x:c r="J2" s="6" t="str">
        <x:v>TDAT-FM-FPA-003  |  Built to flex. Built to tie. Built to trust.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222" t="str">
        <x:v>Variance Bridge &amp; Forecast Accuracy</x:v>
      </x:c>
      <x:c r="B5" s="222" t="str">
        <x:v>Variance Bridge &amp; Forecast Accuracy</x:v>
      </x:c>
      <x:c r="C5" s="222" t="str">
        <x:v>Variance Bridge &amp; Forecast Accuracy</x:v>
      </x:c>
      <x:c r="D5" s="222" t="str">
        <x:v>Variance Bridge &amp; Forecast Accuracy</x:v>
      </x:c>
      <x:c r="E5" s="222" t="str">
        <x:v>Variance Bridge &amp; Forecast Accuracy</x:v>
      </x:c>
      <x:c r="F5" s="222" t="str">
        <x:v>Variance Bridge &amp; Forecast Accuracy</x:v>
      </x:c>
      <x:c r="G5" s="135" t="str">
        <x:v>CALCULATION INTEGRITY</x:v>
      </x:c>
      <x:c r="H5" s="135" t="str">
        <x:v>CALCULATION INTEGRITY</x:v>
      </x:c>
      <x:c r="I5" s="135" t="str">
        <x:v>CALCULATION INTEGRITY</x:v>
      </x:c>
      <x:c r="J5" s="135" t="str">
        <x:v>CALCULATION INTEGRITY</x:v>
      </x:c>
    </x:row>
    <x:row r="6">
      <x:c r="A6" s="222" t="str">
        <x:v>Variance Bridge &amp; Forecast Accuracy</x:v>
      </x:c>
      <x:c r="B6" s="222" t="str">
        <x:v>Variance Bridge &amp; Forecast Accuracy</x:v>
      </x:c>
      <x:c r="C6" s="222" t="str">
        <x:v>Variance Bridge &amp; Forecast Accuracy</x:v>
      </x:c>
      <x:c r="D6" s="222" t="str">
        <x:v>Variance Bridge &amp; Forecast Accuracy</x:v>
      </x:c>
      <x:c r="E6" s="222" t="str">
        <x:v>Variance Bridge &amp; Forecast Accuracy</x:v>
      </x:c>
      <x:c r="F6" s="222" t="str">
        <x:v>Variance Bridge &amp; Forecast Accuracy</x:v>
      </x:c>
      <x:c r="G6" s="225" t="str">
        <x:f>'Checks'!$B$5</x:f>
        <x:v>PASS</x:v>
      </x:c>
      <x:c r="H6" s="225"/>
      <x:c r="I6" s="225"/>
      <x:c r="J6" s="225"/>
    </x:row>
    <x:row r="7">
      <x:c r="A7" s="222" t="str">
        <x:v>Variance Bridge &amp; Forecast Accuracy</x:v>
      </x:c>
      <x:c r="B7" s="222" t="str">
        <x:v>Variance Bridge &amp; Forecast Accuracy</x:v>
      </x:c>
      <x:c r="C7" s="222" t="str">
        <x:v>Variance Bridge &amp; Forecast Accuracy</x:v>
      </x:c>
      <x:c r="D7" s="222" t="str">
        <x:v>Variance Bridge &amp; Forecast Accuracy</x:v>
      </x:c>
      <x:c r="E7" s="222" t="str">
        <x:v>Variance Bridge &amp; Forecast Accuracy</x:v>
      </x:c>
      <x:c r="F7" s="222" t="str">
        <x:v>Variance Bridge &amp; Forecast Accuracy</x:v>
      </x:c>
      <x:c r="G7" s="225"/>
      <x:c r="H7" s="225"/>
      <x:c r="I7" s="225"/>
      <x:c r="J7" s="225"/>
    </x:row>
    <x:row r="9" ht="22" customHeight="1">
      <x:c r="A9" s="9" t="str">
        <x:v>DECISION QUESTION</x:v>
      </x:c>
      <x:c r="B9" s="9" t="str">
        <x:v>DECISION QUESTION</x:v>
      </x:c>
      <x:c r="C9" s="9" t="str">
        <x:v>DECISION QUESTION</x:v>
      </x:c>
      <x:c r="D9" s="9" t="str">
        <x:v>DECISION QUESTION</x:v>
      </x:c>
      <x:c r="E9" s="9" t="str">
        <x:v>DECISION QUESTION</x:v>
      </x:c>
      <x:c r="F9" s="9" t="str">
        <x:v>DECISION QUESTION</x:v>
      </x:c>
      <x:c r="G9" s="9" t="str">
        <x:v>DECISION QUESTION</x:v>
      </x:c>
      <x:c r="H9" s="9" t="str">
        <x:v>DECISION QUESTION</x:v>
      </x:c>
      <x:c r="I9" s="9" t="str">
        <x:v>DECISION QUESTION</x:v>
      </x:c>
      <x:c r="J9" s="9" t="str">
        <x:v>DECISION QUESTION</x:v>
      </x:c>
    </x:row>
    <x:row r="10">
      <x:c r="A10" s="229" t="str">
        <x:v>Which drivers explain the gap, who owns them, and how reliable is the forecast?</x:v>
      </x:c>
      <x:c r="B10" s="229" t="str">
        <x:v>Which drivers explain the gap, who owns them, and how reliable is the forecast?</x:v>
      </x:c>
      <x:c r="C10" s="229" t="str">
        <x:v>Which drivers explain the gap, who owns them, and how reliable is the forecast?</x:v>
      </x:c>
      <x:c r="D10" s="229" t="str">
        <x:v>Which drivers explain the gap, who owns them, and how reliable is the forecast?</x:v>
      </x:c>
      <x:c r="E10" s="229" t="str">
        <x:v>Which drivers explain the gap, who owns them, and how reliable is the forecast?</x:v>
      </x:c>
      <x:c r="F10" s="229" t="str">
        <x:v>Which drivers explain the gap, who owns them, and how reliable is the forecast?</x:v>
      </x:c>
      <x:c r="G10" s="229" t="str">
        <x:v>Which drivers explain the gap, who owns them, and how reliable is the forecast?</x:v>
      </x:c>
      <x:c r="H10" s="229" t="str">
        <x:v>Which drivers explain the gap, who owns them, and how reliable is the forecast?</x:v>
      </x:c>
      <x:c r="I10" s="229" t="str">
        <x:v>Which drivers explain the gap, who owns them, and how reliable is the forecast?</x:v>
      </x:c>
      <x:c r="J10" s="229" t="str">
        <x:v>Which drivers explain the gap, who owns them, and how reliable is the forecast?</x:v>
      </x:c>
    </x:row>
    <x:row r="11">
      <x:c r="A11" s="229" t="str">
        <x:v>Which drivers explain the gap, who owns them, and how reliable is the forecast?</x:v>
      </x:c>
      <x:c r="B11" s="229" t="str">
        <x:v>Which drivers explain the gap, who owns them, and how reliable is the forecast?</x:v>
      </x:c>
      <x:c r="C11" s="229" t="str">
        <x:v>Which drivers explain the gap, who owns them, and how reliable is the forecast?</x:v>
      </x:c>
      <x:c r="D11" s="229" t="str">
        <x:v>Which drivers explain the gap, who owns them, and how reliable is the forecast?</x:v>
      </x:c>
      <x:c r="E11" s="229" t="str">
        <x:v>Which drivers explain the gap, who owns them, and how reliable is the forecast?</x:v>
      </x:c>
      <x:c r="F11" s="229" t="str">
        <x:v>Which drivers explain the gap, who owns them, and how reliable is the forecast?</x:v>
      </x:c>
      <x:c r="G11" s="229" t="str">
        <x:v>Which drivers explain the gap, who owns them, and how reliable is the forecast?</x:v>
      </x:c>
      <x:c r="H11" s="229" t="str">
        <x:v>Which drivers explain the gap, who owns them, and how reliable is the forecast?</x:v>
      </x:c>
      <x:c r="I11" s="229" t="str">
        <x:v>Which drivers explain the gap, who owns them, and how reliable is the forecast?</x:v>
      </x:c>
      <x:c r="J11" s="229" t="str">
        <x:v>Which drivers explain the gap, who owns them, and how reliable is the forecast?</x:v>
      </x:c>
    </x:row>
    <x:row r="13" ht="22" customHeight="1">
      <x:c r="A13" s="9" t="str">
        <x:v>FIRST READ</x:v>
      </x:c>
      <x:c r="B13" s="9" t="str">
        <x:v>FIRST READ</x:v>
      </x:c>
      <x:c r="C13" s="9" t="str">
        <x:v>FIRST READ</x:v>
      </x:c>
      <x:c r="D13" s="9" t="str">
        <x:v>FIRST READ</x:v>
      </x:c>
      <x:c r="E13" s="9" t="str">
        <x:v>FIRST READ</x:v>
      </x:c>
      <x:c r="F13" s="9" t="str">
        <x:v>FIRST READ</x:v>
      </x:c>
      <x:c r="G13" s="9" t="str">
        <x:v>FIRST READ</x:v>
      </x:c>
      <x:c r="H13" s="9" t="str">
        <x:v>FIRST READ</x:v>
      </x:c>
      <x:c r="I13" s="9" t="str">
        <x:v>FIRST READ</x:v>
      </x:c>
      <x:c r="J13" s="9" t="str">
        <x:v>FIRST READ</x:v>
      </x:c>
    </x:row>
    <x:row r="14">
      <x:c r="A14" s="230" t="str">
        <x:v>Calculation integrity</x:v>
      </x:c>
      <x:c r="B14" s="231" t="str">
        <x:v>Decision readiness</x:v>
      </x:c>
      <x:c r="C14" s="236" t="str">
        <x:f>'Checks'!$B$5</x:f>
        <x:v>PASS</x:v>
      </x:c>
      <x:c r="D14" s="236"/>
      <x:c r="E14" s="236"/>
      <x:c r="F14" s="251" t="str">
        <x:v>TEMPLATE — VALIDATE INPUTS</x:v>
      </x:c>
      <x:c r="G14" s="251" t="str">
        <x:v>TEMPLATE — VALIDATE INPUTS</x:v>
      </x:c>
      <x:c r="H14" s="251" t="str">
        <x:v>TEMPLATE — VALIDATE INPUTS</x:v>
      </x:c>
      <x:c r="I14" s="251" t="str">
        <x:v>TEMPLATE — VALIDATE INPUTS</x:v>
      </x:c>
      <x:c r="J14" s="252" t="str">
        <x:v>TEMPLATE — VALIDATE INPUTS</x:v>
      </x:c>
    </x:row>
    <x:row r="15">
      <x:c r="A15" s="232" t="str">
        <x:v>Published checks</x:v>
      </x:c>
      <x:c r="B15" s="233" t="str">
        <x:v>Template posture</x:v>
      </x:c>
      <x:c r="C15" s="237" t="str">
        <x:f>"9 / 9 PASS"</x:f>
        <x:v>9 / 9 PASS</x:v>
      </x:c>
      <x:c r="D15" s="237"/>
      <x:c r="E15" s="237"/>
      <x:c r="F15" s="253" t="str">
        <x:v>Illustrative, screen-grade worked example</x:v>
      </x:c>
      <x:c r="G15" s="253" t="str">
        <x:v>Illustrative, screen-grade worked example</x:v>
      </x:c>
      <x:c r="H15" s="253" t="str">
        <x:v>Illustrative, screen-grade worked example</x:v>
      </x:c>
      <x:c r="I15" s="253" t="str">
        <x:v>Illustrative, screen-grade worked example</x:v>
      </x:c>
      <x:c r="J15" s="254" t="str">
        <x:v>Illustrative, screen-grade worked example</x:v>
      </x:c>
    </x:row>
    <x:row r="16">
      <x:c r="A16" s="232" t="str">
        <x:v>Scenario</x:v>
      </x:c>
      <x:c r="B16" s="233" t="str">
        <x:v>Evidence</x:v>
      </x:c>
      <x:c r="C16" s="237" t="str">
        <x:f>'Assumptions'!$B$3</x:f>
        <x:v>Base</x:v>
      </x:c>
      <x:c r="D16" s="237"/>
      <x:c r="E16" s="237"/>
      <x:c r="F16" s="253" t="str">
        <x:v>Synthetic / illustrative</x:v>
      </x:c>
      <x:c r="G16" s="253" t="str">
        <x:v>Synthetic / illustrative</x:v>
      </x:c>
      <x:c r="H16" s="253" t="str">
        <x:v>Synthetic / illustrative</x:v>
      </x:c>
      <x:c r="I16" s="253" t="str">
        <x:v>Synthetic / illustrative</x:v>
      </x:c>
      <x:c r="J16" s="254" t="str">
        <x:v>Synthetic / illustrative</x:v>
      </x:c>
    </x:row>
    <x:row r="17">
      <x:c r="A17" s="234" t="str">
        <x:v>Owner</x:v>
      </x:c>
      <x:c r="B17" s="235" t="str">
        <x:v>Use</x:v>
      </x:c>
      <x:c r="C17" s="238" t="str">
        <x:f>'Sources &amp; Version'!$B$12</x:f>
        <x:v>Truong Dinh Anh Tu</x:v>
      </x:c>
      <x:c r="D17" s="238"/>
      <x:c r="E17" s="238"/>
      <x:c r="F17" s="255" t="str">
        <x:v>FP&amp;A · Commercial Finance · Finance Business Partner</x:v>
      </x:c>
      <x:c r="G17" s="255" t="str">
        <x:v>FP&amp;A · Commercial Finance · Finance Business Partner</x:v>
      </x:c>
      <x:c r="H17" s="255" t="str">
        <x:v>FP&amp;A · Commercial Finance · Finance Business Partner</x:v>
      </x:c>
      <x:c r="I17" s="255" t="str">
        <x:v>FP&amp;A · Commercial Finance · Finance Business Partner</x:v>
      </x:c>
      <x:c r="J17" s="256" t="str">
        <x:v>FP&amp;A · Commercial Finance · Finance Business Partner</x:v>
      </x:c>
    </x:row>
    <x:row r="19" ht="22" customHeight="1">
      <x:c r="A19" s="9" t="str">
        <x:v>MODEL IDENTITY</x:v>
      </x:c>
      <x:c r="B19" s="9" t="str">
        <x:v>MODEL IDENTITY</x:v>
      </x:c>
      <x:c r="C19" s="9" t="str">
        <x:v>MODEL IDENTITY</x:v>
      </x:c>
      <x:c r="D19" s="9" t="str">
        <x:v>MODEL IDENTITY</x:v>
      </x:c>
      <x:c r="E19" s="9" t="str">
        <x:v>MODEL IDENTITY</x:v>
      </x:c>
      <x:c r="F19" s="9" t="str">
        <x:v>MODEL IDENTITY</x:v>
      </x:c>
      <x:c r="G19" s="9" t="str">
        <x:v>KEY OUTPUTS</x:v>
      </x:c>
      <x:c r="H19" s="9" t="str">
        <x:v>KEY OUTPUTS</x:v>
      </x:c>
      <x:c r="I19" s="9" t="str">
        <x:v>KEY OUTPUTS</x:v>
      </x:c>
      <x:c r="J19" s="9" t="str">
        <x:v>KEY OUTPUTS</x:v>
      </x:c>
    </x:row>
    <x:row r="20">
      <x:c r="A20" s="211" t="str">
        <x:v>Model ID</x:v>
      </x:c>
      <x:c r="B20" s="148" t="str">
        <x:v>TDAT-FM-FPA-003</x:v>
      </x:c>
      <x:c r="C20" s="213" t="str">
        <x:v>Version</x:v>
      </x:c>
      <x:c r="D20" s="148" t="str">
        <x:v>1.0.0</x:v>
      </x:c>
      <x:c r="E20" s="213" t="str">
        <x:v>Last QA</x:v>
      </x:c>
      <x:c r="F20" s="149" t="str">
        <x:v>2026-07-13</x:v>
      </x:c>
      <x:c r="G20" s="260" t="str">
        <x:v>Total EBITDA variance</x:v>
      </x:c>
      <x:c r="H20" s="260" t="str">
        <x:v>Total EBITDA variance</x:v>
      </x:c>
      <x:c r="I20" s="261" t="n">
        <x:f>SUM('Variance Bridge'!B22:G22)</x:f>
        <x:v>144</x:v>
      </x:c>
      <x:c r="J20" s="261"/>
    </x:row>
    <x:row r="21">
      <x:c r="A21" s="258" t="str">
        <x:v>Domain</x:v>
      </x:c>
      <x:c r="B21" s="151" t="str">
        <x:v>Planning &amp; Performance</x:v>
      </x:c>
      <x:c r="C21" s="259" t="str">
        <x:v>Compatibility</x:v>
      </x:c>
      <x:c r="D21" s="151" t="str">
        <x:v>Excel 365</x:v>
      </x:c>
      <x:c r="E21" s="259" t="str">
        <x:v>Macros</x:v>
      </x:c>
      <x:c r="F21" s="152" t="str">
        <x:v>None</x:v>
      </x:c>
      <x:c r="G21" s="260" t="str">
        <x:v>Revenue variance</x:v>
      </x:c>
      <x:c r="H21" s="260" t="str">
        <x:v>Revenue variance</x:v>
      </x:c>
      <x:c r="I21" s="261" t="n">
        <x:f>SUM('Variance Bridge'!B13:G13)</x:f>
        <x:v>1618</x:v>
      </x:c>
      <x:c r="J21" s="261"/>
    </x:row>
    <x:row r="22">
      <x:c r="A22" s="258" t="str">
        <x:v>Horizon</x:v>
      </x:c>
      <x:c r="B22" s="151" t="str">
        <x:v>Monthly / QTD / YTD</x:v>
      </x:c>
      <x:c r="C22" s="259" t="str">
        <x:v>Frequency</x:v>
      </x:c>
      <x:c r="D22" s="151" t="str">
        <x:v>Monthly / review cycle</x:v>
      </x:c>
      <x:c r="E22" s="259" t="str">
        <x:v>External links</x:v>
      </x:c>
      <x:c r="F22" s="152" t="str">
        <x:v>None</x:v>
      </x:c>
      <x:c r="G22" s="260" t="str">
        <x:v>Contribution variance</x:v>
      </x:c>
      <x:c r="H22" s="260" t="str">
        <x:v>Contribution variance</x:v>
      </x:c>
      <x:c r="I22" s="261" t="n">
        <x:f>SUM('Variance Bridge'!B20:G20)</x:f>
        <x:v>364</x:v>
      </x:c>
      <x:c r="J22" s="261"/>
    </x:row>
    <x:row r="23">
      <x:c r="A23" s="258" t="str">
        <x:v>Currency</x:v>
      </x:c>
      <x:c r="B23" s="151" t="str">
        <x:v>LCY</x:v>
      </x:c>
      <x:c r="C23" s="259" t="str">
        <x:v>Units</x:v>
      </x:c>
      <x:c r="D23" s="151" t="str">
        <x:v>LCY thousands</x:v>
      </x:c>
      <x:c r="E23" s="259" t="str">
        <x:v>Scenario</x:v>
      </x:c>
      <x:c r="F23" s="152" t="str">
        <x:v>Base / Upside / Downside</x:v>
      </x:c>
      <x:c r="G23" s="260" t="str">
        <x:v>Opex variance</x:v>
      </x:c>
      <x:c r="H23" s="260" t="str">
        <x:v>Opex variance</x:v>
      </x:c>
      <x:c r="I23" s="261" t="n">
        <x:f>SUM('Variance Bridge'!B21:G21)</x:f>
        <x:v>-220</x:v>
      </x:c>
      <x:c r="J23" s="261"/>
    </x:row>
    <x:row r="24">
      <x:c r="A24" s="212" t="str">
        <x:v>Owner</x:v>
      </x:c>
      <x:c r="B24" s="154" t="str">
        <x:v>Truong Dinh Anh Tu</x:v>
      </x:c>
      <x:c r="C24" s="214" t="str">
        <x:v>Standard</x:v>
      </x:c>
      <x:c r="D24" s="154" t="str">
        <x:v>TDAT Model Standard 1.0</x:v>
      </x:c>
      <x:c r="E24" s="214" t="str">
        <x:v>Evidence</x:v>
      </x:c>
      <x:c r="F24" s="155" t="str">
        <x:v>Synthetic worked template</x:v>
      </x:c>
      <x:c r="G24" s="260" t="str">
        <x:v>Average WAPE</x:v>
      </x:c>
      <x:c r="H24" s="260" t="str">
        <x:v>Average WAPE</x:v>
      </x:c>
      <x:c r="I24" s="262" t="n">
        <x:f>AVERAGE('Variance Bridge'!B26:G26)</x:f>
        <x:v>0.021279740650153606</x:v>
      </x:c>
      <x:c r="J24" s="262"/>
    </x:row>
    <x:row r="26" ht="22" customHeight="1">
      <x:c r="A26" s="9" t="str">
        <x:v>CELL COLOR LEGEND</x:v>
      </x:c>
      <x:c r="B26" s="9" t="str">
        <x:v>CELL COLOR LEGEND</x:v>
      </x:c>
      <x:c r="C26" s="9" t="str">
        <x:v>CELL COLOR LEGEND</x:v>
      </x:c>
      <x:c r="D26" s="9" t="str">
        <x:v>CELL COLOR LEGEND</x:v>
      </x:c>
      <x:c r="E26" s="9" t="str">
        <x:v>CELL COLOR LEGEND</x:v>
      </x:c>
      <x:c r="F26" s="9" t="str">
        <x:v>CELL COLOR LEGEND</x:v>
      </x:c>
      <x:c r="G26" s="9" t="str">
        <x:v>CELL COLOR LEGEND</x:v>
      </x:c>
      <x:c r="H26" s="9" t="str">
        <x:v>CELL COLOR LEGEND</x:v>
      </x:c>
      <x:c r="I26" s="9" t="str">
        <x:v>CELL COLOR LEGEND</x:v>
      </x:c>
      <x:c r="J26" s="9" t="str">
        <x:v>CELL COLOR LEGEND</x:v>
      </x:c>
    </x:row>
    <x:row r="27">
      <x:c r="A27" s="282" t="str">
        <x:v>Blue font</x:v>
      </x:c>
      <x:c r="B27" s="274" t="str">
        <x:v>Editable hardcode</x:v>
      </x:c>
      <x:c r="C27" s="283" t="str">
        <x:v>Black font</x:v>
      </x:c>
      <x:c r="D27" s="274" t="str">
        <x:v>In-sheet formula</x:v>
      </x:c>
      <x:c r="E27" s="284" t="str">
        <x:v>Green font</x:v>
      </x:c>
      <x:c r="F27" s="274" t="str">
        <x:v>Cross-sheet formula</x:v>
      </x:c>
      <x:c r="G27" s="285" t="str">
        <x:v>Pale amber</x:v>
      </x:c>
      <x:c r="H27" s="285" t="str">
        <x:v>Scenario / review cue</x:v>
      </x:c>
      <x:c r="I27" s="286" t="str">
        <x:v>Teal</x:v>
      </x:c>
      <x:c r="J27" s="287" t="str">
        <x:v>PASS / trusted output</x:v>
      </x:c>
    </x:row>
    <x:row r="28">
      <x:c r="A28" s="276" t="str">
        <x:v>Actual</x:v>
      </x:c>
      <x:c r="B28" s="277" t="str">
        <x:v>Neutral period band</x:v>
      </x:c>
      <x:c r="C28" s="277" t="str">
        <x:v>Forecast</x:v>
      </x:c>
      <x:c r="D28" s="277" t="str">
        <x:v>Pale-blue period band</x:v>
      </x:c>
      <x:c r="E28" s="277" t="str">
        <x:v>Zero</x:v>
      </x:c>
      <x:c r="F28" s="277" t="str">
        <x:v>Displayed as an en dash</x:v>
      </x:c>
      <x:c r="G28" s="277" t="str">
        <x:v>Rule</x:v>
      </x:c>
      <x:c r="H28" s="277" t="str">
        <x:v>Keep formulas copy-across</x:v>
      </x:c>
      <x:c r="I28" s="277" t="str">
        <x:v>Rule</x:v>
      </x:c>
      <x:c r="J28" s="278" t="str">
        <x:v>Recheck after every change</x:v>
      </x:c>
    </x:row>
    <x:row r="29">
      <x:c r="A29" s="279" t="str">
        <x:v>Status</x:v>
      </x:c>
      <x:c r="B29" s="280" t="str">
        <x:v>PASS means controls tie</x:v>
      </x:c>
      <x:c r="C29" s="280" t="str">
        <x:v>Readiness</x:v>
      </x:c>
      <x:c r="D29" s="280" t="str">
        <x:v>Inputs still require review</x:v>
      </x:c>
      <x:c r="E29" s="280" t="str">
        <x:v>Privacy</x:v>
      </x:c>
      <x:c r="F29" s="280" t="str">
        <x:v>Public-safe example</x:v>
      </x:c>
      <x:c r="G29" s="280" t="str">
        <x:v>Use</x:v>
      </x:c>
      <x:c r="H29" s="280" t="str">
        <x:v>Adapt and validate</x:v>
      </x:c>
      <x:c r="I29" s="280" t="str">
        <x:v>Support</x:v>
      </x:c>
      <x:c r="J29" s="281" t="str">
        <x:v>Model notes + web guide</x:v>
      </x:c>
    </x:row>
    <x:row r="31">
      <x:c r="A31" s="42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B31" s="43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C31" s="43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D31" s="43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E31" s="43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F31" s="43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G31" s="43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H31" s="43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I31" s="43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J31" s="44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</x:row>
    <x:row r="32">
      <x:c r="A32" s="45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B32" s="46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C32" s="46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D32" s="46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E32" s="46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F32" s="46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G32" s="46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H32" s="46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I32" s="46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J32" s="47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</x:row>
    <x:row r="33">
      <x:c r="A33" s="48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B33" s="49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C33" s="49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D33" s="49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E33" s="49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F33" s="49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G33" s="49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H33" s="49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I33" s="49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J33" s="50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</x:row>
    <x:row r="35">
      <x:c r="A35" s="53" t="str">
        <x:v>TDAT Model Library  |  Trust builds the brand. Insight builds the decision.</x:v>
      </x:c>
      <x:c r="B35" s="53" t="str">
        <x:v>TDAT Model Library  |  Trust builds the brand. Insight builds the decision.</x:v>
      </x:c>
      <x:c r="C35" s="53" t="str">
        <x:v>TDAT Model Library  |  Trust builds the brand. Insight builds the decision.</x:v>
      </x:c>
      <x:c r="D35" s="53" t="str">
        <x:v>TDAT Model Library  |  Trust builds the brand. Insight builds the decision.</x:v>
      </x:c>
      <x:c r="E35" s="53" t="str">
        <x:v>TDAT Model Library  |  Trust builds the brand. Insight builds the decision.</x:v>
      </x:c>
      <x:c r="F35" s="53" t="str">
        <x:v>TDAT Model Library  |  Trust builds the brand. Insight builds the decision.</x:v>
      </x:c>
      <x:c r="G35" s="53" t="str">
        <x:v>TDAT Model Library  |  Trust builds the brand. Insight builds the decision.</x:v>
      </x:c>
      <x:c r="H35" s="53" t="str">
        <x:v>TDAT Model Library  |  Trust builds the brand. Insight builds the decision.</x:v>
      </x:c>
      <x:c r="I35" s="53" t="str">
        <x:v>TDAT Model Library  |  Trust builds the brand. Insight builds the decision.</x:v>
      </x:c>
      <x:c r="J35" s="53" t="str">
        <x:v>TDAT Model Library  |  Trust builds the brand. Insight builds the decision.</x:v>
      </x:c>
    </x:row>
  </x:sheetData>
  <x:mergeCells>
    <x:mergeCell ref="A1:J1"/>
    <x:mergeCell ref="A2:J2"/>
    <x:mergeCell ref="A5:F7"/>
    <x:mergeCell ref="G5:J5"/>
    <x:mergeCell ref="G6:J7"/>
    <x:mergeCell ref="A9:J9"/>
    <x:mergeCell ref="A10:J11"/>
    <x:mergeCell ref="A13:J13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A19:J19"/>
    <x:mergeCell ref="G19:J19"/>
    <x:mergeCell ref="G20:H20"/>
    <x:mergeCell ref="I20:J20"/>
    <x:mergeCell ref="G21:H21"/>
    <x:mergeCell ref="I21:J21"/>
    <x:mergeCell ref="G22:H22"/>
    <x:mergeCell ref="I22:J22"/>
    <x:mergeCell ref="G23:H23"/>
    <x:mergeCell ref="I23:J23"/>
    <x:mergeCell ref="G24:H24"/>
    <x:mergeCell ref="I24:J24"/>
    <x:mergeCell ref="A26:J26"/>
    <x:mergeCell ref="A31:J33"/>
    <x:mergeCell ref="A35:J3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34" customHeight="1">
      <x:c r="A1" s="3" t="str">
        <x:v>MODEL GUIDE</x:v>
      </x:c>
      <x:c r="B1" s="3" t="str">
        <x:v>MODEL GUIDE</x:v>
      </x:c>
      <x:c r="C1" s="3" t="str">
        <x:v>MODEL GUIDE</x:v>
      </x:c>
      <x:c r="D1" s="3" t="str">
        <x:v>MODEL GUIDE</x:v>
      </x:c>
      <x:c r="E1" s="3" t="str">
        <x:v>MODEL GUIDE</x:v>
      </x:c>
      <x:c r="F1" s="3" t="str">
        <x:v>MODEL GUIDE</x:v>
      </x:c>
      <x:c r="G1" s="3" t="str">
        <x:v>MODEL GUIDE</x:v>
      </x:c>
      <x:c r="H1" s="3" t="str">
        <x:v>MODEL GUIDE</x:v>
      </x:c>
      <x:c r="I1" s="3" t="str">
        <x:v>MODEL GUIDE</x:v>
      </x:c>
      <x:c r="J1" s="3" t="str">
        <x:v>MODEL GUIDE</x:v>
      </x:c>
    </x:row>
    <x:row r="2" ht="24" customHeight="1">
      <x:c r="A2" s="6" t="str">
        <x:v>Variance Bridge &amp; Forecast Accuracy  |  Scope, setup, flexibility, and limitations</x:v>
      </x:c>
      <x:c r="B2" s="6" t="str">
        <x:v>Variance Bridge &amp; Forecast Accuracy  |  Scope, setup, flexibility, and limitations</x:v>
      </x:c>
      <x:c r="C2" s="6" t="str">
        <x:v>Variance Bridge &amp; Forecast Accuracy  |  Scope, setup, flexibility, and limitations</x:v>
      </x:c>
      <x:c r="D2" s="6" t="str">
        <x:v>Variance Bridge &amp; Forecast Accuracy  |  Scope, setup, flexibility, and limitations</x:v>
      </x:c>
      <x:c r="E2" s="6" t="str">
        <x:v>Variance Bridge &amp; Forecast Accuracy  |  Scope, setup, flexibility, and limitations</x:v>
      </x:c>
      <x:c r="F2" s="6" t="str">
        <x:v>Variance Bridge &amp; Forecast Accuracy  |  Scope, setup, flexibility, and limitations</x:v>
      </x:c>
      <x:c r="G2" s="6" t="str">
        <x:v>Variance Bridge &amp; Forecast Accuracy  |  Scope, setup, flexibility, and limitations</x:v>
      </x:c>
      <x:c r="H2" s="6" t="str">
        <x:v>Variance Bridge &amp; Forecast Accuracy  |  Scope, setup, flexibility, and limitations</x:v>
      </x:c>
      <x:c r="I2" s="6" t="str">
        <x:v>Variance Bridge &amp; Forecast Accuracy  |  Scope, setup, flexibility, and limitations</x:v>
      </x:c>
      <x:c r="J2" s="6" t="str">
        <x:v>Variance Bridge &amp; Forecast Accuracy  |  Scope, setup, flexibility, and limitations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PURPOSE AND USERS</x:v>
      </x:c>
      <x:c r="B5" s="9" t="str">
        <x:v>PURPOSE AND USERS</x:v>
      </x:c>
      <x:c r="C5" s="9" t="str">
        <x:v>PURPOSE AND USERS</x:v>
      </x:c>
      <x:c r="D5" s="9" t="str">
        <x:v>PURPOSE AND USERS</x:v>
      </x:c>
      <x:c r="E5" s="9" t="str">
        <x:v>PURPOSE AND USERS</x:v>
      </x:c>
      <x:c r="F5" s="9" t="str">
        <x:v>PURPOSE AND USERS</x:v>
      </x:c>
      <x:c r="G5" s="9" t="str">
        <x:v>PURPOSE AND USERS</x:v>
      </x:c>
      <x:c r="H5" s="9" t="str">
        <x:v>PURPOSE AND USERS</x:v>
      </x:c>
      <x:c r="I5" s="9" t="str">
        <x:v>PURPOSE AND USERS</x:v>
      </x:c>
      <x:c r="J5" s="9" t="str">
        <x:v>PURPOSE AND USERS</x:v>
      </x:c>
    </x:row>
    <x:row r="6">
      <x:c r="A6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B6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C6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D6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E6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F6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G6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H6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I6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J6" s="12" t="str">
        <x:v>Actual versus budget, prior year, and forecast with price-volume-mix logic and owner/action tracking.
Primary users: FP&amp;A, Commercial Finance, Finance Business Partner. Typical use: Variance, Bridge, Forecast accuracy.</x:v>
      </x:c>
    </x:row>
    <x:row r="7">
      <x:c r="A7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B7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C7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D7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E7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F7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G7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H7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I7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J7" s="12" t="str">
        <x:v>Actual versus budget, prior year, and forecast with price-volume-mix logic and owner/action tracking.
Primary users: FP&amp;A, Commercial Finance, Finance Business Partner. Typical use: Variance, Bridge, Forecast accuracy.</x:v>
      </x:c>
    </x:row>
    <x:row r="8">
      <x:c r="A8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B8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C8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D8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E8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F8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G8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H8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I8" s="12" t="str">
        <x:v>Actual versus budget, prior year, and forecast with price-volume-mix logic and owner/action tracking.
Primary users: FP&amp;A, Commercial Finance, Finance Business Partner. Typical use: Variance, Bridge, Forecast accuracy.</x:v>
      </x:c>
      <x:c r="J8" s="12" t="str">
        <x:v>Actual versus budget, prior year, and forecast with price-volume-mix logic and owner/action tracking.
Primary users: FP&amp;A, Commercial Finance, Finance Business Partner. Typical use: Variance, Bridge, Forecast accuracy.</x:v>
      </x:c>
    </x:row>
    <x:row r="10" ht="22" customHeight="1">
      <x:c r="A10" s="9" t="str">
        <x:v>QUICK START</x:v>
      </x:c>
      <x:c r="B10" s="9" t="str">
        <x:v>QUICK START</x:v>
      </x:c>
      <x:c r="C10" s="9" t="str">
        <x:v>QUICK START</x:v>
      </x:c>
      <x:c r="D10" s="9" t="str">
        <x:v>QUICK START</x:v>
      </x:c>
      <x:c r="E10" s="9" t="str">
        <x:v>QUICK START</x:v>
      </x:c>
      <x:c r="F10" s="9" t="str">
        <x:v>QUICK START</x:v>
      </x:c>
      <x:c r="G10" s="9" t="str">
        <x:v>QUICK START</x:v>
      </x:c>
      <x:c r="H10" s="9" t="str">
        <x:v>QUICK START</x:v>
      </x:c>
      <x:c r="I10" s="9" t="str">
        <x:v>QUICK START</x:v>
      </x:c>
      <x:c r="J10" s="9" t="str">
        <x:v>QUICK START</x:v>
      </x:c>
    </x:row>
    <x:row r="11" ht="30" customHeight="1">
      <x:c r="A11" s="14" t="str">
        <x:v>01</x:v>
      </x:c>
      <x:c r="B11" s="15" t="str">
        <x:v>Confirm the decision</x:v>
      </x:c>
      <x:c r="C11" s="17" t="str">
        <x:v>Which drivers explain the gap, who owns them, and how reliable is the forecast?</x:v>
      </x:c>
      <x:c r="D11" s="17" t="str"/>
      <x:c r="E11" s="17" t="str"/>
      <x:c r="F11" s="17" t="str"/>
      <x:c r="G11" s="17" t="str"/>
      <x:c r="H11" s="17" t="str"/>
      <x:c r="I11" s="17" t="str"/>
      <x:c r="J11" s="17" t="str"/>
    </x:row>
    <x:row r="12" ht="30" customHeight="1">
      <x:c r="A12" s="14" t="str">
        <x:v>02</x:v>
      </x:c>
      <x:c r="B12" s="15" t="str">
        <x:v>Set model controls</x:v>
      </x:c>
      <x:c r="C12" s="17" t="str">
        <x:v>Select Base, Upside, or Downside; confirm currency, units, horizon, and calculation method.</x:v>
      </x:c>
      <x:c r="D12" s="17" t="str"/>
      <x:c r="E12" s="17" t="str"/>
      <x:c r="F12" s="17" t="str"/>
      <x:c r="G12" s="17" t="str"/>
      <x:c r="H12" s="17" t="str"/>
      <x:c r="I12" s="17" t="str"/>
      <x:c r="J12" s="17" t="str"/>
    </x:row>
    <x:row r="13" ht="30" customHeight="1">
      <x:c r="A13" s="14" t="str">
        <x:v>03</x:v>
      </x:c>
      <x:c r="B13" s="15" t="str">
        <x:v>Replace blue inputs</x:v>
      </x:c>
      <x:c r="C13" s="17" t="str">
        <x:v>Update the synthetic values on Actual Budget Data and the scenario drivers on Assumptions.</x:v>
      </x:c>
      <x:c r="D13" s="17" t="str"/>
      <x:c r="E13" s="17" t="str"/>
      <x:c r="F13" s="17" t="str"/>
      <x:c r="G13" s="17" t="str"/>
      <x:c r="H13" s="17" t="str"/>
      <x:c r="I13" s="17" t="str"/>
      <x:c r="J13" s="17" t="str"/>
    </x:row>
    <x:row r="14" ht="30" customHeight="1">
      <x:c r="A14" s="14" t="str">
        <x:v>04</x:v>
      </x:c>
      <x:c r="B14" s="15" t="str">
        <x:v>Review the engine</x:v>
      </x:c>
      <x:c r="C14" s="17" t="str">
        <x:v>Trace the calculations on Variance Bridge; challenge definitions, signs, timing, and edge cases.</x:v>
      </x:c>
      <x:c r="D14" s="17" t="str"/>
      <x:c r="E14" s="17" t="str"/>
      <x:c r="F14" s="17" t="str"/>
      <x:c r="G14" s="17" t="str"/>
      <x:c r="H14" s="17" t="str"/>
      <x:c r="I14" s="17" t="str"/>
      <x:c r="J14" s="17" t="str"/>
    </x:row>
    <x:row r="15" ht="30" customHeight="1">
      <x:c r="A15" s="14" t="str">
        <x:v>05</x:v>
      </x:c>
      <x:c r="B15" s="15" t="str">
        <x:v>Use the summary</x:v>
      </x:c>
      <x:c r="C15" s="17" t="str">
        <x:v>Read headline outputs, sensitivities, breakpoints, and the owner/action prompts.</x:v>
      </x:c>
      <x:c r="D15" s="17" t="str"/>
      <x:c r="E15" s="17" t="str"/>
      <x:c r="F15" s="17" t="str"/>
      <x:c r="G15" s="17" t="str"/>
      <x:c r="H15" s="17" t="str"/>
      <x:c r="I15" s="17" t="str"/>
      <x:c r="J15" s="17" t="str"/>
    </x:row>
    <x:row r="16" ht="30" customHeight="1">
      <x:c r="A16" s="14" t="str">
        <x:v>06</x:v>
      </x:c>
      <x:c r="B16" s="15" t="str">
        <x:v>Resolve Checks</x:v>
      </x:c>
      <x:c r="C16" s="17" t="str">
        <x:v>Do not rely on the output until every published control passes and source readiness is reviewed.</x:v>
      </x:c>
      <x:c r="D16" s="17" t="str"/>
      <x:c r="E16" s="17" t="str"/>
      <x:c r="F16" s="17" t="str"/>
      <x:c r="G16" s="17" t="str"/>
      <x:c r="H16" s="17" t="str"/>
      <x:c r="I16" s="17" t="str"/>
      <x:c r="J16" s="17" t="str"/>
    </x:row>
    <x:row r="18" ht="22" customHeight="1">
      <x:c r="A18" s="9" t="str">
        <x:v>WORKBOOK MAP</x:v>
      </x:c>
      <x:c r="B18" s="9" t="str">
        <x:v>WORKBOOK MAP</x:v>
      </x:c>
      <x:c r="C18" s="9" t="str">
        <x:v>WORKBOOK MAP</x:v>
      </x:c>
      <x:c r="D18" s="9" t="str">
        <x:v>WORKBOOK MAP</x:v>
      </x:c>
      <x:c r="E18" s="9" t="str">
        <x:v>WORKBOOK MAP</x:v>
      </x:c>
      <x:c r="F18" s="9" t="str">
        <x:v>WORKBOOK MAP</x:v>
      </x:c>
      <x:c r="G18" s="9" t="str">
        <x:v>WORKBOOK MAP</x:v>
      </x:c>
      <x:c r="H18" s="9" t="str">
        <x:v>WORKBOOK MAP</x:v>
      </x:c>
      <x:c r="I18" s="9" t="str">
        <x:v>WORKBOOK MAP</x:v>
      </x:c>
      <x:c r="J18" s="9" t="str">
        <x:v>WORKBOOK MAP</x:v>
      </x:c>
    </x:row>
    <x:row r="19">
      <x:c r="A19" s="19" t="str">
        <x:v>Cover</x:v>
      </x:c>
      <x:c r="B19" s="17" t="str">
        <x:v>First-read status, model identity, key outputs, readiness, and cell-color legend.</x:v>
      </x:c>
      <x:c r="C19" s="17" t="str"/>
      <x:c r="D19" s="17" t="str"/>
      <x:c r="E19" s="17" t="str"/>
      <x:c r="F19" s="17" t="str"/>
      <x:c r="G19" s="17" t="str"/>
      <x:c r="H19" s="17" t="str"/>
      <x:c r="I19" s="17" t="str"/>
      <x:c r="J19" s="17" t="str"/>
    </x:row>
    <x:row r="20">
      <x:c r="A20" s="19" t="str">
        <x:v>Guide</x:v>
      </x:c>
      <x:c r="B20" s="17" t="str">
        <x:v>Purpose, quick start, workbook map, flexibility rules, Q&amp;A, and limitations.</x:v>
      </x:c>
      <x:c r="C20" s="17" t="str"/>
      <x:c r="D20" s="17" t="str"/>
      <x:c r="E20" s="17" t="str"/>
      <x:c r="F20" s="17" t="str"/>
      <x:c r="G20" s="17" t="str"/>
      <x:c r="H20" s="17" t="str"/>
      <x:c r="I20" s="17" t="str"/>
      <x:c r="J20" s="17" t="str"/>
    </x:row>
    <x:row r="21">
      <x:c r="A21" s="19" t="str">
        <x:v>Assumptions</x:v>
      </x:c>
      <x:c r="B21" s="17" t="str">
        <x:v>Base, Upside, Downside, selector, units, and selected driver values.</x:v>
      </x:c>
      <x:c r="C21" s="17" t="str"/>
      <x:c r="D21" s="17" t="str"/>
      <x:c r="E21" s="17" t="str"/>
      <x:c r="F21" s="17" t="str"/>
      <x:c r="G21" s="17" t="str"/>
      <x:c r="H21" s="17" t="str"/>
      <x:c r="I21" s="17" t="str"/>
      <x:c r="J21" s="17" t="str"/>
    </x:row>
    <x:row r="22">
      <x:c r="A22" s="19" t="str">
        <x:v>Actual Budget Data</x:v>
      </x:c>
      <x:c r="B22" s="17" t="str">
        <x:v>Synthetic worked source inputs. Replace blue cells and keep the layout or extend it carefully.</x:v>
      </x:c>
      <x:c r="C22" s="17" t="str"/>
      <x:c r="D22" s="17" t="str"/>
      <x:c r="E22" s="17" t="str"/>
      <x:c r="F22" s="17" t="str"/>
      <x:c r="G22" s="17" t="str"/>
      <x:c r="H22" s="17" t="str"/>
      <x:c r="I22" s="17" t="str"/>
      <x:c r="J22" s="17" t="str"/>
    </x:row>
    <x:row r="23">
      <x:c r="A23" s="19" t="str">
        <x:v>Variance Bridge</x:v>
      </x:c>
      <x:c r="B23" s="17" t="str">
        <x:v>Formula-driven calculations and core finance mechanics.</x:v>
      </x:c>
      <x:c r="C23" s="17" t="str"/>
      <x:c r="D23" s="17" t="str"/>
      <x:c r="E23" s="17" t="str"/>
      <x:c r="F23" s="17" t="str"/>
      <x:c r="G23" s="17" t="str"/>
      <x:c r="H23" s="17" t="str"/>
      <x:c r="I23" s="17" t="str"/>
      <x:c r="J23" s="17" t="str"/>
    </x:row>
    <x:row r="24">
      <x:c r="A24" s="19" t="str">
        <x:v>Sensitivity</x:v>
      </x:c>
      <x:c r="B24" s="17" t="str">
        <x:v>Volume change × Price change recalculation of Contribution margin variance.</x:v>
      </x:c>
      <x:c r="C24" s="17" t="str"/>
      <x:c r="D24" s="17" t="str"/>
      <x:c r="E24" s="17" t="str"/>
      <x:c r="F24" s="17" t="str"/>
      <x:c r="G24" s="17" t="str"/>
      <x:c r="H24" s="17" t="str"/>
      <x:c r="I24" s="17" t="str"/>
      <x:c r="J24" s="17" t="str"/>
    </x:row>
    <x:row r="25">
      <x:c r="A25" s="19" t="str">
        <x:v>Summary</x:v>
      </x:c>
      <x:c r="B25" s="17" t="str">
        <x:v>Decision KPIs, trend, scenario, status, management questions, and next actions.</x:v>
      </x:c>
      <x:c r="C25" s="17" t="str"/>
      <x:c r="D25" s="17" t="str"/>
      <x:c r="E25" s="17" t="str"/>
      <x:c r="F25" s="17" t="str"/>
      <x:c r="G25" s="17" t="str"/>
      <x:c r="H25" s="17" t="str"/>
      <x:c r="I25" s="17" t="str"/>
      <x:c r="J25" s="17" t="str"/>
    </x:row>
    <x:row r="26">
      <x:c r="A26" s="19" t="str">
        <x:v>Checks</x:v>
      </x:c>
      <x:c r="B26" s="17" t="str">
        <x:v>One assertion per row with actual, expected, difference, tolerance, status, and fix location.</x:v>
      </x:c>
      <x:c r="C26" s="17" t="str"/>
      <x:c r="D26" s="17" t="str"/>
      <x:c r="E26" s="17" t="str"/>
      <x:c r="F26" s="17" t="str"/>
      <x:c r="G26" s="17" t="str"/>
      <x:c r="H26" s="17" t="str"/>
      <x:c r="I26" s="17" t="str"/>
      <x:c r="J26" s="17" t="str"/>
    </x:row>
    <x:row r="27">
      <x:c r="A27" s="19" t="str">
        <x:v>Sources &amp; Version</x:v>
      </x:c>
      <x:c r="B27" s="17" t="str">
        <x:v>Source/assumption register, release facts, version history, distribution and privacy notes.</x:v>
      </x:c>
      <x:c r="C27" s="17" t="str"/>
      <x:c r="D27" s="17" t="str"/>
      <x:c r="E27" s="17" t="str"/>
      <x:c r="F27" s="17" t="str"/>
      <x:c r="G27" s="17" t="str"/>
      <x:c r="H27" s="17" t="str"/>
      <x:c r="I27" s="17" t="str"/>
      <x:c r="J27" s="17" t="str"/>
    </x:row>
    <x:row r="29" ht="22" customHeight="1">
      <x:c r="A29" s="9" t="str">
        <x:v>PRACTICAL Q&amp;A</x:v>
      </x:c>
      <x:c r="B29" s="9" t="str">
        <x:v>PRACTICAL Q&amp;A</x:v>
      </x:c>
      <x:c r="C29" s="9" t="str">
        <x:v>PRACTICAL Q&amp;A</x:v>
      </x:c>
      <x:c r="D29" s="9" t="str">
        <x:v>PRACTICAL Q&amp;A</x:v>
      </x:c>
      <x:c r="E29" s="9" t="str">
        <x:v>PRACTICAL Q&amp;A</x:v>
      </x:c>
      <x:c r="F29" s="9" t="str">
        <x:v>PRACTICAL Q&amp;A</x:v>
      </x:c>
      <x:c r="G29" s="9" t="str">
        <x:v>PRACTICAL Q&amp;A</x:v>
      </x:c>
      <x:c r="H29" s="9" t="str">
        <x:v>PRACTICAL Q&amp;A</x:v>
      </x:c>
      <x:c r="I29" s="9" t="str">
        <x:v>PRACTICAL Q&amp;A</x:v>
      </x:c>
      <x:c r="J29" s="9" t="str">
        <x:v>PRACTICAL Q&amp;A</x:v>
      </x:c>
    </x:row>
    <x:row r="30" ht="34" customHeight="1">
      <x:c r="A30" s="22" t="str">
        <x:v>What should I replace first?</x:v>
      </x:c>
      <x:c r="B30" s="17" t="str">
        <x:v>Replace blue cells on Actual Budget Data, then review scenario drivers and selected values on Assumptions.</x:v>
      </x:c>
      <x:c r="C30" s="17" t="str"/>
      <x:c r="D30" s="17" t="str"/>
      <x:c r="E30" s="17" t="str"/>
      <x:c r="F30" s="17" t="str"/>
      <x:c r="G30" s="17" t="str"/>
      <x:c r="H30" s="17" t="str"/>
      <x:c r="I30" s="17" t="str"/>
      <x:c r="J30" s="17" t="str"/>
    </x:row>
    <x:row r="31" ht="34" customHeight="1">
      <x:c r="A31" s="22" t="str">
        <x:v>How do I flex the template?</x:v>
      </x:c>
      <x:c r="B31" s="17" t="str">
        <x:v>Add periods or input rows in the source layer, extend formulas and formats together, and reconcile the new dimension back to Variance Bridge and Checks.</x:v>
      </x:c>
      <x:c r="C31" s="17" t="str"/>
      <x:c r="D31" s="17" t="str"/>
      <x:c r="E31" s="17" t="str"/>
      <x:c r="F31" s="17" t="str"/>
      <x:c r="G31" s="17" t="str"/>
      <x:c r="H31" s="17" t="str"/>
      <x:c r="I31" s="17" t="str"/>
      <x:c r="J31" s="17" t="str"/>
    </x:row>
    <x:row r="32" ht="34" customHeight="1">
      <x:c r="A32" s="22" t="str">
        <x:v>What does PASS mean?</x:v>
      </x:c>
      <x:c r="B32" s="17" t="str">
        <x:v>The published calculations and tie-outs are within tolerance. PASS does not confirm source quality, policy, accounting, regulation, tax, legal treatment, or suitability.</x:v>
      </x:c>
      <x:c r="C32" s="17" t="str"/>
      <x:c r="D32" s="17" t="str"/>
      <x:c r="E32" s="17" t="str"/>
      <x:c r="F32" s="17" t="str"/>
      <x:c r="G32" s="17" t="str"/>
      <x:c r="H32" s="17" t="str"/>
      <x:c r="I32" s="17" t="str"/>
      <x:c r="J32" s="17" t="str"/>
    </x:row>
    <x:row r="33" ht="34" customHeight="1">
      <x:c r="A33" s="22" t="str">
        <x:v>Can I use real company data?</x:v>
      </x:c>
      <x:c r="B33" s="17" t="str">
        <x:v>Yes, in your private copy. Confirm permissions, source ownership, privacy requirements, and distribution restrictions before sharing.</x:v>
      </x:c>
      <x:c r="C33" s="17" t="str"/>
      <x:c r="D33" s="17" t="str"/>
      <x:c r="E33" s="17" t="str"/>
      <x:c r="F33" s="17" t="str"/>
      <x:c r="G33" s="17" t="str"/>
      <x:c r="H33" s="17" t="str"/>
      <x:c r="I33" s="17" t="str"/>
      <x:c r="J33" s="17" t="str"/>
    </x:row>
    <x:row r="34" ht="34" customHeight="1">
      <x:c r="A34" s="22" t="str">
        <x:v>Does it work in Google Sheets or LibreOffice?</x:v>
      </x:c>
      <x:c r="B34" s="17" t="str">
        <x:v>Not verified. Excel 365 is the supported target; test formulas, charts, validations, formats, and checks after conversion.</x:v>
      </x:c>
      <x:c r="C34" s="17" t="str"/>
      <x:c r="D34" s="17" t="str"/>
      <x:c r="E34" s="17" t="str"/>
      <x:c r="F34" s="17" t="str"/>
      <x:c r="G34" s="17" t="str"/>
      <x:c r="H34" s="17" t="str"/>
      <x:c r="I34" s="17" t="str"/>
      <x:c r="J34" s="17" t="str"/>
    </x:row>
    <x:row r="35" ht="34" customHeight="1">
      <x:c r="A35" s="22" t="str">
        <x:v>Can this replace professional review?</x:v>
      </x:c>
      <x:c r="B35" s="17" t="str">
        <x:v>No. It is an educational analytical template; obtain appropriate finance, accounting, tax, legal, regulatory, credit, actuarial, or investment review for real decisions.</x:v>
      </x:c>
      <x:c r="C35" s="17" t="str"/>
      <x:c r="D35" s="17" t="str"/>
      <x:c r="E35" s="17" t="str"/>
      <x:c r="F35" s="17" t="str"/>
      <x:c r="G35" s="17" t="str"/>
      <x:c r="H35" s="17" t="str"/>
      <x:c r="I35" s="17" t="str"/>
      <x:c r="J35" s="17" t="str"/>
    </x:row>
    <x:row r="37">
      <x:c r="A37" s="42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B37" s="43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C37" s="43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D37" s="43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E37" s="43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F37" s="43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G37" s="43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H37" s="43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I37" s="43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J37" s="44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</x:row>
    <x:row r="38">
      <x:c r="A38" s="45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B38" s="46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C38" s="46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D38" s="46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E38" s="46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F38" s="46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G38" s="46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H38" s="46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I38" s="46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J38" s="47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</x:row>
    <x:row r="39">
      <x:c r="A39" s="48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B39" s="49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C39" s="49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D39" s="49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E39" s="49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F39" s="49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G39" s="49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H39" s="49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I39" s="49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  <x:c r="J39" s="50" t="str">
        <x:v>Deliberately excluded in version 1.0.0: statistical forecast model; automated narrative generation; multi-level allocation engine; unapproved favorable/unfavorable policy. Extend only after the underlying method, source availability, checks, and review responsibility are defined.</x:v>
      </x:c>
    </x:row>
    <x:row r="41">
      <x:c r="A41" s="53" t="str">
        <x:v>TDAT Model Library  |  Trust builds the brand. Insight builds the decision.</x:v>
      </x:c>
      <x:c r="B41" s="53" t="str">
        <x:v>TDAT Model Library  |  Trust builds the brand. Insight builds the decision.</x:v>
      </x:c>
      <x:c r="C41" s="53" t="str">
        <x:v>TDAT Model Library  |  Trust builds the brand. Insight builds the decision.</x:v>
      </x:c>
      <x:c r="D41" s="53" t="str">
        <x:v>TDAT Model Library  |  Trust builds the brand. Insight builds the decision.</x:v>
      </x:c>
      <x:c r="E41" s="53" t="str">
        <x:v>TDAT Model Library  |  Trust builds the brand. Insight builds the decision.</x:v>
      </x:c>
      <x:c r="F41" s="53" t="str">
        <x:v>TDAT Model Library  |  Trust builds the brand. Insight builds the decision.</x:v>
      </x:c>
      <x:c r="G41" s="53" t="str">
        <x:v>TDAT Model Library  |  Trust builds the brand. Insight builds the decision.</x:v>
      </x:c>
      <x:c r="H41" s="53" t="str">
        <x:v>TDAT Model Library  |  Trust builds the brand. Insight builds the decision.</x:v>
      </x:c>
      <x:c r="I41" s="53" t="str">
        <x:v>TDAT Model Library  |  Trust builds the brand. Insight builds the decision.</x:v>
      </x:c>
      <x:c r="J41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6:J8"/>
    <x:mergeCell ref="A10:J10"/>
    <x:mergeCell ref="C11:J11"/>
    <x:mergeCell ref="C12:J12"/>
    <x:mergeCell ref="C13:J13"/>
    <x:mergeCell ref="C14:J14"/>
    <x:mergeCell ref="C15:J15"/>
    <x:mergeCell ref="C16:J16"/>
    <x:mergeCell ref="A18:J18"/>
    <x:mergeCell ref="B19:J19"/>
    <x:mergeCell ref="B20:J20"/>
    <x:mergeCell ref="B21:J21"/>
    <x:mergeCell ref="B22:J22"/>
    <x:mergeCell ref="B23:J23"/>
    <x:mergeCell ref="B24:J24"/>
    <x:mergeCell ref="B25:J25"/>
    <x:mergeCell ref="B26:J26"/>
    <x:mergeCell ref="B27:J27"/>
    <x:mergeCell ref="A29:J29"/>
    <x:mergeCell ref="B30:J30"/>
    <x:mergeCell ref="B31:J31"/>
    <x:mergeCell ref="B32:J32"/>
    <x:mergeCell ref="B33:J33"/>
    <x:mergeCell ref="B34:J34"/>
    <x:mergeCell ref="B35:J35"/>
    <x:mergeCell ref="A37:J39"/>
    <x:mergeCell ref="A41:J4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44" hidden="0" customWidth="1"/>
  </x:cols>
  <x:sheetData>
    <x:row r="1" ht="34" customHeight="1">
      <x:c r="A1" s="3" t="str">
        <x:v>ASSUMPTIONS &amp; SCENARIOS</x:v>
      </x:c>
      <x:c r="B1" s="3" t="str">
        <x:v>ASSUMPTIONS &amp; SCENARIOS</x:v>
      </x:c>
      <x:c r="C1" s="3" t="str">
        <x:v>ASSUMPTIONS &amp; SCENARIOS</x:v>
      </x:c>
      <x:c r="D1" s="3" t="str">
        <x:v>ASSUMPTIONS &amp; SCENARIOS</x:v>
      </x:c>
      <x:c r="E1" s="3" t="str">
        <x:v>ASSUMPTIONS &amp; SCENARIOS</x:v>
      </x:c>
      <x:c r="F1" s="3" t="str">
        <x:v>ASSUMPTIONS &amp; SCENARIOS</x:v>
      </x:c>
      <x:c r="G1" s="3" t="str">
        <x:v>ASSUMPTIONS &amp; SCENARIOS</x:v>
      </x:c>
    </x:row>
    <x:row r="2" ht="24" customHeight="1">
      <x:c r="A2" s="6" t="str">
        <x:v>Variance Bridge &amp; Forecast Accuracy  |  One controlled selector and visible driver cases</x:v>
      </x:c>
      <x:c r="B2" s="6" t="str">
        <x:v>Variance Bridge &amp; Forecast Accuracy  |  One controlled selector and visible driver cases</x:v>
      </x:c>
      <x:c r="C2" s="6" t="str">
        <x:v>Variance Bridge &amp; Forecast Accuracy  |  One controlled selector and visible driver cases</x:v>
      </x:c>
      <x:c r="D2" s="6" t="str">
        <x:v>Variance Bridge &amp; Forecast Accuracy  |  One controlled selector and visible driver cases</x:v>
      </x:c>
      <x:c r="E2" s="6" t="str">
        <x:v>Variance Bridge &amp; Forecast Accuracy  |  One controlled selector and visible driver cases</x:v>
      </x:c>
      <x:c r="F2" s="6" t="str">
        <x:v>Variance Bridge &amp; Forecast Accuracy  |  One controlled selector and visible driver cases</x:v>
      </x:c>
      <x:c r="G2" s="6" t="str">
        <x:v>Variance Bridge &amp; Forecast Accuracy  |  One controlled selector and visible driver cases</x:v>
      </x:c>
    </x:row>
    <x:row r="3" ht="4" customHeight="1">
      <x:c r="A3" s="54" t="str">
        <x:v>Selected Scenario</x:v>
      </x:c>
      <x:c r="B3" s="56" t="str">
        <x:v>Base</x:v>
      </x:c>
      <x:c r="C3" s="7"/>
      <x:c r="D3" s="7"/>
      <x:c r="E3" s="7"/>
      <x:c r="F3" s="7"/>
      <x:c r="G3" s="7"/>
    </x:row>
    <x:row r="5" ht="24" customHeight="1">
      <x:c r="A5" s="66" t="str">
        <x:v>Driver</x:v>
      </x:c>
      <x:c r="B5" s="67" t="str">
        <x:v>Unit</x:v>
      </x:c>
      <x:c r="C5" s="67" t="str">
        <x:v>Base</x:v>
      </x:c>
      <x:c r="D5" s="67" t="str">
        <x:v>Upside</x:v>
      </x:c>
      <x:c r="E5" s="67" t="str">
        <x:v>Downside</x:v>
      </x:c>
      <x:c r="F5" s="67" t="str">
        <x:v>Selected</x:v>
      </x:c>
      <x:c r="G5" s="68" t="str">
        <x:v>Rationale / edit cue</x:v>
      </x:c>
    </x:row>
    <x:row r="6">
      <x:c r="A6" s="80" t="str">
        <x:v>Scenario volume overlay</x:v>
      </x:c>
      <x:c r="B6" s="81" t="str">
        <x:v>%</x:v>
      </x:c>
      <x:c r="C6" s="82" t="n">
        <x:v>0</x:v>
      </x:c>
      <x:c r="D6" s="82" t="n">
        <x:v>0.04</x:v>
      </x:c>
      <x:c r="E6" s="82" t="n">
        <x:v>-0.06</x:v>
      </x:c>
      <x:c r="F6" s="83" t="n">
        <x:f>IF($B$3="Base",C6,IF($B$3="Upside",D6,E6))</x:f>
        <x:v>0</x:v>
      </x:c>
      <x:c r="G6" s="84" t="str">
        <x:v>Replace with an approved, sourced assumption.</x:v>
      </x:c>
    </x:row>
    <x:row r="7">
      <x:c r="A7" s="85" t="str">
        <x:v>Scenario price overlay</x:v>
      </x:c>
      <x:c r="B7" s="86" t="str">
        <x:v>%</x:v>
      </x:c>
      <x:c r="C7" s="87" t="n">
        <x:v>0</x:v>
      </x:c>
      <x:c r="D7" s="87" t="n">
        <x:v>0.02</x:v>
      </x:c>
      <x:c r="E7" s="87" t="n">
        <x:v>-0.02</x:v>
      </x:c>
      <x:c r="F7" s="88" t="n">
        <x:f>IF($B$3="Base",C7,IF($B$3="Upside",D7,E7))</x:f>
        <x:v>0</x:v>
      </x:c>
      <x:c r="G7" s="89" t="str">
        <x:v>Replace with an approved, sourced assumption.</x:v>
      </x:c>
    </x:row>
    <x:row r="8">
      <x:c r="A8" s="85" t="str">
        <x:v>Scenario unit-cost overlay</x:v>
      </x:c>
      <x:c r="B8" s="86" t="str">
        <x:v>%</x:v>
      </x:c>
      <x:c r="C8" s="87" t="n">
        <x:v>0</x:v>
      </x:c>
      <x:c r="D8" s="87" t="n">
        <x:v>-0.01</x:v>
      </x:c>
      <x:c r="E8" s="87" t="n">
        <x:v>0.04</x:v>
      </x:c>
      <x:c r="F8" s="88" t="n">
        <x:f>IF($B$3="Base",C8,IF($B$3="Upside",D8,E8))</x:f>
        <x:v>0</x:v>
      </x:c>
      <x:c r="G8" s="89" t="str">
        <x:v>Replace with an approved, sourced assumption.</x:v>
      </x:c>
    </x:row>
    <x:row r="9">
      <x:c r="A9" s="90" t="str">
        <x:v>Materiality threshold</x:v>
      </x:c>
      <x:c r="B9" s="91" t="str">
        <x:v>LCY000</x:v>
      </x:c>
      <x:c r="C9" s="92" t="n">
        <x:v>250</x:v>
      </x:c>
      <x:c r="D9" s="92" t="n">
        <x:v>200</x:v>
      </x:c>
      <x:c r="E9" s="92" t="n">
        <x:v>150</x:v>
      </x:c>
      <x:c r="F9" s="93" t="n">
        <x:f>IF($B$3="Base",C9,IF($B$3="Upside",D9,E9))</x:f>
        <x:v>250</x:v>
      </x:c>
      <x:c r="G9" s="94" t="str">
        <x:v>Replace with an approved, sourced assumption.</x:v>
      </x:c>
    </x:row>
    <x:row r="11">
      <x:c r="A11" s="42" t="str">
        <x:v>Scenario discipline: change a small number of decision-relevant drivers, preserve the core formula architecture, and document what changed, why, who owns it, and what action follows.</x:v>
      </x:c>
      <x:c r="B11" s="43" t="str">
        <x:v>Scenario discipline: change a small number of decision-relevant drivers, preserve the core formula architecture, and document what changed, why, who owns it, and what action follows.</x:v>
      </x:c>
      <x:c r="C11" s="43" t="str">
        <x:v>Scenario discipline: change a small number of decision-relevant drivers, preserve the core formula architecture, and document what changed, why, who owns it, and what action follows.</x:v>
      </x:c>
      <x:c r="D11" s="43" t="str">
        <x:v>Scenario discipline: change a small number of decision-relevant drivers, preserve the core formula architecture, and document what changed, why, who owns it, and what action follows.</x:v>
      </x:c>
      <x:c r="E11" s="43" t="str">
        <x:v>Scenario discipline: change a small number of decision-relevant drivers, preserve the core formula architecture, and document what changed, why, who owns it, and what action follows.</x:v>
      </x:c>
      <x:c r="F11" s="43" t="str">
        <x:v>Scenario discipline: change a small number of decision-relevant drivers, preserve the core formula architecture, and document what changed, why, who owns it, and what action follows.</x:v>
      </x:c>
      <x:c r="G11" s="44" t="str">
        <x:v>Scenario discipline: change a small number of decision-relevant drivers, preserve the core formula architecture, and document what changed, why, who owns it, and what action follows.</x:v>
      </x:c>
    </x:row>
    <x:row r="12">
      <x:c r="A12" s="45" t="str">
        <x:v>Scenario discipline: change a small number of decision-relevant drivers, preserve the core formula architecture, and document what changed, why, who owns it, and what action follows.</x:v>
      </x:c>
      <x:c r="B12" s="46" t="str">
        <x:v>Scenario discipline: change a small number of decision-relevant drivers, preserve the core formula architecture, and document what changed, why, who owns it, and what action follows.</x:v>
      </x:c>
      <x:c r="C12" s="46" t="str">
        <x:v>Scenario discipline: change a small number of decision-relevant drivers, preserve the core formula architecture, and document what changed, why, who owns it, and what action follows.</x:v>
      </x:c>
      <x:c r="D12" s="46" t="str">
        <x:v>Scenario discipline: change a small number of decision-relevant drivers, preserve the core formula architecture, and document what changed, why, who owns it, and what action follows.</x:v>
      </x:c>
      <x:c r="E12" s="46" t="str">
        <x:v>Scenario discipline: change a small number of decision-relevant drivers, preserve the core formula architecture, and document what changed, why, who owns it, and what action follows.</x:v>
      </x:c>
      <x:c r="F12" s="46" t="str">
        <x:v>Scenario discipline: change a small number of decision-relevant drivers, preserve the core formula architecture, and document what changed, why, who owns it, and what action follows.</x:v>
      </x:c>
      <x:c r="G12" s="47" t="str">
        <x:v>Scenario discipline: change a small number of decision-relevant drivers, preserve the core formula architecture, and document what changed, why, who owns it, and what action follows.</x:v>
      </x:c>
    </x:row>
    <x:row r="13">
      <x:c r="A13" s="48" t="str">
        <x:v>Scenario discipline: change a small number of decision-relevant drivers, preserve the core formula architecture, and document what changed, why, who owns it, and what action follows.</x:v>
      </x:c>
      <x:c r="B13" s="49" t="str">
        <x:v>Scenario discipline: change a small number of decision-relevant drivers, preserve the core formula architecture, and document what changed, why, who owns it, and what action follows.</x:v>
      </x:c>
      <x:c r="C13" s="49" t="str">
        <x:v>Scenario discipline: change a small number of decision-relevant drivers, preserve the core formula architecture, and document what changed, why, who owns it, and what action follows.</x:v>
      </x:c>
      <x:c r="D13" s="49" t="str">
        <x:v>Scenario discipline: change a small number of decision-relevant drivers, preserve the core formula architecture, and document what changed, why, who owns it, and what action follows.</x:v>
      </x:c>
      <x:c r="E13" s="49" t="str">
        <x:v>Scenario discipline: change a small number of decision-relevant drivers, preserve the core formula architecture, and document what changed, why, who owns it, and what action follows.</x:v>
      </x:c>
      <x:c r="F13" s="49" t="str">
        <x:v>Scenario discipline: change a small number of decision-relevant drivers, preserve the core formula architecture, and document what changed, why, who owns it, and what action follows.</x:v>
      </x:c>
      <x:c r="G13" s="50" t="str">
        <x:v>Scenario discipline: change a small number of decision-relevant drivers, preserve the core formula architecture, and document what changed, why, who owns it, and what action follows.</x:v>
      </x:c>
    </x:row>
    <x:row r="15">
      <x:c r="A15" s="53" t="str">
        <x:v>TDAT Model Library  |  Trust builds the brand. Insight builds the decision.</x:v>
      </x:c>
      <x:c r="B15" s="53" t="str">
        <x:v>TDAT Model Library  |  Trust builds the brand. Insight builds the decision.</x:v>
      </x:c>
      <x:c r="C15" s="53" t="str">
        <x:v>TDAT Model Library  |  Trust builds the brand. Insight builds the decision.</x:v>
      </x:c>
      <x:c r="D15" s="53" t="str">
        <x:v>TDAT Model Library  |  Trust builds the brand. Insight builds the decision.</x:v>
      </x:c>
      <x:c r="E15" s="53" t="str">
        <x:v>TDAT Model Library  |  Trust builds the brand. Insight builds the decision.</x:v>
      </x:c>
      <x:c r="F15" s="53" t="str">
        <x:v>TDAT Model Library  |  Trust builds the brand. Insight builds the decision.</x:v>
      </x:c>
      <x:c r="G15" s="53" t="str">
        <x:v>TDAT Model Library  |  Trust builds the brand. Insight builds the decision.</x:v>
      </x:c>
    </x:row>
  </x:sheetData>
  <x:mergeCells>
    <x:mergeCell ref="A1:G1"/>
    <x:mergeCell ref="A2:G2"/>
    <x:mergeCell ref="A11:G13"/>
    <x:mergeCell ref="A15:G15"/>
  </x:mergeCells>
  <x:dataValidations count="1">
    <x:dataValidation type="list" sqref="B3">
      <x:formula1>"Base,Upside,Downside"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</x:cols>
  <x:sheetData>
    <x:row r="1" ht="34" customHeight="1">
      <x:c r="A1" s="3" t="str">
        <x:v>ACTUAL BUDGET DATA</x:v>
      </x:c>
      <x:c r="B1" s="3" t="str">
        <x:v>ACTUAL BUDGET DATA</x:v>
      </x:c>
      <x:c r="C1" s="3" t="str">
        <x:v>ACTUAL BUDGET DATA</x:v>
      </x:c>
      <x:c r="D1" s="3" t="str">
        <x:v>ACTUAL BUDGET DATA</x:v>
      </x:c>
      <x:c r="E1" s="3" t="str">
        <x:v>ACTUAL BUDGET DATA</x:v>
      </x:c>
      <x:c r="F1" s="3" t="str">
        <x:v>ACTUAL BUDGET DATA</x:v>
      </x:c>
      <x:c r="G1" s="3" t="str">
        <x:v>ACTUAL BUDGET DATA</x:v>
      </x:c>
    </x:row>
    <x:row r="2" ht="24" customHeight="1">
      <x:c r="A2" s="6" t="str">
        <x:v>Variance Bridge &amp; Forecast Accuracy  |  Synthetic worked inputs — replace blue cells</x:v>
      </x:c>
      <x:c r="B2" s="6" t="str">
        <x:v>Variance Bridge &amp; Forecast Accuracy  |  Synthetic worked inputs — replace blue cells</x:v>
      </x:c>
      <x:c r="C2" s="6" t="str">
        <x:v>Variance Bridge &amp; Forecast Accuracy  |  Synthetic worked inputs — replace blue cells</x:v>
      </x:c>
      <x:c r="D2" s="6" t="str">
        <x:v>Variance Bridge &amp; Forecast Accuracy  |  Synthetic worked inputs — replace blue cells</x:v>
      </x:c>
      <x:c r="E2" s="6" t="str">
        <x:v>Variance Bridge &amp; Forecast Accuracy  |  Synthetic worked inputs — replace blue cells</x:v>
      </x:c>
      <x:c r="F2" s="6" t="str">
        <x:v>Variance Bridge &amp; Forecast Accuracy  |  Synthetic worked inputs — replace blue cells</x:v>
      </x:c>
      <x:c r="G2" s="6" t="str">
        <x:v>Variance Bridge &amp; Forecast Accuracy  |  Synthetic worked inputs — replace blue cells</x:v>
      </x:c>
    </x:row>
    <x:row r="3" ht="4" customHeight="1">
      <x:c r="A3" s="7"/>
      <x:c r="B3" s="7"/>
      <x:c r="C3" s="7"/>
      <x:c r="D3" s="7"/>
      <x:c r="E3" s="7"/>
      <x:c r="F3" s="7"/>
      <x:c r="G3" s="7"/>
    </x:row>
    <x:row r="5" ht="24" customHeight="1">
      <x:c r="A5" s="66" t="str">
        <x:v>Input / Period</x:v>
      </x:c>
      <x:c r="B5" s="67" t="str">
        <x:v>North</x:v>
      </x:c>
      <x:c r="C5" s="67" t="str">
        <x:v>South</x:v>
      </x:c>
      <x:c r="D5" s="67" t="str">
        <x:v>East</x:v>
      </x:c>
      <x:c r="E5" s="67" t="str">
        <x:v>West</x:v>
      </x:c>
      <x:c r="F5" s="67" t="str">
        <x:v>Online</x:v>
      </x:c>
      <x:c r="G5" s="68" t="str">
        <x:v>Key Accounts</x:v>
      </x:c>
    </x:row>
    <x:row r="6">
      <x:c r="A6" s="100" t="str">
        <x:v>Actual units</x:v>
      </x:c>
      <x:c r="B6" s="101" t="n">
        <x:v>1200</x:v>
      </x:c>
      <x:c r="C6" s="101" t="n">
        <x:v>900</x:v>
      </x:c>
      <x:c r="D6" s="101" t="n">
        <x:v>760</x:v>
      </x:c>
      <x:c r="E6" s="101" t="n">
        <x:v>640</x:v>
      </x:c>
      <x:c r="F6" s="101" t="n">
        <x:v>1500</x:v>
      </x:c>
      <x:c r="G6" s="101" t="n">
        <x:v>480</x:v>
      </x:c>
    </x:row>
    <x:row r="7">
      <x:c r="A7" s="102" t="str">
        <x:v>Actual net price / unit</x:v>
      </x:c>
      <x:c r="B7" s="103" t="n">
        <x:v>12.4</x:v>
      </x:c>
      <x:c r="C7" s="103" t="n">
        <x:v>11.8</x:v>
      </x:c>
      <x:c r="D7" s="103" t="n">
        <x:v>12.8</x:v>
      </x:c>
      <x:c r="E7" s="103" t="n">
        <x:v>13.1</x:v>
      </x:c>
      <x:c r="F7" s="103" t="n">
        <x:v>10.9</x:v>
      </x:c>
      <x:c r="G7" s="103" t="n">
        <x:v>14.2</x:v>
      </x:c>
    </x:row>
    <x:row r="8">
      <x:c r="A8" s="102" t="str">
        <x:v>Actual variable cost / unit</x:v>
      </x:c>
      <x:c r="B8" s="103" t="n">
        <x:v>7.1</x:v>
      </x:c>
      <x:c r="C8" s="103" t="n">
        <x:v>6.9</x:v>
      </x:c>
      <x:c r="D8" s="103" t="n">
        <x:v>7.5</x:v>
      </x:c>
      <x:c r="E8" s="103" t="n">
        <x:v>7.7</x:v>
      </x:c>
      <x:c r="F8" s="103" t="n">
        <x:v>6.4</x:v>
      </x:c>
      <x:c r="G8" s="103" t="n">
        <x:v>8.1</x:v>
      </x:c>
    </x:row>
    <x:row r="9">
      <x:c r="A9" s="102" t="str">
        <x:v>Budget units</x:v>
      </x:c>
      <x:c r="B9" s="104" t="n">
        <x:v>1150</x:v>
      </x:c>
      <x:c r="C9" s="104" t="n">
        <x:v>930</x:v>
      </x:c>
      <x:c r="D9" s="104" t="n">
        <x:v>720</x:v>
      </x:c>
      <x:c r="E9" s="104" t="n">
        <x:v>660</x:v>
      </x:c>
      <x:c r="F9" s="104" t="n">
        <x:v>1420</x:v>
      </x:c>
      <x:c r="G9" s="104" t="n">
        <x:v>500</x:v>
      </x:c>
    </x:row>
    <x:row r="10">
      <x:c r="A10" s="102" t="str">
        <x:v>Budget net price / unit</x:v>
      </x:c>
      <x:c r="B10" s="103" t="n">
        <x:v>12</x:v>
      </x:c>
      <x:c r="C10" s="103" t="n">
        <x:v>12</x:v>
      </x:c>
      <x:c r="D10" s="103" t="n">
        <x:v>12.5</x:v>
      </x:c>
      <x:c r="E10" s="103" t="n">
        <x:v>13</x:v>
      </x:c>
      <x:c r="F10" s="103" t="n">
        <x:v>11</x:v>
      </x:c>
      <x:c r="G10" s="103" t="n">
        <x:v>14</x:v>
      </x:c>
    </x:row>
    <x:row r="11">
      <x:c r="A11" s="102" t="str">
        <x:v>Budget variable cost / unit</x:v>
      </x:c>
      <x:c r="B11" s="103" t="n">
        <x:v>7</x:v>
      </x:c>
      <x:c r="C11" s="103" t="n">
        <x:v>6.8</x:v>
      </x:c>
      <x:c r="D11" s="103" t="n">
        <x:v>7.3</x:v>
      </x:c>
      <x:c r="E11" s="103" t="n">
        <x:v>7.6</x:v>
      </x:c>
      <x:c r="F11" s="103" t="n">
        <x:v>6.3</x:v>
      </x:c>
      <x:c r="G11" s="103" t="n">
        <x:v>8</x:v>
      </x:c>
    </x:row>
    <x:row r="12">
      <x:c r="A12" s="102" t="str">
        <x:v>Actual controllable opex</x:v>
      </x:c>
      <x:c r="B12" s="105" t="n">
        <x:v>1700</x:v>
      </x:c>
      <x:c r="C12" s="105" t="n">
        <x:v>1300</x:v>
      </x:c>
      <x:c r="D12" s="105" t="n">
        <x:v>1100</x:v>
      </x:c>
      <x:c r="E12" s="105" t="n">
        <x:v>950</x:v>
      </x:c>
      <x:c r="F12" s="105" t="n">
        <x:v>2100</x:v>
      </x:c>
      <x:c r="G12" s="105" t="n">
        <x:v>800</x:v>
      </x:c>
    </x:row>
    <x:row r="13">
      <x:c r="A13" s="102" t="str">
        <x:v>Budget controllable opex</x:v>
      </x:c>
      <x:c r="B13" s="105" t="n">
        <x:v>1650</x:v>
      </x:c>
      <x:c r="C13" s="105" t="n">
        <x:v>1280</x:v>
      </x:c>
      <x:c r="D13" s="105" t="n">
        <x:v>1080</x:v>
      </x:c>
      <x:c r="E13" s="105" t="n">
        <x:v>930</x:v>
      </x:c>
      <x:c r="F13" s="105" t="n">
        <x:v>2000</x:v>
      </x:c>
      <x:c r="G13" s="105" t="n">
        <x:v>790</x:v>
      </x:c>
    </x:row>
    <x:row r="14">
      <x:c r="A14" s="106" t="str">
        <x:v>Latest forecast revenue</x:v>
      </x:c>
      <x:c r="B14" s="107" t="n">
        <x:v>14500</x:v>
      </x:c>
      <x:c r="C14" s="107" t="n">
        <x:v>10900</x:v>
      </x:c>
      <x:c r="D14" s="107" t="n">
        <x:v>9300</x:v>
      </x:c>
      <x:c r="E14" s="107" t="n">
        <x:v>8400</x:v>
      </x:c>
      <x:c r="F14" s="107" t="n">
        <x:v>15900</x:v>
      </x:c>
      <x:c r="G14" s="107" t="n">
        <x:v>6800</x:v>
      </x:c>
    </x:row>
    <x:row r="16">
      <x:c r="A16" s="42" t="str">
        <x:v>Synthetic input pack. Preserve source definitions, units, period basis, and sign convention when replacing values.</x:v>
      </x:c>
      <x:c r="B16" s="43" t="str">
        <x:v>Synthetic input pack. Preserve source definitions, units, period basis, and sign convention when replacing values.</x:v>
      </x:c>
      <x:c r="C16" s="43" t="str">
        <x:v>Synthetic input pack. Preserve source definitions, units, period basis, and sign convention when replacing values.</x:v>
      </x:c>
      <x:c r="D16" s="43" t="str">
        <x:v>Synthetic input pack. Preserve source definitions, units, period basis, and sign convention when replacing values.</x:v>
      </x:c>
      <x:c r="E16" s="43" t="str">
        <x:v>Synthetic input pack. Preserve source definitions, units, period basis, and sign convention when replacing values.</x:v>
      </x:c>
      <x:c r="F16" s="43" t="str">
        <x:v>Synthetic input pack. Preserve source definitions, units, period basis, and sign convention when replacing values.</x:v>
      </x:c>
      <x:c r="G16" s="44" t="str">
        <x:v>Synthetic input pack. Preserve source definitions, units, period basis, and sign convention when replacing values.</x:v>
      </x:c>
    </x:row>
    <x:row r="17">
      <x:c r="A17" s="45" t="str">
        <x:v>Synthetic input pack. Preserve source definitions, units, period basis, and sign convention when replacing values.</x:v>
      </x:c>
      <x:c r="B17" s="46" t="str">
        <x:v>Synthetic input pack. Preserve source definitions, units, period basis, and sign convention when replacing values.</x:v>
      </x:c>
      <x:c r="C17" s="46" t="str">
        <x:v>Synthetic input pack. Preserve source definitions, units, period basis, and sign convention when replacing values.</x:v>
      </x:c>
      <x:c r="D17" s="46" t="str">
        <x:v>Synthetic input pack. Preserve source definitions, units, period basis, and sign convention when replacing values.</x:v>
      </x:c>
      <x:c r="E17" s="46" t="str">
        <x:v>Synthetic input pack. Preserve source definitions, units, period basis, and sign convention when replacing values.</x:v>
      </x:c>
      <x:c r="F17" s="46" t="str">
        <x:v>Synthetic input pack. Preserve source definitions, units, period basis, and sign convention when replacing values.</x:v>
      </x:c>
      <x:c r="G17" s="47" t="str">
        <x:v>Synthetic input pack. Preserve source definitions, units, period basis, and sign convention when replacing values.</x:v>
      </x:c>
    </x:row>
    <x:row r="18">
      <x:c r="A18" s="48" t="str">
        <x:v>Synthetic input pack. Preserve source definitions, units, period basis, and sign convention when replacing values.</x:v>
      </x:c>
      <x:c r="B18" s="49" t="str">
        <x:v>Synthetic input pack. Preserve source definitions, units, period basis, and sign convention when replacing values.</x:v>
      </x:c>
      <x:c r="C18" s="49" t="str">
        <x:v>Synthetic input pack. Preserve source definitions, units, period basis, and sign convention when replacing values.</x:v>
      </x:c>
      <x:c r="D18" s="49" t="str">
        <x:v>Synthetic input pack. Preserve source definitions, units, period basis, and sign convention when replacing values.</x:v>
      </x:c>
      <x:c r="E18" s="49" t="str">
        <x:v>Synthetic input pack. Preserve source definitions, units, period basis, and sign convention when replacing values.</x:v>
      </x:c>
      <x:c r="F18" s="49" t="str">
        <x:v>Synthetic input pack. Preserve source definitions, units, period basis, and sign convention when replacing values.</x:v>
      </x:c>
      <x:c r="G18" s="50" t="str">
        <x:v>Synthetic input pack. Preserve source definitions, units, period basis, and sign convention when replacing values.</x:v>
      </x:c>
    </x:row>
    <x:row r="20">
      <x:c r="A20" s="53" t="str">
        <x:v>TDAT Model Library  |  Trust builds the brand. Insight builds the decision.</x:v>
      </x:c>
      <x:c r="B20" s="53" t="str">
        <x:v>TDAT Model Library  |  Trust builds the brand. Insight builds the decision.</x:v>
      </x:c>
      <x:c r="C20" s="53" t="str">
        <x:v>TDAT Model Library  |  Trust builds the brand. Insight builds the decision.</x:v>
      </x:c>
      <x:c r="D20" s="53" t="str">
        <x:v>TDAT Model Library  |  Trust builds the brand. Insight builds the decision.</x:v>
      </x:c>
      <x:c r="E20" s="53" t="str">
        <x:v>TDAT Model Library  |  Trust builds the brand. Insight builds the decision.</x:v>
      </x:c>
      <x:c r="F20" s="53" t="str">
        <x:v>TDAT Model Library  |  Trust builds the brand. Insight builds the decision.</x:v>
      </x:c>
      <x:c r="G20" s="53" t="str">
        <x:v>TDAT Model Library  |  Trust builds the brand. Insight builds the decision.</x:v>
      </x:c>
    </x:row>
  </x:sheetData>
  <x:mergeCells>
    <x:mergeCell ref="A1:G1"/>
    <x:mergeCell ref="A2:G2"/>
    <x:mergeCell ref="A16:G18"/>
    <x:mergeCell ref="A20:G20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</x:cols>
  <x:sheetData>
    <x:row r="1" ht="34" customHeight="1">
      <x:c r="A1" s="3" t="str">
        <x:v>VARIANCE BRIDGE</x:v>
      </x:c>
      <x:c r="B1" s="3" t="str">
        <x:v>VARIANCE BRIDGE</x:v>
      </x:c>
      <x:c r="C1" s="3" t="str">
        <x:v>VARIANCE BRIDGE</x:v>
      </x:c>
      <x:c r="D1" s="3" t="str">
        <x:v>VARIANCE BRIDGE</x:v>
      </x:c>
      <x:c r="E1" s="3" t="str">
        <x:v>VARIANCE BRIDGE</x:v>
      </x:c>
      <x:c r="F1" s="3" t="str">
        <x:v>VARIANCE BRIDGE</x:v>
      </x:c>
      <x:c r="G1" s="3" t="str">
        <x:v>VARIANCE BRIDGE</x:v>
      </x:c>
    </x:row>
    <x:row r="2" ht="24" customHeight="1">
      <x:c r="A2" s="6" t="str">
        <x:v>Variance Bridge &amp; Forecast Accuracy  |  Formula-driven core mechanics</x:v>
      </x:c>
      <x:c r="B2" s="6" t="str">
        <x:v>Variance Bridge &amp; Forecast Accuracy  |  Formula-driven core mechanics</x:v>
      </x:c>
      <x:c r="C2" s="6" t="str">
        <x:v>Variance Bridge &amp; Forecast Accuracy  |  Formula-driven core mechanics</x:v>
      </x:c>
      <x:c r="D2" s="6" t="str">
        <x:v>Variance Bridge &amp; Forecast Accuracy  |  Formula-driven core mechanics</x:v>
      </x:c>
      <x:c r="E2" s="6" t="str">
        <x:v>Variance Bridge &amp; Forecast Accuracy  |  Formula-driven core mechanics</x:v>
      </x:c>
      <x:c r="F2" s="6" t="str">
        <x:v>Variance Bridge &amp; Forecast Accuracy  |  Formula-driven core mechanics</x:v>
      </x:c>
      <x:c r="G2" s="6" t="str">
        <x:v>Variance Bridge &amp; Forecast Accuracy  |  Formula-driven core mechanics</x:v>
      </x:c>
    </x:row>
    <x:row r="3" ht="4" customHeight="1">
      <x:c r="A3" s="7"/>
      <x:c r="B3" s="7"/>
      <x:c r="C3" s="7"/>
      <x:c r="D3" s="7"/>
      <x:c r="E3" s="7"/>
      <x:c r="F3" s="7"/>
      <x:c r="G3" s="7"/>
    </x:row>
    <x:row r="5" ht="24" customHeight="1">
      <x:c r="A5" s="66" t="str">
        <x:v>Calculation / Period</x:v>
      </x:c>
      <x:c r="B5" s="67" t="str">
        <x:v>North</x:v>
      </x:c>
      <x:c r="C5" s="67" t="str">
        <x:v>South</x:v>
      </x:c>
      <x:c r="D5" s="67" t="str">
        <x:v>East</x:v>
      </x:c>
      <x:c r="E5" s="67" t="str">
        <x:v>West</x:v>
      </x:c>
      <x:c r="F5" s="67" t="str">
        <x:v>Online</x:v>
      </x:c>
      <x:c r="G5" s="68" t="str">
        <x:v>Key Accounts</x:v>
      </x:c>
    </x:row>
    <x:row r="6">
      <x:c r="A6" s="123" t="str">
        <x:v>Scenario actual units</x:v>
      </x:c>
      <x:c r="B6" s="124" t="n">
        <x:f>'Actual Budget Data'!B$6*(1+'Assumptions'!$F$6)</x:f>
        <x:v>1200</x:v>
      </x:c>
      <x:c r="C6" s="124" t="n">
        <x:f>'Actual Budget Data'!C$6*(1+'Assumptions'!$F$6)</x:f>
        <x:v>900</x:v>
      </x:c>
      <x:c r="D6" s="124" t="n">
        <x:f>'Actual Budget Data'!D$6*(1+'Assumptions'!$F$6)</x:f>
        <x:v>760</x:v>
      </x:c>
      <x:c r="E6" s="124" t="n">
        <x:f>'Actual Budget Data'!E$6*(1+'Assumptions'!$F$6)</x:f>
        <x:v>640</x:v>
      </x:c>
      <x:c r="F6" s="124" t="n">
        <x:f>'Actual Budget Data'!F$6*(1+'Assumptions'!$F$6)</x:f>
        <x:v>1500</x:v>
      </x:c>
      <x:c r="G6" s="124" t="n">
        <x:f>'Actual Budget Data'!G$6*(1+'Assumptions'!$F$6)</x:f>
        <x:v>480</x:v>
      </x:c>
    </x:row>
    <x:row r="7">
      <x:c r="A7" s="125" t="str">
        <x:v>Scenario actual price</x:v>
      </x:c>
      <x:c r="B7" s="126" t="n">
        <x:f>'Actual Budget Data'!B$7*(1+'Assumptions'!$F$7)</x:f>
        <x:v>12.4</x:v>
      </x:c>
      <x:c r="C7" s="126" t="n">
        <x:f>'Actual Budget Data'!C$7*(1+'Assumptions'!$F$7)</x:f>
        <x:v>11.8</x:v>
      </x:c>
      <x:c r="D7" s="126" t="n">
        <x:f>'Actual Budget Data'!D$7*(1+'Assumptions'!$F$7)</x:f>
        <x:v>12.8</x:v>
      </x:c>
      <x:c r="E7" s="126" t="n">
        <x:f>'Actual Budget Data'!E$7*(1+'Assumptions'!$F$7)</x:f>
        <x:v>13.1</x:v>
      </x:c>
      <x:c r="F7" s="126" t="n">
        <x:f>'Actual Budget Data'!F$7*(1+'Assumptions'!$F$7)</x:f>
        <x:v>10.9</x:v>
      </x:c>
      <x:c r="G7" s="126" t="n">
        <x:f>'Actual Budget Data'!G$7*(1+'Assumptions'!$F$7)</x:f>
        <x:v>14.2</x:v>
      </x:c>
    </x:row>
    <x:row r="8">
      <x:c r="A8" s="125" t="str">
        <x:v>Scenario actual unit cost</x:v>
      </x:c>
      <x:c r="B8" s="126" t="n">
        <x:f>'Actual Budget Data'!B$8*(1+'Assumptions'!$F$8)</x:f>
        <x:v>7.1</x:v>
      </x:c>
      <x:c r="C8" s="126" t="n">
        <x:f>'Actual Budget Data'!C$8*(1+'Assumptions'!$F$8)</x:f>
        <x:v>6.9</x:v>
      </x:c>
      <x:c r="D8" s="126" t="n">
        <x:f>'Actual Budget Data'!D$8*(1+'Assumptions'!$F$8)</x:f>
        <x:v>7.5</x:v>
      </x:c>
      <x:c r="E8" s="126" t="n">
        <x:f>'Actual Budget Data'!E$8*(1+'Assumptions'!$F$8)</x:f>
        <x:v>7.7</x:v>
      </x:c>
      <x:c r="F8" s="126" t="n">
        <x:f>'Actual Budget Data'!F$8*(1+'Assumptions'!$F$8)</x:f>
        <x:v>6.4</x:v>
      </x:c>
      <x:c r="G8" s="126" t="n">
        <x:f>'Actual Budget Data'!G$8*(1+'Assumptions'!$F$8)</x:f>
        <x:v>8.1</x:v>
      </x:c>
    </x:row>
    <x:row r="9">
      <x:c r="A9" s="125" t="str">
        <x:v>Scenario actual revenue</x:v>
      </x:c>
      <x:c r="B9" s="127" t="n">
        <x:f>B$6*B$7</x:f>
        <x:v>14880</x:v>
      </x:c>
      <x:c r="C9" s="127" t="n">
        <x:f>C$6*C$7</x:f>
        <x:v>10620</x:v>
      </x:c>
      <x:c r="D9" s="127" t="n">
        <x:f>D$6*D$7</x:f>
        <x:v>9728</x:v>
      </x:c>
      <x:c r="E9" s="127" t="n">
        <x:f>E$6*E$7</x:f>
        <x:v>8384</x:v>
      </x:c>
      <x:c r="F9" s="127" t="n">
        <x:f>F$6*F$7</x:f>
        <x:v>16350</x:v>
      </x:c>
      <x:c r="G9" s="127" t="n">
        <x:f>G$6*G$7</x:f>
        <x:v>6816</x:v>
      </x:c>
    </x:row>
    <x:row r="10">
      <x:c r="A10" s="125" t="str">
        <x:v>Budget revenue</x:v>
      </x:c>
      <x:c r="B10" s="128" t="n">
        <x:f>'Actual Budget Data'!B$9*'Actual Budget Data'!B$10</x:f>
        <x:v>13800</x:v>
      </x:c>
      <x:c r="C10" s="128" t="n">
        <x:f>'Actual Budget Data'!C$9*'Actual Budget Data'!C$10</x:f>
        <x:v>11160</x:v>
      </x:c>
      <x:c r="D10" s="128" t="n">
        <x:f>'Actual Budget Data'!D$9*'Actual Budget Data'!D$10</x:f>
        <x:v>9000</x:v>
      </x:c>
      <x:c r="E10" s="128" t="n">
        <x:f>'Actual Budget Data'!E$9*'Actual Budget Data'!E$10</x:f>
        <x:v>8580</x:v>
      </x:c>
      <x:c r="F10" s="128" t="n">
        <x:f>'Actual Budget Data'!F$9*'Actual Budget Data'!F$10</x:f>
        <x:v>15620</x:v>
      </x:c>
      <x:c r="G10" s="128" t="n">
        <x:f>'Actual Budget Data'!G$9*'Actual Budget Data'!G$10</x:f>
        <x:v>7000</x:v>
      </x:c>
    </x:row>
    <x:row r="11">
      <x:c r="A11" s="125" t="str">
        <x:v>Revenue volume effect</x:v>
      </x:c>
      <x:c r="B11" s="128" t="n">
        <x:f>(B$6-'Actual Budget Data'!B$9)*'Actual Budget Data'!B$10</x:f>
        <x:v>600</x:v>
      </x:c>
      <x:c r="C11" s="128" t="n">
        <x:f>(C$6-'Actual Budget Data'!C$9)*'Actual Budget Data'!C$10</x:f>
        <x:v>-360</x:v>
      </x:c>
      <x:c r="D11" s="128" t="n">
        <x:f>(D$6-'Actual Budget Data'!D$9)*'Actual Budget Data'!D$10</x:f>
        <x:v>500</x:v>
      </x:c>
      <x:c r="E11" s="128" t="n">
        <x:f>(E$6-'Actual Budget Data'!E$9)*'Actual Budget Data'!E$10</x:f>
        <x:v>-260</x:v>
      </x:c>
      <x:c r="F11" s="128" t="n">
        <x:f>(F$6-'Actual Budget Data'!F$9)*'Actual Budget Data'!F$10</x:f>
        <x:v>880</x:v>
      </x:c>
      <x:c r="G11" s="128" t="n">
        <x:f>(G$6-'Actual Budget Data'!G$9)*'Actual Budget Data'!G$10</x:f>
        <x:v>-280</x:v>
      </x:c>
    </x:row>
    <x:row r="12">
      <x:c r="A12" s="125" t="str">
        <x:v>Revenue price effect</x:v>
      </x:c>
      <x:c r="B12" s="128" t="n">
        <x:f>B$6*(B$7-'Actual Budget Data'!B$10)</x:f>
        <x:v>480.00000000000045</x:v>
      </x:c>
      <x:c r="C12" s="128" t="n">
        <x:f>C$6*(C$7-'Actual Budget Data'!C$10)</x:f>
        <x:v>-179.99999999999937</x:v>
      </x:c>
      <x:c r="D12" s="128" t="n">
        <x:f>D$6*(D$7-'Actual Budget Data'!D$10)</x:f>
        <x:v>228.00000000000054</x:v>
      </x:c>
      <x:c r="E12" s="128" t="n">
        <x:f>E$6*(E$7-'Actual Budget Data'!E$10)</x:f>
        <x:v>63.99999999999977</x:v>
      </x:c>
      <x:c r="F12" s="128" t="n">
        <x:f>F$6*(F$7-'Actual Budget Data'!F$10)</x:f>
        <x:v>-149.99999999999946</x:v>
      </x:c>
      <x:c r="G12" s="128" t="n">
        <x:f>G$6*(G$7-'Actual Budget Data'!G$10)</x:f>
        <x:v>95.99999999999966</x:v>
      </x:c>
    </x:row>
    <x:row r="13">
      <x:c r="A13" s="129" t="str">
        <x:v>Revenue variance</x:v>
      </x:c>
      <x:c r="B13" s="130" t="n">
        <x:f>B$9-B$10</x:f>
        <x:v>1080</x:v>
      </x:c>
      <x:c r="C13" s="130" t="n">
        <x:f>C$9-C$10</x:f>
        <x:v>-540</x:v>
      </x:c>
      <x:c r="D13" s="130" t="n">
        <x:f>D$9-D$10</x:f>
        <x:v>728</x:v>
      </x:c>
      <x:c r="E13" s="130" t="n">
        <x:f>E$9-E$10</x:f>
        <x:v>-196</x:v>
      </x:c>
      <x:c r="F13" s="130" t="n">
        <x:f>F$9-F$10</x:f>
        <x:v>730</x:v>
      </x:c>
      <x:c r="G13" s="130" t="n">
        <x:f>G$9-G$10</x:f>
        <x:v>-184</x:v>
      </x:c>
    </x:row>
    <x:row r="14">
      <x:c r="A14" s="125" t="str">
        <x:v>Scenario actual variable cost</x:v>
      </x:c>
      <x:c r="B14" s="127" t="n">
        <x:f>-B$6*B$8</x:f>
        <x:v>-8520</x:v>
      </x:c>
      <x:c r="C14" s="127" t="n">
        <x:f>-C$6*C$8</x:f>
        <x:v>-6210</x:v>
      </x:c>
      <x:c r="D14" s="127" t="n">
        <x:f>-D$6*D$8</x:f>
        <x:v>-5700</x:v>
      </x:c>
      <x:c r="E14" s="127" t="n">
        <x:f>-E$6*E$8</x:f>
        <x:v>-4928</x:v>
      </x:c>
      <x:c r="F14" s="127" t="n">
        <x:f>-F$6*F$8</x:f>
        <x:v>-9600</x:v>
      </x:c>
      <x:c r="G14" s="127" t="n">
        <x:f>-G$6*G$8</x:f>
        <x:v>-3888</x:v>
      </x:c>
    </x:row>
    <x:row r="15">
      <x:c r="A15" s="125" t="str">
        <x:v>Budget variable cost</x:v>
      </x:c>
      <x:c r="B15" s="128" t="n">
        <x:f>-'Actual Budget Data'!B$9*'Actual Budget Data'!B$11</x:f>
        <x:v>-8050</x:v>
      </x:c>
      <x:c r="C15" s="128" t="n">
        <x:f>-'Actual Budget Data'!C$9*'Actual Budget Data'!C$11</x:f>
        <x:v>-6324</x:v>
      </x:c>
      <x:c r="D15" s="128" t="n">
        <x:f>-'Actual Budget Data'!D$9*'Actual Budget Data'!D$11</x:f>
        <x:v>-5256</x:v>
      </x:c>
      <x:c r="E15" s="128" t="n">
        <x:f>-'Actual Budget Data'!E$9*'Actual Budget Data'!E$11</x:f>
        <x:v>-5016</x:v>
      </x:c>
      <x:c r="F15" s="128" t="n">
        <x:f>-'Actual Budget Data'!F$9*'Actual Budget Data'!F$11</x:f>
        <x:v>-8946</x:v>
      </x:c>
      <x:c r="G15" s="128" t="n">
        <x:f>-'Actual Budget Data'!G$9*'Actual Budget Data'!G$11</x:f>
        <x:v>-4000</x:v>
      </x:c>
    </x:row>
    <x:row r="16">
      <x:c r="A16" s="125" t="str">
        <x:v>Cost volume effect</x:v>
      </x:c>
      <x:c r="B16" s="128" t="n">
        <x:f>-(B$6-'Actual Budget Data'!B$9)*'Actual Budget Data'!B$11</x:f>
        <x:v>-350</x:v>
      </x:c>
      <x:c r="C16" s="128" t="n">
        <x:f>-(C$6-'Actual Budget Data'!C$9)*'Actual Budget Data'!C$11</x:f>
        <x:v>204</x:v>
      </x:c>
      <x:c r="D16" s="128" t="n">
        <x:f>-(D$6-'Actual Budget Data'!D$9)*'Actual Budget Data'!D$11</x:f>
        <x:v>-292</x:v>
      </x:c>
      <x:c r="E16" s="128" t="n">
        <x:f>-(E$6-'Actual Budget Data'!E$9)*'Actual Budget Data'!E$11</x:f>
        <x:v>152</x:v>
      </x:c>
      <x:c r="F16" s="128" t="n">
        <x:f>-(F$6-'Actual Budget Data'!F$9)*'Actual Budget Data'!F$11</x:f>
        <x:v>-504</x:v>
      </x:c>
      <x:c r="G16" s="128" t="n">
        <x:f>-(G$6-'Actual Budget Data'!G$9)*'Actual Budget Data'!G$11</x:f>
        <x:v>160</x:v>
      </x:c>
    </x:row>
    <x:row r="17">
      <x:c r="A17" s="125" t="str">
        <x:v>Unit-cost rate effect</x:v>
      </x:c>
      <x:c r="B17" s="128" t="n">
        <x:f>-B$6*(B$8-'Actual Budget Data'!B$11)</x:f>
        <x:v>-119.99999999999957</x:v>
      </x:c>
      <x:c r="C17" s="128" t="n">
        <x:f>-C$6*(C$8-'Actual Budget Data'!C$11)</x:f>
        <x:v>-90.00000000000048</x:v>
      </x:c>
      <x:c r="D17" s="128" t="n">
        <x:f>-D$6*(D$8-'Actual Budget Data'!D$11)</x:f>
        <x:v>-152.00000000000014</x:v>
      </x:c>
      <x:c r="E17" s="128" t="n">
        <x:f>-E$6*(E$8-'Actual Budget Data'!E$11)</x:f>
        <x:v>-64.00000000000034</x:v>
      </x:c>
      <x:c r="F17" s="128" t="n">
        <x:f>-F$6*(F$8-'Actual Budget Data'!F$11)</x:f>
        <x:v>-150.0000000000008</x:v>
      </x:c>
      <x:c r="G17" s="128" t="n">
        <x:f>-G$6*(G$8-'Actual Budget Data'!G$11)</x:f>
        <x:v>-47.99999999999983</x:v>
      </x:c>
    </x:row>
    <x:row r="18">
      <x:c r="A18" s="125" t="str">
        <x:v>Actual contribution margin</x:v>
      </x:c>
      <x:c r="B18" s="127" t="n">
        <x:f>B$9+B$14</x:f>
        <x:v>6360</x:v>
      </x:c>
      <x:c r="C18" s="127" t="n">
        <x:f>C$9+C$14</x:f>
        <x:v>4410</x:v>
      </x:c>
      <x:c r="D18" s="127" t="n">
        <x:f>D$9+D$14</x:f>
        <x:v>4028</x:v>
      </x:c>
      <x:c r="E18" s="127" t="n">
        <x:f>E$9+E$14</x:f>
        <x:v>3456</x:v>
      </x:c>
      <x:c r="F18" s="127" t="n">
        <x:f>F$9+F$14</x:f>
        <x:v>6750</x:v>
      </x:c>
      <x:c r="G18" s="127" t="n">
        <x:f>G$9+G$14</x:f>
        <x:v>2928</x:v>
      </x:c>
    </x:row>
    <x:row r="19">
      <x:c r="A19" s="125" t="str">
        <x:v>Budget contribution margin</x:v>
      </x:c>
      <x:c r="B19" s="127" t="n">
        <x:f>B$10+B$15</x:f>
        <x:v>5750</x:v>
      </x:c>
      <x:c r="C19" s="127" t="n">
        <x:f>C$10+C$15</x:f>
        <x:v>4836</x:v>
      </x:c>
      <x:c r="D19" s="127" t="n">
        <x:f>D$10+D$15</x:f>
        <x:v>3744</x:v>
      </x:c>
      <x:c r="E19" s="127" t="n">
        <x:f>E$10+E$15</x:f>
        <x:v>3564</x:v>
      </x:c>
      <x:c r="F19" s="127" t="n">
        <x:f>F$10+F$15</x:f>
        <x:v>6674</x:v>
      </x:c>
      <x:c r="G19" s="127" t="n">
        <x:f>G$10+G$15</x:f>
        <x:v>3000</x:v>
      </x:c>
    </x:row>
    <x:row r="20">
      <x:c r="A20" s="129" t="str">
        <x:v>Contribution margin variance</x:v>
      </x:c>
      <x:c r="B20" s="130" t="n">
        <x:f>B$18-B$19</x:f>
        <x:v>610</x:v>
      </x:c>
      <x:c r="C20" s="130" t="n">
        <x:f>C$18-C$19</x:f>
        <x:v>-426</x:v>
      </x:c>
      <x:c r="D20" s="130" t="n">
        <x:f>D$18-D$19</x:f>
        <x:v>284</x:v>
      </x:c>
      <x:c r="E20" s="130" t="n">
        <x:f>E$18-E$19</x:f>
        <x:v>-108</x:v>
      </x:c>
      <x:c r="F20" s="130" t="n">
        <x:f>F$18-F$19</x:f>
        <x:v>76</x:v>
      </x:c>
      <x:c r="G20" s="130" t="n">
        <x:f>G$18-G$19</x:f>
        <x:v>-72</x:v>
      </x:c>
    </x:row>
    <x:row r="21">
      <x:c r="A21" s="125" t="str">
        <x:v>Opex variance (F/U sign)</x:v>
      </x:c>
      <x:c r="B21" s="128" t="n">
        <x:f>'Actual Budget Data'!B$13-'Actual Budget Data'!B$12</x:f>
        <x:v>-50</x:v>
      </x:c>
      <x:c r="C21" s="128" t="n">
        <x:f>'Actual Budget Data'!C$13-'Actual Budget Data'!C$12</x:f>
        <x:v>-20</x:v>
      </x:c>
      <x:c r="D21" s="128" t="n">
        <x:f>'Actual Budget Data'!D$13-'Actual Budget Data'!D$12</x:f>
        <x:v>-20</x:v>
      </x:c>
      <x:c r="E21" s="128" t="n">
        <x:f>'Actual Budget Data'!E$13-'Actual Budget Data'!E$12</x:f>
        <x:v>-20</x:v>
      </x:c>
      <x:c r="F21" s="128" t="n">
        <x:f>'Actual Budget Data'!F$13-'Actual Budget Data'!F$12</x:f>
        <x:v>-100</x:v>
      </x:c>
      <x:c r="G21" s="128" t="n">
        <x:f>'Actual Budget Data'!G$13-'Actual Budget Data'!G$12</x:f>
        <x:v>-10</x:v>
      </x:c>
    </x:row>
    <x:row r="22">
      <x:c r="A22" s="131" t="str">
        <x:v>EBITDA variance</x:v>
      </x:c>
      <x:c r="B22" s="132" t="n">
        <x:f>B$20+B$21</x:f>
        <x:v>560</x:v>
      </x:c>
      <x:c r="C22" s="132" t="n">
        <x:f>C$20+C$21</x:f>
        <x:v>-446</x:v>
      </x:c>
      <x:c r="D22" s="132" t="n">
        <x:f>D$20+D$21</x:f>
        <x:v>264</x:v>
      </x:c>
      <x:c r="E22" s="132" t="n">
        <x:f>E$20+E$21</x:f>
        <x:v>-128</x:v>
      </x:c>
      <x:c r="F22" s="132" t="n">
        <x:f>F$20+F$21</x:f>
        <x:v>-24</x:v>
      </x:c>
      <x:c r="G22" s="132" t="n">
        <x:f>G$20+G$21</x:f>
        <x:v>-82</x:v>
      </x:c>
    </x:row>
    <x:row r="23">
      <x:c r="A23" s="125" t="str">
        <x:v>PVM / cost bridge check</x:v>
      </x:c>
      <x:c r="B23" s="127" t="n">
        <x:f>B$20-SUM(B$11,B$12,B$16,B$17)</x:f>
        <x:v>-9.094947017729282e-13</x:v>
      </x:c>
      <x:c r="C23" s="127" t="n">
        <x:f>C$20-SUM(C$11,C$12,C$16,C$17)</x:f>
        <x:v>-2.2737367544323206e-13</x:v>
      </x:c>
      <x:c r="D23" s="127" t="n">
        <x:f>D$20-SUM(D$11,D$12,D$16,D$17)</x:f>
        <x:v>-4.547473508864641e-13</x:v>
      </x:c>
      <x:c r="E23" s="127" t="n">
        <x:f>E$20-SUM(E$11,E$12,E$16,E$17)</x:f>
        <x:v>5.684341886080801e-13</x:v>
      </x:c>
      <x:c r="F23" s="127" t="n">
        <x:f>F$20-SUM(F$11,F$12,F$16,F$17)</x:f>
        <x:v>2.2737367544323206e-13</x:v>
      </x:c>
      <x:c r="G23" s="127" t="n">
        <x:f>G$20-SUM(G$11,G$12,G$16,G$17)</x:f>
        <x:v>1.7053025658242404e-13</x:v>
      </x:c>
    </x:row>
    <x:row r="24">
      <x:c r="A24" s="125" t="str">
        <x:v>Forecast revenue error</x:v>
      </x:c>
      <x:c r="B24" s="128" t="n">
        <x:f>B$9-'Actual Budget Data'!B$14</x:f>
        <x:v>380</x:v>
      </x:c>
      <x:c r="C24" s="128" t="n">
        <x:f>C$9-'Actual Budget Data'!C$14</x:f>
        <x:v>-280</x:v>
      </x:c>
      <x:c r="D24" s="128" t="n">
        <x:f>D$9-'Actual Budget Data'!D$14</x:f>
        <x:v>428</x:v>
      </x:c>
      <x:c r="E24" s="128" t="n">
        <x:f>E$9-'Actual Budget Data'!E$14</x:f>
        <x:v>-16</x:v>
      </x:c>
      <x:c r="F24" s="128" t="n">
        <x:f>F$9-'Actual Budget Data'!F$14</x:f>
        <x:v>450</x:v>
      </x:c>
      <x:c r="G24" s="128" t="n">
        <x:f>G$9-'Actual Budget Data'!G$14</x:f>
        <x:v>16</x:v>
      </x:c>
    </x:row>
    <x:row r="25">
      <x:c r="A25" s="125" t="str">
        <x:v>Absolute forecast error</x:v>
      </x:c>
      <x:c r="B25" s="127" t="n">
        <x:f>ABS(B$24)</x:f>
        <x:v>380</x:v>
      </x:c>
      <x:c r="C25" s="127" t="n">
        <x:f>ABS(C$24)</x:f>
        <x:v>280</x:v>
      </x:c>
      <x:c r="D25" s="127" t="n">
        <x:f>ABS(D$24)</x:f>
        <x:v>428</x:v>
      </x:c>
      <x:c r="E25" s="127" t="n">
        <x:f>ABS(E$24)</x:f>
        <x:v>16</x:v>
      </x:c>
      <x:c r="F25" s="127" t="n">
        <x:f>ABS(F$24)</x:f>
        <x:v>450</x:v>
      </x:c>
      <x:c r="G25" s="127" t="n">
        <x:f>ABS(G$24)</x:f>
        <x:v>16</x:v>
      </x:c>
    </x:row>
    <x:row r="26">
      <x:c r="A26" s="133" t="str">
        <x:v>Forecast WAPE component</x:v>
      </x:c>
      <x:c r="B26" s="134" t="n">
        <x:f>IF(B$9=0,0,B$25/ABS(B$9))</x:f>
        <x:v>0.025537634408602152</x:v>
      </x:c>
      <x:c r="C26" s="134" t="n">
        <x:f>IF(C$9=0,0,C$25/ABS(C$9))</x:f>
        <x:v>0.026365348399246705</x:v>
      </x:c>
      <x:c r="D26" s="134" t="n">
        <x:f>IF(D$9=0,0,D$25/ABS(D$9))</x:f>
        <x:v>0.04399671052631579</x:v>
      </x:c>
      <x:c r="E26" s="134" t="n">
        <x:f>IF(E$9=0,0,E$25/ABS(E$9))</x:f>
        <x:v>0.0019083969465648854</x:v>
      </x:c>
      <x:c r="F26" s="134" t="n">
        <x:f>IF(F$9=0,0,F$25/ABS(F$9))</x:f>
        <x:v>0.027522935779816515</x:v>
      </x:c>
      <x:c r="G26" s="134" t="n">
        <x:f>IF(G$9=0,0,G$25/ABS(G$9))</x:f>
        <x:v>0.002347417840375587</x:v>
      </x:c>
    </x:row>
    <x:row r="28">
      <x:c r="A28" s="42" t="str">
        <x:v>Review row definitions, sign convention, period basis, scenario mechanics, and every breakpoint before relying on the output.</x:v>
      </x:c>
      <x:c r="B28" s="43" t="str">
        <x:v>Review row definitions, sign convention, period basis, scenario mechanics, and every breakpoint before relying on the output.</x:v>
      </x:c>
      <x:c r="C28" s="43" t="str">
        <x:v>Review row definitions, sign convention, period basis, scenario mechanics, and every breakpoint before relying on the output.</x:v>
      </x:c>
      <x:c r="D28" s="43" t="str">
        <x:v>Review row definitions, sign convention, period basis, scenario mechanics, and every breakpoint before relying on the output.</x:v>
      </x:c>
      <x:c r="E28" s="43" t="str">
        <x:v>Review row definitions, sign convention, period basis, scenario mechanics, and every breakpoint before relying on the output.</x:v>
      </x:c>
      <x:c r="F28" s="43" t="str">
        <x:v>Review row definitions, sign convention, period basis, scenario mechanics, and every breakpoint before relying on the output.</x:v>
      </x:c>
      <x:c r="G28" s="44" t="str">
        <x:v>Review row definitions, sign convention, period basis, scenario mechanics, and every breakpoint before relying on the output.</x:v>
      </x:c>
    </x:row>
    <x:row r="29">
      <x:c r="A29" s="45" t="str">
        <x:v>Review row definitions, sign convention, period basis, scenario mechanics, and every breakpoint before relying on the output.</x:v>
      </x:c>
      <x:c r="B29" s="46" t="str">
        <x:v>Review row definitions, sign convention, period basis, scenario mechanics, and every breakpoint before relying on the output.</x:v>
      </x:c>
      <x:c r="C29" s="46" t="str">
        <x:v>Review row definitions, sign convention, period basis, scenario mechanics, and every breakpoint before relying on the output.</x:v>
      </x:c>
      <x:c r="D29" s="46" t="str">
        <x:v>Review row definitions, sign convention, period basis, scenario mechanics, and every breakpoint before relying on the output.</x:v>
      </x:c>
      <x:c r="E29" s="46" t="str">
        <x:v>Review row definitions, sign convention, period basis, scenario mechanics, and every breakpoint before relying on the output.</x:v>
      </x:c>
      <x:c r="F29" s="46" t="str">
        <x:v>Review row definitions, sign convention, period basis, scenario mechanics, and every breakpoint before relying on the output.</x:v>
      </x:c>
      <x:c r="G29" s="47" t="str">
        <x:v>Review row definitions, sign convention, period basis, scenario mechanics, and every breakpoint before relying on the output.</x:v>
      </x:c>
    </x:row>
    <x:row r="30">
      <x:c r="A30" s="48" t="str">
        <x:v>Review row definitions, sign convention, period basis, scenario mechanics, and every breakpoint before relying on the output.</x:v>
      </x:c>
      <x:c r="B30" s="49" t="str">
        <x:v>Review row definitions, sign convention, period basis, scenario mechanics, and every breakpoint before relying on the output.</x:v>
      </x:c>
      <x:c r="C30" s="49" t="str">
        <x:v>Review row definitions, sign convention, period basis, scenario mechanics, and every breakpoint before relying on the output.</x:v>
      </x:c>
      <x:c r="D30" s="49" t="str">
        <x:v>Review row definitions, sign convention, period basis, scenario mechanics, and every breakpoint before relying on the output.</x:v>
      </x:c>
      <x:c r="E30" s="49" t="str">
        <x:v>Review row definitions, sign convention, period basis, scenario mechanics, and every breakpoint before relying on the output.</x:v>
      </x:c>
      <x:c r="F30" s="49" t="str">
        <x:v>Review row definitions, sign convention, period basis, scenario mechanics, and every breakpoint before relying on the output.</x:v>
      </x:c>
      <x:c r="G30" s="50" t="str">
        <x:v>Review row definitions, sign convention, period basis, scenario mechanics, and every breakpoint before relying on the output.</x:v>
      </x:c>
    </x:row>
    <x:row r="32">
      <x:c r="A32" s="53" t="str">
        <x:v>TDAT Model Library  |  Trust builds the brand. Insight builds the decision.</x:v>
      </x:c>
      <x:c r="B32" s="53" t="str">
        <x:v>TDAT Model Library  |  Trust builds the brand. Insight builds the decision.</x:v>
      </x:c>
      <x:c r="C32" s="53" t="str">
        <x:v>TDAT Model Library  |  Trust builds the brand. Insight builds the decision.</x:v>
      </x:c>
      <x:c r="D32" s="53" t="str">
        <x:v>TDAT Model Library  |  Trust builds the brand. Insight builds the decision.</x:v>
      </x:c>
      <x:c r="E32" s="53" t="str">
        <x:v>TDAT Model Library  |  Trust builds the brand. Insight builds the decision.</x:v>
      </x:c>
      <x:c r="F32" s="53" t="str">
        <x:v>TDAT Model Library  |  Trust builds the brand. Insight builds the decision.</x:v>
      </x:c>
      <x:c r="G32" s="53" t="str">
        <x:v>TDAT Model Library  |  Trust builds the brand. Insight builds the decision.</x:v>
      </x:c>
    </x:row>
  </x:sheetData>
  <x:mergeCells>
    <x:mergeCell ref="A1:G1"/>
    <x:mergeCell ref="A2:G2"/>
    <x:mergeCell ref="A28:G30"/>
    <x:mergeCell ref="A32:G3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SCENARIOS &amp; SENSITIVITY</x:v>
      </x:c>
      <x:c r="B1" s="3" t="str">
        <x:v>SCENARIOS &amp; SENSITIVITY</x:v>
      </x:c>
      <x:c r="C1" s="3" t="str">
        <x:v>SCENARIOS &amp; SENSITIVITY</x:v>
      </x:c>
      <x:c r="D1" s="3" t="str">
        <x:v>SCENARIOS &amp; SENSITIVITY</x:v>
      </x:c>
      <x:c r="E1" s="3" t="str">
        <x:v>SCENARIOS &amp; SENSITIVITY</x:v>
      </x:c>
      <x:c r="F1" s="3" t="str">
        <x:v>SCENARIOS &amp; SENSITIVITY</x:v>
      </x:c>
      <x:c r="G1" s="3" t="str">
        <x:v>SCENARIOS &amp; SENSITIVITY</x:v>
      </x:c>
      <x:c r="H1" s="3" t="str">
        <x:v>SCENARIOS &amp; SENSITIVITY</x:v>
      </x:c>
      <x:c r="I1" s="3" t="str">
        <x:v>SCENARIOS &amp; SENSITIVITY</x:v>
      </x:c>
      <x:c r="J1" s="3" t="str">
        <x:v>SCENARIOS &amp; SENSITIVITY</x:v>
      </x:c>
    </x:row>
    <x:row r="2" ht="24" customHeight="1">
      <x:c r="A2" s="6" t="str">
        <x:v>Variance Bridge &amp; Forecast Accuracy  |  Formula-backed decision range</x:v>
      </x:c>
      <x:c r="B2" s="6" t="str">
        <x:v>Variance Bridge &amp; Forecast Accuracy  |  Formula-backed decision range</x:v>
      </x:c>
      <x:c r="C2" s="6" t="str">
        <x:v>Variance Bridge &amp; Forecast Accuracy  |  Formula-backed decision range</x:v>
      </x:c>
      <x:c r="D2" s="6" t="str">
        <x:v>Variance Bridge &amp; Forecast Accuracy  |  Formula-backed decision range</x:v>
      </x:c>
      <x:c r="E2" s="6" t="str">
        <x:v>Variance Bridge &amp; Forecast Accuracy  |  Formula-backed decision range</x:v>
      </x:c>
      <x:c r="F2" s="6" t="str">
        <x:v>Variance Bridge &amp; Forecast Accuracy  |  Formula-backed decision range</x:v>
      </x:c>
      <x:c r="G2" s="6" t="str">
        <x:v>Variance Bridge &amp; Forecast Accuracy  |  Formula-backed decision range</x:v>
      </x:c>
      <x:c r="H2" s="6" t="str">
        <x:v>Variance Bridge &amp; Forecast Accuracy  |  Formula-backed decision range</x:v>
      </x:c>
      <x:c r="I2" s="6" t="str">
        <x:v>Variance Bridge &amp; Forecast Accuracy  |  Formula-backed decision range</x:v>
      </x:c>
      <x:c r="J2" s="6" t="str">
        <x:v>Variance Bridge &amp; Forecast Accuracy  |  Formula-backed decision range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35" t="str">
        <x:v>Contribution margin variance — Volume change by Price change</x:v>
      </x:c>
      <x:c r="B5" s="135" t="str">
        <x:v>Contribution margin variance — Volume change by Price change</x:v>
      </x:c>
      <x:c r="C5" s="135" t="str">
        <x:v>Contribution margin variance — Volume change by Price change</x:v>
      </x:c>
      <x:c r="D5" s="135" t="str">
        <x:v>Contribution margin variance — Volume change by Price change</x:v>
      </x:c>
      <x:c r="E5" s="135" t="str">
        <x:v>Contribution margin variance — Volume change by Price change</x:v>
      </x:c>
      <x:c r="F5" s="135" t="str">
        <x:v>Contribution margin variance — Volume change by Price change</x:v>
      </x:c>
      <x:c r="G5" s="135" t="str">
        <x:v>Contribution margin variance — Volume change by Price change</x:v>
      </x:c>
      <x:c r="H5" s="135" t="str">
        <x:v>Contribution margin variance — Volume change by Price change</x:v>
      </x:c>
      <x:c r="I5" s="135" t="str">
        <x:v>Contribution margin variance — Volume change by Price change</x:v>
      </x:c>
      <x:c r="J5" s="135" t="str">
        <x:v>Contribution margin variance — Volume change by Price change</x:v>
      </x:c>
    </x:row>
    <x:row r="6">
      <x:c r="A6" t="str">
        <x:v>Volume change</x:v>
      </x:c>
      <x:c r="B6" t="str">
        <x:v>Price change</x:v>
      </x:c>
    </x:row>
    <x:row r="7">
      <x:c r="B7" s="71" t="n">
        <x:v>-0.05</x:v>
      </x:c>
      <x:c r="C7" s="71" t="n">
        <x:v>-0.025</x:v>
      </x:c>
      <x:c r="D7" s="71" t="n">
        <x:v>0</x:v>
      </x:c>
      <x:c r="E7" s="71" t="n">
        <x:v>0.025</x:v>
      </x:c>
      <x:c r="F7" s="71" t="n">
        <x:v>0.05</x:v>
      </x:c>
    </x:row>
    <x:row r="8">
      <x:c r="A8" s="71" t="n">
        <x:v>-0.1</x:v>
      </x:c>
      <x:c r="B8" s="137" t="n">
        <x:f>SUM('Variance Bridge'!B18:G18)*(1+$A8)*(1+B$7)-SUM('Variance Bridge'!B19:G19)</x:f>
        <x:v>-3686.140000000003</x:v>
      </x:c>
      <x:c r="C8" s="137" t="n">
        <x:f>SUM('Variance Bridge'!B18:G18)*(1+$A8)*(1+C$7)-SUM('Variance Bridge'!B19:G19)</x:f>
        <x:v>-3057.670000000002</x:v>
      </x:c>
      <x:c r="D8" s="137" t="n">
        <x:f>SUM('Variance Bridge'!B18:G18)*(1+$A8)*(1+D$7)-SUM('Variance Bridge'!B19:G19)</x:f>
        <x:v>-2429.2000000000007</x:v>
      </x:c>
      <x:c r="E8" s="137" t="n">
        <x:f>SUM('Variance Bridge'!B18:G18)*(1+$A8)*(1+E$7)-SUM('Variance Bridge'!B19:G19)</x:f>
        <x:v>-1800.7300000000032</x:v>
      </x:c>
      <x:c r="F8" s="137" t="n">
        <x:f>SUM('Variance Bridge'!B18:G18)*(1+$A8)*(1+F$7)-SUM('Variance Bridge'!B19:G19)</x:f>
        <x:v>-1172.2599999999984</x:v>
      </x:c>
    </x:row>
    <x:row r="9">
      <x:c r="A9" s="71" t="n">
        <x:v>-0.05</x:v>
      </x:c>
      <x:c r="B9" s="137" t="n">
        <x:f>SUM('Variance Bridge'!B18:G18)*(1+$A9)*(1+B$7)-SUM('Variance Bridge'!B19:G19)</x:f>
        <x:v>-2359.3700000000026</x:v>
      </x:c>
      <x:c r="C9" s="137" t="n">
        <x:f>SUM('Variance Bridge'!B18:G18)*(1+$A9)*(1+C$7)-SUM('Variance Bridge'!B19:G19)</x:f>
        <x:v>-1695.9850000000042</x:v>
      </x:c>
      <x:c r="D9" s="137" t="n">
        <x:f>SUM('Variance Bridge'!B18:G18)*(1+$A9)*(1+D$7)-SUM('Variance Bridge'!B19:G19)</x:f>
        <x:v>-1032.6000000000022</x:v>
      </x:c>
      <x:c r="E9" s="137" t="n">
        <x:f>SUM('Variance Bridge'!B18:G18)*(1+$A9)*(1+E$7)-SUM('Variance Bridge'!B19:G19)</x:f>
        <x:v>-369.2150000000038</x:v>
      </x:c>
      <x:c r="F9" s="137" t="n">
        <x:f>SUM('Variance Bridge'!B18:G18)*(1+$A9)*(1+F$7)-SUM('Variance Bridge'!B19:G19)</x:f>
        <x:v>294.16999999999825</x:v>
      </x:c>
    </x:row>
    <x:row r="10">
      <x:c r="A10" s="71" t="n">
        <x:v>0</x:v>
      </x:c>
      <x:c r="B10" s="137" t="n">
        <x:f>SUM('Variance Bridge'!B18:G18)*(1+$A10)*(1+B$7)-SUM('Variance Bridge'!B19:G19)</x:f>
        <x:v>-1032.6000000000022</x:v>
      </x:c>
      <x:c r="C10" s="137" t="n">
        <x:f>SUM('Variance Bridge'!B18:G18)*(1+$A10)*(1+C$7)-SUM('Variance Bridge'!B19:G19)</x:f>
        <x:v>-334.2999999999993</x:v>
      </x:c>
      <x:c r="D10" s="137" t="n">
        <x:f>SUM('Variance Bridge'!B18:G18)*(1+$A10)*(1+D$7)-SUM('Variance Bridge'!B19:G19)</x:f>
        <x:v>364</x:v>
      </x:c>
      <x:c r="E10" s="137" t="n">
        <x:f>SUM('Variance Bridge'!B18:G18)*(1+$A10)*(1+E$7)-SUM('Variance Bridge'!B19:G19)</x:f>
        <x:v>1062.2999999999993</x:v>
      </x:c>
      <x:c r="F10" s="137" t="n">
        <x:f>SUM('Variance Bridge'!B18:G18)*(1+$A10)*(1+F$7)-SUM('Variance Bridge'!B19:G19)</x:f>
        <x:v>1760.6000000000022</x:v>
      </x:c>
    </x:row>
    <x:row r="11">
      <x:c r="A11" s="71" t="n">
        <x:v>0.05</x:v>
      </x:c>
      <x:c r="B11" s="137" t="n">
        <x:f>SUM('Variance Bridge'!B18:G18)*(1+$A11)*(1+B$7)-SUM('Variance Bridge'!B19:G19)</x:f>
        <x:v>294.1700000000019</x:v>
      </x:c>
      <x:c r="C11" s="137" t="n">
        <x:f>SUM('Variance Bridge'!B18:G18)*(1+$A11)*(1+C$7)-SUM('Variance Bridge'!B19:G19)</x:f>
        <x:v>1027.385000000002</x:v>
      </x:c>
      <x:c r="D11" s="137" t="n">
        <x:f>SUM('Variance Bridge'!B18:G18)*(1+$A11)*(1+D$7)-SUM('Variance Bridge'!B19:G19)</x:f>
        <x:v>1760.6000000000022</x:v>
      </x:c>
      <x:c r="E11" s="137" t="n">
        <x:f>SUM('Variance Bridge'!B18:G18)*(1+$A11)*(1+E$7)-SUM('Variance Bridge'!B19:G19)</x:f>
        <x:v>2493.8149999999987</x:v>
      </x:c>
      <x:c r="F11" s="137" t="n">
        <x:f>SUM('Variance Bridge'!B18:G18)*(1+$A11)*(1+F$7)-SUM('Variance Bridge'!B19:G19)</x:f>
        <x:v>3227.0300000000025</x:v>
      </x:c>
    </x:row>
    <x:row r="12">
      <x:c r="A12" s="71" t="n">
        <x:v>0.1</x:v>
      </x:c>
      <x:c r="B12" s="137" t="n">
        <x:f>SUM('Variance Bridge'!B18:G18)*(1+$A12)*(1+B$7)-SUM('Variance Bridge'!B19:G19)</x:f>
        <x:v>1620.9399999999987</x:v>
      </x:c>
      <x:c r="C12" s="137" t="n">
        <x:f>SUM('Variance Bridge'!B18:G18)*(1+$A12)*(1+C$7)-SUM('Variance Bridge'!B19:G19)</x:f>
        <x:v>2389.0699999999997</x:v>
      </x:c>
      <x:c r="D12" s="137" t="n">
        <x:f>SUM('Variance Bridge'!B18:G18)*(1+$A12)*(1+D$7)-SUM('Variance Bridge'!B19:G19)</x:f>
        <x:v>3157.2000000000007</x:v>
      </x:c>
      <x:c r="E12" s="137" t="n">
        <x:f>SUM('Variance Bridge'!B18:G18)*(1+$A12)*(1+E$7)-SUM('Variance Bridge'!B19:G19)</x:f>
        <x:v>3925.329999999998</x:v>
      </x:c>
      <x:c r="F12" s="137" t="n">
        <x:f>SUM('Variance Bridge'!B18:G18)*(1+$A12)*(1+F$7)-SUM('Variance Bridge'!B19:G19)</x:f>
        <x:v>4693.460000000003</x:v>
      </x:c>
    </x:row>
    <x:row r="16" ht="22" customHeight="1">
      <x:c r="A16" s="9" t="str">
        <x:v>SCENARIO OUTPUTS</x:v>
      </x:c>
      <x:c r="B16" s="9" t="str">
        <x:v>SCENARIO OUTPUTS</x:v>
      </x:c>
      <x:c r="C16" s="9" t="str">
        <x:v>SCENARIO OUTPUTS</x:v>
      </x:c>
      <x:c r="D16" s="9" t="str">
        <x:v>SCENARIO OUTPUTS</x:v>
      </x:c>
      <x:c r="E16" s="9" t="str">
        <x:v>SCENARIO OUTPUTS</x:v>
      </x:c>
      <x:c r="F16" s="9" t="str">
        <x:v>SCENARIO OUTPUTS</x:v>
      </x:c>
      <x:c r="G16" s="9" t="str">
        <x:v>SCENARIO OUTPUTS</x:v>
      </x:c>
      <x:c r="H16" s="9" t="str">
        <x:v>SCENARIO OUTPUTS</x:v>
      </x:c>
      <x:c r="I16" s="9" t="str">
        <x:v>SCENARIO OUTPUTS</x:v>
      </x:c>
      <x:c r="J16" s="9" t="str">
        <x:v>SCENARIO OUTPUTS</x:v>
      </x:c>
    </x:row>
    <x:row r="17" ht="24" customHeight="1">
      <x:c r="A17" s="66" t="str">
        <x:v>Case</x:v>
      </x:c>
      <x:c r="B17" s="67" t="str">
        <x:v>Narrative</x:v>
      </x:c>
      <x:c r="C17" s="67" t="str">
        <x:v>Selected driver set</x:v>
      </x:c>
      <x:c r="D17" s="68" t="str">
        <x:v>Review question</x:v>
      </x:c>
    </x:row>
    <x:row r="18">
      <x:c r="A18" s="147" t="str">
        <x:v>Base</x:v>
      </x:c>
      <x:c r="B18" s="148" t="str">
        <x:v>Most likely operating and finance assumptions.</x:v>
      </x:c>
      <x:c r="C18" s="148" t="str">
        <x:v>Base</x:v>
      </x:c>
      <x:c r="D18" s="149" t="str">
        <x:v>What must be true for the base case to hold?</x:v>
      </x:c>
    </x:row>
    <x:row r="19">
      <x:c r="A19" s="150" t="str">
        <x:v>Upside</x:v>
      </x:c>
      <x:c r="B19" s="151" t="str">
        <x:v>Stronger performance, faster conversion, or lower risk/cost.</x:v>
      </x:c>
      <x:c r="C19" s="151" t="str">
        <x:v>Upside</x:v>
      </x:c>
      <x:c r="D19" s="152" t="str">
        <x:v>Which actions unlock the upside?</x:v>
      </x:c>
    </x:row>
    <x:row r="20">
      <x:c r="A20" s="153" t="str">
        <x:v>Downside</x:v>
      </x:c>
      <x:c r="B20" s="154" t="str">
        <x:v>Slower activity, weaker conversion, or higher risk/cost.</x:v>
      </x:c>
      <x:c r="C20" s="154" t="str">
        <x:v>Downside</x:v>
      </x:c>
      <x:c r="D20" s="155" t="str">
        <x:v>What breaks first and who acts?</x:v>
      </x:c>
    </x:row>
    <x:row r="22">
      <x:c r="A22" s="42" t="str">
        <x:v>Sensitivity outputs are analytical ranges, not forecasts or guarantees. Recheck directionality, boundaries, source quality, and the business narrative behind each driver before decision use.</x:v>
      </x:c>
      <x:c r="B22" s="43" t="str">
        <x:v>Sensitivity outputs are analytical ranges, not forecasts or guarantees. Recheck directionality, boundaries, source quality, and the business narrative behind each driver before decision use.</x:v>
      </x:c>
      <x:c r="C22" s="43" t="str">
        <x:v>Sensitivity outputs are analytical ranges, not forecasts or guarantees. Recheck directionality, boundaries, source quality, and the business narrative behind each driver before decision use.</x:v>
      </x:c>
      <x:c r="D22" s="43" t="str">
        <x:v>Sensitivity outputs are analytical ranges, not forecasts or guarantees. Recheck directionality, boundaries, source quality, and the business narrative behind each driver before decision use.</x:v>
      </x:c>
      <x:c r="E22" s="43" t="str">
        <x:v>Sensitivity outputs are analytical ranges, not forecasts or guarantees. Recheck directionality, boundaries, source quality, and the business narrative behind each driver before decision use.</x:v>
      </x:c>
      <x:c r="F22" s="43" t="str">
        <x:v>Sensitivity outputs are analytical ranges, not forecasts or guarantees. Recheck directionality, boundaries, source quality, and the business narrative behind each driver before decision use.</x:v>
      </x:c>
      <x:c r="G22" s="43" t="str">
        <x:v>Sensitivity outputs are analytical ranges, not forecasts or guarantees. Recheck directionality, boundaries, source quality, and the business narrative behind each driver before decision use.</x:v>
      </x:c>
      <x:c r="H22" s="43" t="str">
        <x:v>Sensitivity outputs are analytical ranges, not forecasts or guarantees. Recheck directionality, boundaries, source quality, and the business narrative behind each driver before decision use.</x:v>
      </x:c>
      <x:c r="I22" s="43" t="str">
        <x:v>Sensitivity outputs are analytical ranges, not forecasts or guarantees. Recheck directionality, boundaries, source quality, and the business narrative behind each driver before decision use.</x:v>
      </x:c>
      <x:c r="J22" s="44" t="str">
        <x:v>Sensitivity outputs are analytical ranges, not forecasts or guarantees. Recheck directionality, boundaries, source quality, and the business narrative behind each driver before decision use.</x:v>
      </x:c>
    </x:row>
    <x:row r="23">
      <x:c r="A23" s="45" t="str">
        <x:v>Sensitivity outputs are analytical ranges, not forecasts or guarantees. Recheck directionality, boundaries, source quality, and the business narrative behind each driver before decision use.</x:v>
      </x:c>
      <x:c r="B23" s="46" t="str">
        <x:v>Sensitivity outputs are analytical ranges, not forecasts or guarantees. Recheck directionality, boundaries, source quality, and the business narrative behind each driver before decision use.</x:v>
      </x:c>
      <x:c r="C23" s="46" t="str">
        <x:v>Sensitivity outputs are analytical ranges, not forecasts or guarantees. Recheck directionality, boundaries, source quality, and the business narrative behind each driver before decision use.</x:v>
      </x:c>
      <x:c r="D23" s="46" t="str">
        <x:v>Sensitivity outputs are analytical ranges, not forecasts or guarantees. Recheck directionality, boundaries, source quality, and the business narrative behind each driver before decision use.</x:v>
      </x:c>
      <x:c r="E23" s="46" t="str">
        <x:v>Sensitivity outputs are analytical ranges, not forecasts or guarantees. Recheck directionality, boundaries, source quality, and the business narrative behind each driver before decision use.</x:v>
      </x:c>
      <x:c r="F23" s="46" t="str">
        <x:v>Sensitivity outputs are analytical ranges, not forecasts or guarantees. Recheck directionality, boundaries, source quality, and the business narrative behind each driver before decision use.</x:v>
      </x:c>
      <x:c r="G23" s="46" t="str">
        <x:v>Sensitivity outputs are analytical ranges, not forecasts or guarantees. Recheck directionality, boundaries, source quality, and the business narrative behind each driver before decision use.</x:v>
      </x:c>
      <x:c r="H23" s="46" t="str">
        <x:v>Sensitivity outputs are analytical ranges, not forecasts or guarantees. Recheck directionality, boundaries, source quality, and the business narrative behind each driver before decision use.</x:v>
      </x:c>
      <x:c r="I23" s="46" t="str">
        <x:v>Sensitivity outputs are analytical ranges, not forecasts or guarantees. Recheck directionality, boundaries, source quality, and the business narrative behind each driver before decision use.</x:v>
      </x:c>
      <x:c r="J23" s="47" t="str">
        <x:v>Sensitivity outputs are analytical ranges, not forecasts or guarantees. Recheck directionality, boundaries, source quality, and the business narrative behind each driver before decision use.</x:v>
      </x:c>
    </x:row>
    <x:row r="24">
      <x:c r="A24" s="48" t="str">
        <x:v>Sensitivity outputs are analytical ranges, not forecasts or guarantees. Recheck directionality, boundaries, source quality, and the business narrative behind each driver before decision use.</x:v>
      </x:c>
      <x:c r="B24" s="49" t="str">
        <x:v>Sensitivity outputs are analytical ranges, not forecasts or guarantees. Recheck directionality, boundaries, source quality, and the business narrative behind each driver before decision use.</x:v>
      </x:c>
      <x:c r="C24" s="49" t="str">
        <x:v>Sensitivity outputs are analytical ranges, not forecasts or guarantees. Recheck directionality, boundaries, source quality, and the business narrative behind each driver before decision use.</x:v>
      </x:c>
      <x:c r="D24" s="49" t="str">
        <x:v>Sensitivity outputs are analytical ranges, not forecasts or guarantees. Recheck directionality, boundaries, source quality, and the business narrative behind each driver before decision use.</x:v>
      </x:c>
      <x:c r="E24" s="49" t="str">
        <x:v>Sensitivity outputs are analytical ranges, not forecasts or guarantees. Recheck directionality, boundaries, source quality, and the business narrative behind each driver before decision use.</x:v>
      </x:c>
      <x:c r="F24" s="49" t="str">
        <x:v>Sensitivity outputs are analytical ranges, not forecasts or guarantees. Recheck directionality, boundaries, source quality, and the business narrative behind each driver before decision use.</x:v>
      </x:c>
      <x:c r="G24" s="49" t="str">
        <x:v>Sensitivity outputs are analytical ranges, not forecasts or guarantees. Recheck directionality, boundaries, source quality, and the business narrative behind each driver before decision use.</x:v>
      </x:c>
      <x:c r="H24" s="49" t="str">
        <x:v>Sensitivity outputs are analytical ranges, not forecasts or guarantees. Recheck directionality, boundaries, source quality, and the business narrative behind each driver before decision use.</x:v>
      </x:c>
      <x:c r="I24" s="49" t="str">
        <x:v>Sensitivity outputs are analytical ranges, not forecasts or guarantees. Recheck directionality, boundaries, source quality, and the business narrative behind each driver before decision use.</x:v>
      </x:c>
      <x:c r="J24" s="50" t="str">
        <x:v>Sensitivity outputs are analytical ranges, not forecasts or guarantees. Recheck directionality, boundaries, source quality, and the business narrative behind each driver before decision use.</x:v>
      </x:c>
    </x:row>
    <x:row r="26">
      <x:c r="A26" s="53" t="str">
        <x:v>TDAT Model Library  |  Trust builds the brand. Insight builds the decision.</x:v>
      </x:c>
      <x:c r="B26" s="53" t="str">
        <x:v>TDAT Model Library  |  Trust builds the brand. Insight builds the decision.</x:v>
      </x:c>
      <x:c r="C26" s="53" t="str">
        <x:v>TDAT Model Library  |  Trust builds the brand. Insight builds the decision.</x:v>
      </x:c>
      <x:c r="D26" s="53" t="str">
        <x:v>TDAT Model Library  |  Trust builds the brand. Insight builds the decision.</x:v>
      </x:c>
      <x:c r="E26" s="53" t="str">
        <x:v>TDAT Model Library  |  Trust builds the brand. Insight builds the decision.</x:v>
      </x:c>
      <x:c r="F26" s="53" t="str">
        <x:v>TDAT Model Library  |  Trust builds the brand. Insight builds the decision.</x:v>
      </x:c>
      <x:c r="G26" s="53" t="str">
        <x:v>TDAT Model Library  |  Trust builds the brand. Insight builds the decision.</x:v>
      </x:c>
      <x:c r="H26" s="53" t="str">
        <x:v>TDAT Model Library  |  Trust builds the brand. Insight builds the decision.</x:v>
      </x:c>
      <x:c r="I26" s="53" t="str">
        <x:v>TDAT Model Library  |  Trust builds the brand. Insight builds the decision.</x:v>
      </x:c>
      <x:c r="J26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16:J16"/>
    <x:mergeCell ref="A22:J24"/>
    <x:mergeCell ref="A26:J26"/>
  </x:mergeCells>
  <x:conditionalFormatting sqref="B8:F12">
    <x:cfRule type="colorScale" priority="1">
      <x:colorScale>
        <x:cfvo type="min"/>
        <x:cfvo type="percentile" val="50"/>
        <x:cfvo type="max"/>
        <x:color rgb="FFFCE8E6"/>
        <x:color rgb="FFFFF4DB"/>
        <x:color rgb="FFE5F6F3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EXECUTIVE SUMMARY</x:v>
      </x:c>
      <x:c r="B1" s="3" t="str">
        <x:v>EXECUTIVE SUMMARY</x:v>
      </x:c>
      <x:c r="C1" s="3" t="str">
        <x:v>EXECUTIVE SUMMARY</x:v>
      </x:c>
      <x:c r="D1" s="3" t="str">
        <x:v>EXECUTIVE SUMMARY</x:v>
      </x:c>
      <x:c r="E1" s="3" t="str">
        <x:v>EXECUTIVE SUMMARY</x:v>
      </x:c>
      <x:c r="F1" s="3" t="str">
        <x:v>EXECUTIVE SUMMARY</x:v>
      </x:c>
      <x:c r="G1" s="3" t="str">
        <x:v>EXECUTIVE SUMMARY</x:v>
      </x:c>
      <x:c r="H1" s="3" t="str">
        <x:v>EXECUTIVE SUMMARY</x:v>
      </x:c>
      <x:c r="I1" s="3" t="str">
        <x:v>EXECUTIVE SUMMARY</x:v>
      </x:c>
      <x:c r="J1" s="3" t="str">
        <x:v>EXECUTIVE SUMMARY</x:v>
      </x:c>
    </x:row>
    <x:row r="2" ht="24" customHeight="1">
      <x:c r="A2" s="6" t="str">
        <x:v>Variance Bridge &amp; Forecast Accuracy  |  Decision outputs, trend, breakpoints, and action prompts</x:v>
      </x:c>
      <x:c r="B2" s="6" t="str">
        <x:v>Variance Bridge &amp; Forecast Accuracy  |  Decision outputs, trend, breakpoints, and action prompts</x:v>
      </x:c>
      <x:c r="C2" s="6" t="str">
        <x:v>Variance Bridge &amp; Forecast Accuracy  |  Decision outputs, trend, breakpoints, and action prompts</x:v>
      </x:c>
      <x:c r="D2" s="6" t="str">
        <x:v>Variance Bridge &amp; Forecast Accuracy  |  Decision outputs, trend, breakpoints, and action prompts</x:v>
      </x:c>
      <x:c r="E2" s="6" t="str">
        <x:v>Variance Bridge &amp; Forecast Accuracy  |  Decision outputs, trend, breakpoints, and action prompts</x:v>
      </x:c>
      <x:c r="F2" s="6" t="str">
        <x:v>Variance Bridge &amp; Forecast Accuracy  |  Decision outputs, trend, breakpoints, and action prompts</x:v>
      </x:c>
      <x:c r="G2" s="6" t="str">
        <x:v>Variance Bridge &amp; Forecast Accuracy  |  Decision outputs, trend, breakpoints, and action prompts</x:v>
      </x:c>
      <x:c r="H2" s="6" t="str">
        <x:v>Variance Bridge &amp; Forecast Accuracy  |  Decision outputs, trend, breakpoints, and action prompts</x:v>
      </x:c>
      <x:c r="I2" s="6" t="str">
        <x:v>Variance Bridge &amp; Forecast Accuracy  |  Decision outputs, trend, breakpoints, and action prompts</x:v>
      </x:c>
      <x:c r="J2" s="6" t="str">
        <x:v>Variance Bridge &amp; Forecast Accuracy  |  Decision outputs, trend, breakpoints, and action prompts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57" t="str">
        <x:v>TOTAL EBITDA VARIANCE</x:v>
      </x:c>
      <x:c r="B5" s="157" t="str">
        <x:v>TOTAL EBITDA VARIANCE</x:v>
      </x:c>
      <x:c r="C5" s="157" t="str">
        <x:v>TOTAL EBITDA VARIANCE</x:v>
      </x:c>
      <x:c r="D5" s="157" t="str">
        <x:v>REVENUE VARIANCE</x:v>
      </x:c>
      <x:c r="E5" s="157" t="str">
        <x:v>REVENUE VARIANCE</x:v>
      </x:c>
      <x:c r="F5" s="157" t="str">
        <x:v>REVENUE VARIANCE</x:v>
      </x:c>
      <x:c r="G5" s="157" t="str">
        <x:v>CONTRIBUTION VARIANCE</x:v>
      </x:c>
      <x:c r="H5" s="157" t="str">
        <x:v>CONTRIBUTION VARIANCE</x:v>
      </x:c>
      <x:c r="I5" s="157" t="str">
        <x:v>CONTRIBUTION VARIANCE</x:v>
      </x:c>
      <x:c r="J5" s="173" t="str">
        <x:v>MODEL STATUS</x:v>
      </x:c>
    </x:row>
    <x:row r="6">
      <x:c r="A6" s="161" t="n">
        <x:f>SUM('Variance Bridge'!B22:G22)</x:f>
        <x:v>144</x:v>
      </x:c>
      <x:c r="B6" s="161"/>
      <x:c r="C6" s="161"/>
      <x:c r="D6" s="165" t="n">
        <x:f>SUM('Variance Bridge'!B13:G13)</x:f>
        <x:v>1618</x:v>
      </x:c>
      <x:c r="E6" s="165"/>
      <x:c r="F6" s="165"/>
      <x:c r="G6" s="161" t="n">
        <x:f>SUM('Variance Bridge'!B20:G20)</x:f>
        <x:v>364</x:v>
      </x:c>
      <x:c r="H6" s="161"/>
      <x:c r="I6" s="161"/>
      <x:c r="J6" s="177" t="str">
        <x:f>'Checks'!$B$5</x:f>
        <x:v>PASS</x:v>
      </x:c>
    </x:row>
    <x:row r="7">
      <x:c r="A7" s="161"/>
      <x:c r="B7" s="161"/>
      <x:c r="C7" s="161"/>
      <x:c r="D7" s="165"/>
      <x:c r="E7" s="165"/>
      <x:c r="F7" s="165"/>
      <x:c r="G7" s="161"/>
      <x:c r="H7" s="161"/>
      <x:c r="I7" s="161"/>
      <x:c r="J7" s="177"/>
    </x:row>
    <x:row r="9">
      <x:c r="A9" s="157" t="str">
        <x:v>OPEX VARIANCE</x:v>
      </x:c>
      <x:c r="B9" s="157" t="str">
        <x:v>OPEX VARIANCE</x:v>
      </x:c>
      <x:c r="C9" s="157" t="str">
        <x:v>OPEX VARIANCE</x:v>
      </x:c>
      <x:c r="D9" s="157" t="str">
        <x:v>AVERAGE WAPE</x:v>
      </x:c>
      <x:c r="E9" s="157" t="str">
        <x:v>AVERAGE WAPE</x:v>
      </x:c>
      <x:c r="F9" s="157" t="str">
        <x:v>AVERAGE WAPE</x:v>
      </x:c>
      <x:c r="G9" s="157" t="str">
        <x:v>LARGEST SEGMENT GAP</x:v>
      </x:c>
      <x:c r="H9" s="157" t="str">
        <x:v>LARGEST SEGMENT GAP</x:v>
      </x:c>
      <x:c r="I9" s="157" t="str">
        <x:v>LARGEST SEGMENT GAP</x:v>
      </x:c>
      <x:c r="J9" s="173" t="str">
        <x:v>SCENARIO</x:v>
      </x:c>
    </x:row>
    <x:row r="10">
      <x:c r="A10" s="161" t="n">
        <x:f>SUM('Variance Bridge'!B21:G21)</x:f>
        <x:v>-220</x:v>
      </x:c>
      <x:c r="B10" s="161"/>
      <x:c r="C10" s="161"/>
      <x:c r="D10" s="171" t="n">
        <x:f>AVERAGE('Variance Bridge'!B26:G26)</x:f>
        <x:v>0.021279740650153606</x:v>
      </x:c>
      <x:c r="E10" s="171"/>
      <x:c r="F10" s="171"/>
      <x:c r="G10" s="161" t="n">
        <x:f>MAX('Variance Bridge'!B22:G22)</x:f>
        <x:v>560</x:v>
      </x:c>
      <x:c r="H10" s="161"/>
      <x:c r="I10" s="161"/>
      <x:c r="J10" s="180" t="str">
        <x:f>'Assumptions'!$B$3</x:f>
        <x:v>Base</x:v>
      </x:c>
    </x:row>
    <x:row r="11">
      <x:c r="A11" s="161"/>
      <x:c r="B11" s="161"/>
      <x:c r="C11" s="161"/>
      <x:c r="D11" s="171"/>
      <x:c r="E11" s="171"/>
      <x:c r="F11" s="171"/>
      <x:c r="G11" s="161"/>
      <x:c r="H11" s="161"/>
      <x:c r="I11" s="161"/>
      <x:c r="J11" s="180"/>
    </x:row>
    <x:row r="14" ht="22" customHeight="1">
      <x:c r="A14" s="9" t="str">
        <x:v>TREND</x:v>
      </x:c>
      <x:c r="B14" s="9" t="str">
        <x:v>TREND</x:v>
      </x:c>
      <x:c r="C14" s="9" t="str">
        <x:v>TREND</x:v>
      </x:c>
      <x:c r="D14" s="9" t="str">
        <x:v>TREND</x:v>
      </x:c>
      <x:c r="E14" s="9" t="str">
        <x:v>TREND</x:v>
      </x:c>
    </x:row>
    <x:row r="15" ht="24" customHeight="1">
      <x:c r="A15" s="66" t="str">
        <x:v>Period</x:v>
      </x:c>
      <x:c r="B15" s="67" t="str">
        <x:v>Revenue variance</x:v>
      </x:c>
      <x:c r="C15" s="68" t="str">
        <x:v>EBITDA variance</x:v>
      </x:c>
    </x:row>
    <x:row r="16">
      <x:c r="A16" t="str">
        <x:v>North</x:v>
      </x:c>
      <x:c r="B16" s="182" t="n">
        <x:f>'Variance Bridge'!B$13</x:f>
        <x:v>1080</x:v>
      </x:c>
      <x:c r="C16" s="182" t="n">
        <x:f>'Variance Bridge'!B$22</x:f>
        <x:v>560</x:v>
      </x:c>
    </x:row>
    <x:row r="17">
      <x:c r="A17" t="str">
        <x:v>South</x:v>
      </x:c>
      <x:c r="B17" s="182" t="n">
        <x:f>'Variance Bridge'!C$13</x:f>
        <x:v>-540</x:v>
      </x:c>
      <x:c r="C17" s="182" t="n">
        <x:f>'Variance Bridge'!C$22</x:f>
        <x:v>-446</x:v>
      </x:c>
    </x:row>
    <x:row r="18">
      <x:c r="A18" t="str">
        <x:v>East</x:v>
      </x:c>
      <x:c r="B18" s="182" t="n">
        <x:f>'Variance Bridge'!D$13</x:f>
        <x:v>728</x:v>
      </x:c>
      <x:c r="C18" s="182" t="n">
        <x:f>'Variance Bridge'!D$22</x:f>
        <x:v>264</x:v>
      </x:c>
    </x:row>
    <x:row r="19">
      <x:c r="A19" t="str">
        <x:v>West</x:v>
      </x:c>
      <x:c r="B19" s="182" t="n">
        <x:f>'Variance Bridge'!E$13</x:f>
        <x:v>-196</x:v>
      </x:c>
      <x:c r="C19" s="182" t="n">
        <x:f>'Variance Bridge'!E$22</x:f>
        <x:v>-128</x:v>
      </x:c>
    </x:row>
    <x:row r="20">
      <x:c r="A20" t="str">
        <x:v>Online</x:v>
      </x:c>
      <x:c r="B20" s="182" t="n">
        <x:f>'Variance Bridge'!F$13</x:f>
        <x:v>730</x:v>
      </x:c>
      <x:c r="C20" s="182" t="n">
        <x:f>'Variance Bridge'!F$22</x:f>
        <x:v>-24</x:v>
      </x:c>
    </x:row>
    <x:row r="21">
      <x:c r="A21" t="str">
        <x:v>Key Accounts</x:v>
      </x:c>
      <x:c r="B21" s="182" t="n">
        <x:f>'Variance Bridge'!G$13</x:f>
        <x:v>-184</x:v>
      </x:c>
      <x:c r="C21" s="182" t="n">
        <x:f>'Variance Bridge'!G$22</x:f>
        <x:v>-82</x:v>
      </x:c>
    </x:row>
    <x:row r="31" ht="22" customHeight="1">
      <x:c r="A31" s="9" t="str">
        <x:v>DECISION PROMPTS &amp; NEXT ACTIONS</x:v>
      </x:c>
      <x:c r="B31" s="9" t="str">
        <x:v>DECISION PROMPTS &amp; NEXT ACTIONS</x:v>
      </x:c>
      <x:c r="C31" s="9" t="str">
        <x:v>DECISION PROMPTS &amp; NEXT ACTIONS</x:v>
      </x:c>
      <x:c r="D31" s="9" t="str">
        <x:v>DECISION PROMPTS &amp; NEXT ACTIONS</x:v>
      </x:c>
      <x:c r="E31" s="9" t="str">
        <x:v>DECISION PROMPTS &amp; NEXT ACTIONS</x:v>
      </x:c>
      <x:c r="F31" s="9" t="str">
        <x:v>DECISION PROMPTS &amp; NEXT ACTIONS</x:v>
      </x:c>
      <x:c r="G31" s="9" t="str">
        <x:v>DECISION PROMPTS &amp; NEXT ACTIONS</x:v>
      </x:c>
      <x:c r="H31" s="9" t="str">
        <x:v>DECISION PROMPTS &amp; NEXT ACTIONS</x:v>
      </x:c>
      <x:c r="I31" s="9" t="str">
        <x:v>DECISION PROMPTS &amp; NEXT ACTIONS</x:v>
      </x:c>
      <x:c r="J31" s="9" t="str">
        <x:v>DECISION PROMPTS &amp; NEXT ACTIONS</x:v>
      </x:c>
    </x:row>
    <x:row r="32" ht="28" customHeight="1">
      <x:c r="A32" s="15" t="str">
        <x:v>Decision</x:v>
      </x:c>
      <x:c r="B32" s="17" t="str">
        <x:v>Which drivers explain the gap, who owns them, and how reliable is the forecast?</x:v>
      </x:c>
      <x:c r="C32" s="17" t="str"/>
      <x:c r="D32" s="17" t="str"/>
      <x:c r="E32" s="17" t="str"/>
      <x:c r="F32" s="17" t="str"/>
      <x:c r="G32" s="17" t="str"/>
      <x:c r="H32" s="184" t="str">
        <x:v>Decision owner</x:v>
      </x:c>
      <x:c r="I32" s="184" t="str"/>
      <x:c r="J32" s="184" t="str"/>
    </x:row>
    <x:row r="33" ht="28" customHeight="1">
      <x:c r="A33" s="15" t="str">
        <x:v>Driver</x:v>
      </x:c>
      <x:c r="B33" s="17" t="str">
        <x:v>Which assumption moves the answer most, and who owns it?</x:v>
      </x:c>
      <x:c r="C33" s="17" t="str"/>
      <x:c r="D33" s="17" t="str"/>
      <x:c r="E33" s="17" t="str"/>
      <x:c r="F33" s="17" t="str"/>
      <x:c r="G33" s="17" t="str"/>
      <x:c r="H33" s="184" t="str">
        <x:v>Finance / business owner</x:v>
      </x:c>
      <x:c r="I33" s="184" t="str"/>
      <x:c r="J33" s="184" t="str"/>
    </x:row>
    <x:row r="34" ht="28" customHeight="1">
      <x:c r="A34" s="15" t="str">
        <x:v>Downside</x:v>
      </x:c>
      <x:c r="B34" s="17" t="str">
        <x:v>What breaks first under Downside, and what action is triggered?</x:v>
      </x:c>
      <x:c r="C34" s="17" t="str"/>
      <x:c r="D34" s="17" t="str"/>
      <x:c r="E34" s="17" t="str"/>
      <x:c r="F34" s="17" t="str"/>
      <x:c r="G34" s="17" t="str"/>
      <x:c r="H34" s="184" t="str">
        <x:v>Finance leader</x:v>
      </x:c>
      <x:c r="I34" s="184" t="str"/>
      <x:c r="J34" s="184" t="str"/>
    </x:row>
    <x:row r="35" ht="28" customHeight="1">
      <x:c r="A35" s="15" t="str">
        <x:v>Source</x:v>
      </x:c>
      <x:c r="B35" s="17" t="str">
        <x:v>Are every material source, date, unit, and definition approved?</x:v>
      </x:c>
      <x:c r="C35" s="17" t="str"/>
      <x:c r="D35" s="17" t="str"/>
      <x:c r="E35" s="17" t="str"/>
      <x:c r="F35" s="17" t="str"/>
      <x:c r="G35" s="17" t="str"/>
      <x:c r="H35" s="184" t="str">
        <x:v>Model owner</x:v>
      </x:c>
      <x:c r="I35" s="184" t="str"/>
      <x:c r="J35" s="184" t="str"/>
    </x:row>
    <x:row r="36" ht="28" customHeight="1">
      <x:c r="A36" s="15" t="str">
        <x:v>Control</x:v>
      </x:c>
      <x:c r="B36" s="17" t="str">
        <x:v>Do all published checks pass after the latest input change?</x:v>
      </x:c>
      <x:c r="C36" s="17" t="str"/>
      <x:c r="D36" s="17" t="str"/>
      <x:c r="E36" s="17" t="str"/>
      <x:c r="F36" s="17" t="str"/>
      <x:c r="G36" s="17" t="str"/>
      <x:c r="H36" s="184" t="str">
        <x:v>Reviewer</x:v>
      </x:c>
      <x:c r="I36" s="184" t="str"/>
      <x:c r="J36" s="184" t="str"/>
    </x:row>
    <x:row r="37" ht="28" customHeight="1">
      <x:c r="A37" s="15" t="str">
        <x:v>Action</x:v>
      </x:c>
      <x:c r="B37" s="17" t="str">
        <x:v>What is the next action, owner, timing, and expected protection or upside?</x:v>
      </x:c>
      <x:c r="C37" s="17" t="str"/>
      <x:c r="D37" s="17" t="str"/>
      <x:c r="E37" s="17" t="str"/>
      <x:c r="F37" s="17" t="str"/>
      <x:c r="G37" s="17" t="str"/>
      <x:c r="H37" s="184" t="str">
        <x:v>Action owner</x:v>
      </x:c>
      <x:c r="I37" s="184" t="str"/>
      <x:c r="J37" s="184" t="str"/>
    </x:row>
    <x:row r="39">
      <x:c r="A39" s="42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39" s="44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0">
      <x:c r="A40" s="45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0" s="47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1">
      <x:c r="A41" s="48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1" s="50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3">
      <x:c r="A43" s="53" t="str">
        <x:v>TDAT Model Library  |  Trust builds the brand. Insight builds the decision.</x:v>
      </x:c>
      <x:c r="B43" s="53" t="str">
        <x:v>TDAT Model Library  |  Trust builds the brand. Insight builds the decision.</x:v>
      </x:c>
      <x:c r="C43" s="53" t="str">
        <x:v>TDAT Model Library  |  Trust builds the brand. Insight builds the decision.</x:v>
      </x:c>
      <x:c r="D43" s="53" t="str">
        <x:v>TDAT Model Library  |  Trust builds the brand. Insight builds the decision.</x:v>
      </x:c>
      <x:c r="E43" s="53" t="str">
        <x:v>TDAT Model Library  |  Trust builds the brand. Insight builds the decision.</x:v>
      </x:c>
      <x:c r="F43" s="53" t="str">
        <x:v>TDAT Model Library  |  Trust builds the brand. Insight builds the decision.</x:v>
      </x:c>
      <x:c r="G43" s="53" t="str">
        <x:v>TDAT Model Library  |  Trust builds the brand. Insight builds the decision.</x:v>
      </x:c>
      <x:c r="H43" s="53" t="str">
        <x:v>TDAT Model Library  |  Trust builds the brand. Insight builds the decision.</x:v>
      </x:c>
      <x:c r="I43" s="53" t="str">
        <x:v>TDAT Model Library  |  Trust builds the brand. Insight builds the decision.</x:v>
      </x:c>
      <x:c r="J43" s="53" t="str">
        <x:v>TDAT Model Library  |  Trust builds the brand. Insight builds the decision.</x:v>
      </x:c>
    </x:row>
  </x:sheetData>
  <x:mergeCells>
    <x:mergeCell ref="A1:J1"/>
    <x:mergeCell ref="A2:J2"/>
    <x:mergeCell ref="A5:C5"/>
    <x:mergeCell ref="A6:C7"/>
    <x:mergeCell ref="D5:F5"/>
    <x:mergeCell ref="D6:F7"/>
    <x:mergeCell ref="G5:I5"/>
    <x:mergeCell ref="G6:I7"/>
    <x:mergeCell ref="A9:C9"/>
    <x:mergeCell ref="A10:C11"/>
    <x:mergeCell ref="D9:F9"/>
    <x:mergeCell ref="D10:F11"/>
    <x:mergeCell ref="G9:I9"/>
    <x:mergeCell ref="G10:I11"/>
    <x:mergeCell ref="J6:J7"/>
    <x:mergeCell ref="J10:J11"/>
    <x:mergeCell ref="A14:E14"/>
    <x:mergeCell ref="A31:J31"/>
    <x:mergeCell ref="B32:G32"/>
    <x:mergeCell ref="B33:G33"/>
    <x:mergeCell ref="B34:G34"/>
    <x:mergeCell ref="B35:G35"/>
    <x:mergeCell ref="B36:G36"/>
    <x:mergeCell ref="B37:G37"/>
    <x:mergeCell ref="H32:J32"/>
    <x:mergeCell ref="H33:J33"/>
    <x:mergeCell ref="H34:J34"/>
    <x:mergeCell ref="H35:J35"/>
    <x:mergeCell ref="H36:J36"/>
    <x:mergeCell ref="H37:J37"/>
    <x:mergeCell ref="A39:J41"/>
    <x:mergeCell ref="A43:J43"/>
  </x:mergeCells>
  <x:pageMargins left="0.7" right="0.7" top="0.75" bottom="0.75" header="0.3" footer="0.3"/>
  <x:drawing xmlns:r="http://schemas.openxmlformats.org/officeDocument/2006/relationships" r:id="R78f24369648c4b11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3" hidden="0" customWidth="1"/>
    <x:col min="7" max="7" width="13" hidden="0" customWidth="1"/>
    <x:col min="8" max="8" width="30" hidden="0" customWidth="1"/>
    <x:col min="9" max="9" width="42" hidden="0" customWidth="1"/>
  </x:cols>
  <x:sheetData>
    <x:row r="1" ht="34" customHeight="1">
      <x:c r="A1" s="3" t="str">
        <x:v>MODEL CHECKS</x:v>
      </x:c>
      <x:c r="B1" s="3" t="str">
        <x:v>MODEL CHECKS</x:v>
      </x:c>
      <x:c r="C1" s="3" t="str">
        <x:v>MODEL CHECKS</x:v>
      </x:c>
      <x:c r="D1" s="3" t="str">
        <x:v>MODEL CHECKS</x:v>
      </x:c>
      <x:c r="E1" s="3" t="str">
        <x:v>MODEL CHECKS</x:v>
      </x:c>
      <x:c r="F1" s="3" t="str">
        <x:v>MODEL CHECKS</x:v>
      </x:c>
      <x:c r="G1" s="3" t="str">
        <x:v>MODEL CHECKS</x:v>
      </x:c>
      <x:c r="H1" s="3" t="str">
        <x:v>MODEL CHECKS</x:v>
      </x:c>
      <x:c r="I1" s="3" t="str">
        <x:v>MODEL CHECKS</x:v>
      </x:c>
    </x:row>
    <x:row r="2" ht="24" customHeight="1">
      <x:c r="A2" s="6" t="str">
        <x:v>Variance Bridge &amp; Forecast Accuracy  |  One assertion per row — investigate every FAIL</x:v>
      </x:c>
      <x:c r="B2" s="6" t="str">
        <x:v>Variance Bridge &amp; Forecast Accuracy  |  One assertion per row — investigate every FAIL</x:v>
      </x:c>
      <x:c r="C2" s="6" t="str">
        <x:v>Variance Bridge &amp; Forecast Accuracy  |  One assertion per row — investigate every FAIL</x:v>
      </x:c>
      <x:c r="D2" s="6" t="str">
        <x:v>Variance Bridge &amp; Forecast Accuracy  |  One assertion per row — investigate every FAIL</x:v>
      </x:c>
      <x:c r="E2" s="6" t="str">
        <x:v>Variance Bridge &amp; Forecast Accuracy  |  One assertion per row — investigate every FAIL</x:v>
      </x:c>
      <x:c r="F2" s="6" t="str">
        <x:v>Variance Bridge &amp; Forecast Accuracy  |  One assertion per row — investigate every FAIL</x:v>
      </x:c>
      <x:c r="G2" s="6" t="str">
        <x:v>Variance Bridge &amp; Forecast Accuracy  |  One assertion per row — investigate every FAIL</x:v>
      </x:c>
      <x:c r="H2" s="6" t="str">
        <x:v>Variance Bridge &amp; Forecast Accuracy  |  One assertion per row — investigate every FAIL</x:v>
      </x:c>
      <x:c r="I2" s="6" t="str">
        <x:v>Variance Bridge &amp; Forecast Accuracy  |  One assertion per row — investigate every FAIL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</x:row>
    <x:row r="5">
      <x:c r="A5" s="54" t="str">
        <x:v>MODEL STATUS</x:v>
      </x:c>
      <x:c r="B5" s="186" t="str">
        <x:f>IF(COUNTIF(G8:G16,"FAIL")=0,"PASS","FAIL")</x:f>
        <x:v>PASS</x:v>
      </x:c>
      <x:c r="C5" s="186"/>
      <x:c r="D5" s="188" t="str">
        <x:v>Published controls: 9. PASS means the listed calculations tie within tolerance; source and decision readiness remain separate.</x:v>
      </x:c>
      <x:c r="E5" s="188" t="str">
        <x:v>Published controls: 9. PASS means the listed calculations tie within tolerance; source and decision readiness remain separate.</x:v>
      </x:c>
      <x:c r="F5" s="188" t="str">
        <x:v>Published controls: 9. PASS means the listed calculations tie within tolerance; source and decision readiness remain separate.</x:v>
      </x:c>
      <x:c r="G5" s="188" t="str">
        <x:v>Published controls: 9. PASS means the listed calculations tie within tolerance; source and decision readiness remain separate.</x:v>
      </x:c>
      <x:c r="H5" s="188" t="str">
        <x:v>Published controls: 9. PASS means the listed calculations tie within tolerance; source and decision readiness remain separate.</x:v>
      </x:c>
      <x:c r="I5" s="188" t="str">
        <x:v>Published controls: 9. PASS means the listed calculations tie within tolerance; source and decision readiness remain separate.</x:v>
      </x:c>
    </x:row>
    <x:row r="7" ht="24" customHeight="1">
      <x:c r="A7" s="66" t="str">
        <x:v>Check</x:v>
      </x:c>
      <x:c r="B7" s="67" t="str">
        <x:v>Period</x:v>
      </x:c>
      <x:c r="C7" s="67" t="str">
        <x:v>Actual</x:v>
      </x:c>
      <x:c r="D7" s="67" t="str">
        <x:v>Expected</x:v>
      </x:c>
      <x:c r="E7" s="67" t="str">
        <x:v>Difference</x:v>
      </x:c>
      <x:c r="F7" s="67" t="str">
        <x:v>Tolerance</x:v>
      </x:c>
      <x:c r="G7" s="67" t="str">
        <x:v>Status</x:v>
      </x:c>
      <x:c r="H7" s="67" t="str">
        <x:v>Where to fix</x:v>
      </x:c>
      <x:c r="I7" s="68" t="str">
        <x:v>Notes</x:v>
      </x:c>
    </x:row>
    <x:row r="8">
      <x:c r="A8" s="197" t="str">
        <x:v>PVM and cost bridge ties</x:v>
      </x:c>
      <x:c r="B8" s="197" t="str">
        <x:v>Model</x:v>
      </x:c>
      <x:c r="C8" s="198" t="n">
        <x:f>SUM('Variance Bridge'!B23:G23)</x:f>
        <x:v>-6.252776074688882e-13</x:v>
      </x:c>
      <x:c r="D8" s="198" t="n">
        <x:v>0</x:v>
      </x:c>
      <x:c r="E8" s="198" t="n">
        <x:f>C8-D8</x:f>
        <x:v>-6.252776074688882e-13</x:v>
      </x:c>
      <x:c r="F8" s="198" t="n">
        <x:v>0.01</x:v>
      </x:c>
      <x:c r="G8" s="199" t="str">
        <x:f>IF(ABS(E8)&lt;=F8,"PASS","FAIL")</x:f>
        <x:v>PASS</x:v>
      </x:c>
      <x:c r="H8" s="200" t="str">
        <x:v>Variance Bridge — effects</x:v>
      </x:c>
      <x:c r="I8" s="200" t="str">
        <x:v>Volume, price, cost-volume, and cost-rate effects reconcile to contribution variance.</x:v>
      </x:c>
    </x:row>
    <x:row r="9">
      <x:c r="A9" s="201" t="str">
        <x:v>Revenue variance ties actual less budget</x:v>
      </x:c>
      <x:c r="B9" s="201" t="str">
        <x:v>Model</x:v>
      </x:c>
      <x:c r="C9" s="202" t="n">
        <x:f>SUM('Variance Bridge'!B13:G13)-(SUM('Variance Bridge'!B9:G9)-SUM('Variance Bridge'!B10:G10))</x:f>
        <x:v>0</x:v>
      </x:c>
      <x:c r="D9" s="202" t="n">
        <x:v>0</x:v>
      </x:c>
      <x:c r="E9" s="202" t="n">
        <x:f>C9-D9</x:f>
        <x:v>0</x:v>
      </x:c>
      <x:c r="F9" s="202" t="n">
        <x:v>0.01</x:v>
      </x:c>
      <x:c r="G9" s="203" t="str">
        <x:f>IF(ABS(E9)&lt;=F9,"PASS","FAIL")</x:f>
        <x:v>PASS</x:v>
      </x:c>
      <x:c r="H9" s="204" t="str">
        <x:v>Variance Bridge — revenue</x:v>
      </x:c>
      <x:c r="I9" s="204" t="str">
        <x:v>Displayed revenue variance equals actual less budget.</x:v>
      </x:c>
    </x:row>
    <x:row r="10">
      <x:c r="A10" s="201" t="str">
        <x:v>EBITDA variance ties CM plus opex</x:v>
      </x:c>
      <x:c r="B10" s="201" t="str">
        <x:v>Model</x:v>
      </x:c>
      <x:c r="C10" s="202" t="n">
        <x:f>SUM('Variance Bridge'!B22:G22)-SUM('Variance Bridge'!B20:G20)-SUM('Variance Bridge'!B21:G21)</x:f>
        <x:v>0</x:v>
      </x:c>
      <x:c r="D10" s="202" t="n">
        <x:v>0</x:v>
      </x:c>
      <x:c r="E10" s="202" t="n">
        <x:f>C10-D10</x:f>
        <x:v>0</x:v>
      </x:c>
      <x:c r="F10" s="202" t="n">
        <x:v>0.01</x:v>
      </x:c>
      <x:c r="G10" s="203" t="str">
        <x:f>IF(ABS(E10)&lt;=F10,"PASS","FAIL")</x:f>
        <x:v>PASS</x:v>
      </x:c>
      <x:c r="H10" s="204" t="str">
        <x:v>Variance Bridge — EBITDA</x:v>
      </x:c>
      <x:c r="I10" s="204" t="str">
        <x:v>Contribution variance plus opex variance.</x:v>
      </x:c>
    </x:row>
    <x:row r="11">
      <x:c r="A11" s="201" t="str">
        <x:v>Forecast WAPE is non-negative</x:v>
      </x:c>
      <x:c r="B11" s="201" t="str">
        <x:v>Model</x:v>
      </x:c>
      <x:c r="C11" s="205" t="n">
        <x:f>MAX(0,-MIN('Variance Bridge'!B26:G26))</x:f>
        <x:v>0</x:v>
      </x:c>
      <x:c r="D11" s="205" t="n">
        <x:v>0</x:v>
      </x:c>
      <x:c r="E11" s="205" t="n">
        <x:f>C11-D11</x:f>
        <x:v>0</x:v>
      </x:c>
      <x:c r="F11" s="205" t="n">
        <x:v>0.0001</x:v>
      </x:c>
      <x:c r="G11" s="203" t="str">
        <x:f>IF(ABS(E11)&lt;=F11,"PASS","FAIL")</x:f>
        <x:v>PASS</x:v>
      </x:c>
      <x:c r="H11" s="204" t="str">
        <x:v>Variance Bridge — WAPE</x:v>
      </x:c>
      <x:c r="I11" s="204" t="str">
        <x:v>Absolute error divided by actual revenue cannot be negative.</x:v>
      </x:c>
    </x:row>
    <x:row r="12">
      <x:c r="A12" s="201" t="str">
        <x:v>Scenario selector is valid</x:v>
      </x:c>
      <x:c r="B12" s="201" t="str">
        <x:v>Current</x:v>
      </x:c>
      <x:c r="C12" s="206" t="n">
        <x:f>COUNTIF('Assumptions'!$C$5:$E$5,'Assumptions'!$B$3)</x:f>
        <x:v>1</x:v>
      </x:c>
      <x:c r="D12" s="206" t="n">
        <x:v>1</x:v>
      </x:c>
      <x:c r="E12" s="206" t="n">
        <x:f>C12-D12</x:f>
        <x:v>0</x:v>
      </x:c>
      <x:c r="F12" s="206" t="n">
        <x:v>0</x:v>
      </x:c>
      <x:c r="G12" s="203" t="str">
        <x:f>IF(ABS(E12)&lt;=F12,"PASS","FAIL")</x:f>
        <x:v>PASS</x:v>
      </x:c>
      <x:c r="H12" s="204" t="str">
        <x:v>Assumptions B3</x:v>
      </x:c>
      <x:c r="I12" s="204" t="str">
        <x:v>Base, Upside, or Downside only.</x:v>
      </x:c>
    </x:row>
    <x:row r="13">
      <x:c r="A13" s="201" t="str">
        <x:v>Period headers are complete</x:v>
      </x:c>
      <x:c r="B13" s="201" t="str">
        <x:v>All periods</x:v>
      </x:c>
      <x:c r="C13" s="206" t="n">
        <x:f>COUNTA('Actual Budget Data'!B5:G5)</x:f>
        <x:v>6</x:v>
      </x:c>
      <x:c r="D13" s="206" t="n">
        <x:v>6</x:v>
      </x:c>
      <x:c r="E13" s="206" t="n">
        <x:f>C13-D13</x:f>
        <x:v>0</x:v>
      </x:c>
      <x:c r="F13" s="206" t="n">
        <x:v>0</x:v>
      </x:c>
      <x:c r="G13" s="203" t="str">
        <x:f>IF(ABS(E13)&lt;=F13,"PASS","FAIL")</x:f>
        <x:v>PASS</x:v>
      </x:c>
      <x:c r="H13" s="204" t="str">
        <x:v>Actual Budget Data row 5</x:v>
      </x:c>
      <x:c r="I13" s="204" t="str">
        <x:v>All modeled periods must have a visible header.</x:v>
      </x:c>
    </x:row>
    <x:row r="14">
      <x:c r="A14" s="201" t="str">
        <x:v>Source input grid is complete</x:v>
      </x:c>
      <x:c r="B14" s="201" t="str">
        <x:v>All periods</x:v>
      </x:c>
      <x:c r="C14" s="206" t="n">
        <x:f>COUNTA('Actual Budget Data'!B6:G14)</x:f>
        <x:v>54</x:v>
      </x:c>
      <x:c r="D14" s="206" t="n">
        <x:v>54</x:v>
      </x:c>
      <x:c r="E14" s="206" t="n">
        <x:f>C14-D14</x:f>
        <x:v>0</x:v>
      </x:c>
      <x:c r="F14" s="206" t="n">
        <x:v>0</x:v>
      </x:c>
      <x:c r="G14" s="203" t="str">
        <x:f>IF(ABS(E14)&lt;=F14,"PASS","FAIL")</x:f>
        <x:v>PASS</x:v>
      </x:c>
      <x:c r="H14" s="204" t="str">
        <x:v>Actual Budget Data</x:v>
      </x:c>
      <x:c r="I14" s="204" t="str">
        <x:v>Replace blanks with an approved value or an explicitly documented zero.</x:v>
      </x:c>
    </x:row>
    <x:row r="15">
      <x:c r="A15" s="201" t="str">
        <x:v>Selected assumptions are complete</x:v>
      </x:c>
      <x:c r="B15" s="201" t="str">
        <x:v>Current</x:v>
      </x:c>
      <x:c r="C15" s="206" t="n">
        <x:f>COUNT('Assumptions'!F6:F9)</x:f>
        <x:v>4</x:v>
      </x:c>
      <x:c r="D15" s="206" t="n">
        <x:v>4</x:v>
      </x:c>
      <x:c r="E15" s="206" t="n">
        <x:f>C15-D15</x:f>
        <x:v>0</x:v>
      </x:c>
      <x:c r="F15" s="206" t="n">
        <x:v>0</x:v>
      </x:c>
      <x:c r="G15" s="203" t="str">
        <x:f>IF(ABS(E15)&lt;=F15,"PASS","FAIL")</x:f>
        <x:v>PASS</x:v>
      </x:c>
      <x:c r="H15" s="204" t="str">
        <x:v>Assumptions column F</x:v>
      </x:c>
      <x:c r="I15" s="204" t="str">
        <x:v>Every scenario driver must resolve to a numeric selected value.</x:v>
      </x:c>
    </x:row>
    <x:row r="16">
      <x:c r="A16" s="207" t="str">
        <x:v>Core model cells calculate to numbers</x:v>
      </x:c>
      <x:c r="B16" s="207" t="str">
        <x:v>All periods</x:v>
      </x:c>
      <x:c r="C16" s="208" t="n">
        <x:f>COUNT('Variance Bridge'!B6:G26)</x:f>
        <x:v>126</x:v>
      </x:c>
      <x:c r="D16" s="208" t="n">
        <x:v>126</x:v>
      </x:c>
      <x:c r="E16" s="208" t="n">
        <x:f>C16-D16</x:f>
        <x:v>0</x:v>
      </x:c>
      <x:c r="F16" s="208" t="n">
        <x:v>0</x:v>
      </x:c>
      <x:c r="G16" s="209" t="str">
        <x:f>IF(ABS(E16)&lt;=F16,"PASS","FAIL")</x:f>
        <x:v>PASS</x:v>
      </x:c>
      <x:c r="H16" s="210" t="str">
        <x:v>Variance Bridge</x:v>
      </x:c>
      <x:c r="I16" s="210" t="str">
        <x:v>No blank or text output is permitted inside the calculation block.</x:v>
      </x:c>
    </x:row>
    <x:row r="18">
      <x:c r="A18" s="42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18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18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18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18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18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18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18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18" s="44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19">
      <x:c r="A19" s="45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19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19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19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19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19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19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19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19" s="47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0">
      <x:c r="A20" s="48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0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0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0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0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0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0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0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0" s="50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2">
      <x:c r="A22" s="53" t="str">
        <x:v>TDAT Model Library  |  Trust builds the brand. Insight builds the decision.</x:v>
      </x:c>
      <x:c r="B22" s="53" t="str">
        <x:v>TDAT Model Library  |  Trust builds the brand. Insight builds the decision.</x:v>
      </x:c>
      <x:c r="C22" s="53" t="str">
        <x:v>TDAT Model Library  |  Trust builds the brand. Insight builds the decision.</x:v>
      </x:c>
      <x:c r="D22" s="53" t="str">
        <x:v>TDAT Model Library  |  Trust builds the brand. Insight builds the decision.</x:v>
      </x:c>
      <x:c r="E22" s="53" t="str">
        <x:v>TDAT Model Library  |  Trust builds the brand. Insight builds the decision.</x:v>
      </x:c>
      <x:c r="F22" s="53" t="str">
        <x:v>TDAT Model Library  |  Trust builds the brand. Insight builds the decision.</x:v>
      </x:c>
      <x:c r="G22" s="53" t="str">
        <x:v>TDAT Model Library  |  Trust builds the brand. Insight builds the decision.</x:v>
      </x:c>
      <x:c r="H22" s="53" t="str">
        <x:v>TDAT Model Library  |  Trust builds the brand. Insight builds the decision.</x:v>
      </x:c>
      <x:c r="I22" s="53" t="str">
        <x:v>TDAT Model Library  |  Trust builds the brand. Insight builds the decision.</x:v>
      </x:c>
    </x:row>
  </x:sheetData>
  <x:mergeCells>
    <x:mergeCell ref="A1:I1"/>
    <x:mergeCell ref="A2:I2"/>
    <x:mergeCell ref="B5:C5"/>
    <x:mergeCell ref="D5:I5"/>
    <x:mergeCell ref="A18:I20"/>
    <x:mergeCell ref="A22:I22"/>
  </x:mergeCells>
  <x:conditionalFormatting sqref="G8:G16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8" hidden="0" customWidth="1"/>
    <x:col min="3" max="3" width="16" hidden="0" customWidth="1"/>
    <x:col min="4" max="4" width="16" hidden="0" customWidth="1"/>
    <x:col min="5" max="5" width="22" hidden="0" customWidth="1"/>
    <x:col min="6" max="6" width="28" hidden="0" customWidth="1"/>
    <x:col min="7" max="7" width="18" hidden="0" customWidth="1"/>
    <x:col min="8" max="8" width="18" hidden="0" customWidth="1"/>
    <x:col min="9" max="9" width="16" hidden="0" customWidth="1"/>
    <x:col min="10" max="10" width="30" hidden="0" customWidth="1"/>
  </x:cols>
  <x:sheetData>
    <x:row r="1" ht="34" customHeight="1">
      <x:c r="A1" s="3" t="str">
        <x:v>SOURCES &amp; VERSION</x:v>
      </x:c>
      <x:c r="B1" s="3" t="str">
        <x:v>SOURCES &amp; VERSION</x:v>
      </x:c>
      <x:c r="C1" s="3" t="str">
        <x:v>SOURCES &amp; VERSION</x:v>
      </x:c>
      <x:c r="D1" s="3" t="str">
        <x:v>SOURCES &amp; VERSION</x:v>
      </x:c>
      <x:c r="E1" s="3" t="str">
        <x:v>SOURCES &amp; VERSION</x:v>
      </x:c>
      <x:c r="F1" s="3" t="str">
        <x:v>SOURCES &amp; VERSION</x:v>
      </x:c>
      <x:c r="G1" s="3" t="str">
        <x:v>SOURCES &amp; VERSION</x:v>
      </x:c>
      <x:c r="H1" s="3" t="str">
        <x:v>SOURCES &amp; VERSION</x:v>
      </x:c>
      <x:c r="I1" s="3" t="str">
        <x:v>SOURCES &amp; VERSION</x:v>
      </x:c>
      <x:c r="J1" s="3" t="str">
        <x:v>SOURCES &amp; VERSION</x:v>
      </x:c>
    </x:row>
    <x:row r="2" ht="24" customHeight="1">
      <x:c r="A2" s="6" t="str">
        <x:v>Variance Bridge &amp; Forecast Accuracy  |  Assumption register, release facts, and distribution controls</x:v>
      </x:c>
      <x:c r="B2" s="6" t="str">
        <x:v>Variance Bridge &amp; Forecast Accuracy  |  Assumption register, release facts, and distribution controls</x:v>
      </x:c>
      <x:c r="C2" s="6" t="str">
        <x:v>Variance Bridge &amp; Forecast Accuracy  |  Assumption register, release facts, and distribution controls</x:v>
      </x:c>
      <x:c r="D2" s="6" t="str">
        <x:v>Variance Bridge &amp; Forecast Accuracy  |  Assumption register, release facts, and distribution controls</x:v>
      </x:c>
      <x:c r="E2" s="6" t="str">
        <x:v>Variance Bridge &amp; Forecast Accuracy  |  Assumption register, release facts, and distribution controls</x:v>
      </x:c>
      <x:c r="F2" s="6" t="str">
        <x:v>Variance Bridge &amp; Forecast Accuracy  |  Assumption register, release facts, and distribution controls</x:v>
      </x:c>
      <x:c r="G2" s="6" t="str">
        <x:v>Variance Bridge &amp; Forecast Accuracy  |  Assumption register, release facts, and distribution controls</x:v>
      </x:c>
      <x:c r="H2" s="6" t="str">
        <x:v>Variance Bridge &amp; Forecast Accuracy  |  Assumption register, release facts, and distribution controls</x:v>
      </x:c>
      <x:c r="I2" s="6" t="str">
        <x:v>Variance Bridge &amp; Forecast Accuracy  |  Assumption register, release facts, and distribution controls</x:v>
      </x:c>
      <x:c r="J2" s="6" t="str">
        <x:v>Variance Bridge &amp; Forecast Accuracy  |  Assumption register, release facts, and distribution controls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SOURCE / ASSUMPTION REGISTER</x:v>
      </x:c>
      <x:c r="B5" s="9" t="str">
        <x:v>SOURCE / ASSUMPTION REGISTER</x:v>
      </x:c>
      <x:c r="C5" s="9" t="str">
        <x:v>SOURCE / ASSUMPTION REGISTER</x:v>
      </x:c>
      <x:c r="D5" s="9" t="str">
        <x:v>SOURCE / ASSUMPTION REGISTER</x:v>
      </x:c>
      <x:c r="E5" s="9" t="str">
        <x:v>SOURCE / ASSUMPTION REGISTER</x:v>
      </x:c>
      <x:c r="F5" s="9" t="str">
        <x:v>SOURCE / ASSUMPTION REGISTER</x:v>
      </x:c>
      <x:c r="G5" s="9" t="str">
        <x:v>SOURCE / ASSUMPTION REGISTER</x:v>
      </x:c>
      <x:c r="H5" s="9" t="str">
        <x:v>SOURCE / ASSUMPTION REGISTER</x:v>
      </x:c>
      <x:c r="I5" s="9" t="str">
        <x:v>SOURCE / ASSUMPTION REGISTER</x:v>
      </x:c>
    </x:row>
    <x:row r="6" ht="24" customHeight="1">
      <x:c r="A6" s="66" t="str">
        <x:v>Item</x:v>
      </x:c>
      <x:c r="B6" s="67" t="str">
        <x:v>Value / definition</x:v>
      </x:c>
      <x:c r="C6" s="67" t="str">
        <x:v>Units</x:v>
      </x:c>
      <x:c r="D6" s="67" t="str">
        <x:v>Period / as-of</x:v>
      </x:c>
      <x:c r="E6" s="67" t="str">
        <x:v>Source type</x:v>
      </x:c>
      <x:c r="F6" s="67" t="str">
        <x:v>Source / owner</x:v>
      </x:c>
      <x:c r="G6" s="67" t="str">
        <x:v>Ref</x:v>
      </x:c>
      <x:c r="H6" s="67" t="str">
        <x:v>Confidence</x:v>
      </x:c>
      <x:c r="I6" s="68" t="str">
        <x:v>Notes</x:v>
      </x:c>
    </x:row>
    <x:row r="7">
      <x:c r="A7" s="147" t="str">
        <x:v>Worked example</x:v>
      </x:c>
      <x:c r="B7" s="148" t="str">
        <x:v>Synthetic case values</x:v>
      </x:c>
      <x:c r="C7" s="148" t="str">
        <x:v>LCY thousands</x:v>
      </x:c>
      <x:c r="D7" s="148" t="str">
        <x:v>2026-07-13</x:v>
      </x:c>
      <x:c r="E7" s="148" t="str">
        <x:v>Illustrative</x:v>
      </x:c>
      <x:c r="F7" s="148" t="str">
        <x:v>TDAT model build</x:v>
      </x:c>
      <x:c r="G7" s="148" t="str">
        <x:v>SYN-001</x:v>
      </x:c>
      <x:c r="H7" s="148" t="str">
        <x:v>Illustrative</x:v>
      </x:c>
      <x:c r="I7" s="149" t="str">
        <x:v>Replace before use.</x:v>
      </x:c>
    </x:row>
    <x:row r="8">
      <x:c r="A8" s="150" t="str">
        <x:v>Scenario drivers</x:v>
      </x:c>
      <x:c r="B8" s="151" t="str">
        <x:v>Base / Upside / Downside</x:v>
      </x:c>
      <x:c r="C8" s="151" t="str">
        <x:v>Mixed</x:v>
      </x:c>
      <x:c r="D8" s="151" t="str">
        <x:v>Model horizon</x:v>
      </x:c>
      <x:c r="E8" s="151" t="str">
        <x:v>Assumption</x:v>
      </x:c>
      <x:c r="F8" s="151" t="str">
        <x:v>User / finance owner</x:v>
      </x:c>
      <x:c r="G8" s="151" t="str">
        <x:v>ASM-001</x:v>
      </x:c>
      <x:c r="H8" s="151" t="str">
        <x:v>Open</x:v>
      </x:c>
      <x:c r="I8" s="152" t="str">
        <x:v>Confirm rationale and owner.</x:v>
      </x:c>
    </x:row>
    <x:row r="9">
      <x:c r="A9" s="153" t="str">
        <x:v>Method</x:v>
      </x:c>
      <x:c r="B9" s="154" t="str">
        <x:v>Variance Bridge</x:v>
      </x:c>
      <x:c r="C9" s="154" t="str">
        <x:v>Method</x:v>
      </x:c>
      <x:c r="D9" s="154" t="str">
        <x:v>Version 1.0.0</x:v>
      </x:c>
      <x:c r="E9" s="154" t="str">
        <x:v>Model method</x:v>
      </x:c>
      <x:c r="F9" s="154" t="str">
        <x:v>Model Guide</x:v>
      </x:c>
      <x:c r="G9" s="154" t="str">
        <x:v>MTH-001</x:v>
      </x:c>
      <x:c r="H9" s="154" t="str">
        <x:v>Template</x:v>
      </x:c>
      <x:c r="I9" s="155" t="str">
        <x:v>Validate for the intended use and jurisdiction.</x:v>
      </x:c>
    </x:row>
    <x:row r="11" ht="22" customHeight="1">
      <x:c r="A11" s="9" t="str">
        <x:v>RELEASE FACTS</x:v>
      </x:c>
      <x:c r="B11" s="9" t="str">
        <x:v>RELEASE FACTS</x:v>
      </x:c>
      <x:c r="C11" s="9" t="str">
        <x:v>RELEASE FACTS</x:v>
      </x:c>
      <x:c r="D11" s="9" t="str">
        <x:v>RELEASE FACTS</x:v>
      </x:c>
      <x:c r="E11" s="9" t="str">
        <x:v>RELEASE FACTS</x:v>
      </x:c>
      <x:c r="F11" s="9" t="str">
        <x:v>RELEASE FACTS</x:v>
      </x:c>
      <x:c r="G11" s="9" t="str">
        <x:v>RELEASE FACTS</x:v>
      </x:c>
      <x:c r="H11" s="9" t="str">
        <x:v>RELEASE FACTS</x:v>
      </x:c>
      <x:c r="I11" s="9" t="str">
        <x:v>RELEASE FACTS</x:v>
      </x:c>
    </x:row>
    <x:row r="12">
      <x:c r="A12" s="211" t="str">
        <x:v>Owner</x:v>
      </x:c>
      <x:c r="B12" s="148" t="str">
        <x:v>Truong Dinh Anh Tu</x:v>
      </x:c>
      <x:c r="C12" s="213" t="str">
        <x:v>Version</x:v>
      </x:c>
      <x:c r="D12" s="148" t="str">
        <x:v>1.0.0</x:v>
      </x:c>
      <x:c r="E12" s="213" t="str">
        <x:v>Standard</x:v>
      </x:c>
      <x:c r="F12" s="148" t="str">
        <x:v>TDAT Model Standard 1.0</x:v>
      </x:c>
      <x:c r="G12" s="213" t="str">
        <x:v>Last QA</x:v>
      </x:c>
      <x:c r="H12" s="148" t="str">
        <x:v>2026-07-13</x:v>
      </x:c>
      <x:c r="I12" s="213" t="str">
        <x:v>Status</x:v>
      </x:c>
      <x:c r="J12" s="149" t="str">
        <x:v>Available after release gates</x:v>
      </x:c>
    </x:row>
    <x:row r="13">
      <x:c r="A13" s="212" t="str">
        <x:v>Compatibility</x:v>
      </x:c>
      <x:c r="B13" s="154" t="str">
        <x:v>Excel 365</x:v>
      </x:c>
      <x:c r="C13" s="214" t="str">
        <x:v>Macros</x:v>
      </x:c>
      <x:c r="D13" s="154" t="str">
        <x:v>None</x:v>
      </x:c>
      <x:c r="E13" s="214" t="str">
        <x:v>External links</x:v>
      </x:c>
      <x:c r="F13" s="154" t="str">
        <x:v>None</x:v>
      </x:c>
      <x:c r="G13" s="214" t="str">
        <x:v>Circularity</x:v>
      </x:c>
      <x:c r="H13" s="154" t="str">
        <x:v>None</x:v>
      </x:c>
      <x:c r="I13" s="214" t="str">
        <x:v>Evidence</x:v>
      </x:c>
      <x:c r="J13" s="155" t="str">
        <x:v>Synthetic worked template</x:v>
      </x:c>
    </x:row>
    <x:row r="15" ht="22" customHeight="1">
      <x:c r="A15" s="9" t="str">
        <x:v>CHANGE LOG</x:v>
      </x:c>
      <x:c r="B15" s="9" t="str">
        <x:v>CHANGE LOG</x:v>
      </x:c>
      <x:c r="C15" s="9" t="str">
        <x:v>CHANGE LOG</x:v>
      </x:c>
      <x:c r="D15" s="9" t="str">
        <x:v>CHANGE LOG</x:v>
      </x:c>
      <x:c r="E15" s="9" t="str">
        <x:v>CHANGE LOG</x:v>
      </x:c>
      <x:c r="F15" s="9" t="str">
        <x:v>CHANGE LOG</x:v>
      </x:c>
      <x:c r="G15" s="9" t="str">
        <x:v>CHANGE LOG</x:v>
      </x:c>
      <x:c r="H15" s="9" t="str">
        <x:v>CHANGE LOG</x:v>
      </x:c>
      <x:c r="I15" s="9" t="str">
        <x:v>CHANGE LOG</x:v>
      </x:c>
    </x:row>
    <x:row r="16" ht="24" customHeight="1">
      <x:c r="A16" s="66" t="str">
        <x:v>Version</x:v>
      </x:c>
      <x:c r="B16" s="67" t="str">
        <x:v>Date</x:v>
      </x:c>
      <x:c r="C16" s="67" t="str">
        <x:v>Changed sheets</x:v>
      </x:c>
      <x:c r="D16" s="67" t="str">
        <x:v>Change</x:v>
      </x:c>
      <x:c r="E16" s="67" t="str">
        <x:v>Impact</x:v>
      </x:c>
      <x:c r="F16" s="67" t="str">
        <x:v>Migration note</x:v>
      </x:c>
      <x:c r="G16" s="67" t="str">
        <x:v>Owner</x:v>
      </x:c>
      <x:c r="H16" s="67" t="str">
        <x:v>Reviewer</x:v>
      </x:c>
      <x:c r="I16" s="68" t="str">
        <x:v>Status</x:v>
      </x:c>
    </x:row>
    <x:row r="17">
      <x:c r="A17" s="218" t="str">
        <x:v>1.0.0</x:v>
      </x:c>
      <x:c r="B17" s="219" t="str">
        <x:v>2026-07-13</x:v>
      </x:c>
      <x:c r="C17" s="219" t="str">
        <x:v>All</x:v>
      </x:c>
      <x:c r="D17" s="219" t="str">
        <x:v>Initial public reusable template</x:v>
      </x:c>
      <x:c r="E17" s="219" t="str">
        <x:v>New model release</x:v>
      </x:c>
      <x:c r="F17" s="219" t="str">
        <x:v>None</x:v>
      </x:c>
      <x:c r="G17" s="219" t="str">
        <x:v>Truong Dinh Anh Tu</x:v>
      </x:c>
      <x:c r="H17" s="219" t="str">
        <x:v>TDAT QA review</x:v>
      </x:c>
      <x:c r="I17" s="220" t="str">
        <x:v>Released</x:v>
      </x:c>
    </x:row>
    <x:row r="19" ht="22" customHeight="1">
      <x:c r="A19" s="9" t="str">
        <x:v>DISTRIBUTION &amp; PRIVACY</x:v>
      </x:c>
      <x:c r="B19" s="9" t="str">
        <x:v>DISTRIBUTION &amp; PRIVACY</x:v>
      </x:c>
      <x:c r="C19" s="9" t="str">
        <x:v>DISTRIBUTION &amp; PRIVACY</x:v>
      </x:c>
      <x:c r="D19" s="9" t="str">
        <x:v>DISTRIBUTION &amp; PRIVACY</x:v>
      </x:c>
      <x:c r="E19" s="9" t="str">
        <x:v>DISTRIBUTION &amp; PRIVACY</x:v>
      </x:c>
      <x:c r="F19" s="9" t="str">
        <x:v>DISTRIBUTION &amp; PRIVACY</x:v>
      </x:c>
      <x:c r="G19" s="9" t="str">
        <x:v>DISTRIBUTION &amp; PRIVACY</x:v>
      </x:c>
      <x:c r="H19" s="9" t="str">
        <x:v>DISTRIBUTION &amp; PRIVACY</x:v>
      </x:c>
      <x:c r="I19" s="9" t="str">
        <x:v>DISTRIBUTION &amp; PRIVACY</x:v>
      </x:c>
    </x:row>
    <x:row r="20" ht="32" customHeight="1">
      <x:c r="A20" s="21" t="str">
        <x:v>Public-safe evidence</x:v>
      </x:c>
      <x:c r="B20" s="17" t="str">
        <x:v>Synthetic company/case values only</x:v>
      </x:c>
      <x:c r="C20" s="17" t="str"/>
      <x:c r="D20" s="17" t="str"/>
      <x:c r="E20" s="17" t="str"/>
      <x:c r="F20" s="17" t="str"/>
      <x:c r="G20" s="17" t="str"/>
      <x:c r="H20" s="17" t="str"/>
      <x:c r="I20" s="17" t="str"/>
    </x:row>
    <x:row r="21" ht="32" customHeight="1">
      <x:c r="A21" s="21" t="str">
        <x:v>Excluded content</x:v>
      </x:c>
      <x:c r="B21" s="17" t="str">
        <x:v>No real customer, employee, vendor, borrower, issuer, position, policyholder, transaction, or household record</x:v>
      </x:c>
      <x:c r="C21" s="17" t="str"/>
      <x:c r="D21" s="17" t="str"/>
      <x:c r="E21" s="17" t="str"/>
      <x:c r="F21" s="17" t="str"/>
      <x:c r="G21" s="17" t="str"/>
      <x:c r="H21" s="17" t="str"/>
      <x:c r="I21" s="17" t="str"/>
    </x:row>
    <x:row r="22" ht="32" customHeight="1">
      <x:c r="A22" s="21" t="str">
        <x:v>Dependencies</x:v>
      </x:c>
      <x:c r="B22" s="17" t="str">
        <x:v>Macro-free .xlsx; no external workbooks, add-ins, live connections, or intentional circular references</x:v>
      </x:c>
      <x:c r="C22" s="17" t="str"/>
      <x:c r="D22" s="17" t="str"/>
      <x:c r="E22" s="17" t="str"/>
      <x:c r="F22" s="17" t="str"/>
      <x:c r="G22" s="17" t="str"/>
      <x:c r="H22" s="17" t="str"/>
      <x:c r="I22" s="17" t="str"/>
    </x:row>
    <x:row r="23" ht="32" customHeight="1">
      <x:c r="A23" s="21" t="str">
        <x:v>Usage</x:v>
      </x:c>
      <x:c r="B23" s="17" t="str">
        <x:v>Adapt for learning, interview cases, internal planning, or analysis. Do not resell an unchanged copy as your own product.</x:v>
      </x:c>
      <x:c r="C23" s="17" t="str"/>
      <x:c r="D23" s="17" t="str"/>
      <x:c r="E23" s="17" t="str"/>
      <x:c r="F23" s="17" t="str"/>
      <x:c r="G23" s="17" t="str"/>
      <x:c r="H23" s="17" t="str"/>
      <x:c r="I23" s="17" t="str"/>
    </x:row>
    <x:row r="24" ht="32" customHeight="1">
      <x:c r="A24" s="21" t="str">
        <x:v>Responsibility</x:v>
      </x:c>
      <x:c r="B24" s="17" t="str">
        <x:v>Validate sources, assumptions, formulas, methods, policies, and suitability before real-world use. Provided without warranty.</x:v>
      </x:c>
      <x:c r="C24" s="17" t="str"/>
      <x:c r="D24" s="17" t="str"/>
      <x:c r="E24" s="17" t="str"/>
      <x:c r="F24" s="17" t="str"/>
      <x:c r="G24" s="17" t="str"/>
      <x:c r="H24" s="17" t="str"/>
      <x:c r="I24" s="17" t="str"/>
    </x:row>
    <x:row r="26">
      <x:c r="A26" s="42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6" s="44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7">
      <x:c r="A27" s="45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7" s="47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8">
      <x:c r="A28" s="48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8" s="50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30">
      <x:c r="A30" s="53" t="str">
        <x:v>TDAT Model Library  |  Trust builds the brand. Insight builds the decision.</x:v>
      </x:c>
      <x:c r="B30" s="53" t="str">
        <x:v>TDAT Model Library  |  Trust builds the brand. Insight builds the decision.</x:v>
      </x:c>
      <x:c r="C30" s="53" t="str">
        <x:v>TDAT Model Library  |  Trust builds the brand. Insight builds the decision.</x:v>
      </x:c>
      <x:c r="D30" s="53" t="str">
        <x:v>TDAT Model Library  |  Trust builds the brand. Insight builds the decision.</x:v>
      </x:c>
      <x:c r="E30" s="53" t="str">
        <x:v>TDAT Model Library  |  Trust builds the brand. Insight builds the decision.</x:v>
      </x:c>
      <x:c r="F30" s="53" t="str">
        <x:v>TDAT Model Library  |  Trust builds the brand. Insight builds the decision.</x:v>
      </x:c>
      <x:c r="G30" s="53" t="str">
        <x:v>TDAT Model Library  |  Trust builds the brand. Insight builds the decision.</x:v>
      </x:c>
      <x:c r="H30" s="53" t="str">
        <x:v>TDAT Model Library  |  Trust builds the brand. Insight builds the decision.</x:v>
      </x:c>
      <x:c r="I30" s="53" t="str">
        <x:v>TDAT Model Library  |  Trust builds the brand. Insight builds the decision.</x:v>
      </x:c>
      <x:c r="J30" s="53" t="str">
        <x:v>TDAT Model Library  |  Trust builds the brand. Insight builds the decision.</x:v>
      </x:c>
    </x:row>
  </x:sheetData>
  <x:mergeCells>
    <x:mergeCell ref="A1:J1"/>
    <x:mergeCell ref="A2:J2"/>
    <x:mergeCell ref="A5:I5"/>
    <x:mergeCell ref="A11:I11"/>
    <x:mergeCell ref="A15:I15"/>
    <x:mergeCell ref="A19:I19"/>
    <x:mergeCell ref="B20:I20"/>
    <x:mergeCell ref="B21:I21"/>
    <x:mergeCell ref="B22:I22"/>
    <x:mergeCell ref="B23:I23"/>
    <x:mergeCell ref="B24:I24"/>
    <x:mergeCell ref="A26:I28"/>
    <x:mergeCell ref="A30:J30"/>
  </x:mergeCells>
  <x:pageMargins left="0.7" right="0.7" top="0.75" bottom="0.75" header="0.3" footer="0.3"/>
</x:worksheet>
</file>