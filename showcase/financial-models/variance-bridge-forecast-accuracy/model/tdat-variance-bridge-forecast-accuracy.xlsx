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6347f900f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84906b227c374b72"/>
    <x:sheet xmlns:r="http://schemas.openxmlformats.org/officeDocument/2006/relationships" name="Inputs" sheetId="2" r:id="R7db93a3c18d24138"/>
    <x:sheet xmlns:r="http://schemas.openxmlformats.org/officeDocument/2006/relationships" name="Model" sheetId="3" r:id="R5fbd1c6502004f43"/>
    <x:sheet xmlns:r="http://schemas.openxmlformats.org/officeDocument/2006/relationships" name="Results" sheetId="4" r:id="R85a616fa06054f27"/>
    <x:sheet xmlns:r="http://schemas.openxmlformats.org/officeDocument/2006/relationships" name="Checks" sheetId="5" r:id="R50f90230e89c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0;[Red](0.00);-"/>
    <x:numFmt numFmtId="202" formatCode="#,##0.0;[Red](#,##0.0);-"/>
    <x:numFmt numFmtId="203" formatCode="0.0%;[Red](0.0%);-"/>
  </x:numFmts>
  <x:fonts count="14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b/>
      <x:sz val="11"/>
      <x:color rgb="FF68717C"/>
      <x:name val="Carlito"/>
    </x:font>
    <x:font>
      <x:sz val="11"/>
      <x:color rgb="FF008000"/>
      <x:name val="Carlito"/>
    </x:font>
    <x:font>
      <x:sz val="11"/>
      <x:color rgb="FF202833"/>
      <x:name val="Carlito"/>
    </x:font>
    <x:font>
      <x:b/>
      <x:sz val="11"/>
      <x:color rgb="FFB5883A"/>
      <x:name val="Carlito"/>
    </x:font>
    <x:font>
      <x:b/>
      <x:sz val="11"/>
      <x:color rgb="FF805C19"/>
      <x:name val="Carlito"/>
    </x:font>
    <x:font>
      <x:b/>
      <x:sz val="11"/>
      <x:color rgb="FF247252"/>
      <x:name val="Carlito"/>
    </x:font>
    <x:font>
      <x:sz val="11"/>
      <x:color rgb="FFF5F6F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</x:fills>
  <x:borders count="29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F2D58A"/>
      </x:left>
      <x:top style="thin">
        <x:color rgb="FFF2D58A"/>
      </x:top>
    </x:border>
    <x:border>
      <x:top style="thin">
        <x:color rgb="FFF2D58A"/>
      </x:top>
    </x:border>
    <x:border>
      <x:right style="thin">
        <x:color rgb="FFF2D58A"/>
      </x:right>
      <x:top style="thin">
        <x:color rgb="FFF2D58A"/>
      </x:top>
    </x:border>
    <x:border>
      <x:left style="thin">
        <x:color rgb="FFF2D58A"/>
      </x:left>
      <x:bottom style="thin">
        <x:color rgb="FFF2D58A"/>
      </x:bottom>
    </x:border>
    <x:border>
      <x:bottom style="thin">
        <x:color rgb="FFF2D58A"/>
      </x:bottom>
    </x:border>
    <x:border>
      <x:right style="thin">
        <x:color rgb="FFF2D58A"/>
      </x:right>
      <x:bottom style="thin">
        <x:color rgb="FFF2D58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right" vertical="center"/>
    </x:xf>
    <x:xf numFmtId="202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3" fillId="7" borderId="0" xfId="0" applyNumberFormat="1" applyFont="1" applyFill="1" applyBorder="1" applyAlignment="1">
      <x:alignment horizontal="right" vertical="center"/>
    </x:xf>
    <x:xf numFmtId="0" fontId="3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horizontal="right" vertical="center"/>
    </x:xf>
    <x:xf numFmtId="0" fontId="9" fillId="2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horizontal="right"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0" fontId="9" fillId="8" borderId="0" xfId="0" applyNumberFormat="1" applyFont="1" applyFill="1" applyBorder="1" applyAlignment="1">
      <x:alignment horizontal="right" vertical="center"/>
    </x:xf>
    <x:xf numFmtId="201" fontId="8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horizontal="right" vertical="center"/>
    </x:xf>
    <x:xf numFmtId="201" fontId="9" fillId="2" borderId="0" xfId="0" applyNumberFormat="1" applyFont="1" applyFill="1" applyBorder="1" applyAlignment="1">
      <x:alignment vertical="center"/>
    </x:xf>
    <x:xf numFmtId="201" fontId="9" fillId="2" borderId="0" xfId="0" applyNumberFormat="1" applyFont="1" applyFill="1" applyBorder="1" applyAlignment="1">
      <x:alignment horizontal="right" vertical="center"/>
    </x:xf>
    <x:xf numFmtId="201" fontId="8" fillId="8" borderId="0" xfId="0" applyNumberFormat="1" applyFont="1" applyFill="1" applyBorder="1" applyAlignment="1">
      <x:alignment horizontal="right" vertical="center"/>
    </x:xf>
    <x:xf numFmtId="201" fontId="9" fillId="8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horizontal="right" vertical="center"/>
    </x:xf>
    <x:xf numFmtId="202" fontId="3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202" fontId="9" fillId="2" borderId="0" xfId="0" applyNumberFormat="1" applyFont="1" applyFill="1" applyBorder="1" applyAlignment="1">
      <x:alignment vertical="center"/>
    </x:xf>
    <x:xf numFmtId="202" fontId="9" fillId="2" borderId="0" xfId="0" applyNumberFormat="1" applyFont="1" applyFill="1" applyBorder="1" applyAlignment="1">
      <x:alignment horizontal="right" vertical="center"/>
    </x:xf>
    <x:xf numFmtId="202" fontId="9" fillId="8" borderId="0" xfId="0" applyNumberFormat="1" applyFont="1" applyFill="1" applyBorder="1" applyAlignment="1">
      <x:alignment horizontal="right" vertical="center"/>
    </x:xf>
    <x:xf numFmtId="202" fontId="8" fillId="2" borderId="0" xfId="0" applyNumberFormat="1" applyFont="1" applyFill="1" applyBorder="1" applyAlignment="1">
      <x:alignment vertical="center"/>
    </x:xf>
    <x:xf numFmtId="202" fontId="8" fillId="2" borderId="0" xfId="0" applyNumberFormat="1" applyFont="1" applyFill="1" applyBorder="1" applyAlignment="1">
      <x:alignment horizontal="right" vertical="center"/>
    </x:xf>
    <x:xf numFmtId="202" fontId="8" fillId="8" borderId="0" xfId="0" applyNumberFormat="1" applyFont="1" applyFill="1" applyBorder="1" applyAlignment="1">
      <x:alignment horizontal="right"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202" fontId="9" fillId="8" borderId="0" xfId="0" applyNumberFormat="1" applyFont="1" applyFill="1" applyBorder="1" applyAlignment="1">
      <x:alignment vertical="center"/>
    </x:xf>
    <x:xf numFmtId="202" fontId="3" fillId="5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202" fontId="8" fillId="8" borderId="0" xfId="0" applyNumberFormat="1" applyFont="1" applyFill="1" applyBorder="1" applyAlignment="1">
      <x:alignment vertical="center"/>
    </x:xf>
    <x:xf numFmtId="203" fontId="3" fillId="5" borderId="0" xfId="0" applyNumberFormat="1" applyFont="1" applyFill="1" applyBorder="1" applyAlignment="1">
      <x:alignment vertical="center"/>
    </x:xf>
    <x:xf numFmtId="203" fontId="3" fillId="5" borderId="0" xfId="0" applyNumberFormat="1" applyFont="1" applyFill="1" applyBorder="1" applyAlignment="1">
      <x:alignment horizontal="right" vertical="center"/>
    </x:xf>
    <x:xf numFmtId="0" fontId="2" fillId="3" borderId="16" xfId="0" applyNumberFormat="1" applyFont="1" applyFill="1" applyBorder="1" applyAlignment="1">
      <x:alignment vertical="center"/>
    </x:xf>
    <x:xf numFmtId="0" fontId="2" fillId="3" borderId="17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horizontal="center" vertical="center"/>
    </x:xf>
    <x:xf numFmtId="0" fontId="2" fillId="3" borderId="17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8" borderId="3" xfId="0" applyNumberFormat="1" applyFont="1" applyFill="1" applyBorder="1" applyAlignment="1">
      <x:alignment vertical="center"/>
    </x:xf>
    <x:xf numFmtId="0" fontId="10" fillId="8" borderId="18" xfId="0" applyNumberFormat="1" applyFont="1" applyFill="1" applyBorder="1" applyAlignment="1">
      <x:alignment vertical="center"/>
    </x:xf>
    <x:xf numFmtId="0" fontId="10" fillId="8" borderId="19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0" fontId="10" fillId="8" borderId="6" xfId="0" applyNumberFormat="1" applyFont="1" applyFill="1" applyBorder="1" applyAlignment="1">
      <x:alignment vertical="center"/>
    </x:xf>
    <x:xf numFmtId="202" fontId="10" fillId="8" borderId="1" xfId="0" applyNumberFormat="1" applyFont="1" applyFill="1" applyBorder="1" applyAlignment="1">
      <x:alignment vertical="center"/>
    </x:xf>
    <x:xf numFmtId="202" fontId="10" fillId="8" borderId="3" xfId="0" applyNumberFormat="1" applyFont="1" applyFill="1" applyBorder="1" applyAlignment="1">
      <x:alignment vertical="center"/>
    </x:xf>
    <x:xf numFmtId="202" fontId="10" fillId="8" borderId="18" xfId="0" applyNumberFormat="1" applyFont="1" applyFill="1" applyBorder="1" applyAlignment="1">
      <x:alignment vertical="center"/>
    </x:xf>
    <x:xf numFmtId="202" fontId="10" fillId="8" borderId="19" xfId="0" applyNumberFormat="1" applyFont="1" applyFill="1" applyBorder="1" applyAlignment="1">
      <x:alignment vertical="center"/>
    </x:xf>
    <x:xf numFmtId="202" fontId="10" fillId="8" borderId="4" xfId="0" applyNumberFormat="1" applyFont="1" applyFill="1" applyBorder="1" applyAlignment="1">
      <x:alignment vertical="center"/>
    </x:xf>
    <x:xf numFmtId="202" fontId="10" fillId="8" borderId="6" xfId="0" applyNumberFormat="1" applyFont="1" applyFill="1" applyBorder="1" applyAlignment="1">
      <x:alignment vertical="center"/>
    </x:xf>
    <x:xf numFmtId="202" fontId="10" fillId="8" borderId="1" xfId="0" applyNumberFormat="1" applyFont="1" applyFill="1" applyBorder="1" applyAlignment="1">
      <x:alignment horizontal="center" vertical="center"/>
    </x:xf>
    <x:xf numFmtId="202" fontId="10" fillId="8" borderId="3" xfId="0" applyNumberFormat="1" applyFont="1" applyFill="1" applyBorder="1" applyAlignment="1">
      <x:alignment horizontal="center" vertical="center"/>
    </x:xf>
    <x:xf numFmtId="202" fontId="10" fillId="8" borderId="18" xfId="0" applyNumberFormat="1" applyFont="1" applyFill="1" applyBorder="1" applyAlignment="1">
      <x:alignment horizontal="center" vertical="center"/>
    </x:xf>
    <x:xf numFmtId="202" fontId="10" fillId="8" borderId="19" xfId="0" applyNumberFormat="1" applyFont="1" applyFill="1" applyBorder="1" applyAlignment="1">
      <x:alignment horizontal="center" vertical="center"/>
    </x:xf>
    <x:xf numFmtId="202" fontId="10" fillId="8" borderId="4" xfId="0" applyNumberFormat="1" applyFont="1" applyFill="1" applyBorder="1" applyAlignment="1">
      <x:alignment horizontal="center" vertical="center"/>
    </x:xf>
    <x:xf numFmtId="202" fontId="10" fillId="8" borderId="6" xfId="0" applyNumberFormat="1" applyFont="1" applyFill="1" applyBorder="1" applyAlignment="1">
      <x:alignment horizontal="center" vertical="center"/>
    </x:xf>
    <x:xf numFmtId="203" fontId="10" fillId="8" borderId="1" xfId="0" applyNumberFormat="1" applyFont="1" applyFill="1" applyBorder="1" applyAlignment="1">
      <x:alignment vertical="center"/>
    </x:xf>
    <x:xf numFmtId="203" fontId="10" fillId="8" borderId="3" xfId="0" applyNumberFormat="1" applyFont="1" applyFill="1" applyBorder="1" applyAlignment="1">
      <x:alignment vertical="center"/>
    </x:xf>
    <x:xf numFmtId="203" fontId="10" fillId="8" borderId="18" xfId="0" applyNumberFormat="1" applyFont="1" applyFill="1" applyBorder="1" applyAlignment="1">
      <x:alignment vertical="center"/>
    </x:xf>
    <x:xf numFmtId="203" fontId="10" fillId="8" borderId="19" xfId="0" applyNumberFormat="1" applyFont="1" applyFill="1" applyBorder="1" applyAlignment="1">
      <x:alignment vertical="center"/>
    </x:xf>
    <x:xf numFmtId="203" fontId="10" fillId="8" borderId="4" xfId="0" applyNumberFormat="1" applyFont="1" applyFill="1" applyBorder="1" applyAlignment="1">
      <x:alignment vertical="center"/>
    </x:xf>
    <x:xf numFmtId="203" fontId="10" fillId="8" borderId="6" xfId="0" applyNumberFormat="1" applyFont="1" applyFill="1" applyBorder="1" applyAlignment="1">
      <x:alignment vertical="center"/>
    </x:xf>
    <x:xf numFmtId="203" fontId="10" fillId="8" borderId="1" xfId="0" applyNumberFormat="1" applyFont="1" applyFill="1" applyBorder="1" applyAlignment="1">
      <x:alignment horizontal="center" vertical="center"/>
    </x:xf>
    <x:xf numFmtId="203" fontId="10" fillId="8" borderId="3" xfId="0" applyNumberFormat="1" applyFont="1" applyFill="1" applyBorder="1" applyAlignment="1">
      <x:alignment horizontal="center" vertical="center"/>
    </x:xf>
    <x:xf numFmtId="203" fontId="10" fillId="8" borderId="18" xfId="0" applyNumberFormat="1" applyFont="1" applyFill="1" applyBorder="1" applyAlignment="1">
      <x:alignment horizontal="center" vertical="center"/>
    </x:xf>
    <x:xf numFmtId="203" fontId="10" fillId="8" borderId="19" xfId="0" applyNumberFormat="1" applyFont="1" applyFill="1" applyBorder="1" applyAlignment="1">
      <x:alignment horizontal="center" vertical="center"/>
    </x:xf>
    <x:xf numFmtId="203" fontId="10" fillId="8" borderId="4" xfId="0" applyNumberFormat="1" applyFont="1" applyFill="1" applyBorder="1" applyAlignment="1">
      <x:alignment horizontal="center" vertical="center"/>
    </x:xf>
    <x:xf numFmtId="203" fontId="10" fillId="8" borderId="6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20" xfId="0" applyNumberFormat="1" applyFont="1" applyFill="1" applyBorder="1" applyAlignment="1">
      <x:alignment vertical="center"/>
    </x:xf>
    <x:xf numFmtId="0" fontId="11" fillId="9" borderId="21" xfId="0" applyNumberFormat="1" applyFont="1" applyFill="1" applyBorder="1" applyAlignment="1">
      <x:alignment vertical="center"/>
    </x:xf>
    <x:xf numFmtId="0" fontId="11" fillId="9" borderId="22" xfId="0" applyNumberFormat="1" applyFont="1" applyFill="1" applyBorder="1" applyAlignment="1">
      <x:alignment vertical="center"/>
    </x:xf>
    <x:xf numFmtId="0" fontId="11" fillId="9" borderId="23" xfId="0" applyNumberFormat="1" applyFont="1" applyFill="1" applyBorder="1" applyAlignment="1">
      <x:alignment vertical="center"/>
    </x:xf>
    <x:xf numFmtId="0" fontId="11" fillId="9" borderId="24" xfId="0" applyNumberFormat="1" applyFont="1" applyFill="1" applyBorder="1" applyAlignment="1">
      <x:alignment vertical="center"/>
    </x:xf>
    <x:xf numFmtId="0" fontId="11" fillId="9" borderId="25" xfId="0" applyNumberFormat="1" applyFont="1" applyFill="1" applyBorder="1" applyAlignment="1">
      <x:alignment vertical="center"/>
    </x:xf>
    <x:xf numFmtId="0" fontId="11" fillId="9" borderId="20" xfId="0" applyNumberFormat="1" applyFont="1" applyFill="1" applyBorder="1" applyAlignment="1">
      <x:alignment vertical="center" wrapText="1"/>
    </x:xf>
    <x:xf numFmtId="0" fontId="11" fillId="9" borderId="21" xfId="0" applyNumberFormat="1" applyFont="1" applyFill="1" applyBorder="1" applyAlignment="1">
      <x:alignment vertical="center" wrapText="1"/>
    </x:xf>
    <x:xf numFmtId="0" fontId="11" fillId="9" borderId="22" xfId="0" applyNumberFormat="1" applyFont="1" applyFill="1" applyBorder="1" applyAlignment="1">
      <x:alignment vertical="center" wrapText="1"/>
    </x:xf>
    <x:xf numFmtId="0" fontId="11" fillId="9" borderId="23" xfId="0" applyNumberFormat="1" applyFont="1" applyFill="1" applyBorder="1" applyAlignment="1">
      <x:alignment vertical="center" wrapText="1"/>
    </x:xf>
    <x:xf numFmtId="0" fontId="11" fillId="9" borderId="24" xfId="0" applyNumberFormat="1" applyFont="1" applyFill="1" applyBorder="1" applyAlignment="1">
      <x:alignment vertical="center" wrapText="1"/>
    </x:xf>
    <x:xf numFmtId="0" fontId="11" fillId="9" borderId="25" xfId="0" applyNumberFormat="1" applyFont="1" applyFill="1" applyBorder="1" applyAlignment="1">
      <x:alignment vertical="center" wrapText="1"/>
    </x:xf>
    <x:xf numFmtId="0" fontId="11" fillId="9" borderId="20" xfId="0" applyNumberFormat="1" applyFont="1" applyFill="1" applyBorder="1" applyAlignment="1">
      <x:alignment horizontal="center" vertical="center" wrapText="1"/>
    </x:xf>
    <x:xf numFmtId="0" fontId="11" fillId="9" borderId="21" xfId="0" applyNumberFormat="1" applyFont="1" applyFill="1" applyBorder="1" applyAlignment="1">
      <x:alignment horizontal="center" vertical="center" wrapText="1"/>
    </x:xf>
    <x:xf numFmtId="0" fontId="11" fillId="9" borderId="22" xfId="0" applyNumberFormat="1" applyFont="1" applyFill="1" applyBorder="1" applyAlignment="1">
      <x:alignment horizontal="center" vertical="center" wrapText="1"/>
    </x:xf>
    <x:xf numFmtId="0" fontId="11" fillId="9" borderId="23" xfId="0" applyNumberFormat="1" applyFont="1" applyFill="1" applyBorder="1" applyAlignment="1">
      <x:alignment horizontal="center" vertical="center" wrapText="1"/>
    </x:xf>
    <x:xf numFmtId="0" fontId="11" fillId="9" borderId="24" xfId="0" applyNumberFormat="1" applyFont="1" applyFill="1" applyBorder="1" applyAlignment="1">
      <x:alignment horizontal="center" vertical="center" wrapText="1"/>
    </x:xf>
    <x:xf numFmtId="0" fontId="11" fillId="9" borderId="25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 applyAlignment="1">
      <x:alignment vertical="center"/>
    </x:xf>
    <x:xf numFmtId="0" fontId="12" fillId="8" borderId="26" xfId="0" applyNumberFormat="1" applyFont="1" applyFill="1" applyBorder="1" applyAlignment="1">
      <x:alignment vertical="center"/>
    </x:xf>
    <x:xf numFmtId="0" fontId="12" fillId="8" borderId="27" xfId="0" applyNumberFormat="1" applyFont="1" applyFill="1" applyBorder="1" applyAlignment="1">
      <x:alignment vertical="center"/>
    </x:xf>
    <x:xf numFmtId="0" fontId="12" fillId="8" borderId="26" xfId="0" applyNumberFormat="1" applyFont="1" applyFill="1" applyBorder="1" applyAlignment="1">
      <x:alignment horizontal="center" vertical="center"/>
    </x:xf>
    <x:xf numFmtId="0" fontId="12" fillId="8" borderId="27" xfId="0" applyNumberFormat="1" applyFont="1" applyFill="1" applyBorder="1" applyAlignment="1">
      <x:alignment horizontal="center" vertical="center"/>
    </x:xf>
    <x:xf numFmtId="0" fontId="11" fillId="9" borderId="26" xfId="0" applyNumberFormat="1" applyFont="1" applyFill="1" applyBorder="1" applyAlignment="1">
      <x:alignment vertical="center"/>
    </x:xf>
    <x:xf numFmtId="0" fontId="11" fillId="9" borderId="27" xfId="0" applyNumberFormat="1" applyFont="1" applyFill="1" applyBorder="1" applyAlignment="1">
      <x:alignment vertical="center"/>
    </x:xf>
    <x:xf numFmtId="0" fontId="11" fillId="9" borderId="26" xfId="0" applyNumberFormat="1" applyFont="1" applyFill="1" applyBorder="1" applyAlignment="1">
      <x:alignment vertical="center" wrapText="1"/>
    </x:xf>
    <x:xf numFmtId="0" fontId="11" fillId="9" borderId="27" xfId="0" applyNumberFormat="1" applyFont="1" applyFill="1" applyBorder="1" applyAlignment="1">
      <x:alignment vertical="center" wrapText="1"/>
    </x:xf>
    <x:xf numFmtId="0" fontId="11" fillId="9" borderId="26" xfId="0" applyNumberFormat="1" applyFont="1" applyFill="1" applyBorder="1" applyAlignment="1">
      <x:alignment horizontal="center" vertical="center" wrapText="1"/>
    </x:xf>
    <x:xf numFmtId="0" fontId="11" fillId="9" borderId="27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1" fillId="8" borderId="19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9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6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vertical="center"/>
    </x:xf>
    <x:xf numFmtId="0" fontId="3" fillId="5" borderId="27" xfId="0" applyNumberFormat="1" applyFont="1" applyFill="1" applyBorder="1" applyAlignment="1">
      <x:alignment vertical="center"/>
    </x:xf>
    <x:xf numFmtId="0" fontId="3" fillId="5" borderId="26" xfId="0" applyNumberFormat="1" applyFont="1" applyFill="1" applyBorder="1" applyAlignment="1">
      <x:alignment horizontal="center"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3" fillId="5" borderId="27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vertical="center"/>
    </x:xf>
    <x:xf numFmtId="0" fontId="12" fillId="8" borderId="28" xfId="0" applyNumberFormat="1" applyFont="1" applyFill="1" applyBorder="1" applyAlignment="1">
      <x:alignment vertical="center"/>
    </x:xf>
    <x:xf numFmtId="0" fontId="12" fillId="8" borderId="28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0" fontId="6" fillId="9" borderId="26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vertical="center"/>
    </x:xf>
    <x:xf numFmtId="0" fontId="6" fillId="9" borderId="27" xfId="0" applyNumberFormat="1" applyFont="1" applyFill="1" applyBorder="1" applyAlignment="1">
      <x:alignment vertical="center"/>
    </x:xf>
    <x:xf numFmtId="0" fontId="6" fillId="9" borderId="26" xfId="0" applyNumberFormat="1" applyFont="1" applyFill="1" applyBorder="1" applyAlignment="1">
      <x:alignment horizontal="center"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6" fillId="9" borderId="27" xfId="0" applyNumberFormat="1" applyFont="1" applyFill="1" applyBorder="1" applyAlignment="1">
      <x:alignment horizontal="center" vertical="center"/>
    </x:xf>
    <x:xf numFmtId="0" fontId="3" fillId="5" borderId="18" xfId="0" applyNumberFormat="1" applyFont="1" applyFill="1" applyBorder="1" applyAlignment="1">
      <x:alignment vertical="center"/>
    </x:xf>
    <x:xf numFmtId="0" fontId="3" fillId="5" borderId="19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18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19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2" fillId="8" borderId="1" xfId="0" applyNumberFormat="1" applyFont="1" applyFill="1" applyBorder="1" applyAlignment="1">
      <x:alignment vertical="center"/>
    </x:xf>
    <x:xf numFmtId="0" fontId="12" fillId="8" borderId="3" xfId="0" applyNumberFormat="1" applyFont="1" applyFill="1" applyBorder="1" applyAlignment="1">
      <x:alignment vertical="center"/>
    </x:xf>
    <x:xf numFmtId="0" fontId="12" fillId="8" borderId="4" xfId="0" applyNumberFormat="1" applyFont="1" applyFill="1" applyBorder="1" applyAlignment="1">
      <x:alignment vertical="center"/>
    </x:xf>
    <x:xf numFmtId="0" fontId="12" fillId="8" borderId="6" xfId="0" applyNumberFormat="1" applyFont="1" applyFill="1" applyBorder="1" applyAlignment="1">
      <x:alignment vertical="center"/>
    </x:xf>
    <x:xf numFmtId="0" fontId="12" fillId="8" borderId="1" xfId="0" applyNumberFormat="1" applyFont="1" applyFill="1" applyBorder="1" applyAlignment="1">
      <x:alignment horizontal="center" vertical="center"/>
    </x:xf>
    <x:xf numFmtId="0" fontId="12" fillId="8" borderId="3" xfId="0" applyNumberFormat="1" applyFont="1" applyFill="1" applyBorder="1" applyAlignment="1">
      <x:alignment horizontal="center" vertical="center"/>
    </x:xf>
    <x:xf numFmtId="0" fontId="12" fillId="8" borderId="4" xfId="0" applyNumberFormat="1" applyFont="1" applyFill="1" applyBorder="1" applyAlignment="1">
      <x:alignment horizontal="center" vertical="center"/>
    </x:xf>
    <x:xf numFmtId="0" fontId="12" fillId="8" borderId="6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vertical="center"/>
    </x:xf>
    <x:xf numFmtId="0" fontId="10" fillId="5" borderId="26" xfId="0" applyNumberFormat="1" applyFont="1" applyFill="1" applyBorder="1" applyAlignment="1">
      <x:alignment vertical="center"/>
    </x:xf>
    <x:xf numFmtId="0" fontId="10" fillId="5" borderId="27" xfId="0" applyNumberFormat="1" applyFont="1" applyFill="1" applyBorder="1" applyAlignment="1">
      <x:alignment vertical="center"/>
    </x:xf>
    <x:xf numFmtId="0" fontId="10" fillId="5" borderId="26" xfId="0" applyNumberFormat="1" applyFont="1" applyFill="1" applyBorder="1" applyAlignment="1">
      <x:alignment horizontal="center" vertical="center"/>
    </x:xf>
    <x:xf numFmtId="0" fontId="10" fillId="5" borderId="27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aa13cbafb40a0" /><Relationship Type="http://schemas.openxmlformats.org/officeDocument/2006/relationships/theme" Target="/xl/theme/theme1.xml" Id="Rd648d1750718427d" /><Relationship Type="http://schemas.openxmlformats.org/officeDocument/2006/relationships/sharedStrings" Target="/xl/sharedStrings.xml" Id="Refcd2f9508ea4a26" /><Relationship Type="http://schemas.openxmlformats.org/officeDocument/2006/relationships/worksheet" Target="/xl/worksheets/sheet1.xml" Id="R84906b227c374b72" /><Relationship Type="http://schemas.openxmlformats.org/officeDocument/2006/relationships/worksheet" Target="/xl/worksheets/sheet2.xml" Id="R7db93a3c18d24138" /><Relationship Type="http://schemas.openxmlformats.org/officeDocument/2006/relationships/worksheet" Target="/xl/worksheets/sheet3.xml" Id="R5fbd1c6502004f43" /><Relationship Type="http://schemas.openxmlformats.org/officeDocument/2006/relationships/worksheet" Target="/xl/worksheets/sheet4.xml" Id="R85a616fa06054f27" /><Relationship Type="http://schemas.openxmlformats.org/officeDocument/2006/relationships/worksheet" Target="/xl/worksheets/sheet5.xml" Id="R50f90230e89c43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TDAT-FM-FPA-003 · One period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31" t="str">
        <x:v>Variance Bridge &amp; Forecast Accuracy</x:v>
      </x:c>
      <x:c r="B5" s="232"/>
      <x:c r="C5" s="232"/>
      <x:c r="D5" s="232"/>
      <x:c r="E5" s="232"/>
      <x:c r="F5" s="233"/>
      <x:c r="G5" s="60" t="str">
        <x:v>MODEL STATUS</x:v>
      </x:c>
      <x:c r="H5" s="60"/>
    </x:row>
    <x:row r="6" ht="20" customHeight="1">
      <x:c r="A6" s="234"/>
      <x:c r="B6" s="235"/>
      <x:c r="C6" s="235"/>
      <x:c r="D6" s="235"/>
      <x:c r="E6" s="235"/>
      <x:c r="F6" s="236"/>
      <x:c r="G6" s="244" t="str">
        <x:f>'Checks'!B4</x:f>
        <x:v>PASS</x:v>
      </x:c>
      <x:c r="H6" s="245"/>
    </x:row>
    <x:row r="7" ht="20" customHeight="1">
      <x:c r="A7" s="237"/>
      <x:c r="B7" s="238"/>
      <x:c r="C7" s="238"/>
      <x:c r="D7" s="238"/>
      <x:c r="E7" s="238"/>
      <x:c r="F7" s="239"/>
      <x:c r="G7" s="246"/>
      <x:c r="H7" s="247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61" t="str">
        <x:v>WHAT THIS MODEL IS FOR</x:v>
      </x:c>
      <x:c r="B9" s="61"/>
      <x:c r="C9" s="61"/>
      <x:c r="D9" s="61"/>
      <x:c r="E9" s="61"/>
      <x:c r="F9" s="61"/>
      <x:c r="G9" s="61"/>
      <x:c r="H9" s="61"/>
    </x:row>
    <x:row r="10" ht="20" customHeight="1">
      <x:c r="A10" s="178" t="str">
        <x:v>Which driver caused the EBITDA gap versus budget?</x:v>
      </x:c>
      <x:c r="B10" s="179"/>
      <x:c r="C10" s="179"/>
      <x:c r="D10" s="179"/>
      <x:c r="E10" s="179"/>
      <x:c r="F10" s="179"/>
      <x:c r="G10" s="179"/>
      <x:c r="H10" s="180"/>
    </x:row>
    <x:row r="11" ht="20" customHeight="1">
      <x:c r="A11" s="181"/>
      <x:c r="B11" s="182"/>
      <x:c r="C11" s="182"/>
      <x:c r="D11" s="182"/>
      <x:c r="E11" s="182"/>
      <x:c r="F11" s="182"/>
      <x:c r="G11" s="182"/>
      <x:c r="H11" s="183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USE IT IN FOUR STEPS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251" t="str">
        <x:v>1 · INPUTS</x:v>
      </x:c>
      <x:c r="B14" s="252"/>
      <x:c r="C14" s="251" t="str">
        <x:v>2 · MODEL</x:v>
      </x:c>
      <x:c r="D14" s="252"/>
      <x:c r="E14" s="251" t="str">
        <x:v>3 · RESULTS</x:v>
      </x:c>
      <x:c r="F14" s="252"/>
      <x:c r="G14" s="251" t="str">
        <x:v>4 · CHECKS</x:v>
      </x:c>
      <x:c r="H14" s="252"/>
    </x:row>
    <x:row r="15" ht="20" customHeight="1">
      <x:c r="A15" s="253" t="str">
        <x:v>Edit only blue cells</x:v>
      </x:c>
      <x:c r="B15" s="254"/>
      <x:c r="C15" s="253" t="str">
        <x:v>Trace schedules and formulas</x:v>
      </x:c>
      <x:c r="D15" s="254"/>
      <x:c r="E15" s="253" t="str">
        <x:v>Read the linked decision view</x:v>
      </x:c>
      <x:c r="F15" s="254"/>
      <x:c r="G15" s="253" t="str">
        <x:v>Resolve every FAIL</x:v>
      </x:c>
      <x:c r="H15" s="254"/>
    </x:row>
    <x:row r="16" ht="20" customHeight="1">
      <x:c r="A16" s="255"/>
      <x:c r="B16" s="256"/>
      <x:c r="C16" s="255"/>
      <x:c r="D16" s="256"/>
      <x:c r="E16" s="255"/>
      <x:c r="F16" s="256"/>
      <x:c r="G16" s="255"/>
      <x:c r="H16" s="256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61" t="str">
        <x:v>DEPTH WITHOUT EXTRA TABS</x:v>
      </x:c>
      <x:c r="B18" s="61"/>
      <x:c r="C18" s="61"/>
      <x:c r="D18" s="61"/>
      <x:c r="E18" s="61"/>
      <x:c r="F18" s="61"/>
      <x:c r="G18" s="61"/>
      <x:c r="H18" s="61"/>
    </x:row>
    <x:row r="19" ht="20" customHeight="1">
      <x:c r="A19" s="64" t="str">
        <x:v>Forecast</x:v>
      </x:c>
      <x:c r="B19" s="64"/>
      <x:c r="C19" s="171" t="str">
        <x:v>One period</x:v>
      </x:c>
      <x:c r="D19" s="171"/>
      <x:c r="E19" s="171"/>
      <x:c r="F19" s="171"/>
      <x:c r="G19" s="171"/>
      <x:c r="H19" s="171"/>
    </x:row>
    <x:row r="20" ht="20" customHeight="1">
      <x:c r="A20" s="64" t="str">
        <x:v>Editable inputs</x:v>
      </x:c>
      <x:c r="B20" s="64"/>
      <x:c r="C20" s="171" t="str">
        <x:v>9</x:v>
      </x:c>
      <x:c r="D20" s="171"/>
      <x:c r="E20" s="171"/>
      <x:c r="F20" s="171"/>
      <x:c r="G20" s="171"/>
      <x:c r="H20" s="171"/>
    </x:row>
    <x:row r="21" ht="20" customHeight="1">
      <x:c r="A21" s="64" t="str">
        <x:v>Visible sheets</x:v>
      </x:c>
      <x:c r="B21" s="64"/>
      <x:c r="C21" s="171" t="str">
        <x:v>5</x:v>
      </x:c>
      <x:c r="D21" s="171"/>
      <x:c r="E21" s="171"/>
      <x:c r="F21" s="171"/>
      <x:c r="G21" s="171"/>
      <x:c r="H21" s="171"/>
    </x:row>
    <x:row r="22" ht="20" customHeight="1">
      <x:c r="A22" s="64" t="str">
        <x:v>Setup</x:v>
      </x:c>
      <x:c r="B22" s="64"/>
      <x:c r="C22" s="171" t="str">
        <x:v>10–15 minutes</x:v>
      </x:c>
      <x:c r="D22" s="171"/>
      <x:c r="E22" s="171"/>
      <x:c r="F22" s="171"/>
      <x:c r="G22" s="171"/>
      <x:c r="H22" s="171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1" t="str">
        <x:v>FIT &amp; SCOPE</x:v>
      </x:c>
      <x:c r="B24" s="61"/>
      <x:c r="C24" s="61"/>
      <x:c r="D24" s="61"/>
      <x:c r="E24" s="61"/>
      <x:c r="F24" s="61"/>
      <x:c r="G24" s="61"/>
      <x:c r="H24" s="61"/>
    </x:row>
    <x:row r="25" ht="20" customHeight="1">
      <x:c r="A25" s="192" t="str">
        <x:v>Included: Budget and actual operating P&amp;Ls · Price, volume, cost, and opex bridge · Revenue forecast accuracy and ten controls</x:v>
      </x:c>
      <x:c r="B25" s="193"/>
      <x:c r="C25" s="193"/>
      <x:c r="D25" s="193"/>
      <x:c r="E25" s="193"/>
      <x:c r="F25" s="193"/>
      <x:c r="G25" s="193"/>
      <x:c r="H25" s="194"/>
    </x:row>
    <x:row r="26" ht="20" customHeight="1">
      <x:c r="A26" s="198"/>
      <x:c r="B26" s="199"/>
      <x:c r="C26" s="199"/>
      <x:c r="D26" s="199"/>
      <x:c r="E26" s="199"/>
      <x:c r="F26" s="199"/>
      <x:c r="G26" s="199"/>
      <x:c r="H26" s="200"/>
    </x:row>
    <x:row r="27" ht="20" customHeight="1">
      <x:c r="A27" s="263" t="str">
        <x:v>Scope boundary: Segments, mix effects, allocations, owner matrices, multi-period trend analysis, and statistical forecasting.</x:v>
      </x:c>
      <x:c r="B27" s="264"/>
      <x:c r="C27" s="264"/>
      <x:c r="D27" s="264"/>
      <x:c r="E27" s="264"/>
      <x:c r="F27" s="264"/>
      <x:c r="G27" s="264"/>
      <x:c r="H27" s="265"/>
    </x:row>
    <x:row r="28" ht="20" customHeight="1">
      <x:c r="A28" s="266"/>
      <x:c r="B28" s="267"/>
      <x:c r="C28" s="267"/>
      <x:c r="D28" s="267"/>
      <x:c r="E28" s="267"/>
      <x:c r="F28" s="267"/>
      <x:c r="G28" s="267"/>
      <x:c r="H28" s="268"/>
    </x:row>
    <x:row r="29" ht="20" customHeight="1">
      <x:c r="A29" s="270" t="str">
        <x:v>Synthetic demonstration only · Tested 2026-08-17 · Excel 365 · Macro-free · No external links</x:v>
      </x:c>
      <x:c r="B29" s="270"/>
      <x:c r="C29" s="270"/>
      <x:c r="D29" s="270"/>
      <x:c r="E29" s="270"/>
      <x:c r="F29" s="270"/>
      <x:c r="G29" s="270"/>
      <x:c r="H29" s="270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Variance Bridge &amp; Forecast Accuracy · Start → Inputs → Model → Results → Checks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Variance Bridge &amp; Forecast Accuracy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VOLUME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Budget units</x:v>
      </x:c>
      <x:c r="B10" s="39" t="n">
        <x:v>1150</x:v>
      </x:c>
      <x:c r="C10" s="3" t="str">
        <x:v>Units</x:v>
      </x:c>
      <x:c r="D10" s="37" t="str">
        <x:v>Planned sales volume</x:v>
      </x:c>
      <x:c r="E10" s="38"/>
      <x:c r="F10" s="38"/>
      <x:c r="G10" s="38"/>
      <x:c r="H10" s="38"/>
    </x:row>
    <x:row r="11" ht="20" customHeight="1">
      <x:c r="A11" s="3" t="str">
        <x:v>Actual units</x:v>
      </x:c>
      <x:c r="B11" s="39" t="n">
        <x:v>1200</x:v>
      </x:c>
      <x:c r="C11" s="3" t="str">
        <x:v>Units</x:v>
      </x:c>
      <x:c r="D11" s="37" t="str">
        <x:v>Actual sales volume</x:v>
      </x:c>
      <x:c r="E11" s="38"/>
      <x:c r="F11" s="38"/>
      <x:c r="G11" s="38"/>
      <x:c r="H11" s="38"/>
    </x:row>
    <x:row r="12" ht="20" customHeight="1">
      <x:c r="A12" s="26" t="str">
        <x:v>PRICE</x:v>
      </x:c>
      <x:c r="B12" s="26"/>
      <x:c r="C12" s="26"/>
      <x:c r="D12" s="26"/>
      <x:c r="E12" s="26"/>
      <x:c r="F12" s="26"/>
      <x:c r="G12" s="26"/>
      <x:c r="H12" s="26"/>
    </x:row>
    <x:row r="13" ht="20" customHeight="1">
      <x:c r="A13" s="28" t="str">
        <x:v>Input</x:v>
      </x:c>
      <x:c r="B13" s="28" t="str">
        <x:v>Value</x:v>
      </x:c>
      <x:c r="C13" s="28" t="str">
        <x:v>Unit</x:v>
      </x:c>
      <x:c r="D13" s="28" t="str">
        <x:v>Purpose</x:v>
      </x:c>
      <x:c r="E13" s="28"/>
      <x:c r="F13" s="28"/>
      <x:c r="G13" s="28"/>
      <x:c r="H13" s="28"/>
    </x:row>
    <x:row r="14" ht="20" customHeight="1">
      <x:c r="A14" s="3" t="str">
        <x:v>Budget price / unit</x:v>
      </x:c>
      <x:c r="B14" s="42" t="n">
        <x:v>12</x:v>
      </x:c>
      <x:c r="C14" s="3" t="str">
        <x:v>LCY</x:v>
      </x:c>
      <x:c r="D14" s="37" t="str">
        <x:v>Planned net price</x:v>
      </x:c>
      <x:c r="E14" s="38"/>
      <x:c r="F14" s="38"/>
      <x:c r="G14" s="38"/>
      <x:c r="H14" s="38"/>
    </x:row>
    <x:row r="15" ht="20" customHeight="1">
      <x:c r="A15" s="3" t="str">
        <x:v>Actual price / unit</x:v>
      </x:c>
      <x:c r="B15" s="42" t="n">
        <x:v>12.4</x:v>
      </x:c>
      <x:c r="C15" s="3" t="str">
        <x:v>LCY</x:v>
      </x:c>
      <x:c r="D15" s="37" t="str">
        <x:v>Actual net price</x:v>
      </x:c>
      <x:c r="E15" s="38"/>
      <x:c r="F15" s="38"/>
      <x:c r="G15" s="38"/>
      <x:c r="H15" s="38"/>
    </x:row>
    <x:row r="16" ht="20" customHeight="1">
      <x:c r="A16" s="26" t="str">
        <x:v>COST</x:v>
      </x:c>
      <x:c r="B16" s="26"/>
      <x:c r="C16" s="26"/>
      <x:c r="D16" s="26"/>
      <x:c r="E16" s="26"/>
      <x:c r="F16" s="26"/>
      <x:c r="G16" s="26"/>
      <x:c r="H16" s="26"/>
    </x:row>
    <x:row r="17" ht="20" customHeight="1">
      <x:c r="A17" s="28" t="str">
        <x:v>Input</x:v>
      </x:c>
      <x:c r="B17" s="28" t="str">
        <x:v>Value</x:v>
      </x:c>
      <x:c r="C17" s="28" t="str">
        <x:v>Unit</x:v>
      </x:c>
      <x:c r="D17" s="28" t="str">
        <x:v>Purpose</x:v>
      </x:c>
      <x:c r="E17" s="28"/>
      <x:c r="F17" s="28"/>
      <x:c r="G17" s="28"/>
      <x:c r="H17" s="28"/>
    </x:row>
    <x:row r="18" ht="20" customHeight="1">
      <x:c r="A18" s="3" t="str">
        <x:v>Budget variable cost / unit</x:v>
      </x:c>
      <x:c r="B18" s="42" t="n">
        <x:v>7</x:v>
      </x:c>
      <x:c r="C18" s="3" t="str">
        <x:v>LCY</x:v>
      </x:c>
      <x:c r="D18" s="37" t="str">
        <x:v>Planned unit cost</x:v>
      </x:c>
      <x:c r="E18" s="38"/>
      <x:c r="F18" s="38"/>
      <x:c r="G18" s="38"/>
      <x:c r="H18" s="38"/>
    </x:row>
    <x:row r="19" ht="20" customHeight="1">
      <x:c r="A19" s="3" t="str">
        <x:v>Actual variable cost / unit</x:v>
      </x:c>
      <x:c r="B19" s="42" t="n">
        <x:v>7.1</x:v>
      </x:c>
      <x:c r="C19" s="3" t="str">
        <x:v>LCY</x:v>
      </x:c>
      <x:c r="D19" s="37" t="str">
        <x:v>Actual unit cost</x:v>
      </x:c>
      <x:c r="E19" s="38"/>
      <x:c r="F19" s="38"/>
      <x:c r="G19" s="38"/>
      <x:c r="H19" s="38"/>
    </x:row>
    <x:row r="20" ht="20" customHeight="1">
      <x:c r="A20" s="26" t="str">
        <x:v>OPEX &amp; FORECAST</x:v>
      </x:c>
      <x:c r="B20" s="26"/>
      <x:c r="C20" s="26"/>
      <x:c r="D20" s="26"/>
      <x:c r="E20" s="26"/>
      <x:c r="F20" s="26"/>
      <x:c r="G20" s="26"/>
      <x:c r="H20" s="26"/>
    </x:row>
    <x:row r="21" ht="20" customHeight="1">
      <x:c r="A21" s="28" t="str">
        <x:v>Input</x:v>
      </x:c>
      <x:c r="B21" s="28" t="str">
        <x:v>Value</x:v>
      </x:c>
      <x:c r="C21" s="28" t="str">
        <x:v>Unit</x:v>
      </x:c>
      <x:c r="D21" s="28" t="str">
        <x:v>Purpose</x:v>
      </x:c>
      <x:c r="E21" s="28"/>
      <x:c r="F21" s="28"/>
      <x:c r="G21" s="28"/>
      <x:c r="H21" s="28"/>
    </x:row>
    <x:row r="22" ht="20" customHeight="1">
      <x:c r="A22" s="3" t="str">
        <x:v>Budget controllable opex</x:v>
      </x:c>
      <x:c r="B22" s="45" t="n">
        <x:v>1650</x:v>
      </x:c>
      <x:c r="C22" s="3" t="str">
        <x:v>LCY</x:v>
      </x:c>
      <x:c r="D22" s="37" t="str">
        <x:v>Planned controllable expense</x:v>
      </x:c>
      <x:c r="E22" s="38"/>
      <x:c r="F22" s="38"/>
      <x:c r="G22" s="38"/>
      <x:c r="H22" s="38"/>
    </x:row>
    <x:row r="23" ht="20" customHeight="1">
      <x:c r="A23" s="3" t="str">
        <x:v>Actual controllable opex</x:v>
      </x:c>
      <x:c r="B23" s="45" t="n">
        <x:v>1700</x:v>
      </x:c>
      <x:c r="C23" s="3" t="str">
        <x:v>LCY</x:v>
      </x:c>
      <x:c r="D23" s="37" t="str">
        <x:v>Actual controllable expense</x:v>
      </x:c>
      <x:c r="E23" s="38"/>
      <x:c r="F23" s="38"/>
      <x:c r="G23" s="38"/>
      <x:c r="H23" s="38"/>
    </x:row>
    <x:row r="24" ht="20" customHeight="1">
      <x:c r="A24" s="3" t="str">
        <x:v>Latest revenue forecast</x:v>
      </x:c>
      <x:c r="B24" s="45" t="n">
        <x:v>14500</x:v>
      </x:c>
      <x:c r="C24" s="3" t="str">
        <x:v>LCY</x:v>
      </x:c>
      <x:c r="D24" s="37" t="str">
        <x:v>Forecast made before actual</x:v>
      </x:c>
      <x:c r="E24" s="38"/>
      <x:c r="F24" s="38"/>
      <x:c r="G24" s="38"/>
      <x:c r="H24" s="38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</x:row>
    <x:row r="26" ht="20" customHeight="1">
      <x:c r="A26" s="54" t="str">
        <x:v>Synthetic example. Replace only the blue values, trace the calculation on Model, then review Results and Checks.</x:v>
      </x:c>
      <x:c r="B26" s="55"/>
      <x:c r="C26" s="55"/>
      <x:c r="D26" s="55"/>
      <x:c r="E26" s="55"/>
      <x:c r="F26" s="55"/>
      <x:c r="G26" s="55"/>
      <x:c r="H26" s="56"/>
    </x:row>
    <x:row r="27" ht="20" customHeight="1">
      <x:c r="A27" s="57"/>
      <x:c r="B27" s="58"/>
      <x:c r="C27" s="58"/>
      <x:c r="D27" s="58"/>
      <x:c r="E27" s="58"/>
      <x:c r="F27" s="58"/>
      <x:c r="G27" s="58"/>
      <x:c r="H27" s="59"/>
    </x:row>
    <x:row r="28" ht="20" customHeight="1">
      <x:c r="A28" s="3"/>
      <x:c r="B28" s="3"/>
      <x:c r="C28" s="3"/>
      <x:c r="D28" s="3"/>
      <x:c r="E28" s="3"/>
      <x:c r="F28" s="3"/>
      <x:c r="G28" s="3"/>
      <x:c r="H28" s="3"/>
    </x:row>
    <x:row r="29" ht="20" customHeight="1">
      <x:c r="A29" s="3"/>
      <x:c r="B29" s="3"/>
      <x:c r="C29" s="3"/>
      <x:c r="D29" s="3"/>
      <x:c r="E29" s="3"/>
      <x:c r="F29" s="3"/>
      <x:c r="G29" s="3"/>
      <x:c r="H29" s="3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Variance Bridge &amp; Forecast Accuracy · 9 editable assumptions · v1.4.0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A12:H12"/>
    <x:mergeCell ref="D13:H13"/>
    <x:mergeCell ref="D14:H14"/>
    <x:mergeCell ref="D15:H15"/>
    <x:mergeCell ref="A16:H16"/>
    <x:mergeCell ref="D17:H17"/>
    <x:mergeCell ref="D18:H18"/>
    <x:mergeCell ref="D19:H19"/>
    <x:mergeCell ref="A20:H20"/>
    <x:mergeCell ref="D21:H21"/>
    <x:mergeCell ref="D22:H22"/>
    <x:mergeCell ref="D23:H23"/>
    <x:mergeCell ref="D24:H24"/>
    <x:mergeCell ref="A26:H27"/>
    <x:mergeCell ref="A31:H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Variance Bridge &amp; Forecast Accuracy · Budget-to-actual P&amp;L and driver bridge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07" t="str">
        <x:v>REVENUE VARIANCE</x:v>
      </x:c>
      <x:c r="B5" s="108"/>
      <x:c r="C5" s="107" t="str">
        <x:v>EBITDA VARIANCE</x:v>
      </x:c>
      <x:c r="D5" s="108"/>
      <x:c r="E5" s="107" t="str">
        <x:v>FORECAST ACCURACY</x:v>
      </x:c>
      <x:c r="F5" s="108"/>
      <x:c r="G5" s="107" t="str">
        <x:v>PRICE EFFECT</x:v>
      </x:c>
      <x:c r="H5" s="108"/>
    </x:row>
    <x:row r="6" ht="20" customHeight="1">
      <x:c r="A6" s="122" t="n">
        <x:f>B25</x:f>
        <x:v>1080</x:v>
      </x:c>
      <x:c r="B6" s="123"/>
      <x:c r="C6" s="122" t="n">
        <x:f>B32</x:f>
        <x:v>560.0000000000009</x:v>
      </x:c>
      <x:c r="D6" s="123"/>
      <x:c r="E6" s="134" t="n">
        <x:f>B37</x:f>
        <x:v>0.9744623655913979</x:v>
      </x:c>
      <x:c r="F6" s="135"/>
      <x:c r="G6" s="122" t="n">
        <x:f>B28</x:f>
        <x:v>480.00000000000045</x:v>
      </x:c>
      <x:c r="H6" s="123"/>
    </x:row>
    <x:row r="7" ht="20" customHeight="1">
      <x:c r="A7" s="124"/>
      <x:c r="B7" s="125"/>
      <x:c r="C7" s="124"/>
      <x:c r="D7" s="125"/>
      <x:c r="E7" s="136"/>
      <x:c r="F7" s="137"/>
      <x:c r="G7" s="124"/>
      <x:c r="H7" s="125"/>
    </x:row>
    <x:row r="8" ht="20" customHeight="1">
      <x:c r="A8" s="126"/>
      <x:c r="B8" s="127"/>
      <x:c r="C8" s="126"/>
      <x:c r="D8" s="127"/>
      <x:c r="E8" s="138"/>
      <x:c r="F8" s="139"/>
      <x:c r="G8" s="126"/>
      <x:c r="H8" s="127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1" t="str">
        <x:v>BUDGET / ACTUAL OPERATING P&amp;L</x:v>
      </x:c>
      <x:c r="B10" s="61"/>
      <x:c r="C10" s="61"/>
      <x:c r="D10" s="61"/>
      <x:c r="E10" s="61"/>
      <x:c r="F10" s="61"/>
      <x:c r="G10" s="61"/>
      <x:c r="H10" s="61"/>
    </x:row>
    <x:row r="11" ht="20" customHeight="1">
      <x:c r="A11" s="63" t="str">
        <x:v>Metric</x:v>
      </x:c>
      <x:c r="B11" s="62" t="str">
        <x:v>BUDGET</x:v>
      </x:c>
      <x:c r="C11" s="62" t="str">
        <x:v>ACTUAL</x:v>
      </x:c>
      <x:c r="D11" s="62" t="str">
        <x:v>VARIANCE</x:v>
      </x:c>
      <x:c r="E11" s="65" t="str">
        <x:v>Notes</x:v>
      </x:c>
      <x:c r="F11" s="66"/>
      <x:c r="G11" s="66"/>
      <x:c r="H11" s="66"/>
    </x:row>
    <x:row r="12" ht="20" customHeight="1">
      <x:c r="A12" s="29" t="str">
        <x:v>Units</x:v>
      </x:c>
      <x:c r="B12" s="73" t="n">
        <x:f>'Inputs'!$B$10</x:f>
        <x:v>1150</x:v>
      </x:c>
      <x:c r="C12" s="73" t="n">
        <x:f>'Inputs'!$B$11</x:f>
        <x:v>1200</x:v>
      </x:c>
      <x:c r="D12" s="74" t="n">
        <x:f>C12-B12</x:f>
        <x:v>50</x:v>
      </x:c>
      <x:c r="E12" s="37" t="str"/>
      <x:c r="F12" s="38"/>
      <x:c r="G12" s="38"/>
      <x:c r="H12" s="38"/>
    </x:row>
    <x:row r="13" ht="20" customHeight="1">
      <x:c r="A13" s="29" t="str">
        <x:v>Net price / unit</x:v>
      </x:c>
      <x:c r="B13" s="79" t="n">
        <x:f>'Inputs'!$B$14</x:f>
        <x:v>12</x:v>
      </x:c>
      <x:c r="C13" s="79" t="n">
        <x:f>'Inputs'!$B$15</x:f>
        <x:v>12.4</x:v>
      </x:c>
      <x:c r="D13" s="80" t="n">
        <x:f>C13-B13</x:f>
        <x:v>0.40000000000000036</x:v>
      </x:c>
      <x:c r="E13" s="37" t="str"/>
      <x:c r="F13" s="38"/>
      <x:c r="G13" s="38"/>
      <x:c r="H13" s="38"/>
    </x:row>
    <x:row r="14" ht="20" customHeight="1">
      <x:c r="A14" s="11" t="str">
        <x:v>Revenue</x:v>
      </x:c>
      <x:c r="B14" s="84" t="n">
        <x:f>B12*B13</x:f>
        <x:v>13800</x:v>
      </x:c>
      <x:c r="C14" s="84" t="n">
        <x:f>C12*C13</x:f>
        <x:v>14880</x:v>
      </x:c>
      <x:c r="D14" s="84" t="n">
        <x:f>C14-B14</x:f>
        <x:v>1080</x:v>
      </x:c>
      <x:c r="E14" s="88" t="str"/>
      <x:c r="F14" s="89"/>
      <x:c r="G14" s="89"/>
      <x:c r="H14" s="89"/>
    </x:row>
    <x:row r="15" ht="20" customHeight="1">
      <x:c r="A15" s="29" t="str">
        <x:v>Variable cost / unit</x:v>
      </x:c>
      <x:c r="B15" s="79" t="n">
        <x:f>'Inputs'!$B$18</x:f>
        <x:v>7</x:v>
      </x:c>
      <x:c r="C15" s="79" t="n">
        <x:f>'Inputs'!$B$19</x:f>
        <x:v>7.1</x:v>
      </x:c>
      <x:c r="D15" s="80" t="n">
        <x:f>C15-B15</x:f>
        <x:v>0.09999999999999964</x:v>
      </x:c>
      <x:c r="E15" s="37" t="str"/>
      <x:c r="F15" s="38"/>
      <x:c r="G15" s="38"/>
      <x:c r="H15" s="38"/>
    </x:row>
    <x:row r="16" ht="20" customHeight="1">
      <x:c r="A16" s="29" t="str">
        <x:v>Variable cost</x:v>
      </x:c>
      <x:c r="B16" s="92" t="n">
        <x:f>-B12*B15</x:f>
        <x:v>-8050</x:v>
      </x:c>
      <x:c r="C16" s="92" t="n">
        <x:f>-C12*C15</x:f>
        <x:v>-8520</x:v>
      </x:c>
      <x:c r="D16" s="92" t="n">
        <x:f>C16-B16</x:f>
        <x:v>-470</x:v>
      </x:c>
      <x:c r="E16" s="37" t="str"/>
      <x:c r="F16" s="38"/>
      <x:c r="G16" s="38"/>
      <x:c r="H16" s="38"/>
    </x:row>
    <x:row r="17" ht="20" customHeight="1">
      <x:c r="A17" s="11" t="str">
        <x:v>Contribution</x:v>
      </x:c>
      <x:c r="B17" s="84" t="n">
        <x:f>B14+B16</x:f>
        <x:v>5750</x:v>
      </x:c>
      <x:c r="C17" s="84" t="n">
        <x:f>C14+C16</x:f>
        <x:v>6360</x:v>
      </x:c>
      <x:c r="D17" s="84" t="n">
        <x:f>C17-B17</x:f>
        <x:v>610</x:v>
      </x:c>
      <x:c r="E17" s="88" t="str"/>
      <x:c r="F17" s="89"/>
      <x:c r="G17" s="89"/>
      <x:c r="H17" s="89"/>
    </x:row>
    <x:row r="18" ht="20" customHeight="1">
      <x:c r="A18" s="29" t="str">
        <x:v>Controllable opex</x:v>
      </x:c>
      <x:c r="B18" s="95" t="n">
        <x:f>-'Inputs'!$B$22</x:f>
        <x:v>-1650</x:v>
      </x:c>
      <x:c r="C18" s="95" t="n">
        <x:f>-'Inputs'!$B$23</x:f>
        <x:v>-1700</x:v>
      </x:c>
      <x:c r="D18" s="92" t="n">
        <x:f>C18-B18</x:f>
        <x:v>-50</x:v>
      </x:c>
      <x:c r="E18" s="37" t="str"/>
      <x:c r="F18" s="38"/>
      <x:c r="G18" s="38"/>
      <x:c r="H18" s="38"/>
    </x:row>
    <x:row r="19" ht="20" customHeight="1">
      <x:c r="A19" s="11" t="str">
        <x:v>EBITDA</x:v>
      </x:c>
      <x:c r="B19" s="84" t="n">
        <x:f>B17+B18</x:f>
        <x:v>4100</x:v>
      </x:c>
      <x:c r="C19" s="84" t="n">
        <x:f>C17+C18</x:f>
        <x:v>4660</x:v>
      </x:c>
      <x:c r="D19" s="84" t="n">
        <x:f>C19-B19</x:f>
        <x:v>560</x:v>
      </x:c>
      <x:c r="E19" s="88" t="str"/>
      <x:c r="F19" s="89"/>
      <x:c r="G19" s="89"/>
      <x:c r="H19" s="89"/>
    </x:row>
    <x:row r="20" ht="20" customHeight="1">
      <x:c r="A20" s="3"/>
      <x:c r="B20" s="3"/>
      <x:c r="C20" s="3"/>
      <x:c r="D20" s="3"/>
      <x:c r="E20" s="3"/>
      <x:c r="F20" s="3"/>
      <x:c r="G20" s="3"/>
      <x:c r="H20" s="3"/>
    </x:row>
    <x:row r="21" ht="20" customHeight="1">
      <x:c r="A21" s="61" t="str">
        <x:v>FAVORABLE / (UNFAVORABLE) DRIVER BRIDGE</x:v>
      </x:c>
      <x:c r="B21" s="61"/>
      <x:c r="C21" s="61"/>
      <x:c r="D21" s="61"/>
      <x:c r="E21" s="61"/>
      <x:c r="F21" s="61"/>
      <x:c r="G21" s="61"/>
      <x:c r="H21" s="61"/>
    </x:row>
    <x:row r="22" ht="20" customHeight="1">
      <x:c r="A22" s="28" t="str">
        <x:v>Metric</x:v>
      </x:c>
      <x:c r="B22" s="28" t="str">
        <x:v>Value</x:v>
      </x:c>
      <x:c r="C22" s="28" t="str">
        <x:v>Unit</x:v>
      </x:c>
      <x:c r="D22" s="96" t="str">
        <x:v>Notes</x:v>
      </x:c>
      <x:c r="E22" s="97"/>
      <x:c r="F22" s="97"/>
      <x:c r="G22" s="97"/>
      <x:c r="H22" s="97"/>
    </x:row>
    <x:row r="23" ht="20" customHeight="1">
      <x:c r="A23" s="29" t="str">
        <x:v>Budget revenue</x:v>
      </x:c>
      <x:c r="B23" s="92" t="n">
        <x:f>B14</x:f>
        <x:v>13800</x:v>
      </x:c>
      <x:c r="C23" s="29" t="str">
        <x:v>LCY</x:v>
      </x:c>
      <x:c r="D23" s="37" t="str">
        <x:v>Budget units × budget price</x:v>
      </x:c>
      <x:c r="E23" s="38"/>
      <x:c r="F23" s="38"/>
      <x:c r="G23" s="38"/>
      <x:c r="H23" s="38"/>
    </x:row>
    <x:row r="24" ht="20" customHeight="1">
      <x:c r="A24" s="29" t="str">
        <x:v>Actual revenue</x:v>
      </x:c>
      <x:c r="B24" s="92" t="n">
        <x:f>C14</x:f>
        <x:v>14880</x:v>
      </x:c>
      <x:c r="C24" s="29" t="str">
        <x:v>LCY</x:v>
      </x:c>
      <x:c r="D24" s="37" t="str">
        <x:v>Actual units × actual price</x:v>
      </x:c>
      <x:c r="E24" s="38"/>
      <x:c r="F24" s="38"/>
      <x:c r="G24" s="38"/>
      <x:c r="H24" s="38"/>
    </x:row>
    <x:row r="25" ht="20" customHeight="1">
      <x:c r="A25" s="11" t="str">
        <x:v>Revenue variance</x:v>
      </x:c>
      <x:c r="B25" s="84" t="n">
        <x:f>D14</x:f>
        <x:v>1080</x:v>
      </x:c>
      <x:c r="C25" s="11" t="str">
        <x:v>LCY</x:v>
      </x:c>
      <x:c r="D25" s="88" t="str">
        <x:v>Actual less budget</x:v>
      </x:c>
      <x:c r="E25" s="89"/>
      <x:c r="F25" s="89"/>
      <x:c r="G25" s="89"/>
      <x:c r="H25" s="89"/>
    </x:row>
    <x:row r="26" ht="20" customHeight="1">
      <x:c r="A26" s="29" t="str">
        <x:v>Budget EBITDA</x:v>
      </x:c>
      <x:c r="B26" s="92" t="n">
        <x:f>B19</x:f>
        <x:v>4100</x:v>
      </x:c>
      <x:c r="C26" s="29" t="str">
        <x:v>LCY</x:v>
      </x:c>
      <x:c r="D26" s="37" t="str">
        <x:v>Budget operating P&amp;L</x:v>
      </x:c>
      <x:c r="E26" s="38"/>
      <x:c r="F26" s="38"/>
      <x:c r="G26" s="38"/>
      <x:c r="H26" s="38"/>
    </x:row>
    <x:row r="27" ht="20" customHeight="1">
      <x:c r="A27" s="29" t="str">
        <x:v>Volume effect</x:v>
      </x:c>
      <x:c r="B27" s="95" t="n">
        <x:f>('Inputs'!$B$11-'Inputs'!$B$10)*'Inputs'!$B$14</x:f>
        <x:v>600</x:v>
      </x:c>
      <x:c r="C27" s="29" t="str">
        <x:v>LCY</x:v>
      </x:c>
      <x:c r="D27" s="37" t="str">
        <x:v>Volume change at budget price</x:v>
      </x:c>
      <x:c r="E27" s="38"/>
      <x:c r="F27" s="38"/>
      <x:c r="G27" s="38"/>
      <x:c r="H27" s="38"/>
    </x:row>
    <x:row r="28" ht="20" customHeight="1">
      <x:c r="A28" s="29" t="str">
        <x:v>Price effect</x:v>
      </x:c>
      <x:c r="B28" s="95" t="n">
        <x:f>'Inputs'!$B$11*('Inputs'!$B$15-'Inputs'!$B$14)</x:f>
        <x:v>480.00000000000045</x:v>
      </x:c>
      <x:c r="C28" s="29" t="str">
        <x:v>LCY</x:v>
      </x:c>
      <x:c r="D28" s="37" t="str">
        <x:v>Price change on actual units</x:v>
      </x:c>
      <x:c r="E28" s="38"/>
      <x:c r="F28" s="38"/>
      <x:c r="G28" s="38"/>
      <x:c r="H28" s="38"/>
    </x:row>
    <x:row r="29" ht="20" customHeight="1">
      <x:c r="A29" s="29" t="str">
        <x:v>Cost-volume effect</x:v>
      </x:c>
      <x:c r="B29" s="95" t="n">
        <x:f>-('Inputs'!$B$11-'Inputs'!$B$10)*'Inputs'!$B$18</x:f>
        <x:v>-350</x:v>
      </x:c>
      <x:c r="C29" s="29" t="str">
        <x:v>LCY</x:v>
      </x:c>
      <x:c r="D29" s="37" t="str">
        <x:v>Cost of extra or fewer units</x:v>
      </x:c>
      <x:c r="E29" s="38"/>
      <x:c r="F29" s="38"/>
      <x:c r="G29" s="38"/>
      <x:c r="H29" s="38"/>
    </x:row>
    <x:row r="30" ht="20" customHeight="1">
      <x:c r="A30" s="29" t="str">
        <x:v>Unit-cost effect</x:v>
      </x:c>
      <x:c r="B30" s="95" t="n">
        <x:f>-'Inputs'!$B$11*('Inputs'!$B$19-'Inputs'!$B$18)</x:f>
        <x:v>-119.99999999999957</x:v>
      </x:c>
      <x:c r="C30" s="29" t="str">
        <x:v>LCY</x:v>
      </x:c>
      <x:c r="D30" s="37" t="str">
        <x:v>Unit-cost change on actual units</x:v>
      </x:c>
      <x:c r="E30" s="38"/>
      <x:c r="F30" s="38"/>
      <x:c r="G30" s="38"/>
      <x:c r="H30" s="38"/>
    </x:row>
    <x:row r="31" ht="20" customHeight="1">
      <x:c r="A31" s="29" t="str">
        <x:v>Opex variance</x:v>
      </x:c>
      <x:c r="B31" s="95" t="n">
        <x:f>'Inputs'!$B$22-'Inputs'!$B$23</x:f>
        <x:v>-50</x:v>
      </x:c>
      <x:c r="C31" s="29" t="str">
        <x:v>LCY</x:v>
      </x:c>
      <x:c r="D31" s="37" t="str">
        <x:v>Positive is favorable</x:v>
      </x:c>
      <x:c r="E31" s="38"/>
      <x:c r="F31" s="38"/>
      <x:c r="G31" s="38"/>
      <x:c r="H31" s="38"/>
    </x:row>
    <x:row r="32" ht="20" customHeight="1">
      <x:c r="A32" s="11" t="str">
        <x:v>EBITDA variance</x:v>
      </x:c>
      <x:c r="B32" s="84" t="n">
        <x:f>SUM(B27:B31)</x:f>
        <x:v>560.0000000000009</x:v>
      </x:c>
      <x:c r="C32" s="11" t="str">
        <x:v>LCY</x:v>
      </x:c>
      <x:c r="D32" s="88" t="str">
        <x:v>Volume + price + cost + opex effects</x:v>
      </x:c>
      <x:c r="E32" s="89"/>
      <x:c r="F32" s="89"/>
      <x:c r="G32" s="89"/>
      <x:c r="H32" s="89"/>
    </x:row>
    <x:row r="33" ht="20" customHeight="1">
      <x:c r="A33" s="11" t="str">
        <x:v>Bridge-implied actual EBITDA</x:v>
      </x:c>
      <x:c r="B33" s="84" t="n">
        <x:f>B26+B32</x:f>
        <x:v>4660.000000000001</x:v>
      </x:c>
      <x:c r="C33" s="11" t="str">
        <x:v>LCY</x:v>
      </x:c>
      <x:c r="D33" s="88" t="str">
        <x:v>Budget EBITDA plus driver effects</x:v>
      </x:c>
      <x:c r="E33" s="89"/>
      <x:c r="F33" s="89"/>
      <x:c r="G33" s="89"/>
      <x:c r="H33" s="89"/>
    </x:row>
    <x:row r="34" ht="20" customHeight="1">
      <x:c r="A34" s="11" t="str">
        <x:v>Actual EBITDA</x:v>
      </x:c>
      <x:c r="B34" s="84" t="n">
        <x:f>C19</x:f>
        <x:v>4660</x:v>
      </x:c>
      <x:c r="C34" s="11" t="str">
        <x:v>LCY</x:v>
      </x:c>
      <x:c r="D34" s="88" t="str">
        <x:v>Actual operating P&amp;L</x:v>
      </x:c>
      <x:c r="E34" s="89"/>
      <x:c r="F34" s="89"/>
      <x:c r="G34" s="89"/>
      <x:c r="H34" s="89"/>
    </x:row>
    <x:row r="35" ht="20" customHeight="1">
      <x:c r="A35" s="29" t="str">
        <x:v>Bridge check</x:v>
      </x:c>
      <x:c r="B35" s="92" t="n">
        <x:f>B33-B34</x:f>
        <x:v>9.094947017729282e-13</x:v>
      </x:c>
      <x:c r="C35" s="29" t="str">
        <x:v>LCY</x:v>
      </x:c>
      <x:c r="D35" s="37" t="str">
        <x:v>Must equal zero</x:v>
      </x:c>
      <x:c r="E35" s="38"/>
      <x:c r="F35" s="38"/>
      <x:c r="G35" s="38"/>
      <x:c r="H35" s="38"/>
    </x:row>
    <x:row r="36" ht="20" customHeight="1">
      <x:c r="A36" s="29" t="str">
        <x:v>Forecast revenue error</x:v>
      </x:c>
      <x:c r="B36" s="95" t="n">
        <x:f>B24-'Inputs'!$B$24</x:f>
        <x:v>380</x:v>
      </x:c>
      <x:c r="C36" s="29" t="str">
        <x:v>LCY</x:v>
      </x:c>
      <x:c r="D36" s="37" t="str">
        <x:v>Actual less latest forecast</x:v>
      </x:c>
      <x:c r="E36" s="38"/>
      <x:c r="F36" s="38"/>
      <x:c r="G36" s="38"/>
      <x:c r="H36" s="38"/>
    </x:row>
    <x:row r="37" ht="20" customHeight="1">
      <x:c r="A37" s="11" t="str">
        <x:v>Forecast accuracy</x:v>
      </x:c>
      <x:c r="B37" s="104" t="n">
        <x:f>IF(ABS(B24)&lt;0.000001,0,MAX(0,1-ABS(B36)/ABS(B24)))</x:f>
        <x:v>0.9744623655913979</x:v>
      </x:c>
      <x:c r="C37" s="11" t="str">
        <x:v>%</x:v>
      </x:c>
      <x:c r="D37" s="88" t="str">
        <x:v>One minus absolute error rate</x:v>
      </x:c>
      <x:c r="E37" s="89"/>
      <x:c r="F37" s="89"/>
      <x:c r="G37" s="89"/>
      <x:c r="H37" s="89"/>
    </x:row>
    <x:row r="38" ht="20" customHeight="1">
      <x:c r="A38" s="153" t="str">
        <x:f>IF(B32&gt;=0,"OUTCOME: EBITDA is above budget.","OUTCOME: EBITDA is below budget.")</x:f>
        <x:v>OUTCOME: EBITDA is above budget.</x:v>
      </x:c>
      <x:c r="B38" s="154"/>
      <x:c r="C38" s="154"/>
      <x:c r="D38" s="154"/>
      <x:c r="E38" s="154"/>
      <x:c r="F38" s="154"/>
      <x:c r="G38" s="154"/>
      <x:c r="H38" s="155"/>
    </x:row>
    <x:row r="39" ht="20" customHeight="1">
      <x:c r="A39" s="156"/>
      <x:c r="B39" s="157"/>
      <x:c r="C39" s="157"/>
      <x:c r="D39" s="157"/>
      <x:c r="E39" s="157"/>
      <x:c r="F39" s="157"/>
      <x:c r="G39" s="157"/>
      <x:c r="H39" s="158"/>
    </x:row>
    <x:row r="40" ht="20" customHeight="1">
      <x:c r="A40" s="60" t="str">
        <x:v>Variance Bridge &amp; Forecast Accuracy · v1.4.0</x:v>
      </x:c>
      <x:c r="B40" s="60"/>
      <x:c r="C40" s="60"/>
      <x:c r="D40" s="60"/>
      <x:c r="E40" s="60"/>
      <x:c r="F40" s="60"/>
      <x:c r="G40" s="60"/>
      <x:c r="H40" s="60"/>
    </x:row>
  </x:sheetData>
  <x:mergeCells>
    <x:mergeCell ref="A1:H2"/>
    <x:mergeCell ref="A3:H3"/>
    <x:mergeCell ref="A10:H10"/>
    <x:mergeCell ref="E11:H11"/>
    <x:mergeCell ref="E12:H12"/>
    <x:mergeCell ref="E13:H13"/>
    <x:mergeCell ref="E14:H14"/>
    <x:mergeCell ref="E15:H15"/>
    <x:mergeCell ref="E16:H16"/>
    <x:mergeCell ref="E17:H17"/>
    <x:mergeCell ref="E18:H18"/>
    <x:mergeCell ref="E19:H19"/>
    <x:mergeCell ref="A21:H21"/>
    <x:mergeCell ref="D22:H22"/>
    <x:mergeCell ref="D23:H23"/>
    <x:mergeCell ref="D24:H24"/>
    <x:mergeCell ref="D25:H25"/>
    <x:mergeCell ref="D26:H26"/>
    <x:mergeCell ref="D27:H27"/>
    <x:mergeCell ref="D28:H28"/>
    <x:mergeCell ref="D29:H29"/>
    <x:mergeCell ref="D30:H30"/>
    <x:mergeCell ref="D31:H31"/>
    <x:mergeCell ref="D32:H32"/>
    <x:mergeCell ref="D33:H33"/>
    <x:mergeCell ref="D34:H34"/>
    <x:mergeCell ref="D35:H35"/>
    <x:mergeCell ref="D36:H36"/>
    <x:mergeCell ref="D37:H37"/>
    <x:mergeCell ref="A5:B5"/>
    <x:mergeCell ref="A6:B8"/>
    <x:mergeCell ref="C5:D5"/>
    <x:mergeCell ref="C6:D8"/>
    <x:mergeCell ref="E5:F5"/>
    <x:mergeCell ref="E6:F8"/>
    <x:mergeCell ref="G5:H5"/>
    <x:mergeCell ref="G6:H8"/>
    <x:mergeCell ref="A38:H39"/>
    <x:mergeCell ref="A40:H4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Variance Bridge &amp; Forecast Accuracy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07" t="str">
        <x:v>REVENUE VARIANCE</x:v>
      </x:c>
      <x:c r="B5" s="108"/>
      <x:c r="C5" s="107" t="str">
        <x:v>EBITDA VARIANCE</x:v>
      </x:c>
      <x:c r="D5" s="108"/>
      <x:c r="E5" s="107" t="str">
        <x:v>FORECAST ACCURACY</x:v>
      </x:c>
      <x:c r="F5" s="108"/>
      <x:c r="G5" s="107" t="str">
        <x:v>PRICE EFFECT</x:v>
      </x:c>
      <x:c r="H5" s="108"/>
    </x:row>
    <x:row r="6" ht="20" customHeight="1">
      <x:c r="A6" s="122" t="n">
        <x:f>'Model'!A6</x:f>
        <x:v>1080</x:v>
      </x:c>
      <x:c r="B6" s="123"/>
      <x:c r="C6" s="122" t="n">
        <x:f>'Model'!C6</x:f>
        <x:v>560.0000000000009</x:v>
      </x:c>
      <x:c r="D6" s="123"/>
      <x:c r="E6" s="134" t="n">
        <x:f>'Model'!E6</x:f>
        <x:v>0.9744623655913979</x:v>
      </x:c>
      <x:c r="F6" s="135"/>
      <x:c r="G6" s="122" t="n">
        <x:f>'Model'!G6</x:f>
        <x:v>480.00000000000045</x:v>
      </x:c>
      <x:c r="H6" s="123"/>
    </x:row>
    <x:row r="7" ht="20" customHeight="1">
      <x:c r="A7" s="124"/>
      <x:c r="B7" s="125"/>
      <x:c r="C7" s="124"/>
      <x:c r="D7" s="125"/>
      <x:c r="E7" s="136"/>
      <x:c r="F7" s="137"/>
      <x:c r="G7" s="124"/>
      <x:c r="H7" s="125"/>
    </x:row>
    <x:row r="8" ht="20" customHeight="1">
      <x:c r="A8" s="126"/>
      <x:c r="B8" s="127"/>
      <x:c r="C8" s="126"/>
      <x:c r="D8" s="127"/>
      <x:c r="E8" s="138"/>
      <x:c r="F8" s="139"/>
      <x:c r="G8" s="126"/>
      <x:c r="H8" s="127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1" t="str">
        <x:v>DECISION VIEW</x:v>
      </x:c>
      <x:c r="B10" s="61"/>
      <x:c r="C10" s="61"/>
      <x:c r="D10" s="61"/>
      <x:c r="E10" s="61"/>
      <x:c r="F10" s="61"/>
      <x:c r="G10" s="61"/>
      <x:c r="H10" s="61"/>
    </x:row>
    <x:row r="11" ht="34" customHeight="1">
      <x:c r="A11" s="159" t="str">
        <x:v>CALCULATION STATUS</x:v>
      </x:c>
      <x:c r="B11" s="159"/>
      <x:c r="C11" s="163" t="str">
        <x:f>'Checks'!B4</x:f>
        <x:v>PASS</x:v>
      </x:c>
      <x:c r="D11" s="164"/>
      <x:c r="E11" s="159" t="str">
        <x:v>PERFORMANCE OUTCOME</x:v>
      </x:c>
      <x:c r="F11" s="159"/>
      <x:c r="G11" s="169" t="str">
        <x:f>'Model'!A38</x:f>
        <x:v>OUTCOME: EBITDA is above budget.</x:v>
      </x:c>
      <x:c r="H11" s="170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1" t="str">
        <x:v>WHAT IT ANSWERS</x:v>
      </x:c>
      <x:c r="B13" s="61"/>
      <x:c r="C13" s="61"/>
      <x:c r="D13" s="61"/>
      <x:c r="E13" s="61"/>
      <x:c r="F13" s="61"/>
      <x:c r="G13" s="61"/>
      <x:c r="H13" s="61"/>
    </x:row>
    <x:row r="14" ht="20" customHeight="1">
      <x:c r="A14" s="178" t="str">
        <x:v>Which driver caused the EBITDA gap versus budget?</x:v>
      </x:c>
      <x:c r="B14" s="179"/>
      <x:c r="C14" s="179"/>
      <x:c r="D14" s="179"/>
      <x:c r="E14" s="179"/>
      <x:c r="F14" s="179"/>
      <x:c r="G14" s="179"/>
      <x:c r="H14" s="180"/>
    </x:row>
    <x:row r="15" ht="20" customHeight="1">
      <x:c r="A15" s="181"/>
      <x:c r="B15" s="182"/>
      <x:c r="C15" s="182"/>
      <x:c r="D15" s="182"/>
      <x:c r="E15" s="182"/>
      <x:c r="F15" s="182"/>
      <x:c r="G15" s="182"/>
      <x:c r="H15" s="183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61" t="str">
        <x:v>MODEL DEPTH</x:v>
      </x:c>
      <x:c r="B17" s="61"/>
      <x:c r="C17" s="61"/>
      <x:c r="D17" s="61"/>
      <x:c r="E17" s="61"/>
      <x:c r="F17" s="61"/>
      <x:c r="G17" s="61"/>
      <x:c r="H17" s="61"/>
    </x:row>
    <x:row r="18" ht="20" customHeight="1">
      <x:c r="A18" s="64" t="str">
        <x:v>Forecast</x:v>
      </x:c>
      <x:c r="B18" s="64"/>
      <x:c r="C18" s="171" t="str">
        <x:v>One period</x:v>
      </x:c>
      <x:c r="D18" s="171"/>
      <x:c r="E18" s="171"/>
      <x:c r="F18" s="171"/>
      <x:c r="G18" s="171"/>
      <x:c r="H18" s="171"/>
    </x:row>
    <x:row r="19" ht="20" customHeight="1">
      <x:c r="A19" s="64" t="str">
        <x:v>Editable inputs</x:v>
      </x:c>
      <x:c r="B19" s="64"/>
      <x:c r="C19" s="171" t="str">
        <x:v>9</x:v>
      </x:c>
      <x:c r="D19" s="171"/>
      <x:c r="E19" s="171"/>
      <x:c r="F19" s="171"/>
      <x:c r="G19" s="171"/>
      <x:c r="H19" s="171"/>
    </x:row>
    <x:row r="20" ht="20" customHeight="1">
      <x:c r="A20" s="64" t="str">
        <x:v>Calculation detail</x:v>
      </x:c>
      <x:c r="B20" s="64"/>
      <x:c r="C20" s="171" t="str">
        <x:v>Visible formulas, schedules, roll-forwards, and bridges</x:v>
      </x:c>
      <x:c r="D20" s="171"/>
      <x:c r="E20" s="171"/>
      <x:c r="F20" s="171"/>
      <x:c r="G20" s="171"/>
      <x:c r="H20" s="171"/>
    </x:row>
    <x:row r="21" ht="20" customHeight="1">
      <x:c r="A21" s="64" t="str">
        <x:v>Workbook flow</x:v>
      </x:c>
      <x:c r="B21" s="64"/>
      <x:c r="C21" s="171" t="str">
        <x:v>Start → Inputs → Model → Results → Checks</x:v>
      </x:c>
      <x:c r="D21" s="171"/>
      <x:c r="E21" s="171"/>
      <x:c r="F21" s="171"/>
      <x:c r="G21" s="171"/>
      <x:c r="H21" s="171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61" t="str">
        <x:v>SCOPE</x:v>
      </x:c>
      <x:c r="B23" s="61"/>
      <x:c r="C23" s="61"/>
      <x:c r="D23" s="61"/>
      <x:c r="E23" s="61"/>
      <x:c r="F23" s="61"/>
      <x:c r="G23" s="61"/>
      <x:c r="H23" s="61"/>
    </x:row>
    <x:row r="24" ht="20" customHeight="1">
      <x:c r="A24" s="192" t="str">
        <x:v>Included: Budget and actual operating P&amp;Ls · Price, volume, cost, and opex bridge · Revenue forecast accuracy and ten controls</x:v>
      </x:c>
      <x:c r="B24" s="193"/>
      <x:c r="C24" s="193"/>
      <x:c r="D24" s="193"/>
      <x:c r="E24" s="193"/>
      <x:c r="F24" s="193"/>
      <x:c r="G24" s="193"/>
      <x:c r="H24" s="194"/>
    </x:row>
    <x:row r="25" ht="20" customHeight="1">
      <x:c r="A25" s="195"/>
      <x:c r="B25" s="196"/>
      <x:c r="C25" s="196"/>
      <x:c r="D25" s="196"/>
      <x:c r="E25" s="196"/>
      <x:c r="F25" s="196"/>
      <x:c r="G25" s="196"/>
      <x:c r="H25" s="197"/>
    </x:row>
    <x:row r="26" ht="20" customHeight="1">
      <x:c r="A26" s="198"/>
      <x:c r="B26" s="199"/>
      <x:c r="C26" s="199"/>
      <x:c r="D26" s="199"/>
      <x:c r="E26" s="199"/>
      <x:c r="F26" s="199"/>
      <x:c r="G26" s="199"/>
      <x:c r="H26" s="200"/>
    </x:row>
    <x:row r="27" ht="20" customHeight="1">
      <x:c r="A27" s="54" t="str">
        <x:v>Outside this model: Segments, mix effects, allocations, owner matrices, multi-period trend analysis, and statistical forecasting.</x:v>
      </x:c>
      <x:c r="B27" s="55"/>
      <x:c r="C27" s="55"/>
      <x:c r="D27" s="55"/>
      <x:c r="E27" s="55"/>
      <x:c r="F27" s="55"/>
      <x:c r="G27" s="55"/>
      <x:c r="H27" s="56"/>
    </x:row>
    <x:row r="28" ht="20" customHeight="1">
      <x:c r="A28" s="57"/>
      <x:c r="B28" s="58"/>
      <x:c r="C28" s="58"/>
      <x:c r="D28" s="58"/>
      <x:c r="E28" s="58"/>
      <x:c r="F28" s="58"/>
      <x:c r="G28" s="58"/>
      <x:c r="H28" s="59"/>
    </x:row>
    <x:row r="29" ht="20" customHeight="1">
      <x:c r="A29" s="204" t="str">
        <x:v>Five visible tabs · No hidden calculations · Calculation status and business outcome are reported separately.</x:v>
      </x:c>
      <x:c r="B29" s="205"/>
      <x:c r="C29" s="205"/>
      <x:c r="D29" s="205"/>
      <x:c r="E29" s="205"/>
      <x:c r="F29" s="205"/>
      <x:c r="G29" s="205"/>
      <x:c r="H29" s="206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0" t="str">
        <x:v>Variance Bridge &amp; Forecast Accuracy · v1.4.0 · Linked summary only · Trace all formulas on Model</x:v>
      </x:c>
      <x:c r="B31" s="60"/>
      <x:c r="C31" s="60"/>
      <x:c r="D31" s="60"/>
      <x:c r="E31" s="60"/>
      <x:c r="F31" s="60"/>
      <x:c r="G31" s="60"/>
      <x:c r="H31" s="60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Variance Bridge &amp; Forecast Accuracy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207" t="str">
        <x:f>IF(COUNTIF(F9:F18,"PASS")=10,"PASS","FAIL")</x:f>
        <x:v>PASS</x:v>
      </x:c>
      <x:c r="C4" s="207"/>
      <x:c r="D4" s="207"/>
      <x:c r="E4" s="207"/>
      <x:c r="F4" s="207"/>
      <x:c r="G4" s="207"/>
      <x:c r="H4" s="207"/>
    </x:row>
    <x:row r="5" ht="20" customHeight="1">
      <x:c r="A5" s="60" t="str">
        <x:v>MODEL STATUS</x:v>
      </x:c>
      <x:c r="B5" s="60"/>
      <x:c r="C5" s="163" t="str">
        <x:f>B4</x:f>
        <x:v>PASS</x:v>
      </x:c>
      <x:c r="D5" s="209"/>
      <x:c r="E5" s="209"/>
      <x:c r="F5" s="209"/>
      <x:c r="G5" s="209"/>
      <x:c r="H5" s="164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61" t="str">
        <x:v>10 CALCULATION CONTROLS</x:v>
      </x:c>
      <x:c r="B7" s="61"/>
      <x:c r="C7" s="61"/>
      <x:c r="D7" s="61"/>
      <x:c r="E7" s="61"/>
      <x:c r="F7" s="61"/>
      <x:c r="G7" s="61"/>
      <x:c r="H7" s="61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196" t="str">
        <x:v>All editable inputs are numeric</x:v>
      </x:c>
      <x:c r="B9" s="212" t="n">
        <x:f>ROUND(COUNT('Inputs'!B10,'Inputs'!B11,'Inputs'!B14,'Inputs'!B15,'Inputs'!B18,'Inputs'!B19,'Inputs'!B22,'Inputs'!B23,'Inputs'!B24),6)</x:f>
        <x:v>9</x:v>
      </x:c>
      <x:c r="C9" s="212" t="n">
        <x:f>9</x:f>
        <x:v>9</x:v>
      </x:c>
      <x:c r="D9" s="212" t="n">
        <x:f>ROUND(B9-C9,6)</x:f>
        <x:v>0</x:v>
      </x:c>
      <x:c r="E9" s="212" t="n">
        <x:f>0</x:f>
        <x:v>0</x:v>
      </x:c>
      <x:c r="F9" s="213" t="str">
        <x:f>IF(ABS(ROUND(D9,6))&lt;=E9,"PASS","FAIL")</x:f>
        <x:v>PASS</x:v>
      </x:c>
      <x:c r="G9" s="196" t="str">
        <x:v>Complete the blue cells on Inputs</x:v>
      </x:c>
      <x:c r="H9" s="196"/>
    </x:row>
    <x:row r="10" ht="26" customHeight="1">
      <x:c r="A10" s="196" t="str">
        <x:v>Results headline KPIs reconcile to Model</x:v>
      </x:c>
      <x:c r="B10" s="216" t="n">
        <x:f>ROUND(IFERROR(SUM(ABS('Results'!A6-'Model'!A6),ABS('Results'!C6-'Model'!C6),ABS('Results'!E6-'Model'!E6),ABS('Results'!G6-'Model'!G6)),1E+99),6)</x:f>
        <x:v>0</x:v>
      </x:c>
      <x:c r="C10" s="216" t="n">
        <x:f>0</x:f>
        <x:v>0</x:v>
      </x:c>
      <x:c r="D10" s="216" t="n">
        <x:f>ROUND(B10-C10,6)</x:f>
        <x:v>0</x:v>
      </x:c>
      <x:c r="E10" s="216" t="n">
        <x:f>0.0001</x:f>
        <x:v>0.0001</x:v>
      </x:c>
      <x:c r="F10" s="213" t="str">
        <x:f>IF(ABS(ROUND(D10,6))&lt;=E10,"PASS","FAIL")</x:f>
        <x:v>PASS</x:v>
      </x:c>
      <x:c r="G10" s="196" t="str">
        <x:v>Review Results-to-Model links</x:v>
      </x:c>
      <x:c r="H10" s="196"/>
    </x:row>
    <x:row r="11" ht="26" customHeight="1">
      <x:c r="A11" s="196" t="str">
        <x:v>Inputs are valid</x:v>
      </x:c>
      <x:c r="B11" s="216" t="n">
        <x:f>ROUND(IF(AND('Inputs'!$B$10&gt;=0,'Inputs'!$B$11&gt;=0,'Inputs'!$B$14&gt;=0,'Inputs'!$B$15&gt;=0,'Inputs'!$B$18&gt;=0,'Inputs'!$B$19&gt;=0,'Inputs'!$B$22&gt;=0,'Inputs'!$B$23&gt;=0,'Inputs'!$B$24&gt;=0),1,0),6)</x:f>
        <x:v>1</x:v>
      </x:c>
      <x:c r="C11" s="216" t="n">
        <x:f>1</x:f>
        <x:v>1</x:v>
      </x:c>
      <x:c r="D11" s="216" t="n">
        <x:f>ROUND(B11-C11,6)</x:f>
        <x:v>0</x:v>
      </x:c>
      <x:c r="E11" s="216" t="n">
        <x:f>0.0001</x:f>
        <x:v>0.0001</x:v>
      </x:c>
      <x:c r="F11" s="213" t="str">
        <x:f>IF(ABS(ROUND(D11,6))&lt;=E11,"PASS","FAIL")</x:f>
        <x:v>PASS</x:v>
      </x:c>
      <x:c r="G11" s="196" t="str">
        <x:v>Inputs: budget, actual, and forecast values</x:v>
      </x:c>
      <x:c r="H11" s="196"/>
    </x:row>
    <x:row r="12" ht="26" customHeight="1">
      <x:c r="A12" s="196" t="str">
        <x:v>Budget operating P&amp;L ties</x:v>
      </x:c>
      <x:c r="B12" s="219" t="n">
        <x:f>ROUND(ABS('Model'!B14-'Inputs'!$B$10*'Inputs'!$B$14)+ABS('Model'!B19-('Model'!B17+'Model'!B18)),6)</x:f>
        <x:v>0</x:v>
      </x:c>
      <x:c r="C12" s="219" t="n">
        <x:f>0</x:f>
        <x:v>0</x:v>
      </x:c>
      <x:c r="D12" s="219" t="n">
        <x:f>ROUND(B12-C12,6)</x:f>
        <x:v>0</x:v>
      </x:c>
      <x:c r="E12" s="219" t="n">
        <x:f>0.0001</x:f>
        <x:v>0.0001</x:v>
      </x:c>
      <x:c r="F12" s="213" t="str">
        <x:f>IF(ABS(ROUND(D12,6))&lt;=E12,"PASS","FAIL")</x:f>
        <x:v>PASS</x:v>
      </x:c>
      <x:c r="G12" s="196" t="str">
        <x:v>Model: budget P&amp;L</x:v>
      </x:c>
      <x:c r="H12" s="196"/>
    </x:row>
    <x:row r="13" ht="26" customHeight="1">
      <x:c r="A13" s="196" t="str">
        <x:v>Actual operating P&amp;L ties</x:v>
      </x:c>
      <x:c r="B13" s="219" t="n">
        <x:f>ROUND(ABS('Model'!C14-'Inputs'!$B$11*'Inputs'!$B$15)+ABS('Model'!C19-('Model'!C17+'Model'!C18)),6)</x:f>
        <x:v>0</x:v>
      </x:c>
      <x:c r="C13" s="219" t="n">
        <x:f>0</x:f>
        <x:v>0</x:v>
      </x:c>
      <x:c r="D13" s="219" t="n">
        <x:f>ROUND(B13-C13,6)</x:f>
        <x:v>0</x:v>
      </x:c>
      <x:c r="E13" s="219" t="n">
        <x:f>0.0001</x:f>
        <x:v>0.0001</x:v>
      </x:c>
      <x:c r="F13" s="213" t="str">
        <x:f>IF(ABS(ROUND(D13,6))&lt;=E13,"PASS","FAIL")</x:f>
        <x:v>PASS</x:v>
      </x:c>
      <x:c r="G13" s="196" t="str">
        <x:v>Model: actual P&amp;L</x:v>
      </x:c>
      <x:c r="H13" s="196"/>
    </x:row>
    <x:row r="14" ht="26" customHeight="1">
      <x:c r="A14" s="196" t="str">
        <x:v>Comparison variances tie</x:v>
      </x:c>
      <x:c r="B14" s="219" t="n">
        <x:f>ROUND(MAX(ABS('Model'!D14-('Model'!C14-'Model'!B14)),ABS('Model'!D16-('Model'!C16-'Model'!B16)),ABS('Model'!D17-('Model'!C17-'Model'!B17)),ABS('Model'!D18-('Model'!C18-'Model'!B18)),ABS('Model'!D19-('Model'!C19-'Model'!B19))),6)</x:f>
        <x:v>0</x:v>
      </x:c>
      <x:c r="C14" s="219" t="n">
        <x:f>0</x:f>
        <x:v>0</x:v>
      </x:c>
      <x:c r="D14" s="219" t="n">
        <x:f>ROUND(B14-C14,6)</x:f>
        <x:v>0</x:v>
      </x:c>
      <x:c r="E14" s="219" t="n">
        <x:f>0.0001</x:f>
        <x:v>0.0001</x:v>
      </x:c>
      <x:c r="F14" s="213" t="str">
        <x:f>IF(ABS(ROUND(D14,6))&lt;=E14,"PASS","FAIL")</x:f>
        <x:v>PASS</x:v>
      </x:c>
      <x:c r="G14" s="196" t="str">
        <x:v>Model: budget versus actual</x:v>
      </x:c>
      <x:c r="H14" s="196"/>
    </x:row>
    <x:row r="15" ht="26" customHeight="1">
      <x:c r="A15" s="196" t="str">
        <x:v>Revenue bridge ties</x:v>
      </x:c>
      <x:c r="B15" s="219" t="n">
        <x:f>ROUND('Model'!B25,6)</x:f>
        <x:v>1080</x:v>
      </x:c>
      <x:c r="C15" s="219" t="n">
        <x:f>'Model'!B27+'Model'!B28</x:f>
        <x:v>1080.0000000000005</x:v>
      </x:c>
      <x:c r="D15" s="219" t="n">
        <x:f>ROUND(B15-C15,6)</x:f>
        <x:v>0</x:v>
      </x:c>
      <x:c r="E15" s="219" t="n">
        <x:f>0.0001</x:f>
        <x:v>0.0001</x:v>
      </x:c>
      <x:c r="F15" s="213" t="str">
        <x:f>IF(ABS(ROUND(D15,6))&lt;=E15,"PASS","FAIL")</x:f>
        <x:v>PASS</x:v>
      </x:c>
      <x:c r="G15" s="196" t="str">
        <x:v>Model: revenue effects</x:v>
      </x:c>
      <x:c r="H15" s="196"/>
    </x:row>
    <x:row r="16" ht="26" customHeight="1">
      <x:c r="A16" s="196" t="str">
        <x:v>Variable-cost bridge ties</x:v>
      </x:c>
      <x:c r="B16" s="219" t="n">
        <x:f>ROUND('Model'!D16,6)</x:f>
        <x:v>-470</x:v>
      </x:c>
      <x:c r="C16" s="219" t="n">
        <x:f>'Model'!B29+'Model'!B30</x:f>
        <x:v>-469.99999999999955</x:v>
      </x:c>
      <x:c r="D16" s="219" t="n">
        <x:f>ROUND(B16-C16,6)</x:f>
        <x:v>0</x:v>
      </x:c>
      <x:c r="E16" s="219" t="n">
        <x:f>0.0001</x:f>
        <x:v>0.0001</x:v>
      </x:c>
      <x:c r="F16" s="213" t="str">
        <x:f>IF(ABS(ROUND(D16,6))&lt;=E16,"PASS","FAIL")</x:f>
        <x:v>PASS</x:v>
      </x:c>
      <x:c r="G16" s="196" t="str">
        <x:v>Model: cost effects</x:v>
      </x:c>
      <x:c r="H16" s="196"/>
    </x:row>
    <x:row r="17" ht="26" customHeight="1">
      <x:c r="A17" s="196" t="str">
        <x:v>EBITDA bridge ties</x:v>
      </x:c>
      <x:c r="B17" s="219" t="n">
        <x:f>ROUND('Model'!B35,6)</x:f>
        <x:v>0</x:v>
      </x:c>
      <x:c r="C17" s="219" t="n">
        <x:f>0</x:f>
        <x:v>0</x:v>
      </x:c>
      <x:c r="D17" s="219" t="n">
        <x:f>ROUND(B17-C17,6)</x:f>
        <x:v>0</x:v>
      </x:c>
      <x:c r="E17" s="219" t="n">
        <x:f>0.0001</x:f>
        <x:v>0.0001</x:v>
      </x:c>
      <x:c r="F17" s="213" t="str">
        <x:f>IF(ABS(ROUND(D17,6))&lt;=E17,"PASS","FAIL")</x:f>
        <x:v>PASS</x:v>
      </x:c>
      <x:c r="G17" s="196" t="str">
        <x:v>Model: EBITDA bridge</x:v>
      </x:c>
      <x:c r="H17" s="196"/>
    </x:row>
    <x:row r="18" ht="26" customHeight="1">
      <x:c r="A18" s="196" t="str">
        <x:v>Forecast accuracy calculation ties</x:v>
      </x:c>
      <x:c r="B18" s="222" t="n">
        <x:f>ROUND('Model'!B37,6)</x:f>
        <x:v>0.974462</x:v>
      </x:c>
      <x:c r="C18" s="222" t="n">
        <x:f>IF(ABS('Model'!B24)&lt;0.000001,0,MAX(0,1-ABS('Model'!B36)/ABS('Model'!B24)))</x:f>
        <x:v>0.9744623655913979</x:v>
      </x:c>
      <x:c r="D18" s="222" t="n">
        <x:f>ROUND(B18-C18,6)</x:f>
        <x:v>0</x:v>
      </x:c>
      <x:c r="E18" s="222" t="n">
        <x:f>0.0001</x:f>
        <x:v>0.0001</x:v>
      </x:c>
      <x:c r="F18" s="213" t="str">
        <x:f>IF(ABS(ROUND(D18,6))&lt;=E18,"PASS","FAIL")</x:f>
        <x:v>PASS</x:v>
      </x:c>
      <x:c r="G18" s="196" t="str">
        <x:v>Model: forecast accuracy</x:v>
      </x:c>
      <x:c r="H18" s="196"/>
    </x:row>
    <x:row r="19" ht="20" customHeight="1">
      <x:c r="A19" s="226" t="str">
        <x:v>A warning business outcome can still pass these controls; review Model and Results before making a decision.</x:v>
      </x:c>
      <x:c r="B19" s="227"/>
      <x:c r="C19" s="227"/>
      <x:c r="D19" s="227"/>
      <x:c r="E19" s="227"/>
      <x:c r="F19" s="227"/>
      <x:c r="G19" s="227"/>
      <x:c r="H19" s="228"/>
    </x:row>
    <x:row r="20" ht="20" customHeight="1">
      <x:c r="A20" s="60" t="str">
        <x:v>Variance Bridge &amp; Forecast Accuracy · 10 / 10 controls should show PASS · v1.4.0</x:v>
      </x:c>
      <x:c r="B20" s="60"/>
      <x:c r="C20" s="60"/>
      <x:c r="D20" s="60"/>
      <x:c r="E20" s="60"/>
      <x:c r="F20" s="60"/>
      <x:c r="G20" s="60"/>
      <x:c r="H20" s="60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