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d9abc53e2845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e0f6561c3294d65"/>
    <x:sheet xmlns:r="http://schemas.openxmlformats.org/officeDocument/2006/relationships" name="Guide" sheetId="2" r:id="Re9336ccfd3a94a9a"/>
    <x:sheet xmlns:r="http://schemas.openxmlformats.org/officeDocument/2006/relationships" name="Assumptions" sheetId="3" r:id="Rd4bdb0f16cb44a4a"/>
    <x:sheet xmlns:r="http://schemas.openxmlformats.org/officeDocument/2006/relationships" name="Operating Inputs" sheetId="4" r:id="R0f209a47c4334d54"/>
    <x:sheet xmlns:r="http://schemas.openxmlformats.org/officeDocument/2006/relationships" name="Working Capital" sheetId="5" r:id="Rd5ac74c71c584b2e"/>
    <x:sheet xmlns:r="http://schemas.openxmlformats.org/officeDocument/2006/relationships" name="Sensitivity" sheetId="6" r:id="Rf468664d23914c84"/>
    <x:sheet xmlns:r="http://schemas.openxmlformats.org/officeDocument/2006/relationships" name="Summary" sheetId="7" r:id="Re431bcedb4094ace"/>
    <x:sheet xmlns:r="http://schemas.openxmlformats.org/officeDocument/2006/relationships" name="Checks" sheetId="8" r:id="R14cfecde1b294c54"/>
    <x:sheet xmlns:r="http://schemas.openxmlformats.org/officeDocument/2006/relationships" name="Sources &amp; Version" sheetId="9" r:id="R49a32f16070a4a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;(0.0);-"/>
    <x:numFmt numFmtId="201" formatCode="#,##0;(#,##0);-"/>
    <x:numFmt numFmtId="202" formatCode="#,##0.0;(#,##0.0);-"/>
    <x:numFmt numFmtId="203" formatCode="0.0%;(0.0%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2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1" fontId="12" fillId="5" borderId="19" xfId="0" applyNumberFormat="1" applyFont="1" applyFill="1" applyBorder="1" applyAlignment="1">
      <x:alignment horizontal="right"/>
    </x:xf>
    <x:xf numFmtId="201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0" fontId="15" fillId="0" borderId="21" xfId="0" applyNumberFormat="1" applyFont="1" applyFill="1" applyBorder="1"/>
    <x:xf numFmtId="202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200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0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2" fontId="13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2" fontId="13" fillId="8" borderId="24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3" fontId="16" fillId="0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0" fontId="16" fillId="0" borderId="22" xfId="0" applyNumberFormat="1" applyFont="1" applyFill="1" applyBorder="1" applyAlignment="1">
      <x:alignment horizontal="right"/>
    </x:xf>
    <x:xf numFmtId="202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2" fontId="13" fillId="8" borderId="22" xfId="0" applyNumberFormat="1" applyFont="1" applyFill="1" applyBorder="1" applyAlignment="1">
      <x:alignment horizontal="right"/>
    </x:xf>
    <x:xf numFmtId="200" fontId="13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2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2" fontId="16" fillId="6" borderId="0" xfId="0" applyNumberFormat="1" applyFont="1" applyFill="1" applyBorder="1" applyAlignment="1">
      <x:alignment horizontal="right"/>
    </x:xf>
    <x:xf numFmtId="202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2" fontId="16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center"/>
    </x:xf>
    <x:xf numFmtId="202" fontId="19" fillId="8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0" fillId="0" borderId="21" xfId="0" applyNumberFormat="1" applyFont="1" applyFill="1" applyBorder="1"/>
    <x:xf numFmtId="202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3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0" fontId="23" fillId="0" borderId="22" xfId="0" applyNumberFormat="1" applyFont="1" applyFill="1" applyBorder="1"/>
    <x:xf numFmtId="202" fontId="23" fillId="0" borderId="22" xfId="0" applyNumberFormat="1" applyFont="1" applyFill="1" applyBorder="1"/>
    <x:xf numFmtId="201" fontId="23" fillId="0" borderId="22" xfId="0" applyNumberFormat="1" applyFont="1" applyFill="1" applyBorder="1"/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2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e3ffc1eed146e6" /><Relationship Type="http://schemas.openxmlformats.org/officeDocument/2006/relationships/theme" Target="/xl/theme/theme1.xml" Id="R84da21d4004f42bd" /><Relationship Type="http://schemas.openxmlformats.org/officeDocument/2006/relationships/sharedStrings" Target="/xl/sharedStrings.xml" Id="Rcef37b3259e442db" /><Relationship Type="http://schemas.openxmlformats.org/officeDocument/2006/relationships/worksheet" Target="/xl/worksheets/sheet1.xml" Id="R2e0f6561c3294d65" /><Relationship Type="http://schemas.openxmlformats.org/officeDocument/2006/relationships/worksheet" Target="/xl/worksheets/sheet2.xml" Id="Re9336ccfd3a94a9a" /><Relationship Type="http://schemas.openxmlformats.org/officeDocument/2006/relationships/worksheet" Target="/xl/worksheets/sheet3.xml" Id="Rd4bdb0f16cb44a4a" /><Relationship Type="http://schemas.openxmlformats.org/officeDocument/2006/relationships/worksheet" Target="/xl/worksheets/sheet4.xml" Id="R0f209a47c4334d54" /><Relationship Type="http://schemas.openxmlformats.org/officeDocument/2006/relationships/worksheet" Target="/xl/worksheets/sheet5.xml" Id="Rd5ac74c71c584b2e" /><Relationship Type="http://schemas.openxmlformats.org/officeDocument/2006/relationships/worksheet" Target="/xl/worksheets/sheet6.xml" Id="Rf468664d23914c84" /><Relationship Type="http://schemas.openxmlformats.org/officeDocument/2006/relationships/worksheet" Target="/xl/worksheets/sheet7.xml" Id="Re431bcedb4094ace" /><Relationship Type="http://schemas.openxmlformats.org/officeDocument/2006/relationships/worksheet" Target="/xl/worksheets/sheet8.xml" Id="R14cfecde1b294c54" /><Relationship Type="http://schemas.openxmlformats.org/officeDocument/2006/relationships/worksheet" Target="/xl/worksheets/sheet9.xml" Id="R49a32f16070a4a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83bb029c0a3495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Baseline vs modeled net working capital</a:t>
            </a:r>
          </a:p>
        </c:rich>
      </c:tx>
    </c:title>
    <c:plotArea>
      <c:lineChart>
        <c:grouping val="standard"/>
        <c:ser>
          <c:idx val="0"/>
          <c:order val="0"/>
          <c:tx>
            <c:v>Baseline NWC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'Summary'!$B$16:$B$27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Operating net working capital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'Summary'!$C$16:$C$27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3bb029c0a3495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081c99476b5b479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TDAT-FM-FPA-002  |  Built to flex. Built to tie. Built to trust.</x:v>
      </x:c>
      <x:c r="B2" s="6" t="str">
        <x:v>TDAT-FM-FPA-002  |  Built to flex. Built to tie. Built to trust.</x:v>
      </x:c>
      <x:c r="C2" s="6" t="str">
        <x:v>TDAT-FM-FPA-002  |  Built to flex. Built to tie. Built to trust.</x:v>
      </x:c>
      <x:c r="D2" s="6" t="str">
        <x:v>TDAT-FM-FPA-002  |  Built to flex. Built to tie. Built to trust.</x:v>
      </x:c>
      <x:c r="E2" s="6" t="str">
        <x:v>TDAT-FM-FPA-002  |  Built to flex. Built to tie. Built to trust.</x:v>
      </x:c>
      <x:c r="F2" s="6" t="str">
        <x:v>TDAT-FM-FPA-002  |  Built to flex. Built to tie. Built to trust.</x:v>
      </x:c>
      <x:c r="G2" s="6" t="str">
        <x:v>TDAT-FM-FPA-002  |  Built to flex. Built to tie. Built to trust.</x:v>
      </x:c>
      <x:c r="H2" s="6" t="str">
        <x:v>TDAT-FM-FPA-002  |  Built to flex. Built to tie. Built to trust.</x:v>
      </x:c>
      <x:c r="I2" s="6" t="str">
        <x:v>TDAT-FM-FPA-002  |  Built to flex. Built to tie. Built to trust.</x:v>
      </x:c>
      <x:c r="J2" s="6" t="str">
        <x:v>TDAT-FM-FPA-002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18" t="str">
        <x:v>Working Capital Planner</x:v>
      </x:c>
      <x:c r="B5" s="218" t="str">
        <x:v>Working Capital Planner</x:v>
      </x:c>
      <x:c r="C5" s="218" t="str">
        <x:v>Working Capital Planner</x:v>
      </x:c>
      <x:c r="D5" s="218" t="str">
        <x:v>Working Capital Planner</x:v>
      </x:c>
      <x:c r="E5" s="218" t="str">
        <x:v>Working Capital Planner</x:v>
      </x:c>
      <x:c r="F5" s="218" t="str">
        <x:v>Working Capital Planner</x:v>
      </x:c>
      <x:c r="G5" s="130" t="str">
        <x:v>CALCULATION INTEGRITY</x:v>
      </x:c>
      <x:c r="H5" s="130" t="str">
        <x:v>CALCULATION INTEGRITY</x:v>
      </x:c>
      <x:c r="I5" s="130" t="str">
        <x:v>CALCULATION INTEGRITY</x:v>
      </x:c>
      <x:c r="J5" s="130" t="str">
        <x:v>CALCULATION INTEGRITY</x:v>
      </x:c>
    </x:row>
    <x:row r="6">
      <x:c r="A6" s="218" t="str">
        <x:v>Working Capital Planner</x:v>
      </x:c>
      <x:c r="B6" s="218" t="str">
        <x:v>Working Capital Planner</x:v>
      </x:c>
      <x:c r="C6" s="218" t="str">
        <x:v>Working Capital Planner</x:v>
      </x:c>
      <x:c r="D6" s="218" t="str">
        <x:v>Working Capital Planner</x:v>
      </x:c>
      <x:c r="E6" s="218" t="str">
        <x:v>Working Capital Planner</x:v>
      </x:c>
      <x:c r="F6" s="218" t="str">
        <x:v>Working Capital Planner</x:v>
      </x:c>
      <x:c r="G6" s="221" t="str">
        <x:f>'Checks'!$B$5</x:f>
        <x:v>PASS</x:v>
      </x:c>
      <x:c r="H6" s="221"/>
      <x:c r="I6" s="221"/>
      <x:c r="J6" s="221"/>
    </x:row>
    <x:row r="7">
      <x:c r="A7" s="218" t="str">
        <x:v>Working Capital Planner</x:v>
      </x:c>
      <x:c r="B7" s="218" t="str">
        <x:v>Working Capital Planner</x:v>
      </x:c>
      <x:c r="C7" s="218" t="str">
        <x:v>Working Capital Planner</x:v>
      </x:c>
      <x:c r="D7" s="218" t="str">
        <x:v>Working Capital Planner</x:v>
      </x:c>
      <x:c r="E7" s="218" t="str">
        <x:v>Working Capital Planner</x:v>
      </x:c>
      <x:c r="F7" s="218" t="str">
        <x:v>Working Capital Planner</x:v>
      </x:c>
      <x:c r="G7" s="221"/>
      <x:c r="H7" s="221"/>
      <x:c r="I7" s="221"/>
      <x:c r="J7" s="221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5" t="str">
        <x:v>How much cash can be released through DSO, DIO, and DPO actions?</x:v>
      </x:c>
      <x:c r="B10" s="225" t="str">
        <x:v>How much cash can be released through DSO, DIO, and DPO actions?</x:v>
      </x:c>
      <x:c r="C10" s="225" t="str">
        <x:v>How much cash can be released through DSO, DIO, and DPO actions?</x:v>
      </x:c>
      <x:c r="D10" s="225" t="str">
        <x:v>How much cash can be released through DSO, DIO, and DPO actions?</x:v>
      </x:c>
      <x:c r="E10" s="225" t="str">
        <x:v>How much cash can be released through DSO, DIO, and DPO actions?</x:v>
      </x:c>
      <x:c r="F10" s="225" t="str">
        <x:v>How much cash can be released through DSO, DIO, and DPO actions?</x:v>
      </x:c>
      <x:c r="G10" s="225" t="str">
        <x:v>How much cash can be released through DSO, DIO, and DPO actions?</x:v>
      </x:c>
      <x:c r="H10" s="225" t="str">
        <x:v>How much cash can be released through DSO, DIO, and DPO actions?</x:v>
      </x:c>
      <x:c r="I10" s="225" t="str">
        <x:v>How much cash can be released through DSO, DIO, and DPO actions?</x:v>
      </x:c>
      <x:c r="J10" s="225" t="str">
        <x:v>How much cash can be released through DSO, DIO, and DPO actions?</x:v>
      </x:c>
    </x:row>
    <x:row r="11">
      <x:c r="A11" s="225" t="str">
        <x:v>How much cash can be released through DSO, DIO, and DPO actions?</x:v>
      </x:c>
      <x:c r="B11" s="225" t="str">
        <x:v>How much cash can be released through DSO, DIO, and DPO actions?</x:v>
      </x:c>
      <x:c r="C11" s="225" t="str">
        <x:v>How much cash can be released through DSO, DIO, and DPO actions?</x:v>
      </x:c>
      <x:c r="D11" s="225" t="str">
        <x:v>How much cash can be released through DSO, DIO, and DPO actions?</x:v>
      </x:c>
      <x:c r="E11" s="225" t="str">
        <x:v>How much cash can be released through DSO, DIO, and DPO actions?</x:v>
      </x:c>
      <x:c r="F11" s="225" t="str">
        <x:v>How much cash can be released through DSO, DIO, and DPO actions?</x:v>
      </x:c>
      <x:c r="G11" s="225" t="str">
        <x:v>How much cash can be released through DSO, DIO, and DPO actions?</x:v>
      </x:c>
      <x:c r="H11" s="225" t="str">
        <x:v>How much cash can be released through DSO, DIO, and DPO actions?</x:v>
      </x:c>
      <x:c r="I11" s="225" t="str">
        <x:v>How much cash can be released through DSO, DIO, and DPO actions?</x:v>
      </x:c>
      <x:c r="J11" s="225" t="str">
        <x:v>How much cash can be released through DSO, DIO, and DPO actions?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26" t="str">
        <x:v>Calculation integrity</x:v>
      </x:c>
      <x:c r="B14" s="227" t="str">
        <x:v>Decision readiness</x:v>
      </x:c>
      <x:c r="C14" s="232" t="str">
        <x:f>'Checks'!$B$5</x:f>
        <x:v>PASS</x:v>
      </x:c>
      <x:c r="D14" s="232"/>
      <x:c r="E14" s="232"/>
      <x:c r="F14" s="247" t="str">
        <x:v>TEMPLATE — VALIDATE INPUTS</x:v>
      </x:c>
      <x:c r="G14" s="247" t="str">
        <x:v>TEMPLATE — VALIDATE INPUTS</x:v>
      </x:c>
      <x:c r="H14" s="247" t="str">
        <x:v>TEMPLATE — VALIDATE INPUTS</x:v>
      </x:c>
      <x:c r="I14" s="247" t="str">
        <x:v>TEMPLATE — VALIDATE INPUTS</x:v>
      </x:c>
      <x:c r="J14" s="248" t="str">
        <x:v>TEMPLATE — VALIDATE INPUTS</x:v>
      </x:c>
    </x:row>
    <x:row r="15">
      <x:c r="A15" s="228" t="str">
        <x:v>Published checks</x:v>
      </x:c>
      <x:c r="B15" s="229" t="str">
        <x:v>Template posture</x:v>
      </x:c>
      <x:c r="C15" s="233" t="str">
        <x:f>"11 / 11 PASS"</x:f>
        <x:v>11 / 11 PASS</x:v>
      </x:c>
      <x:c r="D15" s="233"/>
      <x:c r="E15" s="233"/>
      <x:c r="F15" s="249" t="str">
        <x:v>Illustrative, screen-grade worked example</x:v>
      </x:c>
      <x:c r="G15" s="249" t="str">
        <x:v>Illustrative, screen-grade worked example</x:v>
      </x:c>
      <x:c r="H15" s="249" t="str">
        <x:v>Illustrative, screen-grade worked example</x:v>
      </x:c>
      <x:c r="I15" s="249" t="str">
        <x:v>Illustrative, screen-grade worked example</x:v>
      </x:c>
      <x:c r="J15" s="250" t="str">
        <x:v>Illustrative, screen-grade worked example</x:v>
      </x:c>
    </x:row>
    <x:row r="16">
      <x:c r="A16" s="228" t="str">
        <x:v>Scenario</x:v>
      </x:c>
      <x:c r="B16" s="229" t="str">
        <x:v>Evidence</x:v>
      </x:c>
      <x:c r="C16" s="233" t="str">
        <x:f>'Assumptions'!$B$3</x:f>
        <x:v>Base</x:v>
      </x:c>
      <x:c r="D16" s="233"/>
      <x:c r="E16" s="233"/>
      <x:c r="F16" s="249" t="str">
        <x:v>Synthetic / illustrative</x:v>
      </x:c>
      <x:c r="G16" s="249" t="str">
        <x:v>Synthetic / illustrative</x:v>
      </x:c>
      <x:c r="H16" s="249" t="str">
        <x:v>Synthetic / illustrative</x:v>
      </x:c>
      <x:c r="I16" s="249" t="str">
        <x:v>Synthetic / illustrative</x:v>
      </x:c>
      <x:c r="J16" s="250" t="str">
        <x:v>Synthetic / illustrative</x:v>
      </x:c>
    </x:row>
    <x:row r="17">
      <x:c r="A17" s="230" t="str">
        <x:v>Owner</x:v>
      </x:c>
      <x:c r="B17" s="231" t="str">
        <x:v>Use</x:v>
      </x:c>
      <x:c r="C17" s="234" t="str">
        <x:f>'Sources &amp; Version'!$B$12</x:f>
        <x:v>Truong Dinh Anh Tu</x:v>
      </x:c>
      <x:c r="D17" s="234"/>
      <x:c r="E17" s="234"/>
      <x:c r="F17" s="251" t="str">
        <x:v>FP&amp;A · Treasury · Commercial Finance · Accounting</x:v>
      </x:c>
      <x:c r="G17" s="251" t="str">
        <x:v>FP&amp;A · Treasury · Commercial Finance · Accounting</x:v>
      </x:c>
      <x:c r="H17" s="251" t="str">
        <x:v>FP&amp;A · Treasury · Commercial Finance · Accounting</x:v>
      </x:c>
      <x:c r="I17" s="251" t="str">
        <x:v>FP&amp;A · Treasury · Commercial Finance · Accounting</x:v>
      </x:c>
      <x:c r="J17" s="252" t="str">
        <x:v>FP&amp;A · Treasury · Commercial Finance · Accounting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07" t="str">
        <x:v>Model ID</x:v>
      </x:c>
      <x:c r="B20" s="143" t="str">
        <x:v>TDAT-FM-FPA-002</x:v>
      </x:c>
      <x:c r="C20" s="209" t="str">
        <x:v>Version</x:v>
      </x:c>
      <x:c r="D20" s="143" t="str">
        <x:v>1.0.0</x:v>
      </x:c>
      <x:c r="E20" s="209" t="str">
        <x:v>Last QA</x:v>
      </x:c>
      <x:c r="F20" s="144" t="str">
        <x:v>2026-07-13</x:v>
      </x:c>
      <x:c r="G20" s="256" t="str">
        <x:v>Year-end cash release</x:v>
      </x:c>
      <x:c r="H20" s="256" t="str">
        <x:v>Year-end cash release</x:v>
      </x:c>
      <x:c r="I20" s="257" t="n">
        <x:f>'Working Capital'!M$15</x:f>
        <x:v>43.86666666666659</x:v>
      </x:c>
      <x:c r="J20" s="257"/>
    </x:row>
    <x:row r="21">
      <x:c r="A21" s="254" t="str">
        <x:v>Domain</x:v>
      </x:c>
      <x:c r="B21" s="146" t="str">
        <x:v>Planning &amp; Performance</x:v>
      </x:c>
      <x:c r="C21" s="255" t="str">
        <x:v>Compatibility</x:v>
      </x:c>
      <x:c r="D21" s="146" t="str">
        <x:v>Excel 365</x:v>
      </x:c>
      <x:c r="E21" s="255" t="str">
        <x:v>Macros</x:v>
      </x:c>
      <x:c r="F21" s="147" t="str">
        <x:v>None</x:v>
      </x:c>
      <x:c r="G21" s="256" t="str">
        <x:v>Year-end NWC</x:v>
      </x:c>
      <x:c r="H21" s="256" t="str">
        <x:v>Year-end NWC</x:v>
      </x:c>
      <x:c r="I21" s="257" t="n">
        <x:f>'Working Capital'!M$13</x:f>
        <x:v>183.86666666666673</x:v>
      </x:c>
      <x:c r="J21" s="257"/>
    </x:row>
    <x:row r="22">
      <x:c r="A22" s="254" t="str">
        <x:v>Horizon</x:v>
      </x:c>
      <x:c r="B22" s="146" t="str">
        <x:v>12–36 months</x:v>
      </x:c>
      <x:c r="C22" s="255" t="str">
        <x:v>Frequency</x:v>
      </x:c>
      <x:c r="D22" s="146" t="str">
        <x:v>Monthly</x:v>
      </x:c>
      <x:c r="E22" s="255" t="str">
        <x:v>External links</x:v>
      </x:c>
      <x:c r="F22" s="147" t="str">
        <x:v>None</x:v>
      </x:c>
      <x:c r="G22" s="256" t="str">
        <x:v>Year-end CCC</x:v>
      </x:c>
      <x:c r="H22" s="256" t="str">
        <x:v>Year-end CCC</x:v>
      </x:c>
      <x:c r="I22" s="258" t="n">
        <x:f>'Working Capital'!M$16</x:f>
        <x:v>38</x:v>
      </x:c>
      <x:c r="J22" s="258"/>
    </x:row>
    <x:row r="23">
      <x:c r="A23" s="254" t="str">
        <x:v>Currency</x:v>
      </x:c>
      <x:c r="B23" s="146" t="str">
        <x:v>LCY</x:v>
      </x:c>
      <x:c r="C23" s="255" t="str">
        <x:v>Units</x:v>
      </x:c>
      <x:c r="D23" s="146" t="str">
        <x:v>LCY millions</x:v>
      </x:c>
      <x:c r="E23" s="255" t="str">
        <x:v>Scenario</x:v>
      </x:c>
      <x:c r="F23" s="147" t="str">
        <x:v>Base / Upside / Downside</x:v>
      </x:c>
      <x:c r="G23" s="256" t="str">
        <x:v>Modeled DSO</x:v>
      </x:c>
      <x:c r="H23" s="256" t="str">
        <x:v>Modeled DSO</x:v>
      </x:c>
      <x:c r="I23" s="258" t="n">
        <x:f>'Working Capital'!M$7</x:f>
        <x:v>48</x:v>
      </x:c>
      <x:c r="J23" s="258"/>
    </x:row>
    <x:row r="24">
      <x:c r="A24" s="208" t="str">
        <x:v>Owner</x:v>
      </x:c>
      <x:c r="B24" s="149" t="str">
        <x:v>Truong Dinh Anh Tu</x:v>
      </x:c>
      <x:c r="C24" s="210" t="str">
        <x:v>Standard</x:v>
      </x:c>
      <x:c r="D24" s="149" t="str">
        <x:v>TDAT Model Standard 1.0</x:v>
      </x:c>
      <x:c r="E24" s="210" t="str">
        <x:v>Evidence</x:v>
      </x:c>
      <x:c r="F24" s="150" t="str">
        <x:v>Synthetic worked template</x:v>
      </x:c>
      <x:c r="G24" s="256" t="str">
        <x:v>Modeled DIO</x:v>
      </x:c>
      <x:c r="H24" s="256" t="str">
        <x:v>Modeled DIO</x:v>
      </x:c>
      <x:c r="I24" s="258" t="n">
        <x:f>'Working Capital'!M$8</x:f>
        <x:v>38</x:v>
      </x:c>
      <x:c r="J24" s="258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78" t="str">
        <x:v>Blue font</x:v>
      </x:c>
      <x:c r="B27" s="270" t="str">
        <x:v>Editable hardcode</x:v>
      </x:c>
      <x:c r="C27" s="279" t="str">
        <x:v>Black font</x:v>
      </x:c>
      <x:c r="D27" s="270" t="str">
        <x:v>In-sheet formula</x:v>
      </x:c>
      <x:c r="E27" s="280" t="str">
        <x:v>Green font</x:v>
      </x:c>
      <x:c r="F27" s="270" t="str">
        <x:v>Cross-sheet formula</x:v>
      </x:c>
      <x:c r="G27" s="281" t="str">
        <x:v>Pale amber</x:v>
      </x:c>
      <x:c r="H27" s="281" t="str">
        <x:v>Scenario / review cue</x:v>
      </x:c>
      <x:c r="I27" s="282" t="str">
        <x:v>Teal</x:v>
      </x:c>
      <x:c r="J27" s="283" t="str">
        <x:v>PASS / trusted output</x:v>
      </x:c>
    </x:row>
    <x:row r="28">
      <x:c r="A28" s="272" t="str">
        <x:v>Actual</x:v>
      </x:c>
      <x:c r="B28" s="273" t="str">
        <x:v>Neutral period band</x:v>
      </x:c>
      <x:c r="C28" s="273" t="str">
        <x:v>Forecast</x:v>
      </x:c>
      <x:c r="D28" s="273" t="str">
        <x:v>Pale-blue period band</x:v>
      </x:c>
      <x:c r="E28" s="273" t="str">
        <x:v>Zero</x:v>
      </x:c>
      <x:c r="F28" s="273" t="str">
        <x:v>Displayed as an en dash</x:v>
      </x:c>
      <x:c r="G28" s="273" t="str">
        <x:v>Rule</x:v>
      </x:c>
      <x:c r="H28" s="273" t="str">
        <x:v>Keep formulas copy-across</x:v>
      </x:c>
      <x:c r="I28" s="273" t="str">
        <x:v>Rule</x:v>
      </x:c>
      <x:c r="J28" s="274" t="str">
        <x:v>Recheck after every change</x:v>
      </x:c>
    </x:row>
    <x:row r="29">
      <x:c r="A29" s="275" t="str">
        <x:v>Status</x:v>
      </x:c>
      <x:c r="B29" s="276" t="str">
        <x:v>PASS means controls tie</x:v>
      </x:c>
      <x:c r="C29" s="276" t="str">
        <x:v>Readiness</x:v>
      </x:c>
      <x:c r="D29" s="276" t="str">
        <x:v>Inputs still require review</x:v>
      </x:c>
      <x:c r="E29" s="276" t="str">
        <x:v>Privacy</x:v>
      </x:c>
      <x:c r="F29" s="276" t="str">
        <x:v>Public-safe example</x:v>
      </x:c>
      <x:c r="G29" s="276" t="str">
        <x:v>Use</x:v>
      </x:c>
      <x:c r="H29" s="276" t="str">
        <x:v>Adapt and validate</x:v>
      </x:c>
      <x:c r="I29" s="276" t="str">
        <x:v>Support</x:v>
      </x:c>
      <x:c r="J29" s="277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Working Capital Planner  |  Scope, setup, flexibility, and limitations</x:v>
      </x:c>
      <x:c r="B2" s="6" t="str">
        <x:v>Working Capital Planner  |  Scope, setup, flexibility, and limitations</x:v>
      </x:c>
      <x:c r="C2" s="6" t="str">
        <x:v>Working Capital Planner  |  Scope, setup, flexibility, and limitations</x:v>
      </x:c>
      <x:c r="D2" s="6" t="str">
        <x:v>Working Capital Planner  |  Scope, setup, flexibility, and limitations</x:v>
      </x:c>
      <x:c r="E2" s="6" t="str">
        <x:v>Working Capital Planner  |  Scope, setup, flexibility, and limitations</x:v>
      </x:c>
      <x:c r="F2" s="6" t="str">
        <x:v>Working Capital Planner  |  Scope, setup, flexibility, and limitations</x:v>
      </x:c>
      <x:c r="G2" s="6" t="str">
        <x:v>Working Capital Planner  |  Scope, setup, flexibility, and limitations</x:v>
      </x:c>
      <x:c r="H2" s="6" t="str">
        <x:v>Working Capital Planner  |  Scope, setup, flexibility, and limitations</x:v>
      </x:c>
      <x:c r="I2" s="6" t="str">
        <x:v>Working Capital Planner  |  Scope, setup, flexibility, and limitations</x:v>
      </x:c>
      <x:c r="J2" s="6" t="str">
        <x:v>Working Capital Planner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Receivables, inventory, payables, cash conversion cycle, owner actions, and cash-release scenarios.
Primary users: FP&amp;A, Treasury, Commercial Finance, Accounting. Typical use: DSO, DIO, DPO, Cash release.</x:v>
      </x:c>
      <x:c r="B6" s="12" t="str">
        <x:v>Receivables, inventory, payables, cash conversion cycle, owner actions, and cash-release scenarios.
Primary users: FP&amp;A, Treasury, Commercial Finance, Accounting. Typical use: DSO, DIO, DPO, Cash release.</x:v>
      </x:c>
      <x:c r="C6" s="12" t="str">
        <x:v>Receivables, inventory, payables, cash conversion cycle, owner actions, and cash-release scenarios.
Primary users: FP&amp;A, Treasury, Commercial Finance, Accounting. Typical use: DSO, DIO, DPO, Cash release.</x:v>
      </x:c>
      <x:c r="D6" s="12" t="str">
        <x:v>Receivables, inventory, payables, cash conversion cycle, owner actions, and cash-release scenarios.
Primary users: FP&amp;A, Treasury, Commercial Finance, Accounting. Typical use: DSO, DIO, DPO, Cash release.</x:v>
      </x:c>
      <x:c r="E6" s="12" t="str">
        <x:v>Receivables, inventory, payables, cash conversion cycle, owner actions, and cash-release scenarios.
Primary users: FP&amp;A, Treasury, Commercial Finance, Accounting. Typical use: DSO, DIO, DPO, Cash release.</x:v>
      </x:c>
      <x:c r="F6" s="12" t="str">
        <x:v>Receivables, inventory, payables, cash conversion cycle, owner actions, and cash-release scenarios.
Primary users: FP&amp;A, Treasury, Commercial Finance, Accounting. Typical use: DSO, DIO, DPO, Cash release.</x:v>
      </x:c>
      <x:c r="G6" s="12" t="str">
        <x:v>Receivables, inventory, payables, cash conversion cycle, owner actions, and cash-release scenarios.
Primary users: FP&amp;A, Treasury, Commercial Finance, Accounting. Typical use: DSO, DIO, DPO, Cash release.</x:v>
      </x:c>
      <x:c r="H6" s="12" t="str">
        <x:v>Receivables, inventory, payables, cash conversion cycle, owner actions, and cash-release scenarios.
Primary users: FP&amp;A, Treasury, Commercial Finance, Accounting. Typical use: DSO, DIO, DPO, Cash release.</x:v>
      </x:c>
      <x:c r="I6" s="12" t="str">
        <x:v>Receivables, inventory, payables, cash conversion cycle, owner actions, and cash-release scenarios.
Primary users: FP&amp;A, Treasury, Commercial Finance, Accounting. Typical use: DSO, DIO, DPO, Cash release.</x:v>
      </x:c>
      <x:c r="J6" s="12" t="str">
        <x:v>Receivables, inventory, payables, cash conversion cycle, owner actions, and cash-release scenarios.
Primary users: FP&amp;A, Treasury, Commercial Finance, Accounting. Typical use: DSO, DIO, DPO, Cash release.</x:v>
      </x:c>
    </x:row>
    <x:row r="7">
      <x:c r="A7" s="12" t="str">
        <x:v>Receivables, inventory, payables, cash conversion cycle, owner actions, and cash-release scenarios.
Primary users: FP&amp;A, Treasury, Commercial Finance, Accounting. Typical use: DSO, DIO, DPO, Cash release.</x:v>
      </x:c>
      <x:c r="B7" s="12" t="str">
        <x:v>Receivables, inventory, payables, cash conversion cycle, owner actions, and cash-release scenarios.
Primary users: FP&amp;A, Treasury, Commercial Finance, Accounting. Typical use: DSO, DIO, DPO, Cash release.</x:v>
      </x:c>
      <x:c r="C7" s="12" t="str">
        <x:v>Receivables, inventory, payables, cash conversion cycle, owner actions, and cash-release scenarios.
Primary users: FP&amp;A, Treasury, Commercial Finance, Accounting. Typical use: DSO, DIO, DPO, Cash release.</x:v>
      </x:c>
      <x:c r="D7" s="12" t="str">
        <x:v>Receivables, inventory, payables, cash conversion cycle, owner actions, and cash-release scenarios.
Primary users: FP&amp;A, Treasury, Commercial Finance, Accounting. Typical use: DSO, DIO, DPO, Cash release.</x:v>
      </x:c>
      <x:c r="E7" s="12" t="str">
        <x:v>Receivables, inventory, payables, cash conversion cycle, owner actions, and cash-release scenarios.
Primary users: FP&amp;A, Treasury, Commercial Finance, Accounting. Typical use: DSO, DIO, DPO, Cash release.</x:v>
      </x:c>
      <x:c r="F7" s="12" t="str">
        <x:v>Receivables, inventory, payables, cash conversion cycle, owner actions, and cash-release scenarios.
Primary users: FP&amp;A, Treasury, Commercial Finance, Accounting. Typical use: DSO, DIO, DPO, Cash release.</x:v>
      </x:c>
      <x:c r="G7" s="12" t="str">
        <x:v>Receivables, inventory, payables, cash conversion cycle, owner actions, and cash-release scenarios.
Primary users: FP&amp;A, Treasury, Commercial Finance, Accounting. Typical use: DSO, DIO, DPO, Cash release.</x:v>
      </x:c>
      <x:c r="H7" s="12" t="str">
        <x:v>Receivables, inventory, payables, cash conversion cycle, owner actions, and cash-release scenarios.
Primary users: FP&amp;A, Treasury, Commercial Finance, Accounting. Typical use: DSO, DIO, DPO, Cash release.</x:v>
      </x:c>
      <x:c r="I7" s="12" t="str">
        <x:v>Receivables, inventory, payables, cash conversion cycle, owner actions, and cash-release scenarios.
Primary users: FP&amp;A, Treasury, Commercial Finance, Accounting. Typical use: DSO, DIO, DPO, Cash release.</x:v>
      </x:c>
      <x:c r="J7" s="12" t="str">
        <x:v>Receivables, inventory, payables, cash conversion cycle, owner actions, and cash-release scenarios.
Primary users: FP&amp;A, Treasury, Commercial Finance, Accounting. Typical use: DSO, DIO, DPO, Cash release.</x:v>
      </x:c>
    </x:row>
    <x:row r="8">
      <x:c r="A8" s="12" t="str">
        <x:v>Receivables, inventory, payables, cash conversion cycle, owner actions, and cash-release scenarios.
Primary users: FP&amp;A, Treasury, Commercial Finance, Accounting. Typical use: DSO, DIO, DPO, Cash release.</x:v>
      </x:c>
      <x:c r="B8" s="12" t="str">
        <x:v>Receivables, inventory, payables, cash conversion cycle, owner actions, and cash-release scenarios.
Primary users: FP&amp;A, Treasury, Commercial Finance, Accounting. Typical use: DSO, DIO, DPO, Cash release.</x:v>
      </x:c>
      <x:c r="C8" s="12" t="str">
        <x:v>Receivables, inventory, payables, cash conversion cycle, owner actions, and cash-release scenarios.
Primary users: FP&amp;A, Treasury, Commercial Finance, Accounting. Typical use: DSO, DIO, DPO, Cash release.</x:v>
      </x:c>
      <x:c r="D8" s="12" t="str">
        <x:v>Receivables, inventory, payables, cash conversion cycle, owner actions, and cash-release scenarios.
Primary users: FP&amp;A, Treasury, Commercial Finance, Accounting. Typical use: DSO, DIO, DPO, Cash release.</x:v>
      </x:c>
      <x:c r="E8" s="12" t="str">
        <x:v>Receivables, inventory, payables, cash conversion cycle, owner actions, and cash-release scenarios.
Primary users: FP&amp;A, Treasury, Commercial Finance, Accounting. Typical use: DSO, DIO, DPO, Cash release.</x:v>
      </x:c>
      <x:c r="F8" s="12" t="str">
        <x:v>Receivables, inventory, payables, cash conversion cycle, owner actions, and cash-release scenarios.
Primary users: FP&amp;A, Treasury, Commercial Finance, Accounting. Typical use: DSO, DIO, DPO, Cash release.</x:v>
      </x:c>
      <x:c r="G8" s="12" t="str">
        <x:v>Receivables, inventory, payables, cash conversion cycle, owner actions, and cash-release scenarios.
Primary users: FP&amp;A, Treasury, Commercial Finance, Accounting. Typical use: DSO, DIO, DPO, Cash release.</x:v>
      </x:c>
      <x:c r="H8" s="12" t="str">
        <x:v>Receivables, inventory, payables, cash conversion cycle, owner actions, and cash-release scenarios.
Primary users: FP&amp;A, Treasury, Commercial Finance, Accounting. Typical use: DSO, DIO, DPO, Cash release.</x:v>
      </x:c>
      <x:c r="I8" s="12" t="str">
        <x:v>Receivables, inventory, payables, cash conversion cycle, owner actions, and cash-release scenarios.
Primary users: FP&amp;A, Treasury, Commercial Finance, Accounting. Typical use: DSO, DIO, DPO, Cash release.</x:v>
      </x:c>
      <x:c r="J8" s="12" t="str">
        <x:v>Receivables, inventory, payables, cash conversion cycle, owner actions, and cash-release scenarios.
Primary users: FP&amp;A, Treasury, Commercial Finance, Accounting. Typical use: DSO, DIO, DPO, Cash release.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How much cash can be released through DSO, DIO, and DPO actions?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Operating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Working Capital;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Operating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Working Capital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DSO × DPO recalculation of Year-end cash release.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Operating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Working Capital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No. It is an educational analytical template; obtain appropriate finance, accounting, tax, legal, regulatory, credit, actuarial, or investment review for real decisions.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B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C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D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E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F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G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H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I37" s="43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J37" s="44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</x:row>
    <x:row r="38">
      <x:c r="A38" s="45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B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C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D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E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F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G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H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I38" s="46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J38" s="47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</x:row>
    <x:row r="39">
      <x:c r="A39" s="48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B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C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D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E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F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G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H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I39" s="49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  <x:c r="J39" s="50" t="str">
        <x:v>Deliberately excluded in version 1.0.0: invoice-level collections; SKU-level safety stock; supplier legal terms; seasonal daily cash forecast.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Working Capital Planner  |  One controlled selector and visible driver cases</x:v>
      </x:c>
      <x:c r="B2" s="6" t="str">
        <x:v>Working Capital Planner  |  One controlled selector and visible driver cases</x:v>
      </x:c>
      <x:c r="C2" s="6" t="str">
        <x:v>Working Capital Planner  |  One controlled selector and visible driver cases</x:v>
      </x:c>
      <x:c r="D2" s="6" t="str">
        <x:v>Working Capital Planner  |  One controlled selector and visible driver cases</x:v>
      </x:c>
      <x:c r="E2" s="6" t="str">
        <x:v>Working Capital Planner  |  One controlled selector and visible driver cases</x:v>
      </x:c>
      <x:c r="F2" s="6" t="str">
        <x:v>Working Capital Planner  |  One controlled selector and visible driver cases</x:v>
      </x:c>
      <x:c r="G2" s="6" t="str">
        <x:v>Working Capital Planner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0" t="str">
        <x:v>Target DSO</x:v>
      </x:c>
      <x:c r="B6" s="81" t="str">
        <x:v>days</x:v>
      </x:c>
      <x:c r="C6" s="82" t="n">
        <x:v>48</x:v>
      </x:c>
      <x:c r="D6" s="82" t="n">
        <x:v>44</x:v>
      </x:c>
      <x:c r="E6" s="82" t="n">
        <x:v>55</x:v>
      </x:c>
      <x:c r="F6" s="83" t="n">
        <x:f>IF($B$3="Base",C6,IF($B$3="Upside",D6,E6))</x:f>
        <x:v>48</x:v>
      </x:c>
      <x:c r="G6" s="84" t="str">
        <x:v>Replace with an approved, sourced assumption.</x:v>
      </x:c>
    </x:row>
    <x:row r="7">
      <x:c r="A7" s="85" t="str">
        <x:v>Target DIO</x:v>
      </x:c>
      <x:c r="B7" s="86" t="str">
        <x:v>days</x:v>
      </x:c>
      <x:c r="C7" s="87" t="n">
        <x:v>38</x:v>
      </x:c>
      <x:c r="D7" s="87" t="n">
        <x:v>34</x:v>
      </x:c>
      <x:c r="E7" s="87" t="n">
        <x:v>45</x:v>
      </x:c>
      <x:c r="F7" s="88" t="n">
        <x:f>IF($B$3="Base",C7,IF($B$3="Upside",D7,E7))</x:f>
        <x:v>38</x:v>
      </x:c>
      <x:c r="G7" s="89" t="str">
        <x:v>Replace with an approved, sourced assumption.</x:v>
      </x:c>
    </x:row>
    <x:row r="8">
      <x:c r="A8" s="85" t="str">
        <x:v>Target DPO</x:v>
      </x:c>
      <x:c r="B8" s="86" t="str">
        <x:v>days</x:v>
      </x:c>
      <x:c r="C8" s="87" t="n">
        <x:v>48</x:v>
      </x:c>
      <x:c r="D8" s="87" t="n">
        <x:v>52</x:v>
      </x:c>
      <x:c r="E8" s="87" t="n">
        <x:v>40</x:v>
      </x:c>
      <x:c r="F8" s="88" t="n">
        <x:f>IF($B$3="Base",C8,IF($B$3="Upside",D8,E8))</x:f>
        <x:v>48</x:v>
      </x:c>
      <x:c r="G8" s="89" t="str">
        <x:v>Replace with an approved, sourced assumption.</x:v>
      </x:c>
    </x:row>
    <x:row r="9">
      <x:c r="A9" s="90" t="str">
        <x:v>Target phase-in</x:v>
      </x:c>
      <x:c r="B9" s="91" t="str">
        <x:v>months</x:v>
      </x:c>
      <x:c r="C9" s="92" t="n">
        <x:v>6</x:v>
      </x:c>
      <x:c r="D9" s="92" t="n">
        <x:v>4</x:v>
      </x:c>
      <x:c r="E9" s="92" t="n">
        <x:v>12</x:v>
      </x:c>
      <x:c r="F9" s="93" t="n">
        <x:f>IF($B$3="Base",C9,IF($B$3="Upside",D9,E9))</x:f>
        <x:v>6</x:v>
      </x:c>
      <x:c r="G9" s="94" t="str">
        <x:v>Replace with an approved, sourced assumption.</x:v>
      </x:c>
    </x:row>
    <x:row r="11">
      <x:c r="A11" s="42" t="str">
        <x:v>Scenario discipline: change a small number of decision-relevant drivers, preserve the core formula architecture, and document what changed, why, who owns it, and what action follows.</x:v>
      </x:c>
      <x:c r="B11" s="43" t="str">
        <x:v>Scenario discipline: change a small number of decision-relevant drivers, preserve the core formula architecture, and document what changed, why, who owns it, and what action follows.</x:v>
      </x:c>
      <x:c r="C11" s="43" t="str">
        <x:v>Scenario discipline: change a small number of decision-relevant drivers, preserve the core formula architecture, and document what changed, why, who owns it, and what action follows.</x:v>
      </x:c>
      <x:c r="D11" s="43" t="str">
        <x:v>Scenario discipline: change a small number of decision-relevant drivers, preserve the core formula architecture, and document what changed, why, who owns it, and what action follows.</x:v>
      </x:c>
      <x:c r="E11" s="43" t="str">
        <x:v>Scenario discipline: change a small number of decision-relevant drivers, preserve the core formula architecture, and document what changed, why, who owns it, and what action follows.</x:v>
      </x:c>
      <x:c r="F11" s="43" t="str">
        <x:v>Scenario discipline: change a small number of decision-relevant drivers, preserve the core formula architecture, and document what changed, why, who owns it, and what action follows.</x:v>
      </x:c>
      <x:c r="G11" s="44" t="str">
        <x:v>Scenario discipline: change a small number of decision-relevant drivers, preserve the core formula architecture, and document what changed, why, who owns it, and what action follows.</x:v>
      </x:c>
    </x:row>
    <x:row r="12">
      <x:c r="A12" s="45" t="str">
        <x:v>Scenario discipline: change a small number of decision-relevant drivers, preserve the core formula architecture, and document what changed, why, who owns it, and what action follows.</x:v>
      </x:c>
      <x:c r="B12" s="46" t="str">
        <x:v>Scenario discipline: change a small number of decision-relevant drivers, preserve the core formula architecture, and document what changed, why, who owns it, and what action follows.</x:v>
      </x:c>
      <x:c r="C12" s="46" t="str">
        <x:v>Scenario discipline: change a small number of decision-relevant drivers, preserve the core formula architecture, and document what changed, why, who owns it, and what action follows.</x:v>
      </x:c>
      <x:c r="D12" s="46" t="str">
        <x:v>Scenario discipline: change a small number of decision-relevant drivers, preserve the core formula architecture, and document what changed, why, who owns it, and what action follows.</x:v>
      </x:c>
      <x:c r="E12" s="46" t="str">
        <x:v>Scenario discipline: change a small number of decision-relevant drivers, preserve the core formula architecture, and document what changed, why, who owns it, and what action follows.</x:v>
      </x:c>
      <x:c r="F12" s="46" t="str">
        <x:v>Scenario discipline: change a small number of decision-relevant drivers, preserve the core formula architecture, and document what changed, why, who owns it, and what action follows.</x:v>
      </x:c>
      <x:c r="G12" s="47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8" t="str">
        <x:v>Scenario discipline: change a small number of decision-relevant drivers, preserve the core formula architecture, and document what changed, why, who owns it, and what action follows.</x:v>
      </x:c>
      <x:c r="B13" s="49" t="str">
        <x:v>Scenario discipline: change a small number of decision-relevant drivers, preserve the core formula architecture, and document what changed, why, who owns it, and what action follows.</x:v>
      </x:c>
      <x:c r="C13" s="49" t="str">
        <x:v>Scenario discipline: change a small number of decision-relevant drivers, preserve the core formula architecture, and document what changed, why, who owns it, and what action follows.</x:v>
      </x:c>
      <x:c r="D13" s="49" t="str">
        <x:v>Scenario discipline: change a small number of decision-relevant drivers, preserve the core formula architecture, and document what changed, why, who owns it, and what action follows.</x:v>
      </x:c>
      <x:c r="E13" s="49" t="str">
        <x:v>Scenario discipline: change a small number of decision-relevant drivers, preserve the core formula architecture, and document what changed, why, who owns it, and what action follows.</x:v>
      </x:c>
      <x:c r="F13" s="49" t="str">
        <x:v>Scenario discipline: change a small number of decision-relevant drivers, preserve the core formula architecture, and document what changed, why, who owns it, and what action follows.</x:v>
      </x:c>
      <x:c r="G13" s="50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53" t="str">
        <x:v>TDAT Model Library  |  Trust builds the brand. Insight builds the decision.</x:v>
      </x:c>
      <x:c r="B15" s="53" t="str">
        <x:v>TDAT Model Library  |  Trust builds the brand. Insight builds the decision.</x:v>
      </x:c>
      <x:c r="C15" s="53" t="str">
        <x:v>TDAT Model Library  |  Trust builds the brand. Insight builds the decision.</x:v>
      </x:c>
      <x:c r="D15" s="53" t="str">
        <x:v>TDAT Model Library  |  Trust builds the brand. Insight builds the decision.</x:v>
      </x:c>
      <x:c r="E15" s="53" t="str">
        <x:v>TDAT Model Library  |  Trust builds the brand. Insight builds the decision.</x:v>
      </x:c>
      <x:c r="F15" s="53" t="str">
        <x:v>TDAT Model Library  |  Trust builds the brand. Insight builds the decision.</x:v>
      </x:c>
      <x:c r="G15" s="53" t="str">
        <x:v>TDAT Model Library  |  Trust builds the brand. Insight builds the decision.</x:v>
      </x:c>
    </x:row>
  </x:sheetData>
  <x:mergeCells>
    <x:mergeCell ref="A1:G1"/>
    <x:mergeCell ref="A2:G2"/>
    <x:mergeCell ref="A11:G13"/>
    <x:mergeCell ref="A15:G15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3" t="str">
        <x:v>OPERATING INPUTS</x:v>
      </x:c>
      <x:c r="B1" s="3" t="str">
        <x:v>OPERATING INPUTS</x:v>
      </x:c>
      <x:c r="C1" s="3" t="str">
        <x:v>OPERATING INPUTS</x:v>
      </x:c>
      <x:c r="D1" s="3" t="str">
        <x:v>OPERATING INPUTS</x:v>
      </x:c>
      <x:c r="E1" s="3" t="str">
        <x:v>OPERATING INPUTS</x:v>
      </x:c>
      <x:c r="F1" s="3" t="str">
        <x:v>OPERATING INPUTS</x:v>
      </x:c>
      <x:c r="G1" s="3" t="str">
        <x:v>OPERATING INPUTS</x:v>
      </x:c>
      <x:c r="H1" s="3" t="str">
        <x:v>OPERATING INPUTS</x:v>
      </x:c>
      <x:c r="I1" s="3" t="str">
        <x:v>OPERATING INPUTS</x:v>
      </x:c>
      <x:c r="J1" s="3" t="str">
        <x:v>OPERATING INPUTS</x:v>
      </x:c>
      <x:c r="K1" s="3" t="str">
        <x:v>OPERATING INPUTS</x:v>
      </x:c>
      <x:c r="L1" s="3" t="str">
        <x:v>OPERATING INPUTS</x:v>
      </x:c>
      <x:c r="M1" s="3" t="str">
        <x:v>OPERATING INPUTS</x:v>
      </x:c>
    </x:row>
    <x:row r="2" ht="24" customHeight="1">
      <x:c r="A2" s="6" t="str">
        <x:v>Working Capital Planner  |  Synthetic worked inputs — replace blue cells</x:v>
      </x:c>
      <x:c r="B2" s="6" t="str">
        <x:v>Working Capital Planner  |  Synthetic worked inputs — replace blue cells</x:v>
      </x:c>
      <x:c r="C2" s="6" t="str">
        <x:v>Working Capital Planner  |  Synthetic worked inputs — replace blue cells</x:v>
      </x:c>
      <x:c r="D2" s="6" t="str">
        <x:v>Working Capital Planner  |  Synthetic worked inputs — replace blue cells</x:v>
      </x:c>
      <x:c r="E2" s="6" t="str">
        <x:v>Working Capital Planner  |  Synthetic worked inputs — replace blue cells</x:v>
      </x:c>
      <x:c r="F2" s="6" t="str">
        <x:v>Working Capital Planner  |  Synthetic worked inputs — replace blue cells</x:v>
      </x:c>
      <x:c r="G2" s="6" t="str">
        <x:v>Working Capital Planner  |  Synthetic worked inputs — replace blue cells</x:v>
      </x:c>
      <x:c r="H2" s="6" t="str">
        <x:v>Working Capital Planner  |  Synthetic worked inputs — replace blue cells</x:v>
      </x:c>
      <x:c r="I2" s="6" t="str">
        <x:v>Working Capital Planner  |  Synthetic worked inputs — replace blue cells</x:v>
      </x:c>
      <x:c r="J2" s="6" t="str">
        <x:v>Working Capital Planner  |  Synthetic worked inputs — replace blue cells</x:v>
      </x:c>
      <x:c r="K2" s="6" t="str">
        <x:v>Working Capital Planner  |  Synthetic worked inputs — replace blue cells</x:v>
      </x:c>
      <x:c r="L2" s="6" t="str">
        <x:v>Working Capital Planner  |  Synthetic worked inputs — replace blue cells</x:v>
      </x:c>
      <x:c r="M2" s="6" t="str">
        <x:v>Working Capital Planner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5" ht="24" customHeight="1">
      <x:c r="A5" s="66" t="str">
        <x:v>Input / Period</x:v>
      </x:c>
      <x:c r="B5" s="67" t="str">
        <x:v>Jan</x:v>
      </x:c>
      <x:c r="C5" s="67" t="str">
        <x:v>Feb</x:v>
      </x:c>
      <x:c r="D5" s="67" t="str">
        <x:v>Mar</x:v>
      </x:c>
      <x:c r="E5" s="67" t="str">
        <x:v>Apr</x:v>
      </x:c>
      <x:c r="F5" s="67" t="str">
        <x:v>May</x:v>
      </x:c>
      <x:c r="G5" s="67" t="str">
        <x:v>Jun</x:v>
      </x:c>
      <x:c r="H5" s="67" t="str">
        <x:v>Jul</x:v>
      </x:c>
      <x:c r="I5" s="67" t="str">
        <x:v>Aug</x:v>
      </x:c>
      <x:c r="J5" s="67" t="str">
        <x:v>Sep</x:v>
      </x:c>
      <x:c r="K5" s="67" t="str">
        <x:v>Oct</x:v>
      </x:c>
      <x:c r="L5" s="67" t="str">
        <x:v>Nov</x:v>
      </x:c>
      <x:c r="M5" s="68" t="str">
        <x:v>Dec</x:v>
      </x:c>
    </x:row>
    <x:row r="6">
      <x:c r="A6" s="98" t="str">
        <x:v>Revenue</x:v>
      </x:c>
      <x:c r="B6" s="99" t="n">
        <x:v>100</x:v>
      </x:c>
      <x:c r="C6" s="99" t="n">
        <x:v>103</x:v>
      </x:c>
      <x:c r="D6" s="99" t="n">
        <x:v>105</x:v>
      </x:c>
      <x:c r="E6" s="99" t="n">
        <x:v>108</x:v>
      </x:c>
      <x:c r="F6" s="99" t="n">
        <x:v>110</x:v>
      </x:c>
      <x:c r="G6" s="99" t="n">
        <x:v>113</x:v>
      </x:c>
      <x:c r="H6" s="99" t="n">
        <x:v>116</x:v>
      </x:c>
      <x:c r="I6" s="99" t="n">
        <x:v>119</x:v>
      </x:c>
      <x:c r="J6" s="99" t="n">
        <x:v>122</x:v>
      </x:c>
      <x:c r="K6" s="99" t="n">
        <x:v>125</x:v>
      </x:c>
      <x:c r="L6" s="99" t="n">
        <x:v>128</x:v>
      </x:c>
      <x:c r="M6" s="99" t="n">
        <x:v>132</x:v>
      </x:c>
    </x:row>
    <x:row r="7">
      <x:c r="A7" s="100" t="str">
        <x:v>COGS</x:v>
      </x:c>
      <x:c r="B7" s="101" t="n">
        <x:v>62</x:v>
      </x:c>
      <x:c r="C7" s="101" t="n">
        <x:v>64</x:v>
      </x:c>
      <x:c r="D7" s="101" t="n">
        <x:v>65</x:v>
      </x:c>
      <x:c r="E7" s="101" t="n">
        <x:v>67</x:v>
      </x:c>
      <x:c r="F7" s="101" t="n">
        <x:v>68</x:v>
      </x:c>
      <x:c r="G7" s="101" t="n">
        <x:v>70</x:v>
      </x:c>
      <x:c r="H7" s="101" t="n">
        <x:v>72</x:v>
      </x:c>
      <x:c r="I7" s="101" t="n">
        <x:v>74</x:v>
      </x:c>
      <x:c r="J7" s="101" t="n">
        <x:v>76</x:v>
      </x:c>
      <x:c r="K7" s="101" t="n">
        <x:v>78</x:v>
      </x:c>
      <x:c r="L7" s="101" t="n">
        <x:v>79</x:v>
      </x:c>
      <x:c r="M7" s="101" t="n">
        <x:v>82</x:v>
      </x:c>
    </x:row>
    <x:row r="8">
      <x:c r="A8" s="100" t="str">
        <x:v>Current DSO</x:v>
      </x:c>
      <x:c r="B8" s="102" t="n">
        <x:v>58</x:v>
      </x:c>
      <x:c r="C8" s="102" t="n">
        <x:v>58</x:v>
      </x:c>
      <x:c r="D8" s="102" t="n">
        <x:v>57</x:v>
      </x:c>
      <x:c r="E8" s="102" t="n">
        <x:v>57</x:v>
      </x:c>
      <x:c r="F8" s="102" t="n">
        <x:v>56</x:v>
      </x:c>
      <x:c r="G8" s="102" t="n">
        <x:v>56</x:v>
      </x:c>
      <x:c r="H8" s="102" t="n">
        <x:v>55</x:v>
      </x:c>
      <x:c r="I8" s="102" t="n">
        <x:v>55</x:v>
      </x:c>
      <x:c r="J8" s="102" t="n">
        <x:v>54</x:v>
      </x:c>
      <x:c r="K8" s="102" t="n">
        <x:v>54</x:v>
      </x:c>
      <x:c r="L8" s="102" t="n">
        <x:v>53</x:v>
      </x:c>
      <x:c r="M8" s="102" t="n">
        <x:v>53</x:v>
      </x:c>
    </x:row>
    <x:row r="9">
      <x:c r="A9" s="100" t="str">
        <x:v>Current DIO</x:v>
      </x:c>
      <x:c r="B9" s="102" t="n">
        <x:v>46</x:v>
      </x:c>
      <x:c r="C9" s="102" t="n">
        <x:v>46</x:v>
      </x:c>
      <x:c r="D9" s="102" t="n">
        <x:v>45</x:v>
      </x:c>
      <x:c r="E9" s="102" t="n">
        <x:v>45</x:v>
      </x:c>
      <x:c r="F9" s="102" t="n">
        <x:v>44</x:v>
      </x:c>
      <x:c r="G9" s="102" t="n">
        <x:v>44</x:v>
      </x:c>
      <x:c r="H9" s="102" t="n">
        <x:v>43</x:v>
      </x:c>
      <x:c r="I9" s="102" t="n">
        <x:v>43</x:v>
      </x:c>
      <x:c r="J9" s="102" t="n">
        <x:v>42</x:v>
      </x:c>
      <x:c r="K9" s="102" t="n">
        <x:v>42</x:v>
      </x:c>
      <x:c r="L9" s="102" t="n">
        <x:v>41</x:v>
      </x:c>
      <x:c r="M9" s="102" t="n">
        <x:v>41</x:v>
      </x:c>
    </x:row>
    <x:row r="10">
      <x:c r="A10" s="103" t="str">
        <x:v>Current DPO</x:v>
      </x:c>
      <x:c r="B10" s="104" t="n">
        <x:v>38</x:v>
      </x:c>
      <x:c r="C10" s="104" t="n">
        <x:v>38</x:v>
      </x:c>
      <x:c r="D10" s="104" t="n">
        <x:v>39</x:v>
      </x:c>
      <x:c r="E10" s="104" t="n">
        <x:v>39</x:v>
      </x:c>
      <x:c r="F10" s="104" t="n">
        <x:v>40</x:v>
      </x:c>
      <x:c r="G10" s="104" t="n">
        <x:v>40</x:v>
      </x:c>
      <x:c r="H10" s="104" t="n">
        <x:v>41</x:v>
      </x:c>
      <x:c r="I10" s="104" t="n">
        <x:v>41</x:v>
      </x:c>
      <x:c r="J10" s="104" t="n">
        <x:v>42</x:v>
      </x:c>
      <x:c r="K10" s="104" t="n">
        <x:v>42</x:v>
      </x:c>
      <x:c r="L10" s="104" t="n">
        <x:v>43</x:v>
      </x:c>
      <x:c r="M10" s="104" t="n">
        <x:v>43</x:v>
      </x:c>
    </x:row>
    <x:row r="12">
      <x:c r="A12" s="42" t="str">
        <x:v>Synthetic input pack. Preserve source definitions, units, period basis, and sign convention when replacing values.</x:v>
      </x:c>
      <x:c r="B12" s="43" t="str">
        <x:v>Synthetic input pack. Preserve source definitions, units, period basis, and sign convention when replacing values.</x:v>
      </x:c>
      <x:c r="C12" s="43" t="str">
        <x:v>Synthetic input pack. Preserve source definitions, units, period basis, and sign convention when replacing values.</x:v>
      </x:c>
      <x:c r="D12" s="43" t="str">
        <x:v>Synthetic input pack. Preserve source definitions, units, period basis, and sign convention when replacing values.</x:v>
      </x:c>
      <x:c r="E12" s="43" t="str">
        <x:v>Synthetic input pack. Preserve source definitions, units, period basis, and sign convention when replacing values.</x:v>
      </x:c>
      <x:c r="F12" s="43" t="str">
        <x:v>Synthetic input pack. Preserve source definitions, units, period basis, and sign convention when replacing values.</x:v>
      </x:c>
      <x:c r="G12" s="43" t="str">
        <x:v>Synthetic input pack. Preserve source definitions, units, period basis, and sign convention when replacing values.</x:v>
      </x:c>
      <x:c r="H12" s="43" t="str">
        <x:v>Synthetic input pack. Preserve source definitions, units, period basis, and sign convention when replacing values.</x:v>
      </x:c>
      <x:c r="I12" s="43" t="str">
        <x:v>Synthetic input pack. Preserve source definitions, units, period basis, and sign convention when replacing values.</x:v>
      </x:c>
      <x:c r="J12" s="43" t="str">
        <x:v>Synthetic input pack. Preserve source definitions, units, period basis, and sign convention when replacing values.</x:v>
      </x:c>
      <x:c r="K12" s="43" t="str">
        <x:v>Synthetic input pack. Preserve source definitions, units, period basis, and sign convention when replacing values.</x:v>
      </x:c>
      <x:c r="L12" s="43" t="str">
        <x:v>Synthetic input pack. Preserve source definitions, units, period basis, and sign convention when replacing values.</x:v>
      </x:c>
      <x:c r="M12" s="44" t="str">
        <x:v>Synthetic input pack. Preserve source definitions, units, period basis, and sign convention when replacing values.</x:v>
      </x:c>
    </x:row>
    <x:row r="13">
      <x:c r="A13" s="45" t="str">
        <x:v>Synthetic input pack. Preserve source definitions, units, period basis, and sign convention when replacing values.</x:v>
      </x:c>
      <x:c r="B13" s="46" t="str">
        <x:v>Synthetic input pack. Preserve source definitions, units, period basis, and sign convention when replacing values.</x:v>
      </x:c>
      <x:c r="C13" s="46" t="str">
        <x:v>Synthetic input pack. Preserve source definitions, units, period basis, and sign convention when replacing values.</x:v>
      </x:c>
      <x:c r="D13" s="46" t="str">
        <x:v>Synthetic input pack. Preserve source definitions, units, period basis, and sign convention when replacing values.</x:v>
      </x:c>
      <x:c r="E13" s="46" t="str">
        <x:v>Synthetic input pack. Preserve source definitions, units, period basis, and sign convention when replacing values.</x:v>
      </x:c>
      <x:c r="F13" s="46" t="str">
        <x:v>Synthetic input pack. Preserve source definitions, units, period basis, and sign convention when replacing values.</x:v>
      </x:c>
      <x:c r="G13" s="46" t="str">
        <x:v>Synthetic input pack. Preserve source definitions, units, period basis, and sign convention when replacing values.</x:v>
      </x:c>
      <x:c r="H13" s="46" t="str">
        <x:v>Synthetic input pack. Preserve source definitions, units, period basis, and sign convention when replacing values.</x:v>
      </x:c>
      <x:c r="I13" s="46" t="str">
        <x:v>Synthetic input pack. Preserve source definitions, units, period basis, and sign convention when replacing values.</x:v>
      </x:c>
      <x:c r="J13" s="46" t="str">
        <x:v>Synthetic input pack. Preserve source definitions, units, period basis, and sign convention when replacing values.</x:v>
      </x:c>
      <x:c r="K13" s="46" t="str">
        <x:v>Synthetic input pack. Preserve source definitions, units, period basis, and sign convention when replacing values.</x:v>
      </x:c>
      <x:c r="L13" s="46" t="str">
        <x:v>Synthetic input pack. Preserve source definitions, units, period basis, and sign convention when replacing values.</x:v>
      </x:c>
      <x:c r="M13" s="47" t="str">
        <x:v>Synthetic input pack. Preserve source definitions, units, period basis, and sign convention when replacing values.</x:v>
      </x:c>
    </x:row>
    <x:row r="14">
      <x:c r="A14" s="48" t="str">
        <x:v>Synthetic input pack. Preserve source definitions, units, period basis, and sign convention when replacing values.</x:v>
      </x:c>
      <x:c r="B14" s="49" t="str">
        <x:v>Synthetic input pack. Preserve source definitions, units, period basis, and sign convention when replacing values.</x:v>
      </x:c>
      <x:c r="C14" s="49" t="str">
        <x:v>Synthetic input pack. Preserve source definitions, units, period basis, and sign convention when replacing values.</x:v>
      </x:c>
      <x:c r="D14" s="49" t="str">
        <x:v>Synthetic input pack. Preserve source definitions, units, period basis, and sign convention when replacing values.</x:v>
      </x:c>
      <x:c r="E14" s="49" t="str">
        <x:v>Synthetic input pack. Preserve source definitions, units, period basis, and sign convention when replacing values.</x:v>
      </x:c>
      <x:c r="F14" s="49" t="str">
        <x:v>Synthetic input pack. Preserve source definitions, units, period basis, and sign convention when replacing values.</x:v>
      </x:c>
      <x:c r="G14" s="49" t="str">
        <x:v>Synthetic input pack. Preserve source definitions, units, period basis, and sign convention when replacing values.</x:v>
      </x:c>
      <x:c r="H14" s="49" t="str">
        <x:v>Synthetic input pack. Preserve source definitions, units, period basis, and sign convention when replacing values.</x:v>
      </x:c>
      <x:c r="I14" s="49" t="str">
        <x:v>Synthetic input pack. Preserve source definitions, units, period basis, and sign convention when replacing values.</x:v>
      </x:c>
      <x:c r="J14" s="49" t="str">
        <x:v>Synthetic input pack. Preserve source definitions, units, period basis, and sign convention when replacing values.</x:v>
      </x:c>
      <x:c r="K14" s="49" t="str">
        <x:v>Synthetic input pack. Preserve source definitions, units, period basis, and sign convention when replacing values.</x:v>
      </x:c>
      <x:c r="L14" s="49" t="str">
        <x:v>Synthetic input pack. Preserve source definitions, units, period basis, and sign convention when replacing values.</x:v>
      </x:c>
      <x:c r="M14" s="50" t="str">
        <x:v>Synthetic input pack. Preserve source definitions, units, period basis, and sign convention when replacing values.</x:v>
      </x:c>
    </x:row>
    <x:row r="16">
      <x:c r="A16" s="53" t="str">
        <x:v>TDAT Model Library  |  Trust builds the brand. Insight builds the decision.</x:v>
      </x:c>
      <x:c r="B16" s="53" t="str">
        <x:v>TDAT Model Library  |  Trust builds the brand. Insight builds the decision.</x:v>
      </x:c>
      <x:c r="C16" s="53" t="str">
        <x:v>TDAT Model Library  |  Trust builds the brand. Insight builds the decision.</x:v>
      </x:c>
      <x:c r="D16" s="53" t="str">
        <x:v>TDAT Model Library  |  Trust builds the brand. Insight builds the decision.</x:v>
      </x:c>
      <x:c r="E16" s="53" t="str">
        <x:v>TDAT Model Library  |  Trust builds the brand. Insight builds the decision.</x:v>
      </x:c>
      <x:c r="F16" s="53" t="str">
        <x:v>TDAT Model Library  |  Trust builds the brand. Insight builds the decision.</x:v>
      </x:c>
      <x:c r="G16" s="53" t="str">
        <x:v>TDAT Model Library  |  Trust builds the brand. Insight builds the decision.</x:v>
      </x:c>
      <x:c r="H16" s="53" t="str">
        <x:v>TDAT Model Library  |  Trust builds the brand. Insight builds the decision.</x:v>
      </x:c>
      <x:c r="I16" s="53" t="str">
        <x:v>TDAT Model Library  |  Trust builds the brand. Insight builds the decision.</x:v>
      </x:c>
      <x:c r="J16" s="53" t="str">
        <x:v>TDAT Model Library  |  Trust builds the brand. Insight builds the decision.</x:v>
      </x:c>
      <x:c r="K16" s="53" t="str">
        <x:v>TDAT Model Library  |  Trust builds the brand. Insight builds the decision.</x:v>
      </x:c>
      <x:c r="L16" s="53" t="str">
        <x:v>TDAT Model Library  |  Trust builds the brand. Insight builds the decision.</x:v>
      </x:c>
      <x:c r="M16" s="53" t="str">
        <x:v>TDAT Model Library  |  Trust builds the brand. Insight builds the decision.</x:v>
      </x:c>
    </x:row>
  </x:sheetData>
  <x:mergeCells>
    <x:mergeCell ref="A1:M1"/>
    <x:mergeCell ref="A2:M2"/>
    <x:mergeCell ref="A12:M14"/>
    <x:mergeCell ref="A16:M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3" t="str">
        <x:v>WORKING CAPITAL</x:v>
      </x:c>
      <x:c r="B1" s="3" t="str">
        <x:v>WORKING CAPITAL</x:v>
      </x:c>
      <x:c r="C1" s="3" t="str">
        <x:v>WORKING CAPITAL</x:v>
      </x:c>
      <x:c r="D1" s="3" t="str">
        <x:v>WORKING CAPITAL</x:v>
      </x:c>
      <x:c r="E1" s="3" t="str">
        <x:v>WORKING CAPITAL</x:v>
      </x:c>
      <x:c r="F1" s="3" t="str">
        <x:v>WORKING CAPITAL</x:v>
      </x:c>
      <x:c r="G1" s="3" t="str">
        <x:v>WORKING CAPITAL</x:v>
      </x:c>
      <x:c r="H1" s="3" t="str">
        <x:v>WORKING CAPITAL</x:v>
      </x:c>
      <x:c r="I1" s="3" t="str">
        <x:v>WORKING CAPITAL</x:v>
      </x:c>
      <x:c r="J1" s="3" t="str">
        <x:v>WORKING CAPITAL</x:v>
      </x:c>
      <x:c r="K1" s="3" t="str">
        <x:v>WORKING CAPITAL</x:v>
      </x:c>
      <x:c r="L1" s="3" t="str">
        <x:v>WORKING CAPITAL</x:v>
      </x:c>
      <x:c r="M1" s="3" t="str">
        <x:v>WORKING CAPITAL</x:v>
      </x:c>
    </x:row>
    <x:row r="2" ht="24" customHeight="1">
      <x:c r="A2" s="6" t="str">
        <x:v>Working Capital Planner  |  Formula-driven core mechanics</x:v>
      </x:c>
      <x:c r="B2" s="6" t="str">
        <x:v>Working Capital Planner  |  Formula-driven core mechanics</x:v>
      </x:c>
      <x:c r="C2" s="6" t="str">
        <x:v>Working Capital Planner  |  Formula-driven core mechanics</x:v>
      </x:c>
      <x:c r="D2" s="6" t="str">
        <x:v>Working Capital Planner  |  Formula-driven core mechanics</x:v>
      </x:c>
      <x:c r="E2" s="6" t="str">
        <x:v>Working Capital Planner  |  Formula-driven core mechanics</x:v>
      </x:c>
      <x:c r="F2" s="6" t="str">
        <x:v>Working Capital Planner  |  Formula-driven core mechanics</x:v>
      </x:c>
      <x:c r="G2" s="6" t="str">
        <x:v>Working Capital Planner  |  Formula-driven core mechanics</x:v>
      </x:c>
      <x:c r="H2" s="6" t="str">
        <x:v>Working Capital Planner  |  Formula-driven core mechanics</x:v>
      </x:c>
      <x:c r="I2" s="6" t="str">
        <x:v>Working Capital Planner  |  Formula-driven core mechanics</x:v>
      </x:c>
      <x:c r="J2" s="6" t="str">
        <x:v>Working Capital Planner  |  Formula-driven core mechanics</x:v>
      </x:c>
      <x:c r="K2" s="6" t="str">
        <x:v>Working Capital Planner  |  Formula-driven core mechanics</x:v>
      </x:c>
      <x:c r="L2" s="6" t="str">
        <x:v>Working Capital Planner  |  Formula-driven core mechanics</x:v>
      </x:c>
      <x:c r="M2" s="6" t="str">
        <x:v>Working Capital Planner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5" ht="24" customHeight="1">
      <x:c r="A5" s="66" t="str">
        <x:v>Calculation / Period</x:v>
      </x:c>
      <x:c r="B5" s="67" t="str">
        <x:v>Jan</x:v>
      </x:c>
      <x:c r="C5" s="67" t="str">
        <x:v>Feb</x:v>
      </x:c>
      <x:c r="D5" s="67" t="str">
        <x:v>Mar</x:v>
      </x:c>
      <x:c r="E5" s="67" t="str">
        <x:v>Apr</x:v>
      </x:c>
      <x:c r="F5" s="67" t="str">
        <x:v>May</x:v>
      </x:c>
      <x:c r="G5" s="67" t="str">
        <x:v>Jun</x:v>
      </x:c>
      <x:c r="H5" s="67" t="str">
        <x:v>Jul</x:v>
      </x:c>
      <x:c r="I5" s="67" t="str">
        <x:v>Aug</x:v>
      </x:c>
      <x:c r="J5" s="67" t="str">
        <x:v>Sep</x:v>
      </x:c>
      <x:c r="K5" s="67" t="str">
        <x:v>Oct</x:v>
      </x:c>
      <x:c r="L5" s="67" t="str">
        <x:v>Nov</x:v>
      </x:c>
      <x:c r="M5" s="68" t="str">
        <x:v>Dec</x:v>
      </x:c>
    </x:row>
    <x:row r="6">
      <x:c r="A6" s="120" t="str">
        <x:v>Target implementation %</x:v>
      </x:c>
      <x:c r="B6" s="121" t="n">
        <x:f>MIN(1,(1)/'Assumptions'!$F$9)</x:f>
        <x:v>0.16666666666666666</x:v>
      </x:c>
      <x:c r="C6" s="121" t="n">
        <x:f>MIN(1,(2)/'Assumptions'!$F$9)</x:f>
        <x:v>0.3333333333333333</x:v>
      </x:c>
      <x:c r="D6" s="121" t="n">
        <x:f>MIN(1,(3)/'Assumptions'!$F$9)</x:f>
        <x:v>0.5</x:v>
      </x:c>
      <x:c r="E6" s="121" t="n">
        <x:f>MIN(1,(4)/'Assumptions'!$F$9)</x:f>
        <x:v>0.6666666666666666</x:v>
      </x:c>
      <x:c r="F6" s="121" t="n">
        <x:f>MIN(1,(5)/'Assumptions'!$F$9)</x:f>
        <x:v>0.8333333333333334</x:v>
      </x:c>
      <x:c r="G6" s="121" t="n">
        <x:f>MIN(1,(6)/'Assumptions'!$F$9)</x:f>
        <x:v>1</x:v>
      </x:c>
      <x:c r="H6" s="121" t="n">
        <x:f>MIN(1,(7)/'Assumptions'!$F$9)</x:f>
        <x:v>1</x:v>
      </x:c>
      <x:c r="I6" s="121" t="n">
        <x:f>MIN(1,(8)/'Assumptions'!$F$9)</x:f>
        <x:v>1</x:v>
      </x:c>
      <x:c r="J6" s="121" t="n">
        <x:f>MIN(1,(9)/'Assumptions'!$F$9)</x:f>
        <x:v>1</x:v>
      </x:c>
      <x:c r="K6" s="121" t="n">
        <x:f>MIN(1,(10)/'Assumptions'!$F$9)</x:f>
        <x:v>1</x:v>
      </x:c>
      <x:c r="L6" s="121" t="n">
        <x:f>MIN(1,(11)/'Assumptions'!$F$9)</x:f>
        <x:v>1</x:v>
      </x:c>
      <x:c r="M6" s="121" t="n">
        <x:f>MIN(1,(12)/'Assumptions'!$F$9)</x:f>
        <x:v>1</x:v>
      </x:c>
    </x:row>
    <x:row r="7">
      <x:c r="A7" s="122" t="str">
        <x:v>Modeled DSO</x:v>
      </x:c>
      <x:c r="B7" s="123" t="n">
        <x:f>'Operating Inputs'!B$8+('Assumptions'!$F$6-'Operating Inputs'!B$8)*B$6</x:f>
        <x:v>56.333333333333336</x:v>
      </x:c>
      <x:c r="C7" s="123" t="n">
        <x:f>'Operating Inputs'!C$8+('Assumptions'!$F$6-'Operating Inputs'!C$8)*C$6</x:f>
        <x:v>54.666666666666664</x:v>
      </x:c>
      <x:c r="D7" s="123" t="n">
        <x:f>'Operating Inputs'!D$8+('Assumptions'!$F$6-'Operating Inputs'!D$8)*D$6</x:f>
        <x:v>52.5</x:v>
      </x:c>
      <x:c r="E7" s="123" t="n">
        <x:f>'Operating Inputs'!E$8+('Assumptions'!$F$6-'Operating Inputs'!E$8)*E$6</x:f>
        <x:v>51</x:v>
      </x:c>
      <x:c r="F7" s="123" t="n">
        <x:f>'Operating Inputs'!F$8+('Assumptions'!$F$6-'Operating Inputs'!F$8)*F$6</x:f>
        <x:v>49.333333333333336</x:v>
      </x:c>
      <x:c r="G7" s="123" t="n">
        <x:f>'Operating Inputs'!G$8+('Assumptions'!$F$6-'Operating Inputs'!G$8)*G$6</x:f>
        <x:v>48</x:v>
      </x:c>
      <x:c r="H7" s="123" t="n">
        <x:f>'Operating Inputs'!H$8+('Assumptions'!$F$6-'Operating Inputs'!H$8)*H$6</x:f>
        <x:v>48</x:v>
      </x:c>
      <x:c r="I7" s="123" t="n">
        <x:f>'Operating Inputs'!I$8+('Assumptions'!$F$6-'Operating Inputs'!I$8)*I$6</x:f>
        <x:v>48</x:v>
      </x:c>
      <x:c r="J7" s="123" t="n">
        <x:f>'Operating Inputs'!J$8+('Assumptions'!$F$6-'Operating Inputs'!J$8)*J$6</x:f>
        <x:v>48</x:v>
      </x:c>
      <x:c r="K7" s="123" t="n">
        <x:f>'Operating Inputs'!K$8+('Assumptions'!$F$6-'Operating Inputs'!K$8)*K$6</x:f>
        <x:v>48</x:v>
      </x:c>
      <x:c r="L7" s="123" t="n">
        <x:f>'Operating Inputs'!L$8+('Assumptions'!$F$6-'Operating Inputs'!L$8)*L$6</x:f>
        <x:v>48</x:v>
      </x:c>
      <x:c r="M7" s="123" t="n">
        <x:f>'Operating Inputs'!M$8+('Assumptions'!$F$6-'Operating Inputs'!M$8)*M$6</x:f>
        <x:v>48</x:v>
      </x:c>
    </x:row>
    <x:row r="8">
      <x:c r="A8" s="122" t="str">
        <x:v>Modeled DIO</x:v>
      </x:c>
      <x:c r="B8" s="123" t="n">
        <x:f>'Operating Inputs'!B$9+('Assumptions'!$F$7-'Operating Inputs'!B$9)*B$6</x:f>
        <x:v>44.666666666666664</x:v>
      </x:c>
      <x:c r="C8" s="123" t="n">
        <x:f>'Operating Inputs'!C$9+('Assumptions'!$F$7-'Operating Inputs'!C$9)*C$6</x:f>
        <x:v>43.333333333333336</x:v>
      </x:c>
      <x:c r="D8" s="123" t="n">
        <x:f>'Operating Inputs'!D$9+('Assumptions'!$F$7-'Operating Inputs'!D$9)*D$6</x:f>
        <x:v>41.5</x:v>
      </x:c>
      <x:c r="E8" s="123" t="n">
        <x:f>'Operating Inputs'!E$9+('Assumptions'!$F$7-'Operating Inputs'!E$9)*E$6</x:f>
        <x:v>40.333333333333336</x:v>
      </x:c>
      <x:c r="F8" s="123" t="n">
        <x:f>'Operating Inputs'!F$9+('Assumptions'!$F$7-'Operating Inputs'!F$9)*F$6</x:f>
        <x:v>39</x:v>
      </x:c>
      <x:c r="G8" s="123" t="n">
        <x:f>'Operating Inputs'!G$9+('Assumptions'!$F$7-'Operating Inputs'!G$9)*G$6</x:f>
        <x:v>38</x:v>
      </x:c>
      <x:c r="H8" s="123" t="n">
        <x:f>'Operating Inputs'!H$9+('Assumptions'!$F$7-'Operating Inputs'!H$9)*H$6</x:f>
        <x:v>38</x:v>
      </x:c>
      <x:c r="I8" s="123" t="n">
        <x:f>'Operating Inputs'!I$9+('Assumptions'!$F$7-'Operating Inputs'!I$9)*I$6</x:f>
        <x:v>38</x:v>
      </x:c>
      <x:c r="J8" s="123" t="n">
        <x:f>'Operating Inputs'!J$9+('Assumptions'!$F$7-'Operating Inputs'!J$9)*J$6</x:f>
        <x:v>38</x:v>
      </x:c>
      <x:c r="K8" s="123" t="n">
        <x:f>'Operating Inputs'!K$9+('Assumptions'!$F$7-'Operating Inputs'!K$9)*K$6</x:f>
        <x:v>38</x:v>
      </x:c>
      <x:c r="L8" s="123" t="n">
        <x:f>'Operating Inputs'!L$9+('Assumptions'!$F$7-'Operating Inputs'!L$9)*L$6</x:f>
        <x:v>38</x:v>
      </x:c>
      <x:c r="M8" s="123" t="n">
        <x:f>'Operating Inputs'!M$9+('Assumptions'!$F$7-'Operating Inputs'!M$9)*M$6</x:f>
        <x:v>38</x:v>
      </x:c>
    </x:row>
    <x:row r="9">
      <x:c r="A9" s="122" t="str">
        <x:v>Modeled DPO</x:v>
      </x:c>
      <x:c r="B9" s="123" t="n">
        <x:f>'Operating Inputs'!B$10+('Assumptions'!$F$8-'Operating Inputs'!B$10)*B$6</x:f>
        <x:v>39.666666666666664</x:v>
      </x:c>
      <x:c r="C9" s="123" t="n">
        <x:f>'Operating Inputs'!C$10+('Assumptions'!$F$8-'Operating Inputs'!C$10)*C$6</x:f>
        <x:v>41.333333333333336</x:v>
      </x:c>
      <x:c r="D9" s="123" t="n">
        <x:f>'Operating Inputs'!D$10+('Assumptions'!$F$8-'Operating Inputs'!D$10)*D$6</x:f>
        <x:v>43.5</x:v>
      </x:c>
      <x:c r="E9" s="123" t="n">
        <x:f>'Operating Inputs'!E$10+('Assumptions'!$F$8-'Operating Inputs'!E$10)*E$6</x:f>
        <x:v>45</x:v>
      </x:c>
      <x:c r="F9" s="123" t="n">
        <x:f>'Operating Inputs'!F$10+('Assumptions'!$F$8-'Operating Inputs'!F$10)*F$6</x:f>
        <x:v>46.666666666666664</x:v>
      </x:c>
      <x:c r="G9" s="123" t="n">
        <x:f>'Operating Inputs'!G$10+('Assumptions'!$F$8-'Operating Inputs'!G$10)*G$6</x:f>
        <x:v>48</x:v>
      </x:c>
      <x:c r="H9" s="123" t="n">
        <x:f>'Operating Inputs'!H$10+('Assumptions'!$F$8-'Operating Inputs'!H$10)*H$6</x:f>
        <x:v>48</x:v>
      </x:c>
      <x:c r="I9" s="123" t="n">
        <x:f>'Operating Inputs'!I$10+('Assumptions'!$F$8-'Operating Inputs'!I$10)*I$6</x:f>
        <x:v>48</x:v>
      </x:c>
      <x:c r="J9" s="123" t="n">
        <x:f>'Operating Inputs'!J$10+('Assumptions'!$F$8-'Operating Inputs'!J$10)*J$6</x:f>
        <x:v>48</x:v>
      </x:c>
      <x:c r="K9" s="123" t="n">
        <x:f>'Operating Inputs'!K$10+('Assumptions'!$F$8-'Operating Inputs'!K$10)*K$6</x:f>
        <x:v>48</x:v>
      </x:c>
      <x:c r="L9" s="123" t="n">
        <x:f>'Operating Inputs'!L$10+('Assumptions'!$F$8-'Operating Inputs'!L$10)*L$6</x:f>
        <x:v>48</x:v>
      </x:c>
      <x:c r="M9" s="123" t="n">
        <x:f>'Operating Inputs'!M$10+('Assumptions'!$F$8-'Operating Inputs'!M$10)*M$6</x:f>
        <x:v>48</x:v>
      </x:c>
    </x:row>
    <x:row r="10">
      <x:c r="A10" s="122" t="str">
        <x:v>Accounts receivable</x:v>
      </x:c>
      <x:c r="B10" s="124" t="n">
        <x:f>'Operating Inputs'!B$6/30*B$7</x:f>
        <x:v>187.7777777777778</x:v>
      </x:c>
      <x:c r="C10" s="124" t="n">
        <x:f>'Operating Inputs'!C$6/30*C$7</x:f>
        <x:v>187.68888888888887</x:v>
      </x:c>
      <x:c r="D10" s="124" t="n">
        <x:f>'Operating Inputs'!D$6/30*D$7</x:f>
        <x:v>183.75</x:v>
      </x:c>
      <x:c r="E10" s="124" t="n">
        <x:f>'Operating Inputs'!E$6/30*E$7</x:f>
        <x:v>183.6</x:v>
      </x:c>
      <x:c r="F10" s="124" t="n">
        <x:f>'Operating Inputs'!F$6/30*F$7</x:f>
        <x:v>180.88888888888889</x:v>
      </x:c>
      <x:c r="G10" s="124" t="n">
        <x:f>'Operating Inputs'!G$6/30*G$7</x:f>
        <x:v>180.8</x:v>
      </x:c>
      <x:c r="H10" s="124" t="n">
        <x:f>'Operating Inputs'!H$6/30*H$7</x:f>
        <x:v>185.6</x:v>
      </x:c>
      <x:c r="I10" s="124" t="n">
        <x:f>'Operating Inputs'!I$6/30*I$7</x:f>
        <x:v>190.4</x:v>
      </x:c>
      <x:c r="J10" s="124" t="n">
        <x:f>'Operating Inputs'!J$6/30*J$7</x:f>
        <x:v>195.2</x:v>
      </x:c>
      <x:c r="K10" s="124" t="n">
        <x:f>'Operating Inputs'!K$6/30*K$7</x:f>
        <x:v>200</x:v>
      </x:c>
      <x:c r="L10" s="124" t="n">
        <x:f>'Operating Inputs'!L$6/30*L$7</x:f>
        <x:v>204.8</x:v>
      </x:c>
      <x:c r="M10" s="124" t="n">
        <x:f>'Operating Inputs'!M$6/30*M$7</x:f>
        <x:v>211.20000000000002</x:v>
      </x:c>
    </x:row>
    <x:row r="11">
      <x:c r="A11" s="122" t="str">
        <x:v>Inventory</x:v>
      </x:c>
      <x:c r="B11" s="124" t="n">
        <x:f>'Operating Inputs'!B$7/30*B$8</x:f>
        <x:v>92.31111111111112</x:v>
      </x:c>
      <x:c r="C11" s="124" t="n">
        <x:f>'Operating Inputs'!C$7/30*C$8</x:f>
        <x:v>92.44444444444444</x:v>
      </x:c>
      <x:c r="D11" s="124" t="n">
        <x:f>'Operating Inputs'!D$7/30*D$8</x:f>
        <x:v>89.91666666666666</x:v>
      </x:c>
      <x:c r="E11" s="124" t="n">
        <x:f>'Operating Inputs'!E$7/30*E$8</x:f>
        <x:v>90.07777777777778</x:v>
      </x:c>
      <x:c r="F11" s="124" t="n">
        <x:f>'Operating Inputs'!F$7/30*F$8</x:f>
        <x:v>88.39999999999999</x:v>
      </x:c>
      <x:c r="G11" s="124" t="n">
        <x:f>'Operating Inputs'!G$7/30*G$8</x:f>
        <x:v>88.66666666666667</x:v>
      </x:c>
      <x:c r="H11" s="124" t="n">
        <x:f>'Operating Inputs'!H$7/30*H$8</x:f>
        <x:v>91.2</x:v>
      </x:c>
      <x:c r="I11" s="124" t="n">
        <x:f>'Operating Inputs'!I$7/30*I$8</x:f>
        <x:v>93.73333333333333</x:v>
      </x:c>
      <x:c r="J11" s="124" t="n">
        <x:f>'Operating Inputs'!J$7/30*J$8</x:f>
        <x:v>96.26666666666667</x:v>
      </x:c>
      <x:c r="K11" s="124" t="n">
        <x:f>'Operating Inputs'!K$7/30*K$8</x:f>
        <x:v>98.8</x:v>
      </x:c>
      <x:c r="L11" s="124" t="n">
        <x:f>'Operating Inputs'!L$7/30*L$8</x:f>
        <x:v>100.06666666666666</x:v>
      </x:c>
      <x:c r="M11" s="124" t="n">
        <x:f>'Operating Inputs'!M$7/30*M$8</x:f>
        <x:v>103.86666666666667</x:v>
      </x:c>
    </x:row>
    <x:row r="12">
      <x:c r="A12" s="122" t="str">
        <x:v>Accounts payable</x:v>
      </x:c>
      <x:c r="B12" s="124" t="n">
        <x:f>'Operating Inputs'!B$7/30*B$9</x:f>
        <x:v>81.97777777777777</x:v>
      </x:c>
      <x:c r="C12" s="124" t="n">
        <x:f>'Operating Inputs'!C$7/30*C$9</x:f>
        <x:v>88.17777777777778</x:v>
      </x:c>
      <x:c r="D12" s="124" t="n">
        <x:f>'Operating Inputs'!D$7/30*D$9</x:f>
        <x:v>94.25</x:v>
      </x:c>
      <x:c r="E12" s="124" t="n">
        <x:f>'Operating Inputs'!E$7/30*E$9</x:f>
        <x:v>100.5</x:v>
      </x:c>
      <x:c r="F12" s="124" t="n">
        <x:f>'Operating Inputs'!F$7/30*F$9</x:f>
        <x:v>105.77777777777777</x:v>
      </x:c>
      <x:c r="G12" s="124" t="n">
        <x:f>'Operating Inputs'!G$7/30*G$9</x:f>
        <x:v>112</x:v>
      </x:c>
      <x:c r="H12" s="124" t="n">
        <x:f>'Operating Inputs'!H$7/30*H$9</x:f>
        <x:v>115.19999999999999</x:v>
      </x:c>
      <x:c r="I12" s="124" t="n">
        <x:f>'Operating Inputs'!I$7/30*I$9</x:f>
        <x:v>118.4</x:v>
      </x:c>
      <x:c r="J12" s="124" t="n">
        <x:f>'Operating Inputs'!J$7/30*J$9</x:f>
        <x:v>121.6</x:v>
      </x:c>
      <x:c r="K12" s="124" t="n">
        <x:f>'Operating Inputs'!K$7/30*K$9</x:f>
        <x:v>124.80000000000001</x:v>
      </x:c>
      <x:c r="L12" s="124" t="n">
        <x:f>'Operating Inputs'!L$7/30*L$9</x:f>
        <x:v>126.4</x:v>
      </x:c>
      <x:c r="M12" s="124" t="n">
        <x:f>'Operating Inputs'!M$7/30*M$9</x:f>
        <x:v>131.2</x:v>
      </x:c>
    </x:row>
    <x:row r="13">
      <x:c r="A13" s="125" t="str">
        <x:v>Operating net working capital</x:v>
      </x:c>
      <x:c r="B13" s="126" t="n">
        <x:f>B$10+B$11-B$12</x:f>
        <x:v>198.11111111111114</x:v>
      </x:c>
      <x:c r="C13" s="126" t="n">
        <x:f>C$10+C$11-C$12</x:f>
        <x:v>191.95555555555555</x:v>
      </x:c>
      <x:c r="D13" s="126" t="n">
        <x:f>D$10+D$11-D$12</x:f>
        <x:v>179.41666666666663</x:v>
      </x:c>
      <x:c r="E13" s="126" t="n">
        <x:f>E$10+E$11-E$12</x:f>
        <x:v>173.1777777777778</x:v>
      </x:c>
      <x:c r="F13" s="126" t="n">
        <x:f>F$10+F$11-F$12</x:f>
        <x:v>163.51111111111112</x:v>
      </x:c>
      <x:c r="G13" s="126" t="n">
        <x:f>G$10+G$11-G$12</x:f>
        <x:v>157.4666666666667</x:v>
      </x:c>
      <x:c r="H13" s="126" t="n">
        <x:f>H$10+H$11-H$12</x:f>
        <x:v>161.60000000000002</x:v>
      </x:c>
      <x:c r="I13" s="126" t="n">
        <x:f>I$10+I$11-I$12</x:f>
        <x:v>165.73333333333332</x:v>
      </x:c>
      <x:c r="J13" s="126" t="n">
        <x:f>J$10+J$11-J$12</x:f>
        <x:v>169.86666666666665</x:v>
      </x:c>
      <x:c r="K13" s="126" t="n">
        <x:f>K$10+K$11-K$12</x:f>
        <x:v>174</x:v>
      </x:c>
      <x:c r="L13" s="126" t="n">
        <x:f>L$10+L$11-L$12</x:f>
        <x:v>178.46666666666667</x:v>
      </x:c>
      <x:c r="M13" s="126" t="n">
        <x:f>M$10+M$11-M$12</x:f>
        <x:v>183.86666666666673</x:v>
      </x:c>
    </x:row>
    <x:row r="14">
      <x:c r="A14" s="122" t="str">
        <x:v>Baseline NWC</x:v>
      </x:c>
      <x:c r="B14" s="124" t="n">
        <x:f>'Operating Inputs'!B$6/30*'Operating Inputs'!B$8+'Operating Inputs'!B$7/30*'Operating Inputs'!B$9-'Operating Inputs'!B$7/30*'Operating Inputs'!B$10</x:f>
        <x:v>209.86666666666667</x:v>
      </x:c>
      <x:c r="C14" s="124" t="n">
        <x:f>'Operating Inputs'!C$6/30*'Operating Inputs'!C$8+'Operating Inputs'!C$7/30*'Operating Inputs'!C$9-'Operating Inputs'!C$7/30*'Operating Inputs'!C$10</x:f>
        <x:v>216.2</x:v>
      </x:c>
      <x:c r="D14" s="124" t="n">
        <x:f>'Operating Inputs'!D$6/30*'Operating Inputs'!D$8+'Operating Inputs'!D$7/30*'Operating Inputs'!D$9-'Operating Inputs'!D$7/30*'Operating Inputs'!D$10</x:f>
        <x:v>212.5</x:v>
      </x:c>
      <x:c r="E14" s="124" t="n">
        <x:f>'Operating Inputs'!E$6/30*'Operating Inputs'!E$8+'Operating Inputs'!E$7/30*'Operating Inputs'!E$9-'Operating Inputs'!E$7/30*'Operating Inputs'!E$10</x:f>
        <x:v>218.60000000000002</x:v>
      </x:c>
      <x:c r="F14" s="124" t="n">
        <x:f>'Operating Inputs'!F$6/30*'Operating Inputs'!F$8+'Operating Inputs'!F$7/30*'Operating Inputs'!F$9-'Operating Inputs'!F$7/30*'Operating Inputs'!F$10</x:f>
        <x:v>214.4</x:v>
      </x:c>
      <x:c r="G14" s="124" t="n">
        <x:f>'Operating Inputs'!G$6/30*'Operating Inputs'!G$8+'Operating Inputs'!G$7/30*'Operating Inputs'!G$9-'Operating Inputs'!G$7/30*'Operating Inputs'!G$10</x:f>
        <x:v>220.26666666666668</x:v>
      </x:c>
      <x:c r="H14" s="124" t="n">
        <x:f>'Operating Inputs'!H$6/30*'Operating Inputs'!H$8+'Operating Inputs'!H$7/30*'Operating Inputs'!H$9-'Operating Inputs'!H$7/30*'Operating Inputs'!H$10</x:f>
        <x:v>217.4666666666667</x:v>
      </x:c>
      <x:c r="I14" s="124" t="n">
        <x:f>'Operating Inputs'!I$6/30*'Operating Inputs'!I$8+'Operating Inputs'!I$7/30*'Operating Inputs'!I$9-'Operating Inputs'!I$7/30*'Operating Inputs'!I$10</x:f>
        <x:v>223.10000000000002</x:v>
      </x:c>
      <x:c r="J14" s="124" t="n">
        <x:f>'Operating Inputs'!J$6/30*'Operating Inputs'!J$8+'Operating Inputs'!J$7/30*'Operating Inputs'!J$9-'Operating Inputs'!J$7/30*'Operating Inputs'!J$10</x:f>
        <x:v>219.60000000000002</x:v>
      </x:c>
      <x:c r="K14" s="124" t="n">
        <x:f>'Operating Inputs'!K$6/30*'Operating Inputs'!K$8+'Operating Inputs'!K$7/30*'Operating Inputs'!K$9-'Operating Inputs'!K$7/30*'Operating Inputs'!K$10</x:f>
        <x:v>225.00000000000006</x:v>
      </x:c>
      <x:c r="L14" s="124" t="n">
        <x:f>'Operating Inputs'!L$6/30*'Operating Inputs'!L$8+'Operating Inputs'!L$7/30*'Operating Inputs'!L$9-'Operating Inputs'!L$7/30*'Operating Inputs'!L$10</x:f>
        <x:v>220.86666666666667</x:v>
      </x:c>
      <x:c r="M14" s="124" t="n">
        <x:f>'Operating Inputs'!M$6/30*'Operating Inputs'!M$8+'Operating Inputs'!M$7/30*'Operating Inputs'!M$9-'Operating Inputs'!M$7/30*'Operating Inputs'!M$10</x:f>
        <x:v>227.73333333333332</x:v>
      </x:c>
    </x:row>
    <x:row r="15">
      <x:c r="A15" s="125" t="str">
        <x:v>Cash release vs baseline</x:v>
      </x:c>
      <x:c r="B15" s="126" t="n">
        <x:f>B$14-B$13</x:f>
        <x:v>11.755555555555532</x:v>
      </x:c>
      <x:c r="C15" s="126" t="n">
        <x:f>C$14-C$13</x:f>
        <x:v>24.24444444444444</x:v>
      </x:c>
      <x:c r="D15" s="126" t="n">
        <x:f>D$14-D$13</x:f>
        <x:v>33.08333333333337</x:v>
      </x:c>
      <x:c r="E15" s="126" t="n">
        <x:f>E$14-E$13</x:f>
        <x:v>45.42222222222222</x:v>
      </x:c>
      <x:c r="F15" s="126" t="n">
        <x:f>F$14-F$13</x:f>
        <x:v>50.888888888888886</x:v>
      </x:c>
      <x:c r="G15" s="126" t="n">
        <x:f>G$14-G$13</x:f>
        <x:v>62.79999999999998</x:v>
      </x:c>
      <x:c r="H15" s="126" t="n">
        <x:f>H$14-H$13</x:f>
        <x:v>55.866666666666674</x:v>
      </x:c>
      <x:c r="I15" s="126" t="n">
        <x:f>I$14-I$13</x:f>
        <x:v>57.3666666666667</x:v>
      </x:c>
      <x:c r="J15" s="126" t="n">
        <x:f>J$14-J$13</x:f>
        <x:v>49.73333333333338</x:v>
      </x:c>
      <x:c r="K15" s="126" t="n">
        <x:f>K$14-K$13</x:f>
        <x:v>51.00000000000006</x:v>
      </x:c>
      <x:c r="L15" s="126" t="n">
        <x:f>L$14-L$13</x:f>
        <x:v>42.400000000000006</x:v>
      </x:c>
      <x:c r="M15" s="126" t="n">
        <x:f>M$14-M$13</x:f>
        <x:v>43.86666666666659</x:v>
      </x:c>
    </x:row>
    <x:row r="16">
      <x:c r="A16" s="122" t="str">
        <x:v>Cash conversion cycle</x:v>
      </x:c>
      <x:c r="B16" s="127" t="n">
        <x:f>B$7+B$8-B$9</x:f>
        <x:v>61.333333333333336</x:v>
      </x:c>
      <x:c r="C16" s="127" t="n">
        <x:f>C$7+C$8-C$9</x:f>
        <x:v>56.666666666666664</x:v>
      </x:c>
      <x:c r="D16" s="127" t="n">
        <x:f>D$7+D$8-D$9</x:f>
        <x:v>50.5</x:v>
      </x:c>
      <x:c r="E16" s="127" t="n">
        <x:f>E$7+E$8-E$9</x:f>
        <x:v>46.33333333333334</x:v>
      </x:c>
      <x:c r="F16" s="127" t="n">
        <x:f>F$7+F$8-F$9</x:f>
        <x:v>41.66666666666668</x:v>
      </x:c>
      <x:c r="G16" s="127" t="n">
        <x:f>G$7+G$8-G$9</x:f>
        <x:v>38</x:v>
      </x:c>
      <x:c r="H16" s="127" t="n">
        <x:f>H$7+H$8-H$9</x:f>
        <x:v>38</x:v>
      </x:c>
      <x:c r="I16" s="127" t="n">
        <x:f>I$7+I$8-I$9</x:f>
        <x:v>38</x:v>
      </x:c>
      <x:c r="J16" s="127" t="n">
        <x:f>J$7+J$8-J$9</x:f>
        <x:v>38</x:v>
      </x:c>
      <x:c r="K16" s="127" t="n">
        <x:f>K$7+K$8-K$9</x:f>
        <x:v>38</x:v>
      </x:c>
      <x:c r="L16" s="127" t="n">
        <x:f>L$7+L$8-L$9</x:f>
        <x:v>38</x:v>
      </x:c>
      <x:c r="M16" s="127" t="n">
        <x:f>M$7+M$8-M$9</x:f>
        <x:v>38</x:v>
      </x:c>
    </x:row>
    <x:row r="17">
      <x:c r="A17" s="128" t="str">
        <x:v>NWC component check</x:v>
      </x:c>
      <x:c r="B17" s="129" t="n">
        <x:f>B$13-B$10-B$11+B$12</x:f>
        <x:v>0</x:v>
      </x:c>
      <x:c r="C17" s="129" t="n">
        <x:f>C$13-C$10-C$11+C$12</x:f>
        <x:v>1.4210854715202004e-14</x:v>
      </x:c>
      <x:c r="D17" s="129" t="n">
        <x:f>D$13-D$10-D$11+D$12</x:f>
        <x:v>-2.842170943040401e-14</x:v>
      </x:c>
      <x:c r="E17" s="129" t="n">
        <x:f>E$13-E$10-E$11+E$12</x:f>
        <x:v>2.842170943040401e-14</x:v>
      </x:c>
      <x:c r="F17" s="129" t="n">
        <x:f>F$13-F$10-F$11+F$12</x:f>
        <x:v>1.4210854715202004e-14</x:v>
      </x:c>
      <x:c r="G17" s="129" t="n">
        <x:f>G$13-G$10-G$11+G$12</x:f>
        <x:v>1.4210854715202004e-14</x:v>
      </x:c>
      <x:c r="H17" s="129" t="n">
        <x:f>H$13-H$10-H$11+H$12</x:f>
        <x:v>1.4210854715202004e-14</x:v>
      </x:c>
      <x:c r="I17" s="129" t="n">
        <x:f>I$13-I$10-I$11+I$12</x:f>
        <x:v>-1.4210854715202004e-14</x:v>
      </x:c>
      <x:c r="J17" s="129" t="n">
        <x:f>J$13-J$10-J$11+J$12</x:f>
        <x:v>-1.4210854715202004e-14</x:v>
      </x:c>
      <x:c r="K17" s="129" t="n">
        <x:f>K$13-K$10-K$11+K$12</x:f>
        <x:v>1.4210854715202004e-14</x:v>
      </x:c>
      <x:c r="L17" s="129" t="n">
        <x:f>L$13-L$10-L$11+L$12</x:f>
        <x:v>0</x:v>
      </x:c>
      <x:c r="M17" s="129" t="n">
        <x:f>M$13-M$10-M$11+M$12</x:f>
        <x:v>2.842170943040401e-14</x:v>
      </x:c>
    </x:row>
    <x:row r="19">
      <x:c r="A19" s="42" t="str">
        <x:v>Review row definitions, sign convention, period basis, scenario mechanics, and every breakpoint before relying on the output.</x:v>
      </x:c>
      <x:c r="B19" s="43" t="str">
        <x:v>Review row definitions, sign convention, period basis, scenario mechanics, and every breakpoint before relying on the output.</x:v>
      </x:c>
      <x:c r="C19" s="43" t="str">
        <x:v>Review row definitions, sign convention, period basis, scenario mechanics, and every breakpoint before relying on the output.</x:v>
      </x:c>
      <x:c r="D19" s="43" t="str">
        <x:v>Review row definitions, sign convention, period basis, scenario mechanics, and every breakpoint before relying on the output.</x:v>
      </x:c>
      <x:c r="E19" s="43" t="str">
        <x:v>Review row definitions, sign convention, period basis, scenario mechanics, and every breakpoint before relying on the output.</x:v>
      </x:c>
      <x:c r="F19" s="43" t="str">
        <x:v>Review row definitions, sign convention, period basis, scenario mechanics, and every breakpoint before relying on the output.</x:v>
      </x:c>
      <x:c r="G19" s="43" t="str">
        <x:v>Review row definitions, sign convention, period basis, scenario mechanics, and every breakpoint before relying on the output.</x:v>
      </x:c>
      <x:c r="H19" s="43" t="str">
        <x:v>Review row definitions, sign convention, period basis, scenario mechanics, and every breakpoint before relying on the output.</x:v>
      </x:c>
      <x:c r="I19" s="43" t="str">
        <x:v>Review row definitions, sign convention, period basis, scenario mechanics, and every breakpoint before relying on the output.</x:v>
      </x:c>
      <x:c r="J19" s="43" t="str">
        <x:v>Review row definitions, sign convention, period basis, scenario mechanics, and every breakpoint before relying on the output.</x:v>
      </x:c>
      <x:c r="K19" s="43" t="str">
        <x:v>Review row definitions, sign convention, period basis, scenario mechanics, and every breakpoint before relying on the output.</x:v>
      </x:c>
      <x:c r="L19" s="43" t="str">
        <x:v>Review row definitions, sign convention, period basis, scenario mechanics, and every breakpoint before relying on the output.</x:v>
      </x:c>
      <x:c r="M19" s="44" t="str">
        <x:v>Review row definitions, sign convention, period basis, scenario mechanics, and every breakpoint before relying on the output.</x:v>
      </x:c>
    </x:row>
    <x:row r="20">
      <x:c r="A20" s="45" t="str">
        <x:v>Review row definitions, sign convention, period basis, scenario mechanics, and every breakpoint before relying on the output.</x:v>
      </x:c>
      <x:c r="B20" s="46" t="str">
        <x:v>Review row definitions, sign convention, period basis, scenario mechanics, and every breakpoint before relying on the output.</x:v>
      </x:c>
      <x:c r="C20" s="46" t="str">
        <x:v>Review row definitions, sign convention, period basis, scenario mechanics, and every breakpoint before relying on the output.</x:v>
      </x:c>
      <x:c r="D20" s="46" t="str">
        <x:v>Review row definitions, sign convention, period basis, scenario mechanics, and every breakpoint before relying on the output.</x:v>
      </x:c>
      <x:c r="E20" s="46" t="str">
        <x:v>Review row definitions, sign convention, period basis, scenario mechanics, and every breakpoint before relying on the output.</x:v>
      </x:c>
      <x:c r="F20" s="46" t="str">
        <x:v>Review row definitions, sign convention, period basis, scenario mechanics, and every breakpoint before relying on the output.</x:v>
      </x:c>
      <x:c r="G20" s="46" t="str">
        <x:v>Review row definitions, sign convention, period basis, scenario mechanics, and every breakpoint before relying on the output.</x:v>
      </x:c>
      <x:c r="H20" s="46" t="str">
        <x:v>Review row definitions, sign convention, period basis, scenario mechanics, and every breakpoint before relying on the output.</x:v>
      </x:c>
      <x:c r="I20" s="46" t="str">
        <x:v>Review row definitions, sign convention, period basis, scenario mechanics, and every breakpoint before relying on the output.</x:v>
      </x:c>
      <x:c r="J20" s="46" t="str">
        <x:v>Review row definitions, sign convention, period basis, scenario mechanics, and every breakpoint before relying on the output.</x:v>
      </x:c>
      <x:c r="K20" s="46" t="str">
        <x:v>Review row definitions, sign convention, period basis, scenario mechanics, and every breakpoint before relying on the output.</x:v>
      </x:c>
      <x:c r="L20" s="46" t="str">
        <x:v>Review row definitions, sign convention, period basis, scenario mechanics, and every breakpoint before relying on the output.</x:v>
      </x:c>
      <x:c r="M20" s="47" t="str">
        <x:v>Review row definitions, sign convention, period basis, scenario mechanics, and every breakpoint before relying on the output.</x:v>
      </x:c>
    </x:row>
    <x:row r="21">
      <x:c r="A21" s="48" t="str">
        <x:v>Review row definitions, sign convention, period basis, scenario mechanics, and every breakpoint before relying on the output.</x:v>
      </x:c>
      <x:c r="B21" s="49" t="str">
        <x:v>Review row definitions, sign convention, period basis, scenario mechanics, and every breakpoint before relying on the output.</x:v>
      </x:c>
      <x:c r="C21" s="49" t="str">
        <x:v>Review row definitions, sign convention, period basis, scenario mechanics, and every breakpoint before relying on the output.</x:v>
      </x:c>
      <x:c r="D21" s="49" t="str">
        <x:v>Review row definitions, sign convention, period basis, scenario mechanics, and every breakpoint before relying on the output.</x:v>
      </x:c>
      <x:c r="E21" s="49" t="str">
        <x:v>Review row definitions, sign convention, period basis, scenario mechanics, and every breakpoint before relying on the output.</x:v>
      </x:c>
      <x:c r="F21" s="49" t="str">
        <x:v>Review row definitions, sign convention, period basis, scenario mechanics, and every breakpoint before relying on the output.</x:v>
      </x:c>
      <x:c r="G21" s="49" t="str">
        <x:v>Review row definitions, sign convention, period basis, scenario mechanics, and every breakpoint before relying on the output.</x:v>
      </x:c>
      <x:c r="H21" s="49" t="str">
        <x:v>Review row definitions, sign convention, period basis, scenario mechanics, and every breakpoint before relying on the output.</x:v>
      </x:c>
      <x:c r="I21" s="49" t="str">
        <x:v>Review row definitions, sign convention, period basis, scenario mechanics, and every breakpoint before relying on the output.</x:v>
      </x:c>
      <x:c r="J21" s="49" t="str">
        <x:v>Review row definitions, sign convention, period basis, scenario mechanics, and every breakpoint before relying on the output.</x:v>
      </x:c>
      <x:c r="K21" s="49" t="str">
        <x:v>Review row definitions, sign convention, period basis, scenario mechanics, and every breakpoint before relying on the output.</x:v>
      </x:c>
      <x:c r="L21" s="49" t="str">
        <x:v>Review row definitions, sign convention, period basis, scenario mechanics, and every breakpoint before relying on the output.</x:v>
      </x:c>
      <x:c r="M21" s="50" t="str">
        <x:v>Review row definitions, sign convention, period basis, scenario mechanics, and every breakpoint before relying on the output.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  <x:c r="G23" s="53" t="str">
        <x:v>TDAT Model Library  |  Trust builds the brand. Insight builds the decision.</x:v>
      </x:c>
      <x:c r="H23" s="53" t="str">
        <x:v>TDAT Model Library  |  Trust builds the brand. Insight builds the decision.</x:v>
      </x:c>
      <x:c r="I23" s="53" t="str">
        <x:v>TDAT Model Library  |  Trust builds the brand. Insight builds the decision.</x:v>
      </x:c>
      <x:c r="J23" s="53" t="str">
        <x:v>TDAT Model Library  |  Trust builds the brand. Insight builds the decision.</x:v>
      </x:c>
      <x:c r="K23" s="53" t="str">
        <x:v>TDAT Model Library  |  Trust builds the brand. Insight builds the decision.</x:v>
      </x:c>
      <x:c r="L23" s="53" t="str">
        <x:v>TDAT Model Library  |  Trust builds the brand. Insight builds the decision.</x:v>
      </x:c>
      <x:c r="M23" s="53" t="str">
        <x:v>TDAT Model Library  |  Trust builds the brand. Insight builds the decision.</x:v>
      </x:c>
    </x:row>
  </x:sheetData>
  <x:mergeCells>
    <x:mergeCell ref="A1:M1"/>
    <x:mergeCell ref="A2:M2"/>
    <x:mergeCell ref="A19:M21"/>
    <x:mergeCell ref="A23:M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Working Capital Planner  |  Formula-backed decision range</x:v>
      </x:c>
      <x:c r="B2" s="6" t="str">
        <x:v>Working Capital Planner  |  Formula-backed decision range</x:v>
      </x:c>
      <x:c r="C2" s="6" t="str">
        <x:v>Working Capital Planner  |  Formula-backed decision range</x:v>
      </x:c>
      <x:c r="D2" s="6" t="str">
        <x:v>Working Capital Planner  |  Formula-backed decision range</x:v>
      </x:c>
      <x:c r="E2" s="6" t="str">
        <x:v>Working Capital Planner  |  Formula-backed decision range</x:v>
      </x:c>
      <x:c r="F2" s="6" t="str">
        <x:v>Working Capital Planner  |  Formula-backed decision range</x:v>
      </x:c>
      <x:c r="G2" s="6" t="str">
        <x:v>Working Capital Planner  |  Formula-backed decision range</x:v>
      </x:c>
      <x:c r="H2" s="6" t="str">
        <x:v>Working Capital Planner  |  Formula-backed decision range</x:v>
      </x:c>
      <x:c r="I2" s="6" t="str">
        <x:v>Working Capital Planner  |  Formula-backed decision range</x:v>
      </x:c>
      <x:c r="J2" s="6" t="str">
        <x:v>Working Capital Planner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0" t="str">
        <x:v>Year-end cash release — DSO by DPO</x:v>
      </x:c>
      <x:c r="B5" s="130" t="str">
        <x:v>Year-end cash release — DSO by DPO</x:v>
      </x:c>
      <x:c r="C5" s="130" t="str">
        <x:v>Year-end cash release — DSO by DPO</x:v>
      </x:c>
      <x:c r="D5" s="130" t="str">
        <x:v>Year-end cash release — DSO by DPO</x:v>
      </x:c>
      <x:c r="E5" s="130" t="str">
        <x:v>Year-end cash release — DSO by DPO</x:v>
      </x:c>
      <x:c r="F5" s="130" t="str">
        <x:v>Year-end cash release — DSO by DPO</x:v>
      </x:c>
      <x:c r="G5" s="130" t="str">
        <x:v>Year-end cash release — DSO by DPO</x:v>
      </x:c>
      <x:c r="H5" s="130" t="str">
        <x:v>Year-end cash release — DSO by DPO</x:v>
      </x:c>
      <x:c r="I5" s="130" t="str">
        <x:v>Year-end cash release — DSO by DPO</x:v>
      </x:c>
      <x:c r="J5" s="130" t="str">
        <x:v>Year-end cash release — DSO by DPO</x:v>
      </x:c>
    </x:row>
    <x:row r="6">
      <x:c r="A6" t="str">
        <x:v>DSO</x:v>
      </x:c>
      <x:c r="B6" t="str">
        <x:v>DPO</x:v>
      </x:c>
    </x:row>
    <x:row r="7">
      <x:c r="B7" s="71" t="n">
        <x:v>40</x:v>
      </x:c>
      <x:c r="C7" s="71" t="n">
        <x:v>44</x:v>
      </x:c>
      <x:c r="D7" s="71" t="n">
        <x:v>48</x:v>
      </x:c>
      <x:c r="E7" s="71" t="n">
        <x:v>52</x:v>
      </x:c>
      <x:c r="F7" s="71" t="n">
        <x:v>56</x:v>
      </x:c>
    </x:row>
    <x:row r="8">
      <x:c r="A8" s="71" t="n">
        <x:v>40</x:v>
      </x:c>
      <x:c r="B8" s="132" t="n">
        <x:f>('Operating Inputs'!M$6/30*'Operating Inputs'!M$8+'Operating Inputs'!M$7/30*'Operating Inputs'!M$9-'Operating Inputs'!M$7/30*'Operating Inputs'!M$10)-('Operating Inputs'!M$6/30*$A8+'Operating Inputs'!M$7/30*'Assumptions'!$F$7-'Operating Inputs'!M$7/30*B$7)</x:f>
        <x:v>57.19999999999999</x:v>
      </x:c>
      <x:c r="C8" s="132" t="n">
        <x:f>('Operating Inputs'!M$6/30*'Operating Inputs'!M$8+'Operating Inputs'!M$7/30*'Operating Inputs'!M$9-'Operating Inputs'!M$7/30*'Operating Inputs'!M$10)-('Operating Inputs'!M$6/30*$A8+'Operating Inputs'!M$7/30*'Assumptions'!$F$7-'Operating Inputs'!M$7/30*C$7)</x:f>
        <x:v>68.1333333333333</x:v>
      </x:c>
      <x:c r="D8" s="132" t="n">
        <x:f>('Operating Inputs'!M$6/30*'Operating Inputs'!M$8+'Operating Inputs'!M$7/30*'Operating Inputs'!M$9-'Operating Inputs'!M$7/30*'Operating Inputs'!M$10)-('Operating Inputs'!M$6/30*$A8+'Operating Inputs'!M$7/30*'Assumptions'!$F$7-'Operating Inputs'!M$7/30*D$7)</x:f>
        <x:v>79.06666666666663</x:v>
      </x:c>
      <x:c r="E8" s="132" t="n">
        <x:f>('Operating Inputs'!M$6/30*'Operating Inputs'!M$8+'Operating Inputs'!M$7/30*'Operating Inputs'!M$9-'Operating Inputs'!M$7/30*'Operating Inputs'!M$10)-('Operating Inputs'!M$6/30*$A8+'Operating Inputs'!M$7/30*'Assumptions'!$F$7-'Operating Inputs'!M$7/30*E$7)</x:f>
        <x:v>89.99999999999997</x:v>
      </x:c>
      <x:c r="F8" s="132" t="n">
        <x:f>('Operating Inputs'!M$6/30*'Operating Inputs'!M$8+'Operating Inputs'!M$7/30*'Operating Inputs'!M$9-'Operating Inputs'!M$7/30*'Operating Inputs'!M$10)-('Operating Inputs'!M$6/30*$A8+'Operating Inputs'!M$7/30*'Assumptions'!$F$7-'Operating Inputs'!M$7/30*F$7)</x:f>
        <x:v>100.93333333333331</x:v>
      </x:c>
    </x:row>
    <x:row r="9">
      <x:c r="A9" s="71" t="n">
        <x:v>44</x:v>
      </x:c>
      <x:c r="B9" s="132" t="n">
        <x:f>('Operating Inputs'!M$6/30*'Operating Inputs'!M$8+'Operating Inputs'!M$7/30*'Operating Inputs'!M$9-'Operating Inputs'!M$7/30*'Operating Inputs'!M$10)-('Operating Inputs'!M$6/30*$A9+'Operating Inputs'!M$7/30*'Assumptions'!$F$7-'Operating Inputs'!M$7/30*B$7)</x:f>
        <x:v>39.599999999999966</x:v>
      </x:c>
      <x:c r="C9" s="132" t="n">
        <x:f>('Operating Inputs'!M$6/30*'Operating Inputs'!M$8+'Operating Inputs'!M$7/30*'Operating Inputs'!M$9-'Operating Inputs'!M$7/30*'Operating Inputs'!M$10)-('Operating Inputs'!M$6/30*$A9+'Operating Inputs'!M$7/30*'Assumptions'!$F$7-'Operating Inputs'!M$7/30*C$7)</x:f>
        <x:v>50.533333333333275</x:v>
      </x:c>
      <x:c r="D9" s="132" t="n">
        <x:f>('Operating Inputs'!M$6/30*'Operating Inputs'!M$8+'Operating Inputs'!M$7/30*'Operating Inputs'!M$9-'Operating Inputs'!M$7/30*'Operating Inputs'!M$10)-('Operating Inputs'!M$6/30*$A9+'Operating Inputs'!M$7/30*'Assumptions'!$F$7-'Operating Inputs'!M$7/30*D$7)</x:f>
        <x:v>61.46666666666661</x:v>
      </x:c>
      <x:c r="E9" s="132" t="n">
        <x:f>('Operating Inputs'!M$6/30*'Operating Inputs'!M$8+'Operating Inputs'!M$7/30*'Operating Inputs'!M$9-'Operating Inputs'!M$7/30*'Operating Inputs'!M$10)-('Operating Inputs'!M$6/30*$A9+'Operating Inputs'!M$7/30*'Assumptions'!$F$7-'Operating Inputs'!M$7/30*E$7)</x:f>
        <x:v>72.39999999999995</x:v>
      </x:c>
      <x:c r="F9" s="132" t="n">
        <x:f>('Operating Inputs'!M$6/30*'Operating Inputs'!M$8+'Operating Inputs'!M$7/30*'Operating Inputs'!M$9-'Operating Inputs'!M$7/30*'Operating Inputs'!M$10)-('Operating Inputs'!M$6/30*$A9+'Operating Inputs'!M$7/30*'Assumptions'!$F$7-'Operating Inputs'!M$7/30*F$7)</x:f>
        <x:v>83.33333333333329</x:v>
      </x:c>
    </x:row>
    <x:row r="10">
      <x:c r="A10" s="71" t="n">
        <x:v>48</x:v>
      </x:c>
      <x:c r="B10" s="132" t="n">
        <x:f>('Operating Inputs'!M$6/30*'Operating Inputs'!M$8+'Operating Inputs'!M$7/30*'Operating Inputs'!M$9-'Operating Inputs'!M$7/30*'Operating Inputs'!M$10)-('Operating Inputs'!M$6/30*$A10+'Operating Inputs'!M$7/30*'Assumptions'!$F$7-'Operating Inputs'!M$7/30*B$7)</x:f>
        <x:v>21.999999999999943</x:v>
      </x:c>
      <x:c r="C10" s="132" t="n">
        <x:f>('Operating Inputs'!M$6/30*'Operating Inputs'!M$8+'Operating Inputs'!M$7/30*'Operating Inputs'!M$9-'Operating Inputs'!M$7/30*'Operating Inputs'!M$10)-('Operating Inputs'!M$6/30*$A10+'Operating Inputs'!M$7/30*'Assumptions'!$F$7-'Operating Inputs'!M$7/30*C$7)</x:f>
        <x:v>32.93333333333325</x:v>
      </x:c>
      <x:c r="D10" s="132" t="n">
        <x:f>('Operating Inputs'!M$6/30*'Operating Inputs'!M$8+'Operating Inputs'!M$7/30*'Operating Inputs'!M$9-'Operating Inputs'!M$7/30*'Operating Inputs'!M$10)-('Operating Inputs'!M$6/30*$A10+'Operating Inputs'!M$7/30*'Assumptions'!$F$7-'Operating Inputs'!M$7/30*D$7)</x:f>
        <x:v>43.86666666666659</x:v>
      </x:c>
      <x:c r="E10" s="132" t="n">
        <x:f>('Operating Inputs'!M$6/30*'Operating Inputs'!M$8+'Operating Inputs'!M$7/30*'Operating Inputs'!M$9-'Operating Inputs'!M$7/30*'Operating Inputs'!M$10)-('Operating Inputs'!M$6/30*$A10+'Operating Inputs'!M$7/30*'Assumptions'!$F$7-'Operating Inputs'!M$7/30*E$7)</x:f>
        <x:v>54.799999999999926</x:v>
      </x:c>
      <x:c r="F10" s="132" t="n">
        <x:f>('Operating Inputs'!M$6/30*'Operating Inputs'!M$8+'Operating Inputs'!M$7/30*'Operating Inputs'!M$9-'Operating Inputs'!M$7/30*'Operating Inputs'!M$10)-('Operating Inputs'!M$6/30*$A10+'Operating Inputs'!M$7/30*'Assumptions'!$F$7-'Operating Inputs'!M$7/30*F$7)</x:f>
        <x:v>65.73333333333326</x:v>
      </x:c>
    </x:row>
    <x:row r="11">
      <x:c r="A11" s="71" t="n">
        <x:v>52</x:v>
      </x:c>
      <x:c r="B11" s="132" t="n">
        <x:f>('Operating Inputs'!M$6/30*'Operating Inputs'!M$8+'Operating Inputs'!M$7/30*'Operating Inputs'!M$9-'Operating Inputs'!M$7/30*'Operating Inputs'!M$10)-('Operating Inputs'!M$6/30*$A11+'Operating Inputs'!M$7/30*'Assumptions'!$F$7-'Operating Inputs'!M$7/30*B$7)</x:f>
        <x:v>4.399999999999977</x:v>
      </x:c>
      <x:c r="C11" s="132" t="n">
        <x:f>('Operating Inputs'!M$6/30*'Operating Inputs'!M$8+'Operating Inputs'!M$7/30*'Operating Inputs'!M$9-'Operating Inputs'!M$7/30*'Operating Inputs'!M$10)-('Operating Inputs'!M$6/30*$A11+'Operating Inputs'!M$7/30*'Assumptions'!$F$7-'Operating Inputs'!M$7/30*C$7)</x:f>
        <x:v>15.333333333333286</x:v>
      </x:c>
      <x:c r="D11" s="132" t="n">
        <x:f>('Operating Inputs'!M$6/30*'Operating Inputs'!M$8+'Operating Inputs'!M$7/30*'Operating Inputs'!M$9-'Operating Inputs'!M$7/30*'Operating Inputs'!M$10)-('Operating Inputs'!M$6/30*$A11+'Operating Inputs'!M$7/30*'Assumptions'!$F$7-'Operating Inputs'!M$7/30*D$7)</x:f>
        <x:v>26.266666666666623</x:v>
      </x:c>
      <x:c r="E11" s="132" t="n">
        <x:f>('Operating Inputs'!M$6/30*'Operating Inputs'!M$8+'Operating Inputs'!M$7/30*'Operating Inputs'!M$9-'Operating Inputs'!M$7/30*'Operating Inputs'!M$10)-('Operating Inputs'!M$6/30*$A11+'Operating Inputs'!M$7/30*'Assumptions'!$F$7-'Operating Inputs'!M$7/30*E$7)</x:f>
        <x:v>37.19999999999996</x:v>
      </x:c>
      <x:c r="F11" s="132" t="n">
        <x:f>('Operating Inputs'!M$6/30*'Operating Inputs'!M$8+'Operating Inputs'!M$7/30*'Operating Inputs'!M$9-'Operating Inputs'!M$7/30*'Operating Inputs'!M$10)-('Operating Inputs'!M$6/30*$A11+'Operating Inputs'!M$7/30*'Assumptions'!$F$7-'Operating Inputs'!M$7/30*F$7)</x:f>
        <x:v>48.1333333333333</x:v>
      </x:c>
    </x:row>
    <x:row r="12">
      <x:c r="A12" s="71" t="n">
        <x:v>56</x:v>
      </x:c>
      <x:c r="B12" s="132" t="n">
        <x:f>('Operating Inputs'!M$6/30*'Operating Inputs'!M$8+'Operating Inputs'!M$7/30*'Operating Inputs'!M$9-'Operating Inputs'!M$7/30*'Operating Inputs'!M$10)-('Operating Inputs'!M$6/30*$A12+'Operating Inputs'!M$7/30*'Assumptions'!$F$7-'Operating Inputs'!M$7/30*B$7)</x:f>
        <x:v>-13.200000000000045</x:v>
      </x:c>
      <x:c r="C12" s="132" t="n">
        <x:f>('Operating Inputs'!M$6/30*'Operating Inputs'!M$8+'Operating Inputs'!M$7/30*'Operating Inputs'!M$9-'Operating Inputs'!M$7/30*'Operating Inputs'!M$10)-('Operating Inputs'!M$6/30*$A12+'Operating Inputs'!M$7/30*'Assumptions'!$F$7-'Operating Inputs'!M$7/30*C$7)</x:f>
        <x:v>-2.2666666666667368</x:v>
      </x:c>
      <x:c r="D12" s="132" t="n">
        <x:f>('Operating Inputs'!M$6/30*'Operating Inputs'!M$8+'Operating Inputs'!M$7/30*'Operating Inputs'!M$9-'Operating Inputs'!M$7/30*'Operating Inputs'!M$10)-('Operating Inputs'!M$6/30*$A12+'Operating Inputs'!M$7/30*'Assumptions'!$F$7-'Operating Inputs'!M$7/30*D$7)</x:f>
        <x:v>8.6666666666666</x:v>
      </x:c>
      <x:c r="E12" s="132" t="n">
        <x:f>('Operating Inputs'!M$6/30*'Operating Inputs'!M$8+'Operating Inputs'!M$7/30*'Operating Inputs'!M$9-'Operating Inputs'!M$7/30*'Operating Inputs'!M$10)-('Operating Inputs'!M$6/30*$A12+'Operating Inputs'!M$7/30*'Assumptions'!$F$7-'Operating Inputs'!M$7/30*E$7)</x:f>
        <x:v>19.599999999999937</x:v>
      </x:c>
      <x:c r="F12" s="132" t="n">
        <x:f>('Operating Inputs'!M$6/30*'Operating Inputs'!M$8+'Operating Inputs'!M$7/30*'Operating Inputs'!M$9-'Operating Inputs'!M$7/30*'Operating Inputs'!M$10)-('Operating Inputs'!M$6/30*$A12+'Operating Inputs'!M$7/30*'Assumptions'!$F$7-'Operating Inputs'!M$7/30*F$7)</x:f>
        <x:v>30.533333333333275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42" t="str">
        <x:v>Base</x:v>
      </x:c>
      <x:c r="B18" s="143" t="str">
        <x:v>Most likely operating and finance assumptions.</x:v>
      </x:c>
      <x:c r="C18" s="143" t="str">
        <x:v>Base</x:v>
      </x:c>
      <x:c r="D18" s="144" t="str">
        <x:v>What must be true for the base case to hold?</x:v>
      </x:c>
    </x:row>
    <x:row r="19">
      <x:c r="A19" s="145" t="str">
        <x:v>Upside</x:v>
      </x:c>
      <x:c r="B19" s="146" t="str">
        <x:v>Stronger performance, faster conversion, or lower risk/cost.</x:v>
      </x:c>
      <x:c r="C19" s="146" t="str">
        <x:v>Upside</x:v>
      </x:c>
      <x:c r="D19" s="147" t="str">
        <x:v>Which actions unlock the upside?</x:v>
      </x:c>
    </x:row>
    <x:row r="20">
      <x:c r="A20" s="148" t="str">
        <x:v>Downside</x:v>
      </x:c>
      <x:c r="B20" s="149" t="str">
        <x:v>Slower activity, weaker conversion, or higher risk/cost.</x:v>
      </x:c>
      <x:c r="C20" s="149" t="str">
        <x:v>Downside</x:v>
      </x:c>
      <x:c r="D20" s="150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Working Capital Planner  |  Decision outputs, trend, breakpoints, and action prompts</x:v>
      </x:c>
      <x:c r="B2" s="6" t="str">
        <x:v>Working Capital Planner  |  Decision outputs, trend, breakpoints, and action prompts</x:v>
      </x:c>
      <x:c r="C2" s="6" t="str">
        <x:v>Working Capital Planner  |  Decision outputs, trend, breakpoints, and action prompts</x:v>
      </x:c>
      <x:c r="D2" s="6" t="str">
        <x:v>Working Capital Planner  |  Decision outputs, trend, breakpoints, and action prompts</x:v>
      </x:c>
      <x:c r="E2" s="6" t="str">
        <x:v>Working Capital Planner  |  Decision outputs, trend, breakpoints, and action prompts</x:v>
      </x:c>
      <x:c r="F2" s="6" t="str">
        <x:v>Working Capital Planner  |  Decision outputs, trend, breakpoints, and action prompts</x:v>
      </x:c>
      <x:c r="G2" s="6" t="str">
        <x:v>Working Capital Planner  |  Decision outputs, trend, breakpoints, and action prompts</x:v>
      </x:c>
      <x:c r="H2" s="6" t="str">
        <x:v>Working Capital Planner  |  Decision outputs, trend, breakpoints, and action prompts</x:v>
      </x:c>
      <x:c r="I2" s="6" t="str">
        <x:v>Working Capital Planner  |  Decision outputs, trend, breakpoints, and action prompts</x:v>
      </x:c>
      <x:c r="J2" s="6" t="str">
        <x:v>Working Capital Planner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52" t="str">
        <x:v>YEAR-END CASH RELEASE</x:v>
      </x:c>
      <x:c r="B5" s="152" t="str">
        <x:v>YEAR-END CASH RELEASE</x:v>
      </x:c>
      <x:c r="C5" s="152" t="str">
        <x:v>YEAR-END CASH RELEASE</x:v>
      </x:c>
      <x:c r="D5" s="152" t="str">
        <x:v>YEAR-END NWC</x:v>
      </x:c>
      <x:c r="E5" s="152" t="str">
        <x:v>YEAR-END NWC</x:v>
      </x:c>
      <x:c r="F5" s="152" t="str">
        <x:v>YEAR-END NWC</x:v>
      </x:c>
      <x:c r="G5" s="152" t="str">
        <x:v>YEAR-END CCC</x:v>
      </x:c>
      <x:c r="H5" s="152" t="str">
        <x:v>YEAR-END CCC</x:v>
      </x:c>
      <x:c r="I5" s="152" t="str">
        <x:v>YEAR-END CCC</x:v>
      </x:c>
      <x:c r="J5" s="166" t="str">
        <x:v>MODEL STATUS</x:v>
      </x:c>
    </x:row>
    <x:row r="6">
      <x:c r="A6" s="156" t="n">
        <x:f>'Working Capital'!M$15</x:f>
        <x:v>43.86666666666659</x:v>
      </x:c>
      <x:c r="B6" s="156"/>
      <x:c r="C6" s="156"/>
      <x:c r="D6" s="160" t="n">
        <x:f>'Working Capital'!M$13</x:f>
        <x:v>183.86666666666673</x:v>
      </x:c>
      <x:c r="E6" s="160"/>
      <x:c r="F6" s="160"/>
      <x:c r="G6" s="164" t="n">
        <x:f>'Working Capital'!M$16</x:f>
        <x:v>38</x:v>
      </x:c>
      <x:c r="H6" s="164"/>
      <x:c r="I6" s="164"/>
      <x:c r="J6" s="170" t="str">
        <x:f>'Checks'!$B$5</x:f>
        <x:v>PASS</x:v>
      </x:c>
    </x:row>
    <x:row r="7">
      <x:c r="A7" s="156"/>
      <x:c r="B7" s="156"/>
      <x:c r="C7" s="156"/>
      <x:c r="D7" s="160"/>
      <x:c r="E7" s="160"/>
      <x:c r="F7" s="160"/>
      <x:c r="G7" s="164"/>
      <x:c r="H7" s="164"/>
      <x:c r="I7" s="164"/>
      <x:c r="J7" s="170"/>
    </x:row>
    <x:row r="9">
      <x:c r="A9" s="152" t="str">
        <x:v>MODELED DSO</x:v>
      </x:c>
      <x:c r="B9" s="152" t="str">
        <x:v>MODELED DSO</x:v>
      </x:c>
      <x:c r="C9" s="152" t="str">
        <x:v>MODELED DSO</x:v>
      </x:c>
      <x:c r="D9" s="152" t="str">
        <x:v>MODELED DIO</x:v>
      </x:c>
      <x:c r="E9" s="152" t="str">
        <x:v>MODELED DIO</x:v>
      </x:c>
      <x:c r="F9" s="152" t="str">
        <x:v>MODELED DIO</x:v>
      </x:c>
      <x:c r="G9" s="152" t="str">
        <x:v>MODELED DPO</x:v>
      </x:c>
      <x:c r="H9" s="152" t="str">
        <x:v>MODELED DPO</x:v>
      </x:c>
      <x:c r="I9" s="152" t="str">
        <x:v>MODELED DPO</x:v>
      </x:c>
      <x:c r="J9" s="166" t="str">
        <x:v>SCENARIO</x:v>
      </x:c>
    </x:row>
    <x:row r="10">
      <x:c r="A10" s="164" t="n">
        <x:f>'Working Capital'!M$7</x:f>
        <x:v>48</x:v>
      </x:c>
      <x:c r="B10" s="164"/>
      <x:c r="C10" s="164"/>
      <x:c r="D10" s="164" t="n">
        <x:f>'Working Capital'!M$8</x:f>
        <x:v>38</x:v>
      </x:c>
      <x:c r="E10" s="164"/>
      <x:c r="F10" s="164"/>
      <x:c r="G10" s="164" t="n">
        <x:f>'Working Capital'!M$9</x:f>
        <x:v>48</x:v>
      </x:c>
      <x:c r="H10" s="164"/>
      <x:c r="I10" s="164"/>
      <x:c r="J10" s="173" t="str">
        <x:f>'Assumptions'!$B$3</x:f>
        <x:v>Base</x:v>
      </x:c>
    </x:row>
    <x:row r="11">
      <x:c r="A11" s="164"/>
      <x:c r="B11" s="164"/>
      <x:c r="C11" s="164"/>
      <x:c r="D11" s="164"/>
      <x:c r="E11" s="164"/>
      <x:c r="F11" s="164"/>
      <x:c r="G11" s="164"/>
      <x:c r="H11" s="164"/>
      <x:c r="I11" s="164"/>
      <x:c r="J11" s="173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Baseline NWC</x:v>
      </x:c>
      <x:c r="C15" s="68" t="str">
        <x:v>Operating net working capital</x:v>
      </x:c>
    </x:row>
    <x:row r="16">
      <x:c r="A16" t="str">
        <x:v>Jan</x:v>
      </x:c>
      <x:c r="B16" s="175" t="n">
        <x:f>'Working Capital'!B$14</x:f>
        <x:v>209.86666666666667</x:v>
      </x:c>
      <x:c r="C16" s="175" t="n">
        <x:f>'Working Capital'!B$13</x:f>
        <x:v>198.11111111111114</x:v>
      </x:c>
    </x:row>
    <x:row r="17">
      <x:c r="A17" t="str">
        <x:v>Feb</x:v>
      </x:c>
      <x:c r="B17" s="175" t="n">
        <x:f>'Working Capital'!C$14</x:f>
        <x:v>216.2</x:v>
      </x:c>
      <x:c r="C17" s="175" t="n">
        <x:f>'Working Capital'!C$13</x:f>
        <x:v>191.95555555555555</x:v>
      </x:c>
    </x:row>
    <x:row r="18">
      <x:c r="A18" t="str">
        <x:v>Mar</x:v>
      </x:c>
      <x:c r="B18" s="175" t="n">
        <x:f>'Working Capital'!D$14</x:f>
        <x:v>212.5</x:v>
      </x:c>
      <x:c r="C18" s="175" t="n">
        <x:f>'Working Capital'!D$13</x:f>
        <x:v>179.41666666666663</x:v>
      </x:c>
    </x:row>
    <x:row r="19">
      <x:c r="A19" t="str">
        <x:v>Apr</x:v>
      </x:c>
      <x:c r="B19" s="175" t="n">
        <x:f>'Working Capital'!E$14</x:f>
        <x:v>218.60000000000002</x:v>
      </x:c>
      <x:c r="C19" s="175" t="n">
        <x:f>'Working Capital'!E$13</x:f>
        <x:v>173.1777777777778</x:v>
      </x:c>
    </x:row>
    <x:row r="20">
      <x:c r="A20" t="str">
        <x:v>May</x:v>
      </x:c>
      <x:c r="B20" s="175" t="n">
        <x:f>'Working Capital'!F$14</x:f>
        <x:v>214.4</x:v>
      </x:c>
      <x:c r="C20" s="175" t="n">
        <x:f>'Working Capital'!F$13</x:f>
        <x:v>163.51111111111112</x:v>
      </x:c>
    </x:row>
    <x:row r="21">
      <x:c r="A21" t="str">
        <x:v>Jun</x:v>
      </x:c>
      <x:c r="B21" s="175" t="n">
        <x:f>'Working Capital'!G$14</x:f>
        <x:v>220.26666666666668</x:v>
      </x:c>
      <x:c r="C21" s="175" t="n">
        <x:f>'Working Capital'!G$13</x:f>
        <x:v>157.4666666666667</x:v>
      </x:c>
    </x:row>
    <x:row r="22">
      <x:c r="A22" t="str">
        <x:v>Jul</x:v>
      </x:c>
      <x:c r="B22" s="175" t="n">
        <x:f>'Working Capital'!H$14</x:f>
        <x:v>217.4666666666667</x:v>
      </x:c>
      <x:c r="C22" s="175" t="n">
        <x:f>'Working Capital'!H$13</x:f>
        <x:v>161.60000000000002</x:v>
      </x:c>
    </x:row>
    <x:row r="23">
      <x:c r="A23" t="str">
        <x:v>Aug</x:v>
      </x:c>
      <x:c r="B23" s="175" t="n">
        <x:f>'Working Capital'!I$14</x:f>
        <x:v>223.10000000000002</x:v>
      </x:c>
      <x:c r="C23" s="175" t="n">
        <x:f>'Working Capital'!I$13</x:f>
        <x:v>165.73333333333332</x:v>
      </x:c>
    </x:row>
    <x:row r="24">
      <x:c r="A24" t="str">
        <x:v>Sep</x:v>
      </x:c>
      <x:c r="B24" s="175" t="n">
        <x:f>'Working Capital'!J$14</x:f>
        <x:v>219.60000000000002</x:v>
      </x:c>
      <x:c r="C24" s="175" t="n">
        <x:f>'Working Capital'!J$13</x:f>
        <x:v>169.86666666666665</x:v>
      </x:c>
    </x:row>
    <x:row r="25">
      <x:c r="A25" t="str">
        <x:v>Oct</x:v>
      </x:c>
      <x:c r="B25" s="175" t="n">
        <x:f>'Working Capital'!K$14</x:f>
        <x:v>225.00000000000006</x:v>
      </x:c>
      <x:c r="C25" s="175" t="n">
        <x:f>'Working Capital'!K$13</x:f>
        <x:v>174</x:v>
      </x:c>
    </x:row>
    <x:row r="26">
      <x:c r="A26" t="str">
        <x:v>Nov</x:v>
      </x:c>
      <x:c r="B26" s="175" t="n">
        <x:f>'Working Capital'!L$14</x:f>
        <x:v>220.86666666666667</x:v>
      </x:c>
      <x:c r="C26" s="175" t="n">
        <x:f>'Working Capital'!L$13</x:f>
        <x:v>178.46666666666667</x:v>
      </x:c>
    </x:row>
    <x:row r="27">
      <x:c r="A27" t="str">
        <x:v>Dec</x:v>
      </x:c>
      <x:c r="B27" s="175" t="n">
        <x:f>'Working Capital'!M$14</x:f>
        <x:v>227.73333333333332</x:v>
      </x:c>
      <x:c r="C27" s="175" t="n">
        <x:f>'Working Capital'!M$13</x:f>
        <x:v>183.86666666666673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How much cash can be released through DSO, DIO, and DPO actions?</x:v>
      </x:c>
      <x:c r="C32" s="17" t="str"/>
      <x:c r="D32" s="17" t="str"/>
      <x:c r="E32" s="17" t="str"/>
      <x:c r="F32" s="17" t="str"/>
      <x:c r="G32" s="17" t="str"/>
      <x:c r="H32" s="177" t="str">
        <x:v>Decision owner</x:v>
      </x:c>
      <x:c r="I32" s="177" t="str"/>
      <x:c r="J32" s="177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77" t="str">
        <x:v>Finance / business owner</x:v>
      </x:c>
      <x:c r="I33" s="177" t="str"/>
      <x:c r="J33" s="177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77" t="str">
        <x:v>Finance leader</x:v>
      </x:c>
      <x:c r="I34" s="177" t="str"/>
      <x:c r="J34" s="177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77" t="str">
        <x:v>Model owner</x:v>
      </x:c>
      <x:c r="I35" s="177" t="str"/>
      <x:c r="J35" s="177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77" t="str">
        <x:v>Reviewer</x:v>
      </x:c>
      <x:c r="I36" s="177" t="str"/>
      <x:c r="J36" s="177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77" t="str">
        <x:v>Action owner</x:v>
      </x:c>
      <x:c r="I37" s="177" t="str"/>
      <x:c r="J37" s="177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081c99476b5b479d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Working Capital Planner  |  One assertion per row — investigate every FAIL</x:v>
      </x:c>
      <x:c r="B2" s="6" t="str">
        <x:v>Working Capital Planner  |  One assertion per row — investigate every FAIL</x:v>
      </x:c>
      <x:c r="C2" s="6" t="str">
        <x:v>Working Capital Planner  |  One assertion per row — investigate every FAIL</x:v>
      </x:c>
      <x:c r="D2" s="6" t="str">
        <x:v>Working Capital Planner  |  One assertion per row — investigate every FAIL</x:v>
      </x:c>
      <x:c r="E2" s="6" t="str">
        <x:v>Working Capital Planner  |  One assertion per row — investigate every FAIL</x:v>
      </x:c>
      <x:c r="F2" s="6" t="str">
        <x:v>Working Capital Planner  |  One assertion per row — investigate every FAIL</x:v>
      </x:c>
      <x:c r="G2" s="6" t="str">
        <x:v>Working Capital Planner  |  One assertion per row — investigate every FAIL</x:v>
      </x:c>
      <x:c r="H2" s="6" t="str">
        <x:v>Working Capital Planner  |  One assertion per row — investigate every FAIL</x:v>
      </x:c>
      <x:c r="I2" s="6" t="str">
        <x:v>Working Capital Planner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79" t="str">
        <x:f>IF(COUNTIF(G8:G18,"FAIL")=0,"PASS","FAIL")</x:f>
        <x:v>PASS</x:v>
      </x:c>
      <x:c r="C5" s="179"/>
      <x:c r="D5" s="181" t="str">
        <x:v>Published controls: 11. PASS means the listed calculations tie within tolerance; source and decision readiness remain separate.</x:v>
      </x:c>
      <x:c r="E5" s="181" t="str">
        <x:v>Published controls: 11. PASS means the listed calculations tie within tolerance; source and decision readiness remain separate.</x:v>
      </x:c>
      <x:c r="F5" s="181" t="str">
        <x:v>Published controls: 11. PASS means the listed calculations tie within tolerance; source and decision readiness remain separate.</x:v>
      </x:c>
      <x:c r="G5" s="181" t="str">
        <x:v>Published controls: 11. PASS means the listed calculations tie within tolerance; source and decision readiness remain separate.</x:v>
      </x:c>
      <x:c r="H5" s="181" t="str">
        <x:v>Published controls: 11. PASS means the listed calculations tie within tolerance; source and decision readiness remain separate.</x:v>
      </x:c>
      <x:c r="I5" s="181" t="str">
        <x:v>Published controls: 11.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2" t="str">
        <x:v>NWC components tie</x:v>
      </x:c>
      <x:c r="B8" s="192" t="str">
        <x:v>Model</x:v>
      </x:c>
      <x:c r="C8" s="193" t="n">
        <x:f>SUM('Working Capital'!B17:M17)</x:f>
        <x:v>7.105427357601002e-14</x:v>
      </x:c>
      <x:c r="D8" s="193" t="n">
        <x:v>0</x:v>
      </x:c>
      <x:c r="E8" s="193" t="n">
        <x:f>C8-D8</x:f>
        <x:v>7.105427357601002e-14</x:v>
      </x:c>
      <x:c r="F8" s="193" t="n">
        <x:v>0.01</x:v>
      </x:c>
      <x:c r="G8" s="194" t="str">
        <x:f>IF(ABS(E8)&lt;=F8,"PASS","FAIL")</x:f>
        <x:v>PASS</x:v>
      </x:c>
      <x:c r="H8" s="195" t="str">
        <x:v>Working Capital — NWC</x:v>
      </x:c>
      <x:c r="I8" s="195" t="str">
        <x:v>AR plus inventory less AP equals NWC.</x:v>
      </x:c>
    </x:row>
    <x:row r="9">
      <x:c r="A9" s="196" t="str">
        <x:v>Implementation phase is capped at 100%</x:v>
      </x:c>
      <x:c r="B9" s="196" t="str">
        <x:v>Model</x:v>
      </x:c>
      <x:c r="C9" s="197" t="n">
        <x:f>MAX(0,MAX('Working Capital'!B6:M6)-1)</x:f>
        <x:v>0</x:v>
      </x:c>
      <x:c r="D9" s="197" t="n">
        <x:v>0</x:v>
      </x:c>
      <x:c r="E9" s="197" t="n">
        <x:f>C9-D9</x:f>
        <x:v>0</x:v>
      </x:c>
      <x:c r="F9" s="197" t="n">
        <x:v>0.0001</x:v>
      </x:c>
      <x:c r="G9" s="198" t="str">
        <x:f>IF(ABS(E9)&lt;=F9,"PASS","FAIL")</x:f>
        <x:v>PASS</x:v>
      </x:c>
      <x:c r="H9" s="199" t="str">
        <x:v>Working Capital — phase</x:v>
      </x:c>
      <x:c r="I9" s="199" t="str">
        <x:v>Phase-in cannot exceed 100%.</x:v>
      </x:c>
    </x:row>
    <x:row r="10">
      <x:c r="A10" s="196" t="str">
        <x:v>Modeled day drivers are non-negative</x:v>
      </x:c>
      <x:c r="B10" s="196" t="str">
        <x:v>Model</x:v>
      </x:c>
      <x:c r="C10" s="200" t="n">
        <x:f>MAX(0,-MIN(MIN('Working Capital'!B7:M7),MIN('Working Capital'!B8:M8),MIN('Working Capital'!B9:M9)))</x:f>
        <x:v>0</x:v>
      </x:c>
      <x:c r="D10" s="200" t="n">
        <x:v>0</x:v>
      </x:c>
      <x:c r="E10" s="200" t="n">
        <x:f>C10-D10</x:f>
        <x:v>0</x:v>
      </x:c>
      <x:c r="F10" s="200" t="n">
        <x:v>0.01</x:v>
      </x:c>
      <x:c r="G10" s="198" t="str">
        <x:f>IF(ABS(E10)&lt;=F10,"PASS","FAIL")</x:f>
        <x:v>PASS</x:v>
      </x:c>
      <x:c r="H10" s="199" t="str">
        <x:v>Assumptions / Working Capital</x:v>
      </x:c>
      <x:c r="I10" s="199" t="str">
        <x:v>Days must be within approved policy bounds.</x:v>
      </x:c>
    </x:row>
    <x:row r="11">
      <x:c r="A11" s="196" t="str">
        <x:v>Cash release bridge ties</x:v>
      </x:c>
      <x:c r="B11" s="196" t="str">
        <x:v>Model</x:v>
      </x:c>
      <x:c r="C11" s="201" t="n">
        <x:f>'Working Capital'!M$15-('Working Capital'!M$14-'Working Capital'!M$13)</x:f>
        <x:v>0</x:v>
      </x:c>
      <x:c r="D11" s="201" t="n">
        <x:v>0</x:v>
      </x:c>
      <x:c r="E11" s="201" t="n">
        <x:f>C11-D11</x:f>
        <x:v>0</x:v>
      </x:c>
      <x:c r="F11" s="201" t="n">
        <x:v>0.01</x:v>
      </x:c>
      <x:c r="G11" s="198" t="str">
        <x:f>IF(ABS(E11)&lt;=F11,"PASS","FAIL")</x:f>
        <x:v>PASS</x:v>
      </x:c>
      <x:c r="H11" s="199" t="str">
        <x:v>Working Capital — cash release</x:v>
      </x:c>
      <x:c r="I11" s="199" t="str">
        <x:v>Baseline less modeled NWC equals cash release.</x:v>
      </x:c>
    </x:row>
    <x:row r="12">
      <x:c r="A12" s="196" t="str">
        <x:v>Scenario selector is valid</x:v>
      </x:c>
      <x:c r="B12" s="196" t="str">
        <x:v>Current</x:v>
      </x:c>
      <x:c r="C12" s="202" t="n">
        <x:f>COUNTIF('Assumptions'!$C$5:$E$5,'Assumptions'!$B$3)</x:f>
        <x:v>1</x:v>
      </x:c>
      <x:c r="D12" s="202" t="n">
        <x:v>1</x:v>
      </x:c>
      <x:c r="E12" s="202" t="n">
        <x:f>C12-D12</x:f>
        <x:v>0</x:v>
      </x:c>
      <x:c r="F12" s="202" t="n">
        <x:v>0</x:v>
      </x:c>
      <x:c r="G12" s="198" t="str">
        <x:f>IF(ABS(E12)&lt;=F12,"PASS","FAIL")</x:f>
        <x:v>PASS</x:v>
      </x:c>
      <x:c r="H12" s="199" t="str">
        <x:v>Assumptions B3</x:v>
      </x:c>
      <x:c r="I12" s="199" t="str">
        <x:v>Base, Upside, or Downside only.</x:v>
      </x:c>
    </x:row>
    <x:row r="13">
      <x:c r="A13" s="196" t="str">
        <x:v>Period headers are complete</x:v>
      </x:c>
      <x:c r="B13" s="196" t="str">
        <x:v>All periods</x:v>
      </x:c>
      <x:c r="C13" s="202" t="n">
        <x:f>COUNTA('Operating Inputs'!B5:M5)</x:f>
        <x:v>12</x:v>
      </x:c>
      <x:c r="D13" s="202" t="n">
        <x:v>12</x:v>
      </x:c>
      <x:c r="E13" s="202" t="n">
        <x:f>C13-D13</x:f>
        <x:v>0</x:v>
      </x:c>
      <x:c r="F13" s="202" t="n">
        <x:v>0</x:v>
      </x:c>
      <x:c r="G13" s="198" t="str">
        <x:f>IF(ABS(E13)&lt;=F13,"PASS","FAIL")</x:f>
        <x:v>PASS</x:v>
      </x:c>
      <x:c r="H13" s="199" t="str">
        <x:v>Operating Inputs row 5</x:v>
      </x:c>
      <x:c r="I13" s="199" t="str">
        <x:v>All modeled periods must have a visible header.</x:v>
      </x:c>
    </x:row>
    <x:row r="14">
      <x:c r="A14" s="196" t="str">
        <x:v>Source input grid is complete</x:v>
      </x:c>
      <x:c r="B14" s="196" t="str">
        <x:v>All periods</x:v>
      </x:c>
      <x:c r="C14" s="202" t="n">
        <x:f>COUNTA('Operating Inputs'!B6:M10)</x:f>
        <x:v>60</x:v>
      </x:c>
      <x:c r="D14" s="202" t="n">
        <x:v>60</x:v>
      </x:c>
      <x:c r="E14" s="202" t="n">
        <x:f>C14-D14</x:f>
        <x:v>0</x:v>
      </x:c>
      <x:c r="F14" s="202" t="n">
        <x:v>0</x:v>
      </x:c>
      <x:c r="G14" s="198" t="str">
        <x:f>IF(ABS(E14)&lt;=F14,"PASS","FAIL")</x:f>
        <x:v>PASS</x:v>
      </x:c>
      <x:c r="H14" s="199" t="str">
        <x:v>Operating Inputs</x:v>
      </x:c>
      <x:c r="I14" s="199" t="str">
        <x:v>Replace blanks with an approved value or an explicitly documented zero.</x:v>
      </x:c>
    </x:row>
    <x:row r="15">
      <x:c r="A15" s="196" t="str">
        <x:v>Selected assumptions are complete</x:v>
      </x:c>
      <x:c r="B15" s="196" t="str">
        <x:v>Current</x:v>
      </x:c>
      <x:c r="C15" s="202" t="n">
        <x:f>COUNT('Assumptions'!F6:F9)</x:f>
        <x:v>4</x:v>
      </x:c>
      <x:c r="D15" s="202" t="n">
        <x:v>4</x:v>
      </x:c>
      <x:c r="E15" s="202" t="n">
        <x:f>C15-D15</x:f>
        <x:v>0</x:v>
      </x:c>
      <x:c r="F15" s="202" t="n">
        <x:v>0</x:v>
      </x:c>
      <x:c r="G15" s="198" t="str">
        <x:f>IF(ABS(E15)&lt;=F15,"PASS","FAIL")</x:f>
        <x:v>PASS</x:v>
      </x:c>
      <x:c r="H15" s="199" t="str">
        <x:v>Assumptions column F</x:v>
      </x:c>
      <x:c r="I15" s="199" t="str">
        <x:v>Every scenario driver must resolve to a numeric selected value.</x:v>
      </x:c>
    </x:row>
    <x:row r="16">
      <x:c r="A16" s="196" t="str">
        <x:v>Core model cells calculate to numbers</x:v>
      </x:c>
      <x:c r="B16" s="196" t="str">
        <x:v>All periods</x:v>
      </x:c>
      <x:c r="C16" s="202" t="n">
        <x:f>COUNT('Working Capital'!B6:M17)</x:f>
        <x:v>144</x:v>
      </x:c>
      <x:c r="D16" s="202" t="n">
        <x:v>144</x:v>
      </x:c>
      <x:c r="E16" s="202" t="n">
        <x:f>C16-D16</x:f>
        <x:v>0</x:v>
      </x:c>
      <x:c r="F16" s="202" t="n">
        <x:v>0</x:v>
      </x:c>
      <x:c r="G16" s="198" t="str">
        <x:f>IF(ABS(E16)&lt;=F16,"PASS","FAIL")</x:f>
        <x:v>PASS</x:v>
      </x:c>
      <x:c r="H16" s="199" t="str">
        <x:v>Working Capital</x:v>
      </x:c>
      <x:c r="I16" s="199" t="str">
        <x:v>No blank or text output is permitted inside the calculation block.</x:v>
      </x:c>
    </x:row>
    <x:row r="17">
      <x:c r="A17" s="196" t="str">
        <x:v>Sensitivity base ties the headline output</x:v>
      </x:c>
      <x:c r="B17" s="196" t="str">
        <x:v>Base center</x:v>
      </x:c>
      <x:c r="C17" s="201" t="n">
        <x:f>IF('Assumptions'!$B$3="Base",'Sensitivity'!D10,'Working Capital'!M$15)</x:f>
        <x:v>43.86666666666659</x:v>
      </x:c>
      <x:c r="D17" s="201" t="n">
        <x:f>'Working Capital'!M$15</x:f>
        <x:v>43.86666666666659</x:v>
      </x:c>
      <x:c r="E17" s="201" t="n">
        <x:f>C17-D17</x:f>
        <x:v>0</x:v>
      </x:c>
      <x:c r="F17" s="201" t="n">
        <x:v>0.05</x:v>
      </x:c>
      <x:c r="G17" s="198" t="str">
        <x:f>IF(ABS(E17)&lt;=F17,"PASS","FAIL")</x:f>
        <x:v>PASS</x:v>
      </x:c>
      <x:c r="H17" s="199" t="str">
        <x:v>Sensitivity / core model</x:v>
      </x:c>
      <x:c r="I17" s="199" t="str">
        <x:v>The center cell must recalculate the Base-case headline output; the assertion is N/A under Upside or Downside.</x:v>
      </x:c>
    </x:row>
    <x:row r="18">
      <x:c r="A18" s="203" t="str">
        <x:v>Headline output is non-negative</x:v>
      </x:c>
      <x:c r="B18" s="203" t="str">
        <x:v>All periods</x:v>
      </x:c>
      <x:c r="C18" s="204" t="n">
        <x:f>MAX(0,-MIN('Working Capital'!B15:M15))</x:f>
        <x:v>0</x:v>
      </x:c>
      <x:c r="D18" s="204" t="n">
        <x:v>0</x:v>
      </x:c>
      <x:c r="E18" s="204" t="n">
        <x:f>C18-D18</x:f>
        <x:v>0</x:v>
      </x:c>
      <x:c r="F18" s="204" t="n">
        <x:v>0.01</x:v>
      </x:c>
      <x:c r="G18" s="205" t="str">
        <x:f>IF(ABS(E18)&lt;=F18,"PASS","FAIL")</x:f>
        <x:v>PASS</x:v>
      </x:c>
      <x:c r="H18" s="206" t="str">
        <x:v>Working Capital — cashRelease</x:v>
      </x:c>
      <x:c r="I18" s="206" t="str">
        <x:v>Negative outputs require an explicit method and decision interpretation.</x:v>
      </x:c>
    </x:row>
    <x:row r="20">
      <x:c r="A20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0:I22"/>
    <x:mergeCell ref="A24:I24"/>
  </x:mergeCells>
  <x:conditionalFormatting sqref="G8:G18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Working Capital Planner  |  Assumption register, release facts, and distribution controls</x:v>
      </x:c>
      <x:c r="B2" s="6" t="str">
        <x:v>Working Capital Planner  |  Assumption register, release facts, and distribution controls</x:v>
      </x:c>
      <x:c r="C2" s="6" t="str">
        <x:v>Working Capital Planner  |  Assumption register, release facts, and distribution controls</x:v>
      </x:c>
      <x:c r="D2" s="6" t="str">
        <x:v>Working Capital Planner  |  Assumption register, release facts, and distribution controls</x:v>
      </x:c>
      <x:c r="E2" s="6" t="str">
        <x:v>Working Capital Planner  |  Assumption register, release facts, and distribution controls</x:v>
      </x:c>
      <x:c r="F2" s="6" t="str">
        <x:v>Working Capital Planner  |  Assumption register, release facts, and distribution controls</x:v>
      </x:c>
      <x:c r="G2" s="6" t="str">
        <x:v>Working Capital Planner  |  Assumption register, release facts, and distribution controls</x:v>
      </x:c>
      <x:c r="H2" s="6" t="str">
        <x:v>Working Capital Planner  |  Assumption register, release facts, and distribution controls</x:v>
      </x:c>
      <x:c r="I2" s="6" t="str">
        <x:v>Working Capital Planner  |  Assumption register, release facts, and distribution controls</x:v>
      </x:c>
      <x:c r="J2" s="6" t="str">
        <x:v>Working Capital Planner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42" t="str">
        <x:v>Worked example</x:v>
      </x:c>
      <x:c r="B7" s="143" t="str">
        <x:v>Synthetic case values</x:v>
      </x:c>
      <x:c r="C7" s="143" t="str">
        <x:v>LCY millions</x:v>
      </x:c>
      <x:c r="D7" s="143" t="str">
        <x:v>2026-07-13</x:v>
      </x:c>
      <x:c r="E7" s="143" t="str">
        <x:v>Illustrative</x:v>
      </x:c>
      <x:c r="F7" s="143" t="str">
        <x:v>TDAT model build</x:v>
      </x:c>
      <x:c r="G7" s="143" t="str">
        <x:v>SYN-001</x:v>
      </x:c>
      <x:c r="H7" s="143" t="str">
        <x:v>Illustrative</x:v>
      </x:c>
      <x:c r="I7" s="144" t="str">
        <x:v>Replace before use.</x:v>
      </x:c>
    </x:row>
    <x:row r="8">
      <x:c r="A8" s="145" t="str">
        <x:v>Scenario drivers</x:v>
      </x:c>
      <x:c r="B8" s="146" t="str">
        <x:v>Base / Upside / Downside</x:v>
      </x:c>
      <x:c r="C8" s="146" t="str">
        <x:v>Mixed</x:v>
      </x:c>
      <x:c r="D8" s="146" t="str">
        <x:v>Model horizon</x:v>
      </x:c>
      <x:c r="E8" s="146" t="str">
        <x:v>Assumption</x:v>
      </x:c>
      <x:c r="F8" s="146" t="str">
        <x:v>User / finance owner</x:v>
      </x:c>
      <x:c r="G8" s="146" t="str">
        <x:v>ASM-001</x:v>
      </x:c>
      <x:c r="H8" s="146" t="str">
        <x:v>Open</x:v>
      </x:c>
      <x:c r="I8" s="147" t="str">
        <x:v>Confirm rationale and owner.</x:v>
      </x:c>
    </x:row>
    <x:row r="9">
      <x:c r="A9" s="148" t="str">
        <x:v>Method</x:v>
      </x:c>
      <x:c r="B9" s="149" t="str">
        <x:v>Working Capital</x:v>
      </x:c>
      <x:c r="C9" s="149" t="str">
        <x:v>Method</x:v>
      </x:c>
      <x:c r="D9" s="149" t="str">
        <x:v>Version 1.0.0</x:v>
      </x:c>
      <x:c r="E9" s="149" t="str">
        <x:v>Model method</x:v>
      </x:c>
      <x:c r="F9" s="149" t="str">
        <x:v>Model Guide</x:v>
      </x:c>
      <x:c r="G9" s="149" t="str">
        <x:v>MTH-001</x:v>
      </x:c>
      <x:c r="H9" s="149" t="str">
        <x:v>Template</x:v>
      </x:c>
      <x:c r="I9" s="150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07" t="str">
        <x:v>Owner</x:v>
      </x:c>
      <x:c r="B12" s="143" t="str">
        <x:v>Truong Dinh Anh Tu</x:v>
      </x:c>
      <x:c r="C12" s="209" t="str">
        <x:v>Version</x:v>
      </x:c>
      <x:c r="D12" s="143" t="str">
        <x:v>1.0.0</x:v>
      </x:c>
      <x:c r="E12" s="209" t="str">
        <x:v>Standard</x:v>
      </x:c>
      <x:c r="F12" s="143" t="str">
        <x:v>TDAT Model Standard 1.0</x:v>
      </x:c>
      <x:c r="G12" s="209" t="str">
        <x:v>Last QA</x:v>
      </x:c>
      <x:c r="H12" s="143" t="str">
        <x:v>2026-07-13</x:v>
      </x:c>
      <x:c r="I12" s="209" t="str">
        <x:v>Status</x:v>
      </x:c>
      <x:c r="J12" s="144" t="str">
        <x:v>Available after release gates</x:v>
      </x:c>
    </x:row>
    <x:row r="13">
      <x:c r="A13" s="208" t="str">
        <x:v>Compatibility</x:v>
      </x:c>
      <x:c r="B13" s="149" t="str">
        <x:v>Excel 365</x:v>
      </x:c>
      <x:c r="C13" s="210" t="str">
        <x:v>Macros</x:v>
      </x:c>
      <x:c r="D13" s="149" t="str">
        <x:v>None</x:v>
      </x:c>
      <x:c r="E13" s="210" t="str">
        <x:v>External links</x:v>
      </x:c>
      <x:c r="F13" s="149" t="str">
        <x:v>None</x:v>
      </x:c>
      <x:c r="G13" s="210" t="str">
        <x:v>Circularity</x:v>
      </x:c>
      <x:c r="H13" s="149" t="str">
        <x:v>None</x:v>
      </x:c>
      <x:c r="I13" s="210" t="str">
        <x:v>Evidence</x:v>
      </x:c>
      <x:c r="J13" s="150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4" t="str">
        <x:v>1.0.0</x:v>
      </x:c>
      <x:c r="B17" s="215" t="str">
        <x:v>2026-07-13</x:v>
      </x:c>
      <x:c r="C17" s="215" t="str">
        <x:v>All</x:v>
      </x:c>
      <x:c r="D17" s="215" t="str">
        <x:v>Initial public reusable template</x:v>
      </x:c>
      <x:c r="E17" s="215" t="str">
        <x:v>New model release</x:v>
      </x:c>
      <x:c r="F17" s="215" t="str">
        <x:v>None</x:v>
      </x:c>
      <x:c r="G17" s="215" t="str">
        <x:v>Truong Dinh Anh Tu</x:v>
      </x:c>
      <x:c r="H17" s="215" t="str">
        <x:v>TDAT QA review</x:v>
      </x:c>
      <x:c r="I17" s="216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Validate sources, assumptions, formulas, methods, policies, and suitability before real-world use. Provided without warranty.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