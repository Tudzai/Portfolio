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ba106cec30e49c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" sheetId="1" r:id="R0adc2ca732c3472a"/>
    <x:sheet xmlns:r="http://schemas.openxmlformats.org/officeDocument/2006/relationships" name="Inputs" sheetId="2" r:id="Re658213165e5466b"/>
    <x:sheet xmlns:r="http://schemas.openxmlformats.org/officeDocument/2006/relationships" name="Model" sheetId="3" r:id="R62890481cc9d46ab"/>
    <x:sheet xmlns:r="http://schemas.openxmlformats.org/officeDocument/2006/relationships" name="Results" sheetId="4" r:id="R67a07da5deba4e2a"/>
    <x:sheet xmlns:r="http://schemas.openxmlformats.org/officeDocument/2006/relationships" name="Checks" sheetId="5" r:id="R46693322b7f8402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.0;[Red](#,##0.0);-"/>
    <x:numFmt numFmtId="201" formatCode="#,##0;[Red](#,##0);-"/>
    <x:numFmt numFmtId="202" formatCode="0.00;[Red](0.00);-"/>
  </x:numFmts>
  <x:fonts count="14">
    <x:font>
      <x:sz val="11"/>
      <x:name val="Carlito"/>
    </x:font>
    <x:font>
      <x:sz val="11"/>
      <x:color rgb="FF202833"/>
      <x:name val="Carlito"/>
    </x:font>
    <x:font>
      <x:b/>
      <x:sz val="11"/>
      <x:color rgb="FFFFFFFF"/>
      <x:name val="Carlito"/>
    </x:font>
    <x:font>
      <x:b/>
      <x:sz val="11"/>
      <x:color rgb="FF202833"/>
      <x:name val="Carlito"/>
    </x:font>
    <x:font>
      <x:b/>
      <x:sz val="11"/>
      <x:color rgb="FF0000FF"/>
      <x:name val="Carlito"/>
    </x:font>
    <x:font>
      <x:sz val="11"/>
      <x:color rgb="FF68717C"/>
      <x:name val="Carlito"/>
    </x:font>
    <x:font>
      <x:sz val="11"/>
      <x:color rgb="FF805C19"/>
      <x:name val="Carlito"/>
    </x:font>
    <x:font>
      <x:b/>
      <x:sz val="11"/>
      <x:color rgb="FF68717C"/>
      <x:name val="Carlito"/>
    </x:font>
    <x:font>
      <x:sz val="11"/>
      <x:color rgb="FF008000"/>
      <x:name val="Carlito"/>
    </x:font>
    <x:font>
      <x:sz val="11"/>
      <x:color rgb="FF202833"/>
      <x:name val="Carlito"/>
    </x:font>
    <x:font>
      <x:b/>
      <x:sz val="11"/>
      <x:color rgb="FFB5883A"/>
      <x:name val="Carlito"/>
    </x:font>
    <x:font>
      <x:b/>
      <x:sz val="11"/>
      <x:color rgb="FF805C19"/>
      <x:name val="Carlito"/>
    </x:font>
    <x:font>
      <x:b/>
      <x:sz val="11"/>
      <x:color rgb="FF247252"/>
      <x:name val="Carlito"/>
    </x:font>
    <x:font>
      <x:sz val="11"/>
      <x:color rgb="FFF5F6F8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F5F6F8"/>
      </x:patternFill>
    </x:fill>
    <x:fill>
      <x:patternFill patternType="solid">
        <x:fgColor rgb="FF1C2430"/>
      </x:patternFill>
    </x:fill>
    <x:fill>
      <x:patternFill patternType="solid">
        <x:fgColor rgb="FFB5883A"/>
      </x:patternFill>
    </x:fill>
    <x:fill>
      <x:patternFill patternType="solid">
        <x:fgColor rgb="FFF2E8D5"/>
      </x:patternFill>
    </x:fill>
    <x:fill>
      <x:patternFill patternType="solid">
        <x:fgColor rgb="FF303B49"/>
      </x:patternFill>
    </x:fill>
    <x:fill>
      <x:patternFill patternType="solid">
        <x:fgColor rgb="FFECEFF2"/>
      </x:patternFill>
    </x:fill>
    <x:fill>
      <x:patternFill patternType="solid">
        <x:fgColor rgb="FFFFFFFF"/>
      </x:patternFill>
    </x:fill>
    <x:fill>
      <x:patternFill patternType="solid">
        <x:fgColor rgb="FFF8EBCF"/>
      </x:patternFill>
    </x:fill>
  </x:fills>
  <x:borders count="29">
    <x:border/>
    <x:border>
      <x:left style="thin">
        <x:color rgb="FFD7DBE0"/>
      </x:left>
      <x:top style="thin">
        <x:color rgb="FFD7DBE0"/>
      </x:top>
    </x:border>
    <x:border>
      <x:top style="thin">
        <x:color rgb="FFD7DBE0"/>
      </x:top>
    </x:border>
    <x:border>
      <x:right style="thin">
        <x:color rgb="FFD7DBE0"/>
      </x:right>
      <x:top style="thin">
        <x:color rgb="FFD7DBE0"/>
      </x:top>
    </x:border>
    <x:border>
      <x:left style="thin">
        <x:color rgb="FFD7DBE0"/>
      </x:left>
      <x:bottom style="thin">
        <x:color rgb="FFD7DBE0"/>
      </x:bottom>
    </x:border>
    <x:border>
      <x:bottom style="thin">
        <x:color rgb="FFD7DBE0"/>
      </x:bottom>
    </x:border>
    <x:border>
      <x:right style="thin">
        <x:color rgb="FFD7DBE0"/>
      </x:right>
      <x:bottom style="thin">
        <x:color rgb="FFD7DBE0"/>
      </x:bottom>
    </x:border>
    <x:border>
      <x:bottom style="medium">
        <x:color rgb="FFB5883A"/>
      </x:bottom>
    </x:border>
    <x:border>
      <x:left style="thin">
        <x:color rgb="FFD3AE64"/>
      </x:left>
      <x:right style="thin">
        <x:color rgb="FFD3AE64"/>
      </x:right>
      <x:top style="thin">
        <x:color rgb="FFD3AE64"/>
      </x:top>
      <x:bottom style="thin">
        <x:color rgb="FFD3AE64"/>
      </x:bottom>
    </x:border>
    <x:border>
      <x:left style="thin">
        <x:color rgb="FFD3AE64"/>
      </x:left>
      <x:right style="thin">
        <x:color rgb="FFD3AE64"/>
      </x:right>
    </x:border>
    <x:border>
      <x:left style="thin">
        <x:color rgb="FFD3AE64"/>
      </x:left>
      <x:top style="thin">
        <x:color rgb="FFD3AE64"/>
      </x:top>
    </x:border>
    <x:border>
      <x:top style="thin">
        <x:color rgb="FFD3AE64"/>
      </x:top>
    </x:border>
    <x:border>
      <x:right style="thin">
        <x:color rgb="FFD3AE64"/>
      </x:right>
      <x:top style="thin">
        <x:color rgb="FFD3AE64"/>
      </x:top>
    </x:border>
    <x:border>
      <x:left style="thin">
        <x:color rgb="FFD3AE64"/>
      </x:left>
      <x:bottom style="thin">
        <x:color rgb="FFD3AE64"/>
      </x:bottom>
    </x:border>
    <x:border>
      <x:bottom style="thin">
        <x:color rgb="FFD3AE64"/>
      </x:bottom>
    </x:border>
    <x:border>
      <x:right style="thin">
        <x:color rgb="FFD3AE64"/>
      </x:right>
      <x:bottom style="thin">
        <x:color rgb="FFD3AE64"/>
      </x:bottom>
    </x:border>
    <x:border>
      <x:left style="thin">
        <x:color rgb="FF1C2430"/>
      </x:left>
      <x:top style="thin">
        <x:color rgb="FF1C2430"/>
      </x:top>
      <x:bottom style="thin">
        <x:color rgb="FF1C2430"/>
      </x:bottom>
    </x:border>
    <x:border>
      <x:right style="thin">
        <x:color rgb="FF1C2430"/>
      </x:right>
      <x:top style="thin">
        <x:color rgb="FF1C2430"/>
      </x:top>
      <x:bottom style="thin">
        <x:color rgb="FF1C2430"/>
      </x:bottom>
    </x:border>
    <x:border>
      <x:left style="thin">
        <x:color rgb="FFD7DBE0"/>
      </x:left>
    </x:border>
    <x:border>
      <x:right style="thin">
        <x:color rgb="FFD7DBE0"/>
      </x:right>
    </x:border>
    <x:border>
      <x:left style="thin">
        <x:color rgb="FFF2D58A"/>
      </x:left>
      <x:top style="thin">
        <x:color rgb="FFF2D58A"/>
      </x:top>
    </x:border>
    <x:border>
      <x:top style="thin">
        <x:color rgb="FFF2D58A"/>
      </x:top>
    </x:border>
    <x:border>
      <x:right style="thin">
        <x:color rgb="FFF2D58A"/>
      </x:right>
      <x:top style="thin">
        <x:color rgb="FFF2D58A"/>
      </x:top>
    </x:border>
    <x:border>
      <x:left style="thin">
        <x:color rgb="FFF2D58A"/>
      </x:left>
      <x:bottom style="thin">
        <x:color rgb="FFF2D58A"/>
      </x:bottom>
    </x:border>
    <x:border>
      <x:bottom style="thin">
        <x:color rgb="FFF2D58A"/>
      </x:bottom>
    </x:border>
    <x:border>
      <x:right style="thin">
        <x:color rgb="FFF2D58A"/>
      </x:right>
      <x:bottom style="thin">
        <x:color rgb="FFF2D58A"/>
      </x:bottom>
    </x:border>
    <x:border>
      <x:left style="thin">
        <x:color rgb="FFD7DBE0"/>
      </x:left>
      <x:top style="thin">
        <x:color rgb="FFD7DBE0"/>
      </x:top>
      <x:bottom style="thin">
        <x:color rgb="FFD7DBE0"/>
      </x:bottom>
    </x:border>
    <x:border>
      <x:right style="thin">
        <x:color rgb="FFD7DBE0"/>
      </x:right>
      <x:top style="thin">
        <x:color rgb="FFD7DBE0"/>
      </x:top>
      <x:bottom style="thin">
        <x:color rgb="FFD7DBE0"/>
      </x:bottom>
    </x:border>
    <x:border>
      <x:top style="thin">
        <x:color rgb="FFD7DBE0"/>
      </x:top>
      <x:bottom style="thin">
        <x:color rgb="FFD7DBE0"/>
      </x:bottom>
    </x:border>
  </x:borders>
  <x:cellStyleXfs count="1">
    <x:xf numFmtId="0" fontId="0" fillId="0" borderId="0"/>
  </x:cellStyleXfs>
  <x:cellXfs count="25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horizontal="left" vertical="center"/>
    </x:xf>
    <x:xf numFmtId="0" fontId="1" fillId="4" borderId="0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horizontal="left" vertical="center"/>
    </x:xf>
    <x:xf numFmtId="0" fontId="1" fillId="5" borderId="0" xfId="0" applyNumberFormat="1" applyFont="1" applyFill="1" applyBorder="1" applyAlignment="1">
      <x:alignment vertical="center"/>
    </x:xf>
    <x:xf numFmtId="0" fontId="3" fillId="5" borderId="0" xfId="0" applyNumberFormat="1" applyFont="1" applyFill="1" applyBorder="1" applyAlignment="1">
      <x:alignment vertical="center"/>
    </x:xf>
    <x:xf numFmtId="0" fontId="3" fillId="5" borderId="1" xfId="0" applyNumberFormat="1" applyFont="1" applyFill="1" applyBorder="1" applyAlignment="1">
      <x:alignment vertical="center"/>
    </x:xf>
    <x:xf numFmtId="0" fontId="3" fillId="5" borderId="2" xfId="0" applyNumberFormat="1" applyFont="1" applyFill="1" applyBorder="1" applyAlignment="1">
      <x:alignment vertical="center"/>
    </x:xf>
    <x:xf numFmtId="0" fontId="3" fillId="5" borderId="3" xfId="0" applyNumberFormat="1" applyFont="1" applyFill="1" applyBorder="1" applyAlignment="1">
      <x:alignment vertical="center"/>
    </x:xf>
    <x:xf numFmtId="0" fontId="3" fillId="5" borderId="4" xfId="0" applyNumberFormat="1" applyFont="1" applyFill="1" applyBorder="1" applyAlignment="1">
      <x:alignment vertical="center"/>
    </x:xf>
    <x:xf numFmtId="0" fontId="3" fillId="5" borderId="5" xfId="0" applyNumberFormat="1" applyFont="1" applyFill="1" applyBorder="1" applyAlignment="1">
      <x:alignment vertical="center"/>
    </x:xf>
    <x:xf numFmtId="0" fontId="3" fillId="5" borderId="6" xfId="0" applyNumberFormat="1" applyFont="1" applyFill="1" applyBorder="1" applyAlignment="1">
      <x:alignment vertical="center"/>
    </x:xf>
    <x:xf numFmtId="0" fontId="3" fillId="5" borderId="1" xfId="0" applyNumberFormat="1" applyFont="1" applyFill="1" applyBorder="1" applyAlignment="1">
      <x:alignment vertical="center" wrapText="1"/>
    </x:xf>
    <x:xf numFmtId="0" fontId="3" fillId="5" borderId="2" xfId="0" applyNumberFormat="1" applyFont="1" applyFill="1" applyBorder="1" applyAlignment="1">
      <x:alignment vertical="center" wrapText="1"/>
    </x:xf>
    <x:xf numFmtId="0" fontId="3" fillId="5" borderId="3" xfId="0" applyNumberFormat="1" applyFont="1" applyFill="1" applyBorder="1" applyAlignment="1">
      <x:alignment vertical="center" wrapText="1"/>
    </x:xf>
    <x:xf numFmtId="0" fontId="3" fillId="5" borderId="4" xfId="0" applyNumberFormat="1" applyFont="1" applyFill="1" applyBorder="1" applyAlignment="1">
      <x:alignment vertical="center" wrapText="1"/>
    </x:xf>
    <x:xf numFmtId="0" fontId="3" fillId="5" borderId="5" xfId="0" applyNumberFormat="1" applyFont="1" applyFill="1" applyBorder="1" applyAlignment="1">
      <x:alignment vertical="center" wrapText="1"/>
    </x:xf>
    <x:xf numFmtId="0" fontId="3" fillId="5" borderId="6" xfId="0" applyNumberFormat="1" applyFont="1" applyFill="1" applyBorder="1" applyAlignment="1">
      <x:alignment vertical="center" wrapText="1"/>
    </x:xf>
    <x:xf numFmtId="0" fontId="1" fillId="6" borderId="0" xfId="0" applyNumberFormat="1" applyFont="1" applyFill="1" applyBorder="1" applyAlignment="1">
      <x:alignment vertical="center"/>
    </x:xf>
    <x:xf numFmtId="0" fontId="2" fillId="6" borderId="0" xfId="0" applyNumberFormat="1" applyFont="1" applyFill="1" applyBorder="1" applyAlignment="1">
      <x:alignment vertical="center"/>
    </x:xf>
    <x:xf numFmtId="0" fontId="2" fillId="6" borderId="7" xfId="0" applyNumberFormat="1" applyFont="1" applyFill="1" applyBorder="1" applyAlignment="1">
      <x:alignment vertical="center"/>
    </x:xf>
    <x:xf numFmtId="0" fontId="1" fillId="7" borderId="0" xfId="0" applyNumberFormat="1" applyFont="1" applyFill="1" applyBorder="1" applyAlignment="1">
      <x:alignment vertical="center"/>
    </x:xf>
    <x:xf numFmtId="0" fontId="3" fillId="7" borderId="0" xfId="0" applyNumberFormat="1" applyFont="1" applyFill="1" applyBorder="1" applyAlignment="1">
      <x:alignment vertical="center"/>
    </x:xf>
    <x:xf numFmtId="0" fontId="1" fillId="8" borderId="0" xfId="0" applyNumberFormat="1" applyFont="1" applyFill="1" applyBorder="1" applyAlignment="1">
      <x:alignment vertical="center"/>
    </x:xf>
    <x:xf numFmtId="0" fontId="4" fillId="8" borderId="0" xfId="0" applyNumberFormat="1" applyFont="1" applyFill="1" applyBorder="1" applyAlignment="1">
      <x:alignment vertical="center"/>
    </x:xf>
    <x:xf numFmtId="0" fontId="4" fillId="8" borderId="8" xfId="0" applyNumberFormat="1" applyFont="1" applyFill="1" applyBorder="1" applyAlignment="1">
      <x:alignment vertical="center"/>
    </x:xf>
    <x:xf numFmtId="200" fontId="4" fillId="8" borderId="8" xfId="0" applyNumberFormat="1" applyFont="1" applyFill="1" applyBorder="1" applyAlignment="1">
      <x:alignment vertical="center"/>
    </x:xf>
    <x:xf numFmtId="200" fontId="4" fillId="8" borderId="8" xfId="0" applyNumberFormat="1" applyFont="1" applyFill="1" applyBorder="1" applyAlignment="1">
      <x:alignment horizontal="right" vertical="center"/>
    </x:xf>
    <x:xf numFmtId="0" fontId="5" fillId="8" borderId="0" xfId="0" applyNumberFormat="1" applyFont="1" applyFill="1" applyBorder="1" applyAlignment="1">
      <x:alignment vertical="center"/>
    </x:xf>
    <x:xf numFmtId="0" fontId="5" fillId="8" borderId="4" xfId="0" applyNumberFormat="1" applyFont="1" applyFill="1" applyBorder="1" applyAlignment="1">
      <x:alignment vertical="center"/>
    </x:xf>
    <x:xf numFmtId="0" fontId="5" fillId="8" borderId="5" xfId="0" applyNumberFormat="1" applyFont="1" applyFill="1" applyBorder="1" applyAlignment="1">
      <x:alignment vertical="center"/>
    </x:xf>
    <x:xf numFmtId="0" fontId="5" fillId="8" borderId="4" xfId="0" applyNumberFormat="1" applyFont="1" applyFill="1" applyBorder="1" applyAlignment="1">
      <x:alignment vertical="center" wrapText="1"/>
    </x:xf>
    <x:xf numFmtId="0" fontId="5" fillId="8" borderId="5" xfId="0" applyNumberFormat="1" applyFont="1" applyFill="1" applyBorder="1" applyAlignment="1">
      <x:alignment vertical="center" wrapText="1"/>
    </x:xf>
    <x:xf numFmtId="200" fontId="4" fillId="8" borderId="9" xfId="0" applyNumberFormat="1" applyFont="1" applyFill="1" applyBorder="1" applyAlignment="1">
      <x:alignment horizontal="right" vertical="center"/>
    </x:xf>
    <x:xf numFmtId="201" fontId="4" fillId="8" borderId="8" xfId="0" applyNumberFormat="1" applyFont="1" applyFill="1" applyBorder="1" applyAlignment="1">
      <x:alignment vertical="center"/>
    </x:xf>
    <x:xf numFmtId="201" fontId="4" fillId="8" borderId="8" xfId="0" applyNumberFormat="1" applyFont="1" applyFill="1" applyBorder="1" applyAlignment="1">
      <x:alignment horizontal="right" vertical="center"/>
    </x:xf>
    <x:xf numFmtId="201" fontId="4" fillId="8" borderId="9" xfId="0" applyNumberFormat="1" applyFont="1" applyFill="1" applyBorder="1" applyAlignment="1">
      <x:alignment horizontal="right" vertical="center"/>
    </x:xf>
    <x:xf numFmtId="0" fontId="1" fillId="9" borderId="0" xfId="0" applyNumberFormat="1" applyFont="1" applyFill="1" applyBorder="1" applyAlignment="1">
      <x:alignment vertical="center"/>
    </x:xf>
    <x:xf numFmtId="0" fontId="6" fillId="9" borderId="0" xfId="0" applyNumberFormat="1" applyFont="1" applyFill="1" applyBorder="1" applyAlignment="1">
      <x:alignment vertical="center"/>
    </x:xf>
    <x:xf numFmtId="0" fontId="6" fillId="9" borderId="10" xfId="0" applyNumberFormat="1" applyFont="1" applyFill="1" applyBorder="1" applyAlignment="1">
      <x:alignment vertical="center"/>
    </x:xf>
    <x:xf numFmtId="0" fontId="6" fillId="9" borderId="11" xfId="0" applyNumberFormat="1" applyFont="1" applyFill="1" applyBorder="1" applyAlignment="1">
      <x:alignment vertical="center"/>
    </x:xf>
    <x:xf numFmtId="0" fontId="6" fillId="9" borderId="12" xfId="0" applyNumberFormat="1" applyFont="1" applyFill="1" applyBorder="1" applyAlignment="1">
      <x:alignment vertical="center"/>
    </x:xf>
    <x:xf numFmtId="0" fontId="6" fillId="9" borderId="13" xfId="0" applyNumberFormat="1" applyFont="1" applyFill="1" applyBorder="1" applyAlignment="1">
      <x:alignment vertical="center"/>
    </x:xf>
    <x:xf numFmtId="0" fontId="6" fillId="9" borderId="14" xfId="0" applyNumberFormat="1" applyFont="1" applyFill="1" applyBorder="1" applyAlignment="1">
      <x:alignment vertical="center"/>
    </x:xf>
    <x:xf numFmtId="0" fontId="6" fillId="9" borderId="15" xfId="0" applyNumberFormat="1" applyFont="1" applyFill="1" applyBorder="1" applyAlignment="1">
      <x:alignment vertical="center"/>
    </x:xf>
    <x:xf numFmtId="0" fontId="6" fillId="9" borderId="10" xfId="0" applyNumberFormat="1" applyFont="1" applyFill="1" applyBorder="1" applyAlignment="1">
      <x:alignment vertical="center" wrapText="1"/>
    </x:xf>
    <x:xf numFmtId="0" fontId="6" fillId="9" borderId="11" xfId="0" applyNumberFormat="1" applyFont="1" applyFill="1" applyBorder="1" applyAlignment="1">
      <x:alignment vertical="center" wrapText="1"/>
    </x:xf>
    <x:xf numFmtId="0" fontId="6" fillId="9" borderId="12" xfId="0" applyNumberFormat="1" applyFont="1" applyFill="1" applyBorder="1" applyAlignment="1">
      <x:alignment vertical="center" wrapText="1"/>
    </x:xf>
    <x:xf numFmtId="0" fontId="6" fillId="9" borderId="13" xfId="0" applyNumberFormat="1" applyFont="1" applyFill="1" applyBorder="1" applyAlignment="1">
      <x:alignment vertical="center" wrapText="1"/>
    </x:xf>
    <x:xf numFmtId="0" fontId="6" fillId="9" borderId="14" xfId="0" applyNumberFormat="1" applyFont="1" applyFill="1" applyBorder="1" applyAlignment="1">
      <x:alignment vertical="center" wrapText="1"/>
    </x:xf>
    <x:xf numFmtId="0" fontId="6" fillId="9" borderId="15" xfId="0" applyNumberFormat="1" applyFont="1" applyFill="1" applyBorder="1" applyAlignment="1">
      <x:alignment vertical="center" wrapText="1"/>
    </x:xf>
    <x:xf numFmtId="0" fontId="2" fillId="3" borderId="0" xfId="0" applyNumberFormat="1" applyFont="1" applyFill="1" applyBorder="1" applyAlignment="1">
      <x:alignment horizontal="center" vertical="center"/>
    </x:xf>
    <x:xf numFmtId="0" fontId="2" fillId="6" borderId="7" xfId="0" applyNumberFormat="1" applyFont="1" applyFill="1" applyBorder="1" applyAlignment="1">
      <x:alignment horizontal="left" vertical="center"/>
    </x:xf>
    <x:xf numFmtId="0" fontId="3" fillId="7" borderId="0" xfId="0" applyNumberFormat="1" applyFont="1" applyFill="1" applyBorder="1" applyAlignment="1">
      <x:alignment horizontal="right" vertical="center"/>
    </x:xf>
    <x:xf numFmtId="0" fontId="3" fillId="7" borderId="0" xfId="0" applyNumberFormat="1" applyFont="1" applyFill="1" applyBorder="1" applyAlignment="1">
      <x:alignment horizontal="left" vertical="center"/>
    </x:xf>
    <x:xf numFmtId="0" fontId="7" fillId="7" borderId="0" xfId="0" applyNumberFormat="1" applyFont="1" applyFill="1" applyBorder="1" applyAlignment="1">
      <x:alignment vertical="center"/>
    </x:xf>
    <x:xf numFmtId="0" fontId="7" fillId="7" borderId="4" xfId="0" applyNumberFormat="1" applyFont="1" applyFill="1" applyBorder="1" applyAlignment="1">
      <x:alignment vertical="center"/>
    </x:xf>
    <x:xf numFmtId="0" fontId="7" fillId="7" borderId="5" xfId="0" applyNumberFormat="1" applyFont="1" applyFill="1" applyBorder="1" applyAlignment="1">
      <x:alignment vertical="center"/>
    </x:xf>
    <x:xf numFmtId="0" fontId="8" fillId="2" borderId="0" xfId="0" applyNumberFormat="1" applyFont="1" applyFill="1" applyBorder="1" applyAlignment="1">
      <x:alignment vertical="center"/>
    </x:xf>
    <x:xf numFmtId="201" fontId="8" fillId="2" borderId="0" xfId="0" applyNumberFormat="1" applyFont="1" applyFill="1" applyBorder="1" applyAlignment="1">
      <x:alignment vertical="center"/>
    </x:xf>
    <x:xf numFmtId="201" fontId="8" fillId="2" borderId="0" xfId="0" applyNumberFormat="1" applyFont="1" applyFill="1" applyBorder="1" applyAlignment="1">
      <x:alignment horizontal="right" vertical="center"/>
    </x:xf>
    <x:xf numFmtId="201" fontId="8" fillId="8" borderId="0" xfId="0" applyNumberFormat="1" applyFont="1" applyFill="1" applyBorder="1" applyAlignment="1">
      <x:alignment horizontal="right" vertical="center"/>
    </x:xf>
    <x:xf numFmtId="200" fontId="8" fillId="2" borderId="0" xfId="0" applyNumberFormat="1" applyFont="1" applyFill="1" applyBorder="1" applyAlignment="1">
      <x:alignment vertical="center"/>
    </x:xf>
    <x:xf numFmtId="200" fontId="8" fillId="2" borderId="0" xfId="0" applyNumberFormat="1" applyFont="1" applyFill="1" applyBorder="1" applyAlignment="1">
      <x:alignment horizontal="right" vertical="center"/>
    </x:xf>
    <x:xf numFmtId="200" fontId="8" fillId="8" borderId="0" xfId="0" applyNumberFormat="1" applyFont="1" applyFill="1" applyBorder="1" applyAlignment="1">
      <x:alignment horizontal="right" vertical="center"/>
    </x:xf>
    <x:xf numFmtId="0" fontId="3" fillId="2" borderId="0" xfId="0" applyNumberFormat="1" applyFont="1" applyFill="1" applyBorder="1" applyAlignment="1">
      <x:alignment vertical="center"/>
    </x:xf>
    <x:xf numFmtId="200" fontId="3" fillId="2" borderId="0" xfId="0" applyNumberFormat="1" applyFont="1" applyFill="1" applyBorder="1" applyAlignment="1">
      <x:alignment vertical="center"/>
    </x:xf>
    <x:xf numFmtId="200" fontId="3" fillId="2" borderId="0" xfId="0" applyNumberFormat="1" applyFont="1" applyFill="1" applyBorder="1" applyAlignment="1">
      <x:alignment horizontal="right" vertical="center"/>
    </x:xf>
    <x:xf numFmtId="200" fontId="3" fillId="5" borderId="0" xfId="0" applyNumberFormat="1" applyFont="1" applyFill="1" applyBorder="1" applyAlignment="1">
      <x:alignment horizontal="right" vertical="center"/>
    </x:xf>
    <x:xf numFmtId="0" fontId="5" fillId="5" borderId="0" xfId="0" applyNumberFormat="1" applyFont="1" applyFill="1" applyBorder="1" applyAlignment="1">
      <x:alignment vertical="center"/>
    </x:xf>
    <x:xf numFmtId="0" fontId="5" fillId="5" borderId="4" xfId="0" applyNumberFormat="1" applyFont="1" applyFill="1" applyBorder="1" applyAlignment="1">
      <x:alignment vertical="center"/>
    </x:xf>
    <x:xf numFmtId="0" fontId="5" fillId="5" borderId="5" xfId="0" applyNumberFormat="1" applyFont="1" applyFill="1" applyBorder="1" applyAlignment="1">
      <x:alignment vertical="center"/>
    </x:xf>
    <x:xf numFmtId="0" fontId="5" fillId="5" borderId="4" xfId="0" applyNumberFormat="1" applyFont="1" applyFill="1" applyBorder="1" applyAlignment="1">
      <x:alignment vertical="center" wrapText="1"/>
    </x:xf>
    <x:xf numFmtId="0" fontId="5" fillId="5" borderId="5" xfId="0" applyNumberFormat="1" applyFont="1" applyFill="1" applyBorder="1" applyAlignment="1">
      <x:alignment vertical="center" wrapText="1"/>
    </x:xf>
    <x:xf numFmtId="0" fontId="9" fillId="2" borderId="0" xfId="0" applyNumberFormat="1" applyFont="1" applyFill="1" applyBorder="1" applyAlignment="1">
      <x:alignment vertical="center"/>
    </x:xf>
    <x:xf numFmtId="200" fontId="9" fillId="2" borderId="0" xfId="0" applyNumberFormat="1" applyFont="1" applyFill="1" applyBorder="1" applyAlignment="1">
      <x:alignment vertical="center"/>
    </x:xf>
    <x:xf numFmtId="200" fontId="9" fillId="2" borderId="0" xfId="0" applyNumberFormat="1" applyFont="1" applyFill="1" applyBorder="1" applyAlignment="1">
      <x:alignment horizontal="right" vertical="center"/>
    </x:xf>
    <x:xf numFmtId="200" fontId="9" fillId="8" borderId="0" xfId="0" applyNumberFormat="1" applyFont="1" applyFill="1" applyBorder="1" applyAlignment="1">
      <x:alignment horizontal="right" vertical="center"/>
    </x:xf>
    <x:xf numFmtId="201" fontId="9" fillId="2" borderId="0" xfId="0" applyNumberFormat="1" applyFont="1" applyFill="1" applyBorder="1" applyAlignment="1">
      <x:alignment vertical="center"/>
    </x:xf>
    <x:xf numFmtId="201" fontId="9" fillId="2" borderId="0" xfId="0" applyNumberFormat="1" applyFont="1" applyFill="1" applyBorder="1" applyAlignment="1">
      <x:alignment horizontal="right" vertical="center"/>
    </x:xf>
    <x:xf numFmtId="201" fontId="9" fillId="8" borderId="0" xfId="0" applyNumberFormat="1" applyFont="1" applyFill="1" applyBorder="1" applyAlignment="1">
      <x:alignment horizontal="right" vertical="center"/>
    </x:xf>
    <x:xf numFmtId="201" fontId="3" fillId="2" borderId="0" xfId="0" applyNumberFormat="1" applyFont="1" applyFill="1" applyBorder="1" applyAlignment="1">
      <x:alignment vertical="center"/>
    </x:xf>
    <x:xf numFmtId="201" fontId="3" fillId="2" borderId="0" xfId="0" applyNumberFormat="1" applyFont="1" applyFill="1" applyBorder="1" applyAlignment="1">
      <x:alignment horizontal="right" vertical="center"/>
    </x:xf>
    <x:xf numFmtId="201" fontId="3" fillId="5" borderId="0" xfId="0" applyNumberFormat="1" applyFont="1" applyFill="1" applyBorder="1" applyAlignment="1">
      <x:alignment horizontal="right" vertical="center"/>
    </x:xf>
    <x:xf numFmtId="0" fontId="3" fillId="7" borderId="4" xfId="0" applyNumberFormat="1" applyFont="1" applyFill="1" applyBorder="1" applyAlignment="1">
      <x:alignment vertical="center"/>
    </x:xf>
    <x:xf numFmtId="0" fontId="3" fillId="7" borderId="5" xfId="0" applyNumberFormat="1" applyFont="1" applyFill="1" applyBorder="1" applyAlignment="1">
      <x:alignment vertical="center"/>
    </x:xf>
    <x:xf numFmtId="0" fontId="9" fillId="8" borderId="0" xfId="0" applyNumberFormat="1" applyFont="1" applyFill="1" applyBorder="1" applyAlignment="1">
      <x:alignment vertical="center"/>
    </x:xf>
    <x:xf numFmtId="200" fontId="9" fillId="8" borderId="0" xfId="0" applyNumberFormat="1" applyFont="1" applyFill="1" applyBorder="1" applyAlignment="1">
      <x:alignment vertical="center"/>
    </x:xf>
    <x:xf numFmtId="200" fontId="3" fillId="5" borderId="0" xfId="0" applyNumberFormat="1" applyFont="1" applyFill="1" applyBorder="1" applyAlignment="1">
      <x:alignment vertical="center"/>
    </x:xf>
    <x:xf numFmtId="201" fontId="9" fillId="8" borderId="0" xfId="0" applyNumberFormat="1" applyFont="1" applyFill="1" applyBorder="1" applyAlignment="1">
      <x:alignment vertical="center"/>
    </x:xf>
    <x:xf numFmtId="0" fontId="2" fillId="3" borderId="16" xfId="0" applyNumberFormat="1" applyFont="1" applyFill="1" applyBorder="1" applyAlignment="1">
      <x:alignment vertical="center"/>
    </x:xf>
    <x:xf numFmtId="0" fontId="2" fillId="3" borderId="17" xfId="0" applyNumberFormat="1" applyFont="1" applyFill="1" applyBorder="1" applyAlignment="1">
      <x:alignment vertical="center"/>
    </x:xf>
    <x:xf numFmtId="0" fontId="2" fillId="3" borderId="16" xfId="0" applyNumberFormat="1" applyFont="1" applyFill="1" applyBorder="1" applyAlignment="1">
      <x:alignment horizontal="center" vertical="center"/>
    </x:xf>
    <x:xf numFmtId="0" fontId="2" fillId="3" borderId="17" xfId="0" applyNumberFormat="1" applyFont="1" applyFill="1" applyBorder="1" applyAlignment="1">
      <x:alignment horizontal="center" vertical="center"/>
    </x:xf>
    <x:xf numFmtId="0" fontId="10" fillId="8" borderId="0" xfId="0" applyNumberFormat="1" applyFont="1" applyFill="1" applyBorder="1" applyAlignment="1">
      <x:alignment vertical="center"/>
    </x:xf>
    <x:xf numFmtId="0" fontId="10" fillId="8" borderId="1" xfId="0" applyNumberFormat="1" applyFont="1" applyFill="1" applyBorder="1" applyAlignment="1">
      <x:alignment vertical="center"/>
    </x:xf>
    <x:xf numFmtId="0" fontId="10" fillId="8" borderId="3" xfId="0" applyNumberFormat="1" applyFont="1" applyFill="1" applyBorder="1" applyAlignment="1">
      <x:alignment vertical="center"/>
    </x:xf>
    <x:xf numFmtId="0" fontId="10" fillId="8" borderId="18" xfId="0" applyNumberFormat="1" applyFont="1" applyFill="1" applyBorder="1" applyAlignment="1">
      <x:alignment vertical="center"/>
    </x:xf>
    <x:xf numFmtId="0" fontId="10" fillId="8" borderId="19" xfId="0" applyNumberFormat="1" applyFont="1" applyFill="1" applyBorder="1" applyAlignment="1">
      <x:alignment vertical="center"/>
    </x:xf>
    <x:xf numFmtId="0" fontId="10" fillId="8" borderId="4" xfId="0" applyNumberFormat="1" applyFont="1" applyFill="1" applyBorder="1" applyAlignment="1">
      <x:alignment vertical="center"/>
    </x:xf>
    <x:xf numFmtId="0" fontId="10" fillId="8" borderId="6" xfId="0" applyNumberFormat="1" applyFont="1" applyFill="1" applyBorder="1" applyAlignment="1">
      <x:alignment vertical="center"/>
    </x:xf>
    <x:xf numFmtId="200" fontId="10" fillId="8" borderId="1" xfId="0" applyNumberFormat="1" applyFont="1" applyFill="1" applyBorder="1" applyAlignment="1">
      <x:alignment vertical="center"/>
    </x:xf>
    <x:xf numFmtId="200" fontId="10" fillId="8" borderId="3" xfId="0" applyNumberFormat="1" applyFont="1" applyFill="1" applyBorder="1" applyAlignment="1">
      <x:alignment vertical="center"/>
    </x:xf>
    <x:xf numFmtId="200" fontId="10" fillId="8" borderId="18" xfId="0" applyNumberFormat="1" applyFont="1" applyFill="1" applyBorder="1" applyAlignment="1">
      <x:alignment vertical="center"/>
    </x:xf>
    <x:xf numFmtId="200" fontId="10" fillId="8" borderId="19" xfId="0" applyNumberFormat="1" applyFont="1" applyFill="1" applyBorder="1" applyAlignment="1">
      <x:alignment vertical="center"/>
    </x:xf>
    <x:xf numFmtId="200" fontId="10" fillId="8" borderId="4" xfId="0" applyNumberFormat="1" applyFont="1" applyFill="1" applyBorder="1" applyAlignment="1">
      <x:alignment vertical="center"/>
    </x:xf>
    <x:xf numFmtId="200" fontId="10" fillId="8" borderId="6" xfId="0" applyNumberFormat="1" applyFont="1" applyFill="1" applyBorder="1" applyAlignment="1">
      <x:alignment vertical="center"/>
    </x:xf>
    <x:xf numFmtId="200" fontId="10" fillId="8" borderId="1" xfId="0" applyNumberFormat="1" applyFont="1" applyFill="1" applyBorder="1" applyAlignment="1">
      <x:alignment horizontal="center" vertical="center"/>
    </x:xf>
    <x:xf numFmtId="200" fontId="10" fillId="8" borderId="3" xfId="0" applyNumberFormat="1" applyFont="1" applyFill="1" applyBorder="1" applyAlignment="1">
      <x:alignment horizontal="center" vertical="center"/>
    </x:xf>
    <x:xf numFmtId="200" fontId="10" fillId="8" borderId="18" xfId="0" applyNumberFormat="1" applyFont="1" applyFill="1" applyBorder="1" applyAlignment="1">
      <x:alignment horizontal="center" vertical="center"/>
    </x:xf>
    <x:xf numFmtId="200" fontId="10" fillId="8" borderId="19" xfId="0" applyNumberFormat="1" applyFont="1" applyFill="1" applyBorder="1" applyAlignment="1">
      <x:alignment horizontal="center" vertical="center"/>
    </x:xf>
    <x:xf numFmtId="200" fontId="10" fillId="8" borderId="4" xfId="0" applyNumberFormat="1" applyFont="1" applyFill="1" applyBorder="1" applyAlignment="1">
      <x:alignment horizontal="center" vertical="center"/>
    </x:xf>
    <x:xf numFmtId="200" fontId="10" fillId="8" borderId="6" xfId="0" applyNumberFormat="1" applyFont="1" applyFill="1" applyBorder="1" applyAlignment="1">
      <x:alignment horizontal="center" vertical="center"/>
    </x:xf>
    <x:xf numFmtId="201" fontId="10" fillId="8" borderId="1" xfId="0" applyNumberFormat="1" applyFont="1" applyFill="1" applyBorder="1" applyAlignment="1">
      <x:alignment vertical="center"/>
    </x:xf>
    <x:xf numFmtId="201" fontId="10" fillId="8" borderId="3" xfId="0" applyNumberFormat="1" applyFont="1" applyFill="1" applyBorder="1" applyAlignment="1">
      <x:alignment vertical="center"/>
    </x:xf>
    <x:xf numFmtId="201" fontId="10" fillId="8" borderId="18" xfId="0" applyNumberFormat="1" applyFont="1" applyFill="1" applyBorder="1" applyAlignment="1">
      <x:alignment vertical="center"/>
    </x:xf>
    <x:xf numFmtId="201" fontId="10" fillId="8" borderId="19" xfId="0" applyNumberFormat="1" applyFont="1" applyFill="1" applyBorder="1" applyAlignment="1">
      <x:alignment vertical="center"/>
    </x:xf>
    <x:xf numFmtId="201" fontId="10" fillId="8" borderId="4" xfId="0" applyNumberFormat="1" applyFont="1" applyFill="1" applyBorder="1" applyAlignment="1">
      <x:alignment vertical="center"/>
    </x:xf>
    <x:xf numFmtId="201" fontId="10" fillId="8" borderId="6" xfId="0" applyNumberFormat="1" applyFont="1" applyFill="1" applyBorder="1" applyAlignment="1">
      <x:alignment vertical="center"/>
    </x:xf>
    <x:xf numFmtId="201" fontId="10" fillId="8" borderId="1" xfId="0" applyNumberFormat="1" applyFont="1" applyFill="1" applyBorder="1" applyAlignment="1">
      <x:alignment horizontal="center" vertical="center"/>
    </x:xf>
    <x:xf numFmtId="201" fontId="10" fillId="8" borderId="3" xfId="0" applyNumberFormat="1" applyFont="1" applyFill="1" applyBorder="1" applyAlignment="1">
      <x:alignment horizontal="center" vertical="center"/>
    </x:xf>
    <x:xf numFmtId="201" fontId="10" fillId="8" borderId="18" xfId="0" applyNumberFormat="1" applyFont="1" applyFill="1" applyBorder="1" applyAlignment="1">
      <x:alignment horizontal="center" vertical="center"/>
    </x:xf>
    <x:xf numFmtId="201" fontId="10" fillId="8" borderId="19" xfId="0" applyNumberFormat="1" applyFont="1" applyFill="1" applyBorder="1" applyAlignment="1">
      <x:alignment horizontal="center" vertical="center"/>
    </x:xf>
    <x:xf numFmtId="201" fontId="10" fillId="8" borderId="4" xfId="0" applyNumberFormat="1" applyFont="1" applyFill="1" applyBorder="1" applyAlignment="1">
      <x:alignment horizontal="center" vertical="center"/>
    </x:xf>
    <x:xf numFmtId="201" fontId="10" fillId="8" borderId="6" xfId="0" applyNumberFormat="1" applyFont="1" applyFill="1" applyBorder="1" applyAlignment="1">
      <x:alignment horizontal="center" vertical="center"/>
    </x:xf>
    <x:xf numFmtId="0" fontId="11" fillId="9" borderId="0" xfId="0" applyNumberFormat="1" applyFont="1" applyFill="1" applyBorder="1" applyAlignment="1">
      <x:alignment vertical="center"/>
    </x:xf>
    <x:xf numFmtId="0" fontId="11" fillId="9" borderId="20" xfId="0" applyNumberFormat="1" applyFont="1" applyFill="1" applyBorder="1" applyAlignment="1">
      <x:alignment vertical="center"/>
    </x:xf>
    <x:xf numFmtId="0" fontId="11" fillId="9" borderId="21" xfId="0" applyNumberFormat="1" applyFont="1" applyFill="1" applyBorder="1" applyAlignment="1">
      <x:alignment vertical="center"/>
    </x:xf>
    <x:xf numFmtId="0" fontId="11" fillId="9" borderId="22" xfId="0" applyNumberFormat="1" applyFont="1" applyFill="1" applyBorder="1" applyAlignment="1">
      <x:alignment vertical="center"/>
    </x:xf>
    <x:xf numFmtId="0" fontId="11" fillId="9" borderId="23" xfId="0" applyNumberFormat="1" applyFont="1" applyFill="1" applyBorder="1" applyAlignment="1">
      <x:alignment vertical="center"/>
    </x:xf>
    <x:xf numFmtId="0" fontId="11" fillId="9" borderId="24" xfId="0" applyNumberFormat="1" applyFont="1" applyFill="1" applyBorder="1" applyAlignment="1">
      <x:alignment vertical="center"/>
    </x:xf>
    <x:xf numFmtId="0" fontId="11" fillId="9" borderId="25" xfId="0" applyNumberFormat="1" applyFont="1" applyFill="1" applyBorder="1" applyAlignment="1">
      <x:alignment vertical="center"/>
    </x:xf>
    <x:xf numFmtId="0" fontId="11" fillId="9" borderId="20" xfId="0" applyNumberFormat="1" applyFont="1" applyFill="1" applyBorder="1" applyAlignment="1">
      <x:alignment vertical="center" wrapText="1"/>
    </x:xf>
    <x:xf numFmtId="0" fontId="11" fillId="9" borderId="21" xfId="0" applyNumberFormat="1" applyFont="1" applyFill="1" applyBorder="1" applyAlignment="1">
      <x:alignment vertical="center" wrapText="1"/>
    </x:xf>
    <x:xf numFmtId="0" fontId="11" fillId="9" borderId="22" xfId="0" applyNumberFormat="1" applyFont="1" applyFill="1" applyBorder="1" applyAlignment="1">
      <x:alignment vertical="center" wrapText="1"/>
    </x:xf>
    <x:xf numFmtId="0" fontId="11" fillId="9" borderId="23" xfId="0" applyNumberFormat="1" applyFont="1" applyFill="1" applyBorder="1" applyAlignment="1">
      <x:alignment vertical="center" wrapText="1"/>
    </x:xf>
    <x:xf numFmtId="0" fontId="11" fillId="9" borderId="24" xfId="0" applyNumberFormat="1" applyFont="1" applyFill="1" applyBorder="1" applyAlignment="1">
      <x:alignment vertical="center" wrapText="1"/>
    </x:xf>
    <x:xf numFmtId="0" fontId="11" fillId="9" borderId="25" xfId="0" applyNumberFormat="1" applyFont="1" applyFill="1" applyBorder="1" applyAlignment="1">
      <x:alignment vertical="center" wrapText="1"/>
    </x:xf>
    <x:xf numFmtId="0" fontId="11" fillId="9" borderId="20" xfId="0" applyNumberFormat="1" applyFont="1" applyFill="1" applyBorder="1" applyAlignment="1">
      <x:alignment horizontal="center" vertical="center" wrapText="1"/>
    </x:xf>
    <x:xf numFmtId="0" fontId="11" fillId="9" borderId="21" xfId="0" applyNumberFormat="1" applyFont="1" applyFill="1" applyBorder="1" applyAlignment="1">
      <x:alignment horizontal="center" vertical="center" wrapText="1"/>
    </x:xf>
    <x:xf numFmtId="0" fontId="11" fillId="9" borderId="22" xfId="0" applyNumberFormat="1" applyFont="1" applyFill="1" applyBorder="1" applyAlignment="1">
      <x:alignment horizontal="center" vertical="center" wrapText="1"/>
    </x:xf>
    <x:xf numFmtId="0" fontId="11" fillId="9" borderId="23" xfId="0" applyNumberFormat="1" applyFont="1" applyFill="1" applyBorder="1" applyAlignment="1">
      <x:alignment horizontal="center" vertical="center" wrapText="1"/>
    </x:xf>
    <x:xf numFmtId="0" fontId="11" fillId="9" borderId="24" xfId="0" applyNumberFormat="1" applyFont="1" applyFill="1" applyBorder="1" applyAlignment="1">
      <x:alignment horizontal="center" vertical="center" wrapText="1"/>
    </x:xf>
    <x:xf numFmtId="0" fontId="11" fillId="9" borderId="25" xfId="0" applyNumberFormat="1" applyFont="1" applyFill="1" applyBorder="1" applyAlignment="1">
      <x:alignment horizontal="center" vertical="center" wrapText="1"/>
    </x:xf>
    <x:xf numFmtId="0" fontId="7" fillId="7" borderId="0" xfId="0" applyNumberFormat="1" applyFont="1" applyFill="1" applyBorder="1" applyAlignment="1">
      <x:alignment horizontal="center" vertical="center"/>
    </x:xf>
    <x:xf numFmtId="0" fontId="12" fillId="8" borderId="0" xfId="0" applyNumberFormat="1" applyFont="1" applyFill="1" applyBorder="1" applyAlignment="1">
      <x:alignment vertical="center"/>
    </x:xf>
    <x:xf numFmtId="0" fontId="12" fillId="8" borderId="26" xfId="0" applyNumberFormat="1" applyFont="1" applyFill="1" applyBorder="1" applyAlignment="1">
      <x:alignment vertical="center"/>
    </x:xf>
    <x:xf numFmtId="0" fontId="12" fillId="8" borderId="27" xfId="0" applyNumberFormat="1" applyFont="1" applyFill="1" applyBorder="1" applyAlignment="1">
      <x:alignment vertical="center"/>
    </x:xf>
    <x:xf numFmtId="0" fontId="12" fillId="8" borderId="26" xfId="0" applyNumberFormat="1" applyFont="1" applyFill="1" applyBorder="1" applyAlignment="1">
      <x:alignment horizontal="center" vertical="center"/>
    </x:xf>
    <x:xf numFmtId="0" fontId="12" fillId="8" borderId="27" xfId="0" applyNumberFormat="1" applyFont="1" applyFill="1" applyBorder="1" applyAlignment="1">
      <x:alignment horizontal="center" vertical="center"/>
    </x:xf>
    <x:xf numFmtId="0" fontId="11" fillId="9" borderId="26" xfId="0" applyNumberFormat="1" applyFont="1" applyFill="1" applyBorder="1" applyAlignment="1">
      <x:alignment vertical="center"/>
    </x:xf>
    <x:xf numFmtId="0" fontId="11" fillId="9" borderId="27" xfId="0" applyNumberFormat="1" applyFont="1" applyFill="1" applyBorder="1" applyAlignment="1">
      <x:alignment vertical="center"/>
    </x:xf>
    <x:xf numFmtId="0" fontId="11" fillId="9" borderId="26" xfId="0" applyNumberFormat="1" applyFont="1" applyFill="1" applyBorder="1" applyAlignment="1">
      <x:alignment vertical="center" wrapText="1"/>
    </x:xf>
    <x:xf numFmtId="0" fontId="11" fillId="9" borderId="27" xfId="0" applyNumberFormat="1" applyFont="1" applyFill="1" applyBorder="1" applyAlignment="1">
      <x:alignment vertical="center" wrapText="1"/>
    </x:xf>
    <x:xf numFmtId="0" fontId="11" fillId="9" borderId="26" xfId="0" applyNumberFormat="1" applyFont="1" applyFill="1" applyBorder="1" applyAlignment="1">
      <x:alignment horizontal="center" vertical="center" wrapText="1"/>
    </x:xf>
    <x:xf numFmtId="0" fontId="11" fillId="9" borderId="27" xfId="0" applyNumberFormat="1" applyFont="1" applyFill="1" applyBorder="1" applyAlignment="1">
      <x:alignment horizontal="center" vertical="center" wrapText="1"/>
    </x:xf>
    <x:xf numFmtId="0" fontId="3" fillId="8" borderId="0" xfId="0" applyNumberFormat="1" applyFont="1" applyFill="1" applyBorder="1" applyAlignment="1">
      <x:alignment vertical="center"/>
    </x:xf>
    <x:xf numFmtId="0" fontId="3" fillId="8" borderId="1" xfId="0" applyNumberFormat="1" applyFont="1" applyFill="1" applyBorder="1" applyAlignment="1">
      <x:alignment vertical="center"/>
    </x:xf>
    <x:xf numFmtId="0" fontId="3" fillId="8" borderId="2" xfId="0" applyNumberFormat="1" applyFont="1" applyFill="1" applyBorder="1" applyAlignment="1">
      <x:alignment vertical="center"/>
    </x:xf>
    <x:xf numFmtId="0" fontId="3" fillId="8" borderId="3" xfId="0" applyNumberFormat="1" applyFont="1" applyFill="1" applyBorder="1" applyAlignment="1">
      <x:alignment vertical="center"/>
    </x:xf>
    <x:xf numFmtId="0" fontId="3" fillId="8" borderId="4" xfId="0" applyNumberFormat="1" applyFont="1" applyFill="1" applyBorder="1" applyAlignment="1">
      <x:alignment vertical="center"/>
    </x:xf>
    <x:xf numFmtId="0" fontId="3" fillId="8" borderId="5" xfId="0" applyNumberFormat="1" applyFont="1" applyFill="1" applyBorder="1" applyAlignment="1">
      <x:alignment vertical="center"/>
    </x:xf>
    <x:xf numFmtId="0" fontId="3" fillId="8" borderId="6" xfId="0" applyNumberFormat="1" applyFont="1" applyFill="1" applyBorder="1" applyAlignment="1">
      <x:alignment vertical="center"/>
    </x:xf>
    <x:xf numFmtId="0" fontId="3" fillId="8" borderId="1" xfId="0" applyNumberFormat="1" applyFont="1" applyFill="1" applyBorder="1" applyAlignment="1">
      <x:alignment vertical="center" wrapText="1"/>
    </x:xf>
    <x:xf numFmtId="0" fontId="3" fillId="8" borderId="2" xfId="0" applyNumberFormat="1" applyFont="1" applyFill="1" applyBorder="1" applyAlignment="1">
      <x:alignment vertical="center" wrapText="1"/>
    </x:xf>
    <x:xf numFmtId="0" fontId="3" fillId="8" borderId="3" xfId="0" applyNumberFormat="1" applyFont="1" applyFill="1" applyBorder="1" applyAlignment="1">
      <x:alignment vertical="center" wrapText="1"/>
    </x:xf>
    <x:xf numFmtId="0" fontId="3" fillId="8" borderId="4" xfId="0" applyNumberFormat="1" applyFont="1" applyFill="1" applyBorder="1" applyAlignment="1">
      <x:alignment vertical="center" wrapText="1"/>
    </x:xf>
    <x:xf numFmtId="0" fontId="3" fillId="8" borderId="5" xfId="0" applyNumberFormat="1" applyFont="1" applyFill="1" applyBorder="1" applyAlignment="1">
      <x:alignment vertical="center" wrapText="1"/>
    </x:xf>
    <x:xf numFmtId="0" fontId="3" fillId="8" borderId="6" xfId="0" applyNumberFormat="1" applyFont="1" applyFill="1" applyBorder="1" applyAlignment="1">
      <x:alignment vertical="center" wrapText="1"/>
    </x:xf>
    <x:xf numFmtId="0" fontId="1" fillId="8" borderId="1" xfId="0" applyNumberFormat="1" applyFont="1" applyFill="1" applyBorder="1" applyAlignment="1">
      <x:alignment vertical="center"/>
    </x:xf>
    <x:xf numFmtId="0" fontId="1" fillId="8" borderId="2" xfId="0" applyNumberFormat="1" applyFont="1" applyFill="1" applyBorder="1" applyAlignment="1">
      <x:alignment vertical="center"/>
    </x:xf>
    <x:xf numFmtId="0" fontId="1" fillId="8" borderId="3" xfId="0" applyNumberFormat="1" applyFont="1" applyFill="1" applyBorder="1" applyAlignment="1">
      <x:alignment vertical="center"/>
    </x:xf>
    <x:xf numFmtId="0" fontId="1" fillId="8" borderId="18" xfId="0" applyNumberFormat="1" applyFont="1" applyFill="1" applyBorder="1" applyAlignment="1">
      <x:alignment vertical="center"/>
    </x:xf>
    <x:xf numFmtId="0" fontId="1" fillId="8" borderId="19" xfId="0" applyNumberFormat="1" applyFont="1" applyFill="1" applyBorder="1" applyAlignment="1">
      <x:alignment vertical="center"/>
    </x:xf>
    <x:xf numFmtId="0" fontId="1" fillId="8" borderId="4" xfId="0" applyNumberFormat="1" applyFont="1" applyFill="1" applyBorder="1" applyAlignment="1">
      <x:alignment vertical="center"/>
    </x:xf>
    <x:xf numFmtId="0" fontId="1" fillId="8" borderId="5" xfId="0" applyNumberFormat="1" applyFont="1" applyFill="1" applyBorder="1" applyAlignment="1">
      <x:alignment vertical="center"/>
    </x:xf>
    <x:xf numFmtId="0" fontId="1" fillId="8" borderId="6" xfId="0" applyNumberFormat="1" applyFont="1" applyFill="1" applyBorder="1" applyAlignment="1">
      <x:alignment vertical="center"/>
    </x:xf>
    <x:xf numFmtId="0" fontId="1" fillId="8" borderId="1" xfId="0" applyNumberFormat="1" applyFont="1" applyFill="1" applyBorder="1" applyAlignment="1">
      <x:alignment vertical="center" wrapText="1"/>
    </x:xf>
    <x:xf numFmtId="0" fontId="1" fillId="8" borderId="2" xfId="0" applyNumberFormat="1" applyFont="1" applyFill="1" applyBorder="1" applyAlignment="1">
      <x:alignment vertical="center" wrapText="1"/>
    </x:xf>
    <x:xf numFmtId="0" fontId="1" fillId="8" borderId="3" xfId="0" applyNumberFormat="1" applyFont="1" applyFill="1" applyBorder="1" applyAlignment="1">
      <x:alignment vertical="center" wrapText="1"/>
    </x:xf>
    <x:xf numFmtId="0" fontId="1" fillId="8" borderId="18" xfId="0" applyNumberFormat="1" applyFont="1" applyFill="1" applyBorder="1" applyAlignment="1">
      <x:alignment vertical="center" wrapText="1"/>
    </x:xf>
    <x:xf numFmtId="0" fontId="1" fillId="8" borderId="0" xfId="0" applyNumberFormat="1" applyFont="1" applyFill="1" applyBorder="1" applyAlignment="1">
      <x:alignment vertical="center" wrapText="1"/>
    </x:xf>
    <x:xf numFmtId="0" fontId="1" fillId="8" borderId="19" xfId="0" applyNumberFormat="1" applyFont="1" applyFill="1" applyBorder="1" applyAlignment="1">
      <x:alignment vertical="center" wrapText="1"/>
    </x:xf>
    <x:xf numFmtId="0" fontId="1" fillId="8" borderId="4" xfId="0" applyNumberFormat="1" applyFont="1" applyFill="1" applyBorder="1" applyAlignment="1">
      <x:alignment vertical="center" wrapText="1"/>
    </x:xf>
    <x:xf numFmtId="0" fontId="1" fillId="8" borderId="5" xfId="0" applyNumberFormat="1" applyFont="1" applyFill="1" applyBorder="1" applyAlignment="1">
      <x:alignment vertical="center" wrapText="1"/>
    </x:xf>
    <x:xf numFmtId="0" fontId="1" fillId="8" borderId="6" xfId="0" applyNumberFormat="1" applyFont="1" applyFill="1" applyBorder="1" applyAlignment="1">
      <x:alignment vertical="center" wrapText="1"/>
    </x:xf>
    <x:xf numFmtId="0" fontId="3" fillId="5" borderId="26" xfId="0" applyNumberFormat="1" applyFont="1" applyFill="1" applyBorder="1" applyAlignment="1">
      <x:alignment vertical="center"/>
    </x:xf>
    <x:xf numFmtId="0" fontId="3" fillId="5" borderId="28" xfId="0" applyNumberFormat="1" applyFont="1" applyFill="1" applyBorder="1" applyAlignment="1">
      <x:alignment vertical="center"/>
    </x:xf>
    <x:xf numFmtId="0" fontId="3" fillId="5" borderId="27" xfId="0" applyNumberFormat="1" applyFont="1" applyFill="1" applyBorder="1" applyAlignment="1">
      <x:alignment vertical="center"/>
    </x:xf>
    <x:xf numFmtId="0" fontId="3" fillId="5" borderId="26" xfId="0" applyNumberFormat="1" applyFont="1" applyFill="1" applyBorder="1" applyAlignment="1">
      <x:alignment horizontal="center" vertical="center"/>
    </x:xf>
    <x:xf numFmtId="0" fontId="3" fillId="5" borderId="28" xfId="0" applyNumberFormat="1" applyFont="1" applyFill="1" applyBorder="1" applyAlignment="1">
      <x:alignment horizontal="center" vertical="center"/>
    </x:xf>
    <x:xf numFmtId="0" fontId="3" fillId="5" borderId="27" xfId="0" applyNumberFormat="1" applyFont="1" applyFill="1" applyBorder="1" applyAlignment="1">
      <x:alignment horizontal="center" vertical="center"/>
    </x:xf>
    <x:xf numFmtId="0" fontId="13" fillId="2" borderId="0" xfId="0" applyNumberFormat="1" applyFont="1" applyFill="1" applyBorder="1" applyAlignment="1">
      <x:alignment vertical="center"/>
    </x:xf>
    <x:xf numFmtId="0" fontId="12" fillId="8" borderId="28" xfId="0" applyNumberFormat="1" applyFont="1" applyFill="1" applyBorder="1" applyAlignment="1">
      <x:alignment vertical="center"/>
    </x:xf>
    <x:xf numFmtId="0" fontId="12" fillId="8" borderId="28" xfId="0" applyNumberFormat="1" applyFont="1" applyFill="1" applyBorder="1" applyAlignment="1">
      <x:alignment horizontal="center" vertical="center"/>
    </x:xf>
    <x:xf numFmtId="201" fontId="1" fillId="2" borderId="0" xfId="0" applyNumberFormat="1" applyFont="1" applyFill="1" applyBorder="1" applyAlignment="1">
      <x:alignment vertical="center"/>
    </x:xf>
    <x:xf numFmtId="201" fontId="1" fillId="8" borderId="0" xfId="0" applyNumberFormat="1" applyFont="1" applyFill="1" applyBorder="1" applyAlignment="1">
      <x:alignment vertical="center"/>
    </x:xf>
    <x:xf numFmtId="201" fontId="1" fillId="8" borderId="0" xfId="0" applyNumberFormat="1" applyFont="1" applyFill="1" applyBorder="1" applyAlignment="1">
      <x:alignment vertical="center" wrapText="1"/>
    </x:xf>
    <x:xf numFmtId="0" fontId="12" fillId="8" borderId="0" xfId="0" applyNumberFormat="1" applyFont="1" applyFill="1" applyBorder="1" applyAlignment="1">
      <x:alignment vertical="center" wrapText="1"/>
    </x:xf>
    <x:xf numFmtId="202" fontId="1" fillId="2" borderId="0" xfId="0" applyNumberFormat="1" applyFont="1" applyFill="1" applyBorder="1" applyAlignment="1">
      <x:alignment vertical="center"/>
    </x:xf>
    <x:xf numFmtId="202" fontId="1" fillId="8" borderId="0" xfId="0" applyNumberFormat="1" applyFont="1" applyFill="1" applyBorder="1" applyAlignment="1">
      <x:alignment vertical="center"/>
    </x:xf>
    <x:xf numFmtId="202" fontId="1" fillId="8" borderId="0" xfId="0" applyNumberFormat="1" applyFont="1" applyFill="1" applyBorder="1" applyAlignment="1">
      <x:alignment vertical="center" wrapText="1"/>
    </x:xf>
    <x:xf numFmtId="200" fontId="1" fillId="2" borderId="0" xfId="0" applyNumberFormat="1" applyFont="1" applyFill="1" applyBorder="1" applyAlignment="1">
      <x:alignment vertical="center"/>
    </x:xf>
    <x:xf numFmtId="200" fontId="1" fillId="8" borderId="0" xfId="0" applyNumberFormat="1" applyFont="1" applyFill="1" applyBorder="1" applyAlignment="1">
      <x:alignment vertical="center"/>
    </x:xf>
    <x:xf numFmtId="200" fontId="1" fillId="8" borderId="0" xfId="0" applyNumberFormat="1" applyFont="1" applyFill="1" applyBorder="1" applyAlignment="1">
      <x:alignment vertical="center" wrapText="1"/>
    </x:xf>
    <x:xf numFmtId="0" fontId="6" fillId="9" borderId="26" xfId="0" applyNumberFormat="1" applyFont="1" applyFill="1" applyBorder="1" applyAlignment="1">
      <x:alignment vertical="center"/>
    </x:xf>
    <x:xf numFmtId="0" fontId="6" fillId="9" borderId="28" xfId="0" applyNumberFormat="1" applyFont="1" applyFill="1" applyBorder="1" applyAlignment="1">
      <x:alignment vertical="center"/>
    </x:xf>
    <x:xf numFmtId="0" fontId="6" fillId="9" borderId="27" xfId="0" applyNumberFormat="1" applyFont="1" applyFill="1" applyBorder="1" applyAlignment="1">
      <x:alignment vertical="center"/>
    </x:xf>
    <x:xf numFmtId="0" fontId="6" fillId="9" borderId="26" xfId="0" applyNumberFormat="1" applyFont="1" applyFill="1" applyBorder="1" applyAlignment="1">
      <x:alignment horizontal="center" vertical="center"/>
    </x:xf>
    <x:xf numFmtId="0" fontId="6" fillId="9" borderId="28" xfId="0" applyNumberFormat="1" applyFont="1" applyFill="1" applyBorder="1" applyAlignment="1">
      <x:alignment horizontal="center" vertical="center"/>
    </x:xf>
    <x:xf numFmtId="0" fontId="6" fillId="9" borderId="27" xfId="0" applyNumberFormat="1" applyFont="1" applyFill="1" applyBorder="1" applyAlignment="1">
      <x:alignment horizontal="center" vertical="center"/>
    </x:xf>
    <x:xf numFmtId="0" fontId="3" fillId="5" borderId="18" xfId="0" applyNumberFormat="1" applyFont="1" applyFill="1" applyBorder="1" applyAlignment="1">
      <x:alignment vertical="center"/>
    </x:xf>
    <x:xf numFmtId="0" fontId="3" fillId="5" borderId="19" xfId="0" applyNumberFormat="1" applyFont="1" applyFill="1" applyBorder="1" applyAlignment="1">
      <x:alignment vertical="center"/>
    </x:xf>
    <x:xf numFmtId="0" fontId="3" fillId="5" borderId="1" xfId="0" applyNumberFormat="1" applyFont="1" applyFill="1" applyBorder="1" applyAlignment="1">
      <x:alignment horizontal="left" vertical="center"/>
    </x:xf>
    <x:xf numFmtId="0" fontId="3" fillId="5" borderId="2" xfId="0" applyNumberFormat="1" applyFont="1" applyFill="1" applyBorder="1" applyAlignment="1">
      <x:alignment horizontal="left" vertical="center"/>
    </x:xf>
    <x:xf numFmtId="0" fontId="3" fillId="5" borderId="3" xfId="0" applyNumberFormat="1" applyFont="1" applyFill="1" applyBorder="1" applyAlignment="1">
      <x:alignment horizontal="left" vertical="center"/>
    </x:xf>
    <x:xf numFmtId="0" fontId="3" fillId="5" borderId="18" xfId="0" applyNumberFormat="1" applyFont="1" applyFill="1" applyBorder="1" applyAlignment="1">
      <x:alignment horizontal="left" vertical="center"/>
    </x:xf>
    <x:xf numFmtId="0" fontId="3" fillId="5" borderId="0" xfId="0" applyNumberFormat="1" applyFont="1" applyFill="1" applyBorder="1" applyAlignment="1">
      <x:alignment horizontal="left" vertical="center"/>
    </x:xf>
    <x:xf numFmtId="0" fontId="3" fillId="5" borderId="19" xfId="0" applyNumberFormat="1" applyFont="1" applyFill="1" applyBorder="1" applyAlignment="1">
      <x:alignment horizontal="left" vertical="center"/>
    </x:xf>
    <x:xf numFmtId="0" fontId="3" fillId="5" borderId="4" xfId="0" applyNumberFormat="1" applyFont="1" applyFill="1" applyBorder="1" applyAlignment="1">
      <x:alignment horizontal="left" vertical="center"/>
    </x:xf>
    <x:xf numFmtId="0" fontId="3" fillId="5" borderId="5" xfId="0" applyNumberFormat="1" applyFont="1" applyFill="1" applyBorder="1" applyAlignment="1">
      <x:alignment horizontal="left" vertical="center"/>
    </x:xf>
    <x:xf numFmtId="0" fontId="3" fillId="5" borderId="6" xfId="0" applyNumberFormat="1" applyFont="1" applyFill="1" applyBorder="1" applyAlignment="1">
      <x:alignment horizontal="left" vertical="center"/>
    </x:xf>
    <x:xf numFmtId="0" fontId="12" fillId="8" borderId="1" xfId="0" applyNumberFormat="1" applyFont="1" applyFill="1" applyBorder="1" applyAlignment="1">
      <x:alignment vertical="center"/>
    </x:xf>
    <x:xf numFmtId="0" fontId="12" fillId="8" borderId="3" xfId="0" applyNumberFormat="1" applyFont="1" applyFill="1" applyBorder="1" applyAlignment="1">
      <x:alignment vertical="center"/>
    </x:xf>
    <x:xf numFmtId="0" fontId="12" fillId="8" borderId="4" xfId="0" applyNumberFormat="1" applyFont="1" applyFill="1" applyBorder="1" applyAlignment="1">
      <x:alignment vertical="center"/>
    </x:xf>
    <x:xf numFmtId="0" fontId="12" fillId="8" borderId="6" xfId="0" applyNumberFormat="1" applyFont="1" applyFill="1" applyBorder="1" applyAlignment="1">
      <x:alignment vertical="center"/>
    </x:xf>
    <x:xf numFmtId="0" fontId="12" fillId="8" borderId="1" xfId="0" applyNumberFormat="1" applyFont="1" applyFill="1" applyBorder="1" applyAlignment="1">
      <x:alignment horizontal="center" vertical="center"/>
    </x:xf>
    <x:xf numFmtId="0" fontId="12" fillId="8" borderId="3" xfId="0" applyNumberFormat="1" applyFont="1" applyFill="1" applyBorder="1" applyAlignment="1">
      <x:alignment horizontal="center" vertical="center"/>
    </x:xf>
    <x:xf numFmtId="0" fontId="12" fillId="8" borderId="4" xfId="0" applyNumberFormat="1" applyFont="1" applyFill="1" applyBorder="1" applyAlignment="1">
      <x:alignment horizontal="center" vertical="center"/>
    </x:xf>
    <x:xf numFmtId="0" fontId="12" fillId="8" borderId="6" xfId="0" applyNumberFormat="1" applyFont="1" applyFill="1" applyBorder="1" applyAlignment="1">
      <x:alignment horizontal="center" vertical="center"/>
    </x:xf>
    <x:xf numFmtId="0" fontId="10" fillId="5" borderId="0" xfId="0" applyNumberFormat="1" applyFont="1" applyFill="1" applyBorder="1" applyAlignment="1">
      <x:alignment vertical="center"/>
    </x:xf>
    <x:xf numFmtId="0" fontId="10" fillId="5" borderId="26" xfId="0" applyNumberFormat="1" applyFont="1" applyFill="1" applyBorder="1" applyAlignment="1">
      <x:alignment vertical="center"/>
    </x:xf>
    <x:xf numFmtId="0" fontId="10" fillId="5" borderId="27" xfId="0" applyNumberFormat="1" applyFont="1" applyFill="1" applyBorder="1" applyAlignment="1">
      <x:alignment vertical="center"/>
    </x:xf>
    <x:xf numFmtId="0" fontId="10" fillId="5" borderId="26" xfId="0" applyNumberFormat="1" applyFont="1" applyFill="1" applyBorder="1" applyAlignment="1">
      <x:alignment horizontal="center" vertical="center"/>
    </x:xf>
    <x:xf numFmtId="0" fontId="10" fillId="5" borderId="27" xfId="0" applyNumberFormat="1" applyFont="1" applyFill="1" applyBorder="1" applyAlignment="1">
      <x:alignment horizontal="center" vertical="center"/>
    </x:xf>
    <x:xf numFmtId="0" fontId="1" fillId="8" borderId="1" xfId="0" applyNumberFormat="1" applyFont="1" applyFill="1" applyBorder="1" applyAlignment="1">
      <x:alignment horizontal="center" vertical="center" wrapText="1"/>
    </x:xf>
    <x:xf numFmtId="0" fontId="1" fillId="8" borderId="3" xfId="0" applyNumberFormat="1" applyFont="1" applyFill="1" applyBorder="1" applyAlignment="1">
      <x:alignment horizontal="center" vertical="center" wrapText="1"/>
    </x:xf>
    <x:xf numFmtId="0" fontId="1" fillId="8" borderId="4" xfId="0" applyNumberFormat="1" applyFont="1" applyFill="1" applyBorder="1" applyAlignment="1">
      <x:alignment horizontal="center" vertical="center" wrapText="1"/>
    </x:xf>
    <x:xf numFmtId="0" fontId="1" fillId="8" borderId="6" xfId="0" applyNumberFormat="1" applyFont="1" applyFill="1" applyBorder="1" applyAlignment="1">
      <x:alignment horizontal="center" vertical="center" wrapText="1"/>
    </x:xf>
    <x:xf numFmtId="0" fontId="6" fillId="9" borderId="1" xfId="0" applyNumberFormat="1" applyFont="1" applyFill="1" applyBorder="1" applyAlignment="1">
      <x:alignment vertical="center"/>
    </x:xf>
    <x:xf numFmtId="0" fontId="6" fillId="9" borderId="2" xfId="0" applyNumberFormat="1" applyFont="1" applyFill="1" applyBorder="1" applyAlignment="1">
      <x:alignment vertical="center"/>
    </x:xf>
    <x:xf numFmtId="0" fontId="6" fillId="9" borderId="3" xfId="0" applyNumberFormat="1" applyFont="1" applyFill="1" applyBorder="1" applyAlignment="1">
      <x:alignment vertical="center"/>
    </x:xf>
    <x:xf numFmtId="0" fontId="6" fillId="9" borderId="4" xfId="0" applyNumberFormat="1" applyFont="1" applyFill="1" applyBorder="1" applyAlignment="1">
      <x:alignment vertical="center"/>
    </x:xf>
    <x:xf numFmtId="0" fontId="6" fillId="9" borderId="5" xfId="0" applyNumberFormat="1" applyFont="1" applyFill="1" applyBorder="1" applyAlignment="1">
      <x:alignment vertical="center"/>
    </x:xf>
    <x:xf numFmtId="0" fontId="6" fillId="9" borderId="6" xfId="0" applyNumberFormat="1" applyFont="1" applyFill="1" applyBorder="1" applyAlignment="1">
      <x:alignment vertical="center"/>
    </x:xf>
    <x:xf numFmtId="0" fontId="6" fillId="9" borderId="1" xfId="0" applyNumberFormat="1" applyFont="1" applyFill="1" applyBorder="1" applyAlignment="1">
      <x:alignment vertical="center" wrapText="1"/>
    </x:xf>
    <x:xf numFmtId="0" fontId="6" fillId="9" borderId="2" xfId="0" applyNumberFormat="1" applyFont="1" applyFill="1" applyBorder="1" applyAlignment="1">
      <x:alignment vertical="center" wrapText="1"/>
    </x:xf>
    <x:xf numFmtId="0" fontId="6" fillId="9" borderId="3" xfId="0" applyNumberFormat="1" applyFont="1" applyFill="1" applyBorder="1" applyAlignment="1">
      <x:alignment vertical="center" wrapText="1"/>
    </x:xf>
    <x:xf numFmtId="0" fontId="6" fillId="9" borderId="4" xfId="0" applyNumberFormat="1" applyFont="1" applyFill="1" applyBorder="1" applyAlignment="1">
      <x:alignment vertical="center" wrapText="1"/>
    </x:xf>
    <x:xf numFmtId="0" fontId="6" fillId="9" borderId="5" xfId="0" applyNumberFormat="1" applyFont="1" applyFill="1" applyBorder="1" applyAlignment="1">
      <x:alignment vertical="center" wrapText="1"/>
    </x:xf>
    <x:xf numFmtId="0" fontId="6" fillId="9" borderId="6" xfId="0" applyNumberFormat="1" applyFont="1" applyFill="1" applyBorder="1" applyAlignment="1">
      <x:alignment vertical="center" wrapText="1"/>
    </x:xf>
    <x:xf numFmtId="0" fontId="7" fillId="8" borderId="0" xfId="0" applyNumberFormat="1" applyFont="1" applyFill="1" applyBorder="1" applyAlignment="1">
      <x:alignment vertical="center"/>
    </x:xf>
    <x:xf numFmtId="0" fontId="7" fillId="8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  <x:dxfs count="26">
    <x:dxf>
      <x:font>
        <x:b/>
        <x:color rgb="FFB42318"/>
      </x:font>
      <x:fill>
        <x:patternFill patternType="solid">
          <x:bgColor rgb="FFFDECEA"/>
        </x:patternFill>
      </x:fill>
    </x:dxf>
    <x:dxf>
      <x:font>
        <x:b/>
        <x:color rgb="FF247252"/>
      </x:font>
      <x:fill>
        <x:patternFill patternType="solid">
          <x:bgColor rgb="FFE6F2EB"/>
        </x:patternFill>
      </x:fill>
    </x:dxf>
    <x:dxf>
      <x:font>
        <x:b/>
        <x:color rgb="FFB42318"/>
      </x:font>
      <x:fill>
        <x:patternFill patternType="solid">
          <x:bgColor rgb="FFFDECEA"/>
        </x:patternFill>
      </x:fill>
    </x:dxf>
    <x:dxf>
      <x:font>
        <x:b/>
        <x:color rgb="FF247252"/>
      </x:font>
      <x:fill>
        <x:patternFill patternType="solid">
          <x:bgColor rgb="FFE6F2EB"/>
        </x:patternFill>
      </x:fill>
    </x:dxf>
    <x:dxf>
      <x:font>
        <x:b/>
        <x:color rgb="FFB42318"/>
      </x:font>
      <x:fill>
        <x:patternFill patternType="solid">
          <x:bgColor rgb="FFFDECEA"/>
        </x:patternFill>
      </x:fill>
    </x:dxf>
    <x:dxf>
      <x:font>
        <x:b/>
        <x:color rgb="FF247252"/>
      </x:font>
      <x:fill>
        <x:patternFill patternType="solid">
          <x:bgColor rgb="FFE6F2EB"/>
        </x:patternFill>
      </x:fill>
    </x:dxf>
    <x:dxf>
      <x:font>
        <x:b/>
        <x:color rgb="FFB42318"/>
      </x:font>
      <x:fill>
        <x:patternFill patternType="solid">
          <x:bgColor rgb="FFFDECEA"/>
        </x:patternFill>
      </x:fill>
    </x:dxf>
    <x:dxf>
      <x:font>
        <x:b/>
        <x:color rgb="FF247252"/>
      </x:font>
      <x:fill>
        <x:patternFill patternType="solid">
          <x:bgColor rgb="FFE6F2EB"/>
        </x:patternFill>
      </x:fill>
    </x:dxf>
    <x:dxf>
      <x:font>
        <x:b/>
        <x:color rgb="FFB42318"/>
      </x:font>
      <x:fill>
        <x:patternFill patternType="solid">
          <x:bgColor rgb="FFFDECEA"/>
        </x:patternFill>
      </x:fill>
    </x:dxf>
    <x:dxf>
      <x:font>
        <x:b/>
        <x:color rgb="FF247252"/>
      </x:font>
      <x:fill>
        <x:patternFill patternType="solid">
          <x:bgColor rgb="FFE6F2EB"/>
        </x:patternFill>
      </x:fill>
    </x:dxf>
    <x:dxf>
      <x:font>
        <x:b/>
        <x:color rgb="FFB42318"/>
      </x:font>
      <x:fill>
        <x:patternFill patternType="solid">
          <x:bgColor rgb="FFFDECEA"/>
        </x:patternFill>
      </x:fill>
    </x:dxf>
    <x:dxf>
      <x:font>
        <x:b/>
        <x:color rgb="FF247252"/>
      </x:font>
      <x:fill>
        <x:patternFill patternType="solid">
          <x:bgColor rgb="FFE6F2EB"/>
        </x:patternFill>
      </x:fill>
    </x:dxf>
    <x:dxf>
      <x:font>
        <x:b/>
        <x:color rgb="FFB42318"/>
      </x:font>
      <x:fill>
        <x:patternFill patternType="solid">
          <x:bgColor rgb="FFFDECEA"/>
        </x:patternFill>
      </x:fill>
    </x:dxf>
    <x:dxf>
      <x:font>
        <x:b/>
        <x:color rgb="FF247252"/>
      </x:font>
      <x:fill>
        <x:patternFill patternType="solid">
          <x:bgColor rgb="FFE6F2EB"/>
        </x:patternFill>
      </x:fill>
    </x:dxf>
    <x:dxf>
      <x:font>
        <x:b/>
        <x:color rgb="FFB42318"/>
      </x:font>
      <x:fill>
        <x:patternFill patternType="solid">
          <x:bgColor rgb="FFFDECEA"/>
        </x:patternFill>
      </x:fill>
    </x:dxf>
    <x:dxf>
      <x:font>
        <x:b/>
        <x:color rgb="FF247252"/>
      </x:font>
      <x:fill>
        <x:patternFill patternType="solid">
          <x:bgColor rgb="FFE6F2EB"/>
        </x:patternFill>
      </x:fill>
    </x:dxf>
    <x:dxf>
      <x:font>
        <x:b/>
        <x:color rgb="FFB42318"/>
      </x:font>
      <x:fill>
        <x:patternFill patternType="solid">
          <x:bgColor rgb="FFFDECEA"/>
        </x:patternFill>
      </x:fill>
    </x:dxf>
    <x:dxf>
      <x:font>
        <x:b/>
        <x:color rgb="FF247252"/>
      </x:font>
      <x:fill>
        <x:patternFill patternType="solid">
          <x:bgColor rgb="FFE6F2EB"/>
        </x:patternFill>
      </x:fill>
    </x:dxf>
    <x:dxf>
      <x:font>
        <x:b/>
        <x:color rgb="FFB42318"/>
      </x:font>
      <x:fill>
        <x:patternFill patternType="solid">
          <x:bgColor rgb="FFFDECEA"/>
        </x:patternFill>
      </x:fill>
    </x:dxf>
    <x:dxf>
      <x:font>
        <x:b/>
        <x:color rgb="FF247252"/>
      </x:font>
      <x:fill>
        <x:patternFill patternType="solid">
          <x:bgColor rgb="FFE6F2EB"/>
        </x:patternFill>
      </x:fill>
    </x:dxf>
    <x:dxf>
      <x:font>
        <x:b/>
        <x:color rgb="FFB42318"/>
      </x:font>
      <x:fill>
        <x:patternFill patternType="solid">
          <x:bgColor rgb="FFFDECEA"/>
        </x:patternFill>
      </x:fill>
    </x:dxf>
    <x:dxf>
      <x:font>
        <x:b/>
        <x:color rgb="FF247252"/>
      </x:font>
      <x:fill>
        <x:patternFill patternType="solid">
          <x:bgColor rgb="FFE6F2EB"/>
        </x:patternFill>
      </x:fill>
    </x:dxf>
    <x:dxf>
      <x:font>
        <x:b/>
        <x:color rgb="FFB42318"/>
      </x:font>
      <x:fill>
        <x:patternFill patternType="solid">
          <x:bgColor rgb="FFFDECEA"/>
        </x:patternFill>
      </x:fill>
    </x:dxf>
    <x:dxf>
      <x:font>
        <x:b/>
        <x:color rgb="FF247252"/>
      </x:font>
      <x:fill>
        <x:patternFill patternType="solid">
          <x:bgColor rgb="FFE6F2EB"/>
        </x:patternFill>
      </x:fill>
    </x:dxf>
    <x:dxf>
      <x:font>
        <x:b/>
        <x:color rgb="FFB42318"/>
      </x:font>
      <x:fill>
        <x:patternFill patternType="solid">
          <x:bgColor rgb="FFFDECEA"/>
        </x:patternFill>
      </x:fill>
    </x:dxf>
    <x:dxf>
      <x:font>
        <x:b/>
        <x:color rgb="FF247252"/>
      </x:font>
      <x:fill>
        <x:patternFill patternType="solid">
          <x:bgColor rgb="FFE6F2EB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a07477c96d64497" /><Relationship Type="http://schemas.openxmlformats.org/officeDocument/2006/relationships/theme" Target="/xl/theme/theme1.xml" Id="Rc18301139d054176" /><Relationship Type="http://schemas.openxmlformats.org/officeDocument/2006/relationships/sharedStrings" Target="/xl/sharedStrings.xml" Id="Rfe7643ed327441c3" /><Relationship Type="http://schemas.openxmlformats.org/officeDocument/2006/relationships/worksheet" Target="/xl/worksheets/sheet1.xml" Id="R0adc2ca732c3472a" /><Relationship Type="http://schemas.openxmlformats.org/officeDocument/2006/relationships/worksheet" Target="/xl/worksheets/sheet2.xml" Id="Re658213165e5466b" /><Relationship Type="http://schemas.openxmlformats.org/officeDocument/2006/relationships/worksheet" Target="/xl/worksheets/sheet3.xml" Id="R62890481cc9d46ab" /><Relationship Type="http://schemas.openxmlformats.org/officeDocument/2006/relationships/worksheet" Target="/xl/worksheets/sheet4.xml" Id="R67a07da5deba4e2a" /><Relationship Type="http://schemas.openxmlformats.org/officeDocument/2006/relationships/worksheet" Target="/xl/worksheets/sheet5.xml" Id="R46693322b7f8402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</x:cols>
  <x:sheetData>
    <x:row r="1" ht="27" customHeight="1">
      <x:c r="A1" s="6" t="str">
        <x:v>TDAT FINANCIAL MODEL</x:v>
      </x:c>
      <x:c r="B1" s="6"/>
      <x:c r="C1" s="6"/>
      <x:c r="D1" s="6"/>
      <x:c r="E1" s="6"/>
      <x:c r="F1" s="6"/>
      <x:c r="G1" s="6"/>
      <x:c r="H1" s="6"/>
    </x:row>
    <x:row r="2" ht="27" customHeight="1">
      <x:c r="A2" s="6"/>
      <x:c r="B2" s="6"/>
      <x:c r="C2" s="6"/>
      <x:c r="D2" s="6"/>
      <x:c r="E2" s="6"/>
      <x:c r="F2" s="6"/>
      <x:c r="G2" s="6"/>
      <x:c r="H2" s="6"/>
    </x:row>
    <x:row r="3" ht="20" customHeight="1">
      <x:c r="A3" s="9" t="str">
        <x:v>TDAT-FM-FPA-002 · Current plus four-step improvement path · v1.4.0 · Five visible tabs</x:v>
      </x:c>
      <x:c r="B3" s="9"/>
      <x:c r="C3" s="9"/>
      <x:c r="D3" s="9"/>
      <x:c r="E3" s="9"/>
      <x:c r="F3" s="9"/>
      <x:c r="G3" s="9"/>
      <x:c r="H3" s="9"/>
    </x:row>
    <x:row r="4" ht="20" customHeight="1">
      <x:c r="A4" s="3"/>
      <x:c r="B4" s="3"/>
      <x:c r="C4" s="3"/>
      <x:c r="D4" s="3"/>
      <x:c r="E4" s="3"/>
      <x:c r="F4" s="3"/>
      <x:c r="G4" s="3"/>
      <x:c r="H4" s="3"/>
    </x:row>
    <x:row r="5" ht="20" customHeight="1">
      <x:c r="A5" s="219" t="str">
        <x:v>Working Capital Planner</x:v>
      </x:c>
      <x:c r="B5" s="220"/>
      <x:c r="C5" s="220"/>
      <x:c r="D5" s="220"/>
      <x:c r="E5" s="220"/>
      <x:c r="F5" s="221"/>
      <x:c r="G5" s="57" t="str">
        <x:v>MODEL STATUS</x:v>
      </x:c>
      <x:c r="H5" s="57"/>
    </x:row>
    <x:row r="6" ht="20" customHeight="1">
      <x:c r="A6" s="222"/>
      <x:c r="B6" s="223"/>
      <x:c r="C6" s="223"/>
      <x:c r="D6" s="223"/>
      <x:c r="E6" s="223"/>
      <x:c r="F6" s="224"/>
      <x:c r="G6" s="232" t="str">
        <x:f>'Checks'!B4</x:f>
        <x:v>PASS</x:v>
      </x:c>
      <x:c r="H6" s="233"/>
    </x:row>
    <x:row r="7" ht="20" customHeight="1">
      <x:c r="A7" s="225"/>
      <x:c r="B7" s="226"/>
      <x:c r="C7" s="226"/>
      <x:c r="D7" s="226"/>
      <x:c r="E7" s="226"/>
      <x:c r="F7" s="227"/>
      <x:c r="G7" s="234"/>
      <x:c r="H7" s="235"/>
    </x:row>
    <x:row r="8" ht="20" customHeight="1">
      <x:c r="A8" s="3"/>
      <x:c r="B8" s="3"/>
      <x:c r="C8" s="3"/>
      <x:c r="D8" s="3"/>
      <x:c r="E8" s="3"/>
      <x:c r="F8" s="3"/>
      <x:c r="G8" s="3"/>
      <x:c r="H8" s="3"/>
    </x:row>
    <x:row r="9" ht="20" customHeight="1">
      <x:c r="A9" s="58" t="str">
        <x:v>WHAT THIS MODEL IS FOR</x:v>
      </x:c>
      <x:c r="B9" s="58"/>
      <x:c r="C9" s="58"/>
      <x:c r="D9" s="58"/>
      <x:c r="E9" s="58"/>
      <x:c r="F9" s="58"/>
      <x:c r="G9" s="58"/>
      <x:c r="H9" s="58"/>
    </x:row>
    <x:row r="10" ht="20" customHeight="1">
      <x:c r="A10" s="169" t="str">
        <x:v>How much cash would better DSO, DIO, and DPO release?</x:v>
      </x:c>
      <x:c r="B10" s="170"/>
      <x:c r="C10" s="170"/>
      <x:c r="D10" s="170"/>
      <x:c r="E10" s="170"/>
      <x:c r="F10" s="170"/>
      <x:c r="G10" s="170"/>
      <x:c r="H10" s="171"/>
    </x:row>
    <x:row r="11" ht="20" customHeight="1">
      <x:c r="A11" s="172"/>
      <x:c r="B11" s="173"/>
      <x:c r="C11" s="173"/>
      <x:c r="D11" s="173"/>
      <x:c r="E11" s="173"/>
      <x:c r="F11" s="173"/>
      <x:c r="G11" s="173"/>
      <x:c r="H11" s="174"/>
    </x:row>
    <x:row r="12" ht="20" customHeight="1">
      <x:c r="A12" s="3"/>
      <x:c r="B12" s="3"/>
      <x:c r="C12" s="3"/>
      <x:c r="D12" s="3"/>
      <x:c r="E12" s="3"/>
      <x:c r="F12" s="3"/>
      <x:c r="G12" s="3"/>
      <x:c r="H12" s="3"/>
    </x:row>
    <x:row r="13" ht="20" customHeight="1">
      <x:c r="A13" s="58" t="str">
        <x:v>USE IT IN FOUR STEPS</x:v>
      </x:c>
      <x:c r="B13" s="58"/>
      <x:c r="C13" s="58"/>
      <x:c r="D13" s="58"/>
      <x:c r="E13" s="58"/>
      <x:c r="F13" s="58"/>
      <x:c r="G13" s="58"/>
      <x:c r="H13" s="58"/>
    </x:row>
    <x:row r="14" ht="20" customHeight="1">
      <x:c r="A14" s="239" t="str">
        <x:v>1 · INPUTS</x:v>
      </x:c>
      <x:c r="B14" s="240"/>
      <x:c r="C14" s="239" t="str">
        <x:v>2 · MODEL</x:v>
      </x:c>
      <x:c r="D14" s="240"/>
      <x:c r="E14" s="239" t="str">
        <x:v>3 · RESULTS</x:v>
      </x:c>
      <x:c r="F14" s="240"/>
      <x:c r="G14" s="239" t="str">
        <x:v>4 · CHECKS</x:v>
      </x:c>
      <x:c r="H14" s="240"/>
    </x:row>
    <x:row r="15" ht="20" customHeight="1">
      <x:c r="A15" s="241" t="str">
        <x:v>Edit only blue cells</x:v>
      </x:c>
      <x:c r="B15" s="242"/>
      <x:c r="C15" s="241" t="str">
        <x:v>Trace schedules and formulas</x:v>
      </x:c>
      <x:c r="D15" s="242"/>
      <x:c r="E15" s="241" t="str">
        <x:v>Read the linked decision view</x:v>
      </x:c>
      <x:c r="F15" s="242"/>
      <x:c r="G15" s="241" t="str">
        <x:v>Resolve every FAIL</x:v>
      </x:c>
      <x:c r="H15" s="242"/>
    </x:row>
    <x:row r="16" ht="20" customHeight="1">
      <x:c r="A16" s="243"/>
      <x:c r="B16" s="244"/>
      <x:c r="C16" s="243"/>
      <x:c r="D16" s="244"/>
      <x:c r="E16" s="243"/>
      <x:c r="F16" s="244"/>
      <x:c r="G16" s="243"/>
      <x:c r="H16" s="244"/>
    </x:row>
    <x:row r="17" ht="20" customHeight="1">
      <x:c r="A17" s="3"/>
      <x:c r="B17" s="3"/>
      <x:c r="C17" s="3"/>
      <x:c r="D17" s="3"/>
      <x:c r="E17" s="3"/>
      <x:c r="F17" s="3"/>
      <x:c r="G17" s="3"/>
      <x:c r="H17" s="3"/>
    </x:row>
    <x:row r="18" ht="20" customHeight="1">
      <x:c r="A18" s="58" t="str">
        <x:v>DEPTH WITHOUT EXTRA TABS</x:v>
      </x:c>
      <x:c r="B18" s="58"/>
      <x:c r="C18" s="58"/>
      <x:c r="D18" s="58"/>
      <x:c r="E18" s="58"/>
      <x:c r="F18" s="58"/>
      <x:c r="G18" s="58"/>
      <x:c r="H18" s="58"/>
    </x:row>
    <x:row r="19" ht="20" customHeight="1">
      <x:c r="A19" s="61" t="str">
        <x:v>Forecast</x:v>
      </x:c>
      <x:c r="B19" s="61"/>
      <x:c r="C19" s="162" t="str">
        <x:v>Current plus four-step improvement path</x:v>
      </x:c>
      <x:c r="D19" s="162"/>
      <x:c r="E19" s="162"/>
      <x:c r="F19" s="162"/>
      <x:c r="G19" s="162"/>
      <x:c r="H19" s="162"/>
    </x:row>
    <x:row r="20" ht="20" customHeight="1">
      <x:c r="A20" s="61" t="str">
        <x:v>Editable inputs</x:v>
      </x:c>
      <x:c r="B20" s="61"/>
      <x:c r="C20" s="162" t="str">
        <x:v>8</x:v>
      </x:c>
      <x:c r="D20" s="162"/>
      <x:c r="E20" s="162"/>
      <x:c r="F20" s="162"/>
      <x:c r="G20" s="162"/>
      <x:c r="H20" s="162"/>
    </x:row>
    <x:row r="21" ht="20" customHeight="1">
      <x:c r="A21" s="61" t="str">
        <x:v>Visible sheets</x:v>
      </x:c>
      <x:c r="B21" s="61"/>
      <x:c r="C21" s="162" t="str">
        <x:v>5</x:v>
      </x:c>
      <x:c r="D21" s="162"/>
      <x:c r="E21" s="162"/>
      <x:c r="F21" s="162"/>
      <x:c r="G21" s="162"/>
      <x:c r="H21" s="162"/>
    </x:row>
    <x:row r="22" ht="20" customHeight="1">
      <x:c r="A22" s="61" t="str">
        <x:v>Setup</x:v>
      </x:c>
      <x:c r="B22" s="61"/>
      <x:c r="C22" s="162" t="str">
        <x:v>10–15 minutes</x:v>
      </x:c>
      <x:c r="D22" s="162"/>
      <x:c r="E22" s="162"/>
      <x:c r="F22" s="162"/>
      <x:c r="G22" s="162"/>
      <x:c r="H22" s="162"/>
    </x:row>
    <x:row r="23" ht="20" customHeight="1">
      <x:c r="A23" s="3"/>
      <x:c r="B23" s="3"/>
      <x:c r="C23" s="3"/>
      <x:c r="D23" s="3"/>
      <x:c r="E23" s="3"/>
      <x:c r="F23" s="3"/>
      <x:c r="G23" s="3"/>
      <x:c r="H23" s="3"/>
    </x:row>
    <x:row r="24" ht="20" customHeight="1">
      <x:c r="A24" s="58" t="str">
        <x:v>FIT &amp; SCOPE</x:v>
      </x:c>
      <x:c r="B24" s="58"/>
      <x:c r="C24" s="58"/>
      <x:c r="D24" s="58"/>
      <x:c r="E24" s="58"/>
      <x:c r="F24" s="58"/>
      <x:c r="G24" s="58"/>
      <x:c r="H24" s="58"/>
    </x:row>
    <x:row r="25" ht="20" customHeight="1">
      <x:c r="A25" s="183" t="str">
        <x:v>Included: Current-to-target five-column phase-in · DSO, DIO, and DPO balance schedules · Incremental and cumulative cash release</x:v>
      </x:c>
      <x:c r="B25" s="184"/>
      <x:c r="C25" s="184"/>
      <x:c r="D25" s="184"/>
      <x:c r="E25" s="184"/>
      <x:c r="F25" s="184"/>
      <x:c r="G25" s="184"/>
      <x:c r="H25" s="185"/>
    </x:row>
    <x:row r="26" ht="20" customHeight="1">
      <x:c r="A26" s="189"/>
      <x:c r="B26" s="190"/>
      <x:c r="C26" s="190"/>
      <x:c r="D26" s="190"/>
      <x:c r="E26" s="190"/>
      <x:c r="F26" s="190"/>
      <x:c r="G26" s="190"/>
      <x:c r="H26" s="191"/>
    </x:row>
    <x:row r="27" ht="20" customHeight="1">
      <x:c r="A27" s="251" t="str">
        <x:v>Scope boundary: Invoice detail, SKU detail, seasonality, collection probability, supplier constraints, and multiple scenarios.</x:v>
      </x:c>
      <x:c r="B27" s="252"/>
      <x:c r="C27" s="252"/>
      <x:c r="D27" s="252"/>
      <x:c r="E27" s="252"/>
      <x:c r="F27" s="252"/>
      <x:c r="G27" s="252"/>
      <x:c r="H27" s="253"/>
    </x:row>
    <x:row r="28" ht="20" customHeight="1">
      <x:c r="A28" s="254"/>
      <x:c r="B28" s="255"/>
      <x:c r="C28" s="255"/>
      <x:c r="D28" s="255"/>
      <x:c r="E28" s="255"/>
      <x:c r="F28" s="255"/>
      <x:c r="G28" s="255"/>
      <x:c r="H28" s="256"/>
    </x:row>
    <x:row r="29" ht="20" customHeight="1">
      <x:c r="A29" s="258" t="str">
        <x:v>Synthetic demonstration only · Tested 2026-08-17 · Excel 365 · Macro-free · No external links</x:v>
      </x:c>
      <x:c r="B29" s="258"/>
      <x:c r="C29" s="258"/>
      <x:c r="D29" s="258"/>
      <x:c r="E29" s="258"/>
      <x:c r="F29" s="258"/>
      <x:c r="G29" s="258"/>
      <x:c r="H29" s="258"/>
    </x:row>
    <x:row r="30" ht="20" customHeight="1">
      <x:c r="A30" s="3"/>
      <x:c r="B30" s="3"/>
      <x:c r="C30" s="3"/>
      <x:c r="D30" s="3"/>
      <x:c r="E30" s="3"/>
      <x:c r="F30" s="3"/>
      <x:c r="G30" s="3"/>
      <x:c r="H30" s="3"/>
    </x:row>
    <x:row r="31" ht="20" customHeight="1">
      <x:c r="A31" s="57" t="str">
        <x:v>Working Capital Planner · Start → Inputs → Model → Results → Checks</x:v>
      </x:c>
      <x:c r="B31" s="57"/>
      <x:c r="C31" s="57"/>
      <x:c r="D31" s="57"/>
      <x:c r="E31" s="57"/>
      <x:c r="F31" s="57"/>
      <x:c r="G31" s="57"/>
      <x:c r="H31" s="57"/>
    </x:row>
  </x:sheetData>
  <x:mergeCells>
    <x:mergeCell ref="A1:H2"/>
    <x:mergeCell ref="A3:H3"/>
    <x:mergeCell ref="A5:F7"/>
    <x:mergeCell ref="G5:H5"/>
    <x:mergeCell ref="G6:H7"/>
    <x:mergeCell ref="A9:H9"/>
    <x:mergeCell ref="A10:H11"/>
    <x:mergeCell ref="A13:H13"/>
    <x:mergeCell ref="A14:B14"/>
    <x:mergeCell ref="A15:B16"/>
    <x:mergeCell ref="C14:D14"/>
    <x:mergeCell ref="C15:D16"/>
    <x:mergeCell ref="E14:F14"/>
    <x:mergeCell ref="E15:F16"/>
    <x:mergeCell ref="G14:H14"/>
    <x:mergeCell ref="G15:H16"/>
    <x:mergeCell ref="A18:H18"/>
    <x:mergeCell ref="A19:B19"/>
    <x:mergeCell ref="C19:H19"/>
    <x:mergeCell ref="A20:B20"/>
    <x:mergeCell ref="C20:H20"/>
    <x:mergeCell ref="A21:B21"/>
    <x:mergeCell ref="C21:H21"/>
    <x:mergeCell ref="A22:B22"/>
    <x:mergeCell ref="C22:H22"/>
    <x:mergeCell ref="A24:H24"/>
    <x:mergeCell ref="A25:H26"/>
    <x:mergeCell ref="A27:H28"/>
    <x:mergeCell ref="A29:H29"/>
    <x:mergeCell ref="A31:H31"/>
  </x:mergeCells>
  <x:conditionalFormatting sqref="G6:H7">
    <x:cfRule type="containsText" dxfId="24" priority="1" operator="containsText" text="FAIL"/>
    <x:cfRule type="containsText" dxfId="25" priority="2" operator="containsText" text="PASS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4" hidden="0" customWidth="1"/>
    <x:col min="3" max="3" width="20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</x:cols>
  <x:sheetData>
    <x:row r="1" ht="27" customHeight="1">
      <x:c r="A1" s="6" t="str">
        <x:v>INPUTS</x:v>
      </x:c>
      <x:c r="B1" s="6"/>
      <x:c r="C1" s="6"/>
      <x:c r="D1" s="6"/>
      <x:c r="E1" s="6"/>
      <x:c r="F1" s="6"/>
      <x:c r="G1" s="6"/>
      <x:c r="H1" s="6"/>
    </x:row>
    <x:row r="2" ht="27" customHeight="1">
      <x:c r="A2" s="6"/>
      <x:c r="B2" s="6"/>
      <x:c r="C2" s="6"/>
      <x:c r="D2" s="6"/>
      <x:c r="E2" s="6"/>
      <x:c r="F2" s="6"/>
      <x:c r="G2" s="6"/>
      <x:c r="H2" s="6"/>
    </x:row>
    <x:row r="3" ht="20" customHeight="1">
      <x:c r="A3" s="9" t="str">
        <x:v>Working Capital Planner · Only blue cells are editable</x:v>
      </x:c>
      <x:c r="B3" s="9"/>
      <x:c r="C3" s="9"/>
      <x:c r="D3" s="9"/>
      <x:c r="E3" s="9"/>
      <x:c r="F3" s="9"/>
      <x:c r="G3" s="9"/>
      <x:c r="H3" s="9"/>
    </x:row>
    <x:row r="4" ht="20" customHeight="1">
      <x:c r="A4" s="3"/>
      <x:c r="B4" s="3"/>
      <x:c r="C4" s="3"/>
      <x:c r="D4" s="3"/>
      <x:c r="E4" s="3"/>
      <x:c r="F4" s="3"/>
      <x:c r="G4" s="3"/>
      <x:c r="H4" s="3"/>
    </x:row>
    <x:row r="5" ht="20" customHeight="1">
      <x:c r="A5" s="18" t="str">
        <x:v>Change the blue assumptions below. The Model sheet expands them into visible formulas, schedules, and roll-forwards.</x:v>
      </x:c>
      <x:c r="B5" s="19"/>
      <x:c r="C5" s="19"/>
      <x:c r="D5" s="19"/>
      <x:c r="E5" s="19"/>
      <x:c r="F5" s="19"/>
      <x:c r="G5" s="19"/>
      <x:c r="H5" s="20"/>
    </x:row>
    <x:row r="6" ht="20" customHeight="1">
      <x:c r="A6" s="21"/>
      <x:c r="B6" s="22"/>
      <x:c r="C6" s="22"/>
      <x:c r="D6" s="22"/>
      <x:c r="E6" s="22"/>
      <x:c r="F6" s="22"/>
      <x:c r="G6" s="22"/>
      <x:c r="H6" s="23"/>
    </x:row>
    <x:row r="7" ht="20" customHeight="1">
      <x:c r="A7" s="3"/>
      <x:c r="B7" s="3"/>
      <x:c r="C7" s="3"/>
      <x:c r="D7" s="3"/>
      <x:c r="E7" s="3"/>
      <x:c r="F7" s="3"/>
      <x:c r="G7" s="3"/>
      <x:c r="H7" s="3"/>
    </x:row>
    <x:row r="8" ht="20" customHeight="1">
      <x:c r="A8" s="26" t="str">
        <x:v>OPERATING BASE</x:v>
      </x:c>
      <x:c r="B8" s="26"/>
      <x:c r="C8" s="26"/>
      <x:c r="D8" s="26"/>
      <x:c r="E8" s="26"/>
      <x:c r="F8" s="26"/>
      <x:c r="G8" s="26"/>
      <x:c r="H8" s="26"/>
    </x:row>
    <x:row r="9" ht="20" customHeight="1">
      <x:c r="A9" s="28" t="str">
        <x:v>Input</x:v>
      </x:c>
      <x:c r="B9" s="28" t="str">
        <x:v>Value</x:v>
      </x:c>
      <x:c r="C9" s="28" t="str">
        <x:v>Unit</x:v>
      </x:c>
      <x:c r="D9" s="28" t="str">
        <x:v>Purpose</x:v>
      </x:c>
      <x:c r="E9" s="28"/>
      <x:c r="F9" s="28"/>
      <x:c r="G9" s="28"/>
      <x:c r="H9" s="28"/>
    </x:row>
    <x:row r="10" ht="20" customHeight="1">
      <x:c r="A10" s="3" t="str">
        <x:v>Annual revenue</x:v>
      </x:c>
      <x:c r="B10" s="39" t="n">
        <x:v>1200</x:v>
      </x:c>
      <x:c r="C10" s="3" t="str">
        <x:v>LCY000</x:v>
      </x:c>
      <x:c r="D10" s="37" t="str">
        <x:v>Annualized sales</x:v>
      </x:c>
      <x:c r="E10" s="38"/>
      <x:c r="F10" s="38"/>
      <x:c r="G10" s="38"/>
      <x:c r="H10" s="38"/>
    </x:row>
    <x:row r="11" ht="20" customHeight="1">
      <x:c r="A11" s="3" t="str">
        <x:v>Annual COGS</x:v>
      </x:c>
      <x:c r="B11" s="39" t="n">
        <x:v>744</x:v>
      </x:c>
      <x:c r="C11" s="3" t="str">
        <x:v>LCY000</x:v>
      </x:c>
      <x:c r="D11" s="37" t="str">
        <x:v>Annualized direct cost</x:v>
      </x:c>
      <x:c r="E11" s="38"/>
      <x:c r="F11" s="38"/>
      <x:c r="G11" s="38"/>
      <x:c r="H11" s="38"/>
    </x:row>
    <x:row r="12" ht="20" customHeight="1">
      <x:c r="A12" s="26" t="str">
        <x:v>CURRENT DAYS</x:v>
      </x:c>
      <x:c r="B12" s="26"/>
      <x:c r="C12" s="26"/>
      <x:c r="D12" s="26"/>
      <x:c r="E12" s="26"/>
      <x:c r="F12" s="26"/>
      <x:c r="G12" s="26"/>
      <x:c r="H12" s="26"/>
    </x:row>
    <x:row r="13" ht="20" customHeight="1">
      <x:c r="A13" s="28" t="str">
        <x:v>Input</x:v>
      </x:c>
      <x:c r="B13" s="28" t="str">
        <x:v>Value</x:v>
      </x:c>
      <x:c r="C13" s="28" t="str">
        <x:v>Unit</x:v>
      </x:c>
      <x:c r="D13" s="28" t="str">
        <x:v>Purpose</x:v>
      </x:c>
      <x:c r="E13" s="28"/>
      <x:c r="F13" s="28"/>
      <x:c r="G13" s="28"/>
      <x:c r="H13" s="28"/>
    </x:row>
    <x:row r="14" ht="20" customHeight="1">
      <x:c r="A14" s="3" t="str">
        <x:v>Current DSO</x:v>
      </x:c>
      <x:c r="B14" s="42" t="n">
        <x:v>58</x:v>
      </x:c>
      <x:c r="C14" s="3" t="str">
        <x:v>Days</x:v>
      </x:c>
      <x:c r="D14" s="37" t="str">
        <x:v>Receivable days today</x:v>
      </x:c>
      <x:c r="E14" s="38"/>
      <x:c r="F14" s="38"/>
      <x:c r="G14" s="38"/>
      <x:c r="H14" s="38"/>
    </x:row>
    <x:row r="15" ht="20" customHeight="1">
      <x:c r="A15" s="3" t="str">
        <x:v>Current DIO</x:v>
      </x:c>
      <x:c r="B15" s="42" t="n">
        <x:v>46</x:v>
      </x:c>
      <x:c r="C15" s="3" t="str">
        <x:v>Days</x:v>
      </x:c>
      <x:c r="D15" s="37" t="str">
        <x:v>Inventory days today</x:v>
      </x:c>
      <x:c r="E15" s="38"/>
      <x:c r="F15" s="38"/>
      <x:c r="G15" s="38"/>
      <x:c r="H15" s="38"/>
    </x:row>
    <x:row r="16" ht="20" customHeight="1">
      <x:c r="A16" s="3" t="str">
        <x:v>Current DPO</x:v>
      </x:c>
      <x:c r="B16" s="42" t="n">
        <x:v>38</x:v>
      </x:c>
      <x:c r="C16" s="3" t="str">
        <x:v>Days</x:v>
      </x:c>
      <x:c r="D16" s="37" t="str">
        <x:v>Payable days today</x:v>
      </x:c>
      <x:c r="E16" s="38"/>
      <x:c r="F16" s="38"/>
      <x:c r="G16" s="38"/>
      <x:c r="H16" s="38"/>
    </x:row>
    <x:row r="17" ht="20" customHeight="1">
      <x:c r="A17" s="26" t="str">
        <x:v>TARGET DAYS</x:v>
      </x:c>
      <x:c r="B17" s="26"/>
      <x:c r="C17" s="26"/>
      <x:c r="D17" s="26"/>
      <x:c r="E17" s="26"/>
      <x:c r="F17" s="26"/>
      <x:c r="G17" s="26"/>
      <x:c r="H17" s="26"/>
    </x:row>
    <x:row r="18" ht="20" customHeight="1">
      <x:c r="A18" s="28" t="str">
        <x:v>Input</x:v>
      </x:c>
      <x:c r="B18" s="28" t="str">
        <x:v>Value</x:v>
      </x:c>
      <x:c r="C18" s="28" t="str">
        <x:v>Unit</x:v>
      </x:c>
      <x:c r="D18" s="28" t="str">
        <x:v>Purpose</x:v>
      </x:c>
      <x:c r="E18" s="28"/>
      <x:c r="F18" s="28"/>
      <x:c r="G18" s="28"/>
      <x:c r="H18" s="28"/>
    </x:row>
    <x:row r="19" ht="20" customHeight="1">
      <x:c r="A19" s="3" t="str">
        <x:v>Target DSO</x:v>
      </x:c>
      <x:c r="B19" s="42" t="n">
        <x:v>48</x:v>
      </x:c>
      <x:c r="C19" s="3" t="str">
        <x:v>Days</x:v>
      </x:c>
      <x:c r="D19" s="37" t="str">
        <x:v>Receivable goal</x:v>
      </x:c>
      <x:c r="E19" s="38"/>
      <x:c r="F19" s="38"/>
      <x:c r="G19" s="38"/>
      <x:c r="H19" s="38"/>
    </x:row>
    <x:row r="20" ht="20" customHeight="1">
      <x:c r="A20" s="3" t="str">
        <x:v>Target DIO</x:v>
      </x:c>
      <x:c r="B20" s="42" t="n">
        <x:v>38</x:v>
      </x:c>
      <x:c r="C20" s="3" t="str">
        <x:v>Days</x:v>
      </x:c>
      <x:c r="D20" s="37" t="str">
        <x:v>Inventory goal</x:v>
      </x:c>
      <x:c r="E20" s="38"/>
      <x:c r="F20" s="38"/>
      <x:c r="G20" s="38"/>
      <x:c r="H20" s="38"/>
    </x:row>
    <x:row r="21" ht="20" customHeight="1">
      <x:c r="A21" s="3" t="str">
        <x:v>Target DPO</x:v>
      </x:c>
      <x:c r="B21" s="42" t="n">
        <x:v>48</x:v>
      </x:c>
      <x:c r="C21" s="3" t="str">
        <x:v>Days</x:v>
      </x:c>
      <x:c r="D21" s="37" t="str">
        <x:v>Payable goal</x:v>
      </x:c>
      <x:c r="E21" s="38"/>
      <x:c r="F21" s="38"/>
      <x:c r="G21" s="38"/>
      <x:c r="H21" s="38"/>
    </x:row>
    <x:row r="22" ht="20" customHeight="1">
      <x:c r="A22" s="3"/>
      <x:c r="B22" s="3"/>
      <x:c r="C22" s="3"/>
      <x:c r="D22" s="3"/>
      <x:c r="E22" s="3"/>
      <x:c r="F22" s="3"/>
      <x:c r="G22" s="3"/>
      <x:c r="H22" s="3"/>
    </x:row>
    <x:row r="23" ht="20" customHeight="1">
      <x:c r="A23" s="51" t="str">
        <x:v>Synthetic example. Replace only the blue values, trace the calculation on Model, then review Results and Checks.</x:v>
      </x:c>
      <x:c r="B23" s="52"/>
      <x:c r="C23" s="52"/>
      <x:c r="D23" s="52"/>
      <x:c r="E23" s="52"/>
      <x:c r="F23" s="52"/>
      <x:c r="G23" s="52"/>
      <x:c r="H23" s="53"/>
    </x:row>
    <x:row r="24" ht="20" customHeight="1">
      <x:c r="A24" s="54"/>
      <x:c r="B24" s="55"/>
      <x:c r="C24" s="55"/>
      <x:c r="D24" s="55"/>
      <x:c r="E24" s="55"/>
      <x:c r="F24" s="55"/>
      <x:c r="G24" s="55"/>
      <x:c r="H24" s="56"/>
    </x:row>
    <x:row r="25" ht="20" customHeight="1">
      <x:c r="A25" s="3"/>
      <x:c r="B25" s="3"/>
      <x:c r="C25" s="3"/>
      <x:c r="D25" s="3"/>
      <x:c r="E25" s="3"/>
      <x:c r="F25" s="3"/>
      <x:c r="G25" s="3"/>
      <x:c r="H25" s="3"/>
    </x:row>
    <x:row r="26" ht="20" customHeight="1">
      <x:c r="A26" s="3"/>
      <x:c r="B26" s="3"/>
      <x:c r="C26" s="3"/>
      <x:c r="D26" s="3"/>
      <x:c r="E26" s="3"/>
      <x:c r="F26" s="3"/>
      <x:c r="G26" s="3"/>
      <x:c r="H26" s="3"/>
    </x:row>
    <x:row r="27" ht="20" customHeight="1">
      <x:c r="A27" s="3"/>
      <x:c r="B27" s="3"/>
      <x:c r="C27" s="3"/>
      <x:c r="D27" s="3"/>
      <x:c r="E27" s="3"/>
      <x:c r="F27" s="3"/>
      <x:c r="G27" s="3"/>
      <x:c r="H27" s="3"/>
    </x:row>
    <x:row r="28" ht="20" customHeight="1">
      <x:c r="A28" s="57" t="str">
        <x:v>Working Capital Planner · 8 editable assumptions · v1.4.0</x:v>
      </x:c>
      <x:c r="B28" s="57"/>
      <x:c r="C28" s="57"/>
      <x:c r="D28" s="57"/>
      <x:c r="E28" s="57"/>
      <x:c r="F28" s="57"/>
      <x:c r="G28" s="57"/>
      <x:c r="H28" s="57"/>
    </x:row>
  </x:sheetData>
  <x:mergeCells>
    <x:mergeCell ref="A1:H2"/>
    <x:mergeCell ref="A3:H3"/>
    <x:mergeCell ref="A5:H6"/>
    <x:mergeCell ref="A8:H8"/>
    <x:mergeCell ref="D9:H9"/>
    <x:mergeCell ref="D10:H10"/>
    <x:mergeCell ref="D11:H11"/>
    <x:mergeCell ref="A12:H12"/>
    <x:mergeCell ref="D13:H13"/>
    <x:mergeCell ref="D14:H14"/>
    <x:mergeCell ref="D15:H15"/>
    <x:mergeCell ref="D16:H16"/>
    <x:mergeCell ref="A17:H17"/>
    <x:mergeCell ref="D18:H18"/>
    <x:mergeCell ref="D19:H19"/>
    <x:mergeCell ref="D20:H20"/>
    <x:mergeCell ref="D21:H21"/>
    <x:mergeCell ref="A23:H24"/>
    <x:mergeCell ref="A28:H28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14" hidden="0" customWidth="1"/>
    <x:col min="3" max="3" width="20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</x:cols>
  <x:sheetData>
    <x:row r="1" ht="27" customHeight="1">
      <x:c r="A1" s="6" t="str">
        <x:v>MODEL DETAIL</x:v>
      </x:c>
      <x:c r="B1" s="6"/>
      <x:c r="C1" s="6"/>
      <x:c r="D1" s="6"/>
      <x:c r="E1" s="6"/>
      <x:c r="F1" s="6"/>
      <x:c r="G1" s="6"/>
      <x:c r="H1" s="6"/>
    </x:row>
    <x:row r="2" ht="27" customHeight="1">
      <x:c r="A2" s="6"/>
      <x:c r="B2" s="6"/>
      <x:c r="C2" s="6"/>
      <x:c r="D2" s="6"/>
      <x:c r="E2" s="6"/>
      <x:c r="F2" s="6"/>
      <x:c r="G2" s="6"/>
      <x:c r="H2" s="6"/>
    </x:row>
    <x:row r="3" ht="20" customHeight="1">
      <x:c r="A3" s="9" t="str">
        <x:v>Working Capital Planner · Current-to-target working-capital path</x:v>
      </x:c>
      <x:c r="B3" s="9"/>
      <x:c r="C3" s="9"/>
      <x:c r="D3" s="9"/>
      <x:c r="E3" s="9"/>
      <x:c r="F3" s="9"/>
      <x:c r="G3" s="9"/>
      <x:c r="H3" s="9"/>
    </x:row>
    <x:row r="4" ht="20" customHeight="1">
      <x:c r="A4" s="3"/>
      <x:c r="B4" s="3"/>
      <x:c r="C4" s="3"/>
      <x:c r="D4" s="3"/>
      <x:c r="E4" s="3"/>
      <x:c r="F4" s="3"/>
      <x:c r="G4" s="3"/>
      <x:c r="H4" s="3"/>
    </x:row>
    <x:row r="5" ht="20" customHeight="1">
      <x:c r="A5" s="98" t="str">
        <x:v>CASH RELEASE</x:v>
      </x:c>
      <x:c r="B5" s="99"/>
      <x:c r="C5" s="98" t="str">
        <x:v>TARGET NWC</x:v>
      </x:c>
      <x:c r="D5" s="99"/>
      <x:c r="E5" s="98" t="str">
        <x:v>CCC IMPROVEMENT</x:v>
      </x:c>
      <x:c r="F5" s="99"/>
      <x:c r="G5" s="98" t="str">
        <x:v>CURRENT NWC</x:v>
      </x:c>
      <x:c r="H5" s="99"/>
    </x:row>
    <x:row r="6" ht="20" customHeight="1">
      <x:c r="A6" s="113" t="n">
        <x:f>B28</x:f>
        <x:v>69.56712328767125</x:v>
      </x:c>
      <x:c r="B6" s="114"/>
      <x:c r="C6" s="113" t="n">
        <x:f>B27</x:f>
        <x:v>137.42465753424656</x:v>
      </x:c>
      <x:c r="D6" s="114"/>
      <x:c r="E6" s="125" t="n">
        <x:f>B31</x:f>
        <x:v>28</x:v>
      </x:c>
      <x:c r="F6" s="126"/>
      <x:c r="G6" s="113" t="n">
        <x:f>B26</x:f>
        <x:v>206.9917808219178</x:v>
      </x:c>
      <x:c r="H6" s="114"/>
    </x:row>
    <x:row r="7" ht="20" customHeight="1">
      <x:c r="A7" s="115"/>
      <x:c r="B7" s="116"/>
      <x:c r="C7" s="115"/>
      <x:c r="D7" s="116"/>
      <x:c r="E7" s="127"/>
      <x:c r="F7" s="128"/>
      <x:c r="G7" s="115"/>
      <x:c r="H7" s="116"/>
    </x:row>
    <x:row r="8" ht="20" customHeight="1">
      <x:c r="A8" s="117"/>
      <x:c r="B8" s="118"/>
      <x:c r="C8" s="117"/>
      <x:c r="D8" s="118"/>
      <x:c r="E8" s="129"/>
      <x:c r="F8" s="130"/>
      <x:c r="G8" s="117"/>
      <x:c r="H8" s="118"/>
    </x:row>
    <x:row r="9" ht="20" customHeight="1">
      <x:c r="A9" s="3"/>
      <x:c r="B9" s="3"/>
      <x:c r="C9" s="3"/>
      <x:c r="D9" s="3"/>
      <x:c r="E9" s="3"/>
      <x:c r="F9" s="3"/>
      <x:c r="G9" s="3"/>
      <x:c r="H9" s="3"/>
    </x:row>
    <x:row r="10" ht="20" customHeight="1">
      <x:c r="A10" s="58" t="str">
        <x:v>DRIVER AND BALANCE SCHEDULE</x:v>
      </x:c>
      <x:c r="B10" s="58"/>
      <x:c r="C10" s="58"/>
      <x:c r="D10" s="58"/>
      <x:c r="E10" s="58"/>
      <x:c r="F10" s="58"/>
      <x:c r="G10" s="58"/>
      <x:c r="H10" s="58"/>
    </x:row>
    <x:row r="11" ht="20" customHeight="1">
      <x:c r="A11" s="60" t="str">
        <x:v>Metric</x:v>
      </x:c>
      <x:c r="B11" s="59" t="str">
        <x:v>CURRENT</x:v>
      </x:c>
      <x:c r="C11" s="59" t="str">
        <x:v>STEP 1</x:v>
      </x:c>
      <x:c r="D11" s="59" t="str">
        <x:v>STEP 2</x:v>
      </x:c>
      <x:c r="E11" s="59" t="str">
        <x:v>STEP 3</x:v>
      </x:c>
      <x:c r="F11" s="59" t="str">
        <x:v>TARGET</x:v>
      </x:c>
      <x:c r="G11" s="62" t="str">
        <x:v>Notes</x:v>
      </x:c>
      <x:c r="H11" s="63"/>
    </x:row>
    <x:row r="12" ht="20" customHeight="1">
      <x:c r="A12" s="29" t="str">
        <x:v>Receivable days (DSO)</x:v>
      </x:c>
      <x:c r="B12" s="67" t="n">
        <x:f>'Inputs'!$B$14+('Inputs'!$B$19-'Inputs'!$B$14)*0/4</x:f>
        <x:v>58</x:v>
      </x:c>
      <x:c r="C12" s="67" t="n">
        <x:f>'Inputs'!$B$14+('Inputs'!$B$19-'Inputs'!$B$14)*1/4</x:f>
        <x:v>55.5</x:v>
      </x:c>
      <x:c r="D12" s="67" t="n">
        <x:f>'Inputs'!$B$14+('Inputs'!$B$19-'Inputs'!$B$14)*2/4</x:f>
        <x:v>53</x:v>
      </x:c>
      <x:c r="E12" s="67" t="n">
        <x:f>'Inputs'!$B$14+('Inputs'!$B$19-'Inputs'!$B$14)*3/4</x:f>
        <x:v>50.5</x:v>
      </x:c>
      <x:c r="F12" s="67" t="n">
        <x:f>'Inputs'!$B$14+('Inputs'!$B$19-'Inputs'!$B$14)*4/4</x:f>
        <x:v>48</x:v>
      </x:c>
      <x:c r="G12" s="37" t="str"/>
      <x:c r="H12" s="38"/>
    </x:row>
    <x:row r="13" ht="20" customHeight="1">
      <x:c r="A13" s="29" t="str">
        <x:v>Inventory days (DIO)</x:v>
      </x:c>
      <x:c r="B13" s="67" t="n">
        <x:f>'Inputs'!$B$15+('Inputs'!$B$20-'Inputs'!$B$15)*0/4</x:f>
        <x:v>46</x:v>
      </x:c>
      <x:c r="C13" s="67" t="n">
        <x:f>'Inputs'!$B$15+('Inputs'!$B$20-'Inputs'!$B$15)*1/4</x:f>
        <x:v>44</x:v>
      </x:c>
      <x:c r="D13" s="67" t="n">
        <x:f>'Inputs'!$B$15+('Inputs'!$B$20-'Inputs'!$B$15)*2/4</x:f>
        <x:v>42</x:v>
      </x:c>
      <x:c r="E13" s="67" t="n">
        <x:f>'Inputs'!$B$15+('Inputs'!$B$20-'Inputs'!$B$15)*3/4</x:f>
        <x:v>40</x:v>
      </x:c>
      <x:c r="F13" s="67" t="n">
        <x:f>'Inputs'!$B$15+('Inputs'!$B$20-'Inputs'!$B$15)*4/4</x:f>
        <x:v>38</x:v>
      </x:c>
      <x:c r="G13" s="37" t="str"/>
      <x:c r="H13" s="38"/>
    </x:row>
    <x:row r="14" ht="20" customHeight="1">
      <x:c r="A14" s="29" t="str">
        <x:v>Payable days (DPO)</x:v>
      </x:c>
      <x:c r="B14" s="67" t="n">
        <x:f>'Inputs'!$B$16+('Inputs'!$B$21-'Inputs'!$B$16)*0/4</x:f>
        <x:v>38</x:v>
      </x:c>
      <x:c r="C14" s="67" t="n">
        <x:f>'Inputs'!$B$16+('Inputs'!$B$21-'Inputs'!$B$16)*1/4</x:f>
        <x:v>40.5</x:v>
      </x:c>
      <x:c r="D14" s="67" t="n">
        <x:f>'Inputs'!$B$16+('Inputs'!$B$21-'Inputs'!$B$16)*2/4</x:f>
        <x:v>43</x:v>
      </x:c>
      <x:c r="E14" s="67" t="n">
        <x:f>'Inputs'!$B$16+('Inputs'!$B$21-'Inputs'!$B$16)*3/4</x:f>
        <x:v>45.5</x:v>
      </x:c>
      <x:c r="F14" s="67" t="n">
        <x:f>'Inputs'!$B$16+('Inputs'!$B$21-'Inputs'!$B$16)*4/4</x:f>
        <x:v>48</x:v>
      </x:c>
      <x:c r="G14" s="37" t="str"/>
      <x:c r="H14" s="38"/>
    </x:row>
    <x:row r="15" ht="20" customHeight="1">
      <x:c r="A15" s="29" t="str">
        <x:v>Accounts receivable</x:v>
      </x:c>
      <x:c r="B15" s="70" t="n">
        <x:f>'Inputs'!$B$10/365*B12</x:f>
        <x:v>190.6849315068493</x:v>
      </x:c>
      <x:c r="C15" s="70" t="n">
        <x:f>'Inputs'!$B$10/365*C12</x:f>
        <x:v>182.46575342465752</x:v>
      </x:c>
      <x:c r="D15" s="70" t="n">
        <x:f>'Inputs'!$B$10/365*D12</x:f>
        <x:v>174.24657534246575</x:v>
      </x:c>
      <x:c r="E15" s="70" t="n">
        <x:f>'Inputs'!$B$10/365*E12</x:f>
        <x:v>166.02739726027397</x:v>
      </x:c>
      <x:c r="F15" s="70" t="n">
        <x:f>'Inputs'!$B$10/365*F12</x:f>
        <x:v>157.8082191780822</x:v>
      </x:c>
      <x:c r="G15" s="37" t="str"/>
      <x:c r="H15" s="38"/>
    </x:row>
    <x:row r="16" ht="20" customHeight="1">
      <x:c r="A16" s="29" t="str">
        <x:v>Inventory</x:v>
      </x:c>
      <x:c r="B16" s="70" t="n">
        <x:f>'Inputs'!$B$11/365*B13</x:f>
        <x:v>93.76438356164384</x:v>
      </x:c>
      <x:c r="C16" s="70" t="n">
        <x:f>'Inputs'!$B$11/365*C13</x:f>
        <x:v>89.68767123287671</x:v>
      </x:c>
      <x:c r="D16" s="70" t="n">
        <x:f>'Inputs'!$B$11/365*D13</x:f>
        <x:v>85.6109589041096</x:v>
      </x:c>
      <x:c r="E16" s="70" t="n">
        <x:f>'Inputs'!$B$11/365*E13</x:f>
        <x:v>81.53424657534246</x:v>
      </x:c>
      <x:c r="F16" s="70" t="n">
        <x:f>'Inputs'!$B$11/365*F13</x:f>
        <x:v>77.45753424657535</x:v>
      </x:c>
      <x:c r="G16" s="37" t="str"/>
      <x:c r="H16" s="38"/>
    </x:row>
    <x:row r="17" ht="20" customHeight="1">
      <x:c r="A17" s="29" t="str">
        <x:v>Accounts payable</x:v>
      </x:c>
      <x:c r="B17" s="70" t="n">
        <x:f>'Inputs'!$B$11/365*B14</x:f>
        <x:v>77.45753424657535</x:v>
      </x:c>
      <x:c r="C17" s="70" t="n">
        <x:f>'Inputs'!$B$11/365*C14</x:f>
        <x:v>82.55342465753425</x:v>
      </x:c>
      <x:c r="D17" s="70" t="n">
        <x:f>'Inputs'!$B$11/365*D14</x:f>
        <x:v>87.64931506849315</x:v>
      </x:c>
      <x:c r="E17" s="70" t="n">
        <x:f>'Inputs'!$B$11/365*E14</x:f>
        <x:v>92.74520547945205</x:v>
      </x:c>
      <x:c r="F17" s="70" t="n">
        <x:f>'Inputs'!$B$11/365*F14</x:f>
        <x:v>97.84109589041097</x:v>
      </x:c>
      <x:c r="G17" s="37" t="str"/>
      <x:c r="H17" s="38"/>
    </x:row>
    <x:row r="18" ht="20" customHeight="1">
      <x:c r="A18" s="11" t="str">
        <x:v>Operating net working capital</x:v>
      </x:c>
      <x:c r="B18" s="74" t="n">
        <x:f>B15+B16-B17</x:f>
        <x:v>206.9917808219178</x:v>
      </x:c>
      <x:c r="C18" s="74" t="n">
        <x:f>C15+C16-C17</x:f>
        <x:v>189.59999999999997</x:v>
      </x:c>
      <x:c r="D18" s="74" t="n">
        <x:f>D15+D16-D17</x:f>
        <x:v>172.20821917808223</x:v>
      </x:c>
      <x:c r="E18" s="74" t="n">
        <x:f>E15+E16-E17</x:f>
        <x:v>154.81643835616438</x:v>
      </x:c>
      <x:c r="F18" s="74" t="n">
        <x:f>F15+F16-F17</x:f>
        <x:v>137.42465753424656</x:v>
      </x:c>
      <x:c r="G18" s="78" t="str"/>
      <x:c r="H18" s="79"/>
    </x:row>
    <x:row r="19" ht="20" customHeight="1">
      <x:c r="A19" s="29" t="str">
        <x:v>Incremental cash release</x:v>
      </x:c>
      <x:c r="B19" s="83" t="n">
        <x:f>0</x:f>
        <x:v>0</x:v>
      </x:c>
      <x:c r="C19" s="83" t="n">
        <x:f>B18-C18</x:f>
        <x:v>17.39178082191785</x:v>
      </x:c>
      <x:c r="D19" s="83" t="n">
        <x:f>C18-D18</x:f>
        <x:v>17.391780821917735</x:v>
      </x:c>
      <x:c r="E19" s="83" t="n">
        <x:f>D18-E18</x:f>
        <x:v>17.39178082191785</x:v>
      </x:c>
      <x:c r="F19" s="83" t="n">
        <x:f>E18-F18</x:f>
        <x:v>17.39178082191782</x:v>
      </x:c>
      <x:c r="G19" s="37" t="str"/>
      <x:c r="H19" s="38"/>
    </x:row>
    <x:row r="20" ht="20" customHeight="1">
      <x:c r="A20" s="11" t="str">
        <x:v>Cumulative cash release</x:v>
      </x:c>
      <x:c r="B20" s="74" t="n">
        <x:f>B18-B18</x:f>
        <x:v>0</x:v>
      </x:c>
      <x:c r="C20" s="74" t="n">
        <x:f>B18-C18</x:f>
        <x:v>17.39178082191785</x:v>
      </x:c>
      <x:c r="D20" s="74" t="n">
        <x:f>B18-D18</x:f>
        <x:v>34.78356164383558</x:v>
      </x:c>
      <x:c r="E20" s="74" t="n">
        <x:f>B18-E18</x:f>
        <x:v>52.17534246575343</x:v>
      </x:c>
      <x:c r="F20" s="74" t="n">
        <x:f>B18-F18</x:f>
        <x:v>69.56712328767125</x:v>
      </x:c>
      <x:c r="G20" s="78" t="str"/>
      <x:c r="H20" s="79"/>
    </x:row>
    <x:row r="21" ht="20" customHeight="1">
      <x:c r="A21" s="29" t="str">
        <x:v>Cash conversion cycle</x:v>
      </x:c>
      <x:c r="B21" s="86" t="n">
        <x:f>B12+B13-B14</x:f>
        <x:v>66</x:v>
      </x:c>
      <x:c r="C21" s="86" t="n">
        <x:f>C12+C13-C14</x:f>
        <x:v>59</x:v>
      </x:c>
      <x:c r="D21" s="86" t="n">
        <x:f>D12+D13-D14</x:f>
        <x:v>52</x:v>
      </x:c>
      <x:c r="E21" s="86" t="n">
        <x:f>E12+E13-E14</x:f>
        <x:v>45</x:v>
      </x:c>
      <x:c r="F21" s="86" t="n">
        <x:f>F12+F13-F14</x:f>
        <x:v>38</x:v>
      </x:c>
      <x:c r="G21" s="37" t="str"/>
      <x:c r="H21" s="38"/>
    </x:row>
    <x:row r="22" ht="20" customHeight="1">
      <x:c r="A22" s="11" t="str">
        <x:v>CCC improvement</x:v>
      </x:c>
      <x:c r="B22" s="89" t="n">
        <x:f>B21-B21</x:f>
        <x:v>0</x:v>
      </x:c>
      <x:c r="C22" s="89" t="n">
        <x:f>B21-C21</x:f>
        <x:v>7</x:v>
      </x:c>
      <x:c r="D22" s="89" t="n">
        <x:f>B21-D21</x:f>
        <x:v>14</x:v>
      </x:c>
      <x:c r="E22" s="89" t="n">
        <x:f>B21-E21</x:f>
        <x:v>21</x:v>
      </x:c>
      <x:c r="F22" s="89" t="n">
        <x:f>B21-F21</x:f>
        <x:v>28</x:v>
      </x:c>
      <x:c r="G22" s="78" t="str"/>
      <x:c r="H22" s="79"/>
    </x:row>
    <x:row r="23" ht="20" customHeight="1">
      <x:c r="A23" s="3"/>
      <x:c r="B23" s="3"/>
      <x:c r="C23" s="3"/>
      <x:c r="D23" s="3"/>
      <x:c r="E23" s="3"/>
      <x:c r="F23" s="3"/>
      <x:c r="G23" s="3"/>
      <x:c r="H23" s="3"/>
    </x:row>
    <x:row r="24" ht="20" customHeight="1">
      <x:c r="A24" s="58" t="str">
        <x:v>TARGET SUMMARY</x:v>
      </x:c>
      <x:c r="B24" s="58"/>
      <x:c r="C24" s="58"/>
      <x:c r="D24" s="58"/>
      <x:c r="E24" s="58"/>
      <x:c r="F24" s="58"/>
      <x:c r="G24" s="58"/>
      <x:c r="H24" s="58"/>
    </x:row>
    <x:row r="25" ht="20" customHeight="1">
      <x:c r="A25" s="28" t="str">
        <x:v>Metric</x:v>
      </x:c>
      <x:c r="B25" s="28" t="str">
        <x:v>Value</x:v>
      </x:c>
      <x:c r="C25" s="28" t="str">
        <x:v>Unit</x:v>
      </x:c>
      <x:c r="D25" s="90" t="str">
        <x:v>Notes</x:v>
      </x:c>
      <x:c r="E25" s="91"/>
      <x:c r="F25" s="91"/>
      <x:c r="G25" s="91"/>
      <x:c r="H25" s="91"/>
    </x:row>
    <x:row r="26" ht="20" customHeight="1">
      <x:c r="A26" s="29" t="str">
        <x:v>Current operating NWC</x:v>
      </x:c>
      <x:c r="B26" s="83" t="n">
        <x:f>B18</x:f>
        <x:v>206.9917808219178</x:v>
      </x:c>
      <x:c r="C26" s="29" t="str">
        <x:v>LCY000</x:v>
      </x:c>
      <x:c r="D26" s="37" t="str">
        <x:v>Opening point</x:v>
      </x:c>
      <x:c r="E26" s="38"/>
      <x:c r="F26" s="38"/>
      <x:c r="G26" s="38"/>
      <x:c r="H26" s="38"/>
    </x:row>
    <x:row r="27" ht="20" customHeight="1">
      <x:c r="A27" s="11" t="str">
        <x:v>Target operating NWC</x:v>
      </x:c>
      <x:c r="B27" s="74" t="n">
        <x:f>F18</x:f>
        <x:v>137.42465753424656</x:v>
      </x:c>
      <x:c r="C27" s="11" t="str">
        <x:v>LCY000</x:v>
      </x:c>
      <x:c r="D27" s="78" t="str">
        <x:v>End of the improvement path</x:v>
      </x:c>
      <x:c r="E27" s="79"/>
      <x:c r="F27" s="79"/>
      <x:c r="G27" s="79"/>
      <x:c r="H27" s="79"/>
    </x:row>
    <x:row r="28" ht="20" customHeight="1">
      <x:c r="A28" s="11" t="str">
        <x:v>Cash release</x:v>
      </x:c>
      <x:c r="B28" s="74" t="n">
        <x:f>F20</x:f>
        <x:v>69.56712328767125</x:v>
      </x:c>
      <x:c r="C28" s="11" t="str">
        <x:v>LCY000</x:v>
      </x:c>
      <x:c r="D28" s="78" t="str">
        <x:v>Current NWC less target NWC</x:v>
      </x:c>
      <x:c r="E28" s="79"/>
      <x:c r="F28" s="79"/>
      <x:c r="G28" s="79"/>
      <x:c r="H28" s="79"/>
    </x:row>
    <x:row r="29" ht="20" customHeight="1">
      <x:c r="A29" s="29" t="str">
        <x:v>Current cash conversion cycle</x:v>
      </x:c>
      <x:c r="B29" s="86" t="n">
        <x:f>B21</x:f>
        <x:v>66</x:v>
      </x:c>
      <x:c r="C29" s="29" t="str">
        <x:v>Days</x:v>
      </x:c>
      <x:c r="D29" s="37" t="str">
        <x:v>DSO + DIO − DPO</x:v>
      </x:c>
      <x:c r="E29" s="38"/>
      <x:c r="F29" s="38"/>
      <x:c r="G29" s="38"/>
      <x:c r="H29" s="38"/>
    </x:row>
    <x:row r="30" ht="20" customHeight="1">
      <x:c r="A30" s="29" t="str">
        <x:v>Target cash conversion cycle</x:v>
      </x:c>
      <x:c r="B30" s="86" t="n">
        <x:f>F21</x:f>
        <x:v>38</x:v>
      </x:c>
      <x:c r="C30" s="29" t="str">
        <x:v>Days</x:v>
      </x:c>
      <x:c r="D30" s="37" t="str">
        <x:v>Target DSO + DIO − DPO</x:v>
      </x:c>
      <x:c r="E30" s="38"/>
      <x:c r="F30" s="38"/>
      <x:c r="G30" s="38"/>
      <x:c r="H30" s="38"/>
    </x:row>
    <x:row r="31" ht="20" customHeight="1">
      <x:c r="A31" s="29" t="str">
        <x:v>CCC improvement</x:v>
      </x:c>
      <x:c r="B31" s="86" t="n">
        <x:f>F22</x:f>
        <x:v>28</x:v>
      </x:c>
      <x:c r="C31" s="29" t="str">
        <x:v>Days</x:v>
      </x:c>
      <x:c r="D31" s="37" t="str">
        <x:v>Positive means faster conversion</x:v>
      </x:c>
      <x:c r="E31" s="38"/>
      <x:c r="F31" s="38"/>
      <x:c r="G31" s="38"/>
      <x:c r="H31" s="38"/>
    </x:row>
    <x:row r="32" ht="20" customHeight="1">
      <x:c r="A32" s="3"/>
      <x:c r="B32" s="3"/>
      <x:c r="C32" s="3"/>
      <x:c r="D32" s="3"/>
      <x:c r="E32" s="3"/>
      <x:c r="F32" s="3"/>
      <x:c r="G32" s="3"/>
      <x:c r="H32" s="3"/>
    </x:row>
    <x:row r="33" ht="20" customHeight="1">
      <x:c r="A33" s="144" t="str">
        <x:f>IF(B28&gt;=0,"OUTCOME: The target releases cash.","OUTCOME: The target consumes cash.")</x:f>
        <x:v>OUTCOME: The target releases cash.</x:v>
      </x:c>
      <x:c r="B33" s="145"/>
      <x:c r="C33" s="145"/>
      <x:c r="D33" s="145"/>
      <x:c r="E33" s="145"/>
      <x:c r="F33" s="145"/>
      <x:c r="G33" s="145"/>
      <x:c r="H33" s="146"/>
    </x:row>
    <x:row r="34" ht="20" customHeight="1">
      <x:c r="A34" s="147"/>
      <x:c r="B34" s="148"/>
      <x:c r="C34" s="148"/>
      <x:c r="D34" s="148"/>
      <x:c r="E34" s="148"/>
      <x:c r="F34" s="148"/>
      <x:c r="G34" s="148"/>
      <x:c r="H34" s="149"/>
    </x:row>
    <x:row r="35" ht="20" customHeight="1">
      <x:c r="A35" s="3"/>
      <x:c r="B35" s="3"/>
      <x:c r="C35" s="3"/>
      <x:c r="D35" s="3"/>
      <x:c r="E35" s="3"/>
      <x:c r="F35" s="3"/>
      <x:c r="G35" s="3"/>
      <x:c r="H35" s="3"/>
    </x:row>
    <x:row r="36" ht="20" customHeight="1">
      <x:c r="A36" s="57" t="str">
        <x:v>Working Capital Planner · v1.4.0</x:v>
      </x:c>
      <x:c r="B36" s="57"/>
      <x:c r="C36" s="57"/>
      <x:c r="D36" s="57"/>
      <x:c r="E36" s="57"/>
      <x:c r="F36" s="57"/>
      <x:c r="G36" s="57"/>
      <x:c r="H36" s="57"/>
    </x:row>
  </x:sheetData>
  <x:mergeCells>
    <x:mergeCell ref="A1:H2"/>
    <x:mergeCell ref="A3:H3"/>
    <x:mergeCell ref="A10:H10"/>
    <x:mergeCell ref="G11:H11"/>
    <x:mergeCell ref="G12:H12"/>
    <x:mergeCell ref="G13:H13"/>
    <x:mergeCell ref="G14:H14"/>
    <x:mergeCell ref="G15:H15"/>
    <x:mergeCell ref="G16:H16"/>
    <x:mergeCell ref="G17:H17"/>
    <x:mergeCell ref="G18:H18"/>
    <x:mergeCell ref="G19:H19"/>
    <x:mergeCell ref="G20:H20"/>
    <x:mergeCell ref="G21:H21"/>
    <x:mergeCell ref="G22:H22"/>
    <x:mergeCell ref="A24:H24"/>
    <x:mergeCell ref="D25:H25"/>
    <x:mergeCell ref="D26:H26"/>
    <x:mergeCell ref="D27:H27"/>
    <x:mergeCell ref="D28:H28"/>
    <x:mergeCell ref="D29:H29"/>
    <x:mergeCell ref="D30:H30"/>
    <x:mergeCell ref="D31:H31"/>
    <x:mergeCell ref="A5:B5"/>
    <x:mergeCell ref="A6:B8"/>
    <x:mergeCell ref="C5:D5"/>
    <x:mergeCell ref="C6:D8"/>
    <x:mergeCell ref="E5:F5"/>
    <x:mergeCell ref="E6:F8"/>
    <x:mergeCell ref="G5:H5"/>
    <x:mergeCell ref="G6:H8"/>
    <x:mergeCell ref="A33:H34"/>
    <x:mergeCell ref="A36:H36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</x:cols>
  <x:sheetData>
    <x:row r="1" ht="27" customHeight="1">
      <x:c r="A1" s="6" t="str">
        <x:v>RESULTS</x:v>
      </x:c>
      <x:c r="B1" s="6"/>
      <x:c r="C1" s="6"/>
      <x:c r="D1" s="6"/>
      <x:c r="E1" s="6"/>
      <x:c r="F1" s="6"/>
      <x:c r="G1" s="6"/>
      <x:c r="H1" s="6"/>
    </x:row>
    <x:row r="2" ht="27" customHeight="1">
      <x:c r="A2" s="6"/>
      <x:c r="B2" s="6"/>
      <x:c r="C2" s="6"/>
      <x:c r="D2" s="6"/>
      <x:c r="E2" s="6"/>
      <x:c r="F2" s="6"/>
      <x:c r="G2" s="6"/>
      <x:c r="H2" s="6"/>
    </x:row>
    <x:row r="3" ht="20" customHeight="1">
      <x:c r="A3" s="9" t="str">
        <x:v>Working Capital Planner · Decision view linked to the detailed Model sheet</x:v>
      </x:c>
      <x:c r="B3" s="9"/>
      <x:c r="C3" s="9"/>
      <x:c r="D3" s="9"/>
      <x:c r="E3" s="9"/>
      <x:c r="F3" s="9"/>
      <x:c r="G3" s="9"/>
      <x:c r="H3" s="9"/>
    </x:row>
    <x:row r="4" ht="20" customHeight="1">
      <x:c r="A4" s="3"/>
      <x:c r="B4" s="3"/>
      <x:c r="C4" s="3"/>
      <x:c r="D4" s="3"/>
      <x:c r="E4" s="3"/>
      <x:c r="F4" s="3"/>
      <x:c r="G4" s="3"/>
      <x:c r="H4" s="3"/>
    </x:row>
    <x:row r="5" ht="20" customHeight="1">
      <x:c r="A5" s="98" t="str">
        <x:v>CASH RELEASE</x:v>
      </x:c>
      <x:c r="B5" s="99"/>
      <x:c r="C5" s="98" t="str">
        <x:v>TARGET NWC</x:v>
      </x:c>
      <x:c r="D5" s="99"/>
      <x:c r="E5" s="98" t="str">
        <x:v>CCC IMPROVEMENT</x:v>
      </x:c>
      <x:c r="F5" s="99"/>
      <x:c r="G5" s="98" t="str">
        <x:v>CURRENT NWC</x:v>
      </x:c>
      <x:c r="H5" s="99"/>
    </x:row>
    <x:row r="6" ht="20" customHeight="1">
      <x:c r="A6" s="113" t="n">
        <x:f>'Model'!A6</x:f>
        <x:v>69.56712328767125</x:v>
      </x:c>
      <x:c r="B6" s="114"/>
      <x:c r="C6" s="113" t="n">
        <x:f>'Model'!C6</x:f>
        <x:v>137.42465753424656</x:v>
      </x:c>
      <x:c r="D6" s="114"/>
      <x:c r="E6" s="125" t="n">
        <x:f>'Model'!E6</x:f>
        <x:v>28</x:v>
      </x:c>
      <x:c r="F6" s="126"/>
      <x:c r="G6" s="113" t="n">
        <x:f>'Model'!G6</x:f>
        <x:v>206.9917808219178</x:v>
      </x:c>
      <x:c r="H6" s="114"/>
    </x:row>
    <x:row r="7" ht="20" customHeight="1">
      <x:c r="A7" s="115"/>
      <x:c r="B7" s="116"/>
      <x:c r="C7" s="115"/>
      <x:c r="D7" s="116"/>
      <x:c r="E7" s="127"/>
      <x:c r="F7" s="128"/>
      <x:c r="G7" s="115"/>
      <x:c r="H7" s="116"/>
    </x:row>
    <x:row r="8" ht="20" customHeight="1">
      <x:c r="A8" s="117"/>
      <x:c r="B8" s="118"/>
      <x:c r="C8" s="117"/>
      <x:c r="D8" s="118"/>
      <x:c r="E8" s="129"/>
      <x:c r="F8" s="130"/>
      <x:c r="G8" s="117"/>
      <x:c r="H8" s="118"/>
    </x:row>
    <x:row r="9" ht="20" customHeight="1">
      <x:c r="A9" s="3"/>
      <x:c r="B9" s="3"/>
      <x:c r="C9" s="3"/>
      <x:c r="D9" s="3"/>
      <x:c r="E9" s="3"/>
      <x:c r="F9" s="3"/>
      <x:c r="G9" s="3"/>
      <x:c r="H9" s="3"/>
    </x:row>
    <x:row r="10" ht="20" customHeight="1">
      <x:c r="A10" s="58" t="str">
        <x:v>DECISION VIEW</x:v>
      </x:c>
      <x:c r="B10" s="58"/>
      <x:c r="C10" s="58"/>
      <x:c r="D10" s="58"/>
      <x:c r="E10" s="58"/>
      <x:c r="F10" s="58"/>
      <x:c r="G10" s="58"/>
      <x:c r="H10" s="58"/>
    </x:row>
    <x:row r="11" ht="34" customHeight="1">
      <x:c r="A11" s="150" t="str">
        <x:v>CALCULATION STATUS</x:v>
      </x:c>
      <x:c r="B11" s="150"/>
      <x:c r="C11" s="154" t="str">
        <x:f>'Checks'!B4</x:f>
        <x:v>PASS</x:v>
      </x:c>
      <x:c r="D11" s="155"/>
      <x:c r="E11" s="150" t="str">
        <x:v>CASH OUTCOME</x:v>
      </x:c>
      <x:c r="F11" s="150"/>
      <x:c r="G11" s="160" t="str">
        <x:f>'Model'!A33</x:f>
        <x:v>OUTCOME: The target releases cash.</x:v>
      </x:c>
      <x:c r="H11" s="161"/>
    </x:row>
    <x:row r="12" ht="20" customHeight="1">
      <x:c r="A12" s="3"/>
      <x:c r="B12" s="3"/>
      <x:c r="C12" s="3"/>
      <x:c r="D12" s="3"/>
      <x:c r="E12" s="3"/>
      <x:c r="F12" s="3"/>
      <x:c r="G12" s="3"/>
      <x:c r="H12" s="3"/>
    </x:row>
    <x:row r="13" ht="20" customHeight="1">
      <x:c r="A13" s="58" t="str">
        <x:v>WHAT IT ANSWERS</x:v>
      </x:c>
      <x:c r="B13" s="58"/>
      <x:c r="C13" s="58"/>
      <x:c r="D13" s="58"/>
      <x:c r="E13" s="58"/>
      <x:c r="F13" s="58"/>
      <x:c r="G13" s="58"/>
      <x:c r="H13" s="58"/>
    </x:row>
    <x:row r="14" ht="20" customHeight="1">
      <x:c r="A14" s="169" t="str">
        <x:v>How much cash would better DSO, DIO, and DPO release?</x:v>
      </x:c>
      <x:c r="B14" s="170"/>
      <x:c r="C14" s="170"/>
      <x:c r="D14" s="170"/>
      <x:c r="E14" s="170"/>
      <x:c r="F14" s="170"/>
      <x:c r="G14" s="170"/>
      <x:c r="H14" s="171"/>
    </x:row>
    <x:row r="15" ht="20" customHeight="1">
      <x:c r="A15" s="172"/>
      <x:c r="B15" s="173"/>
      <x:c r="C15" s="173"/>
      <x:c r="D15" s="173"/>
      <x:c r="E15" s="173"/>
      <x:c r="F15" s="173"/>
      <x:c r="G15" s="173"/>
      <x:c r="H15" s="174"/>
    </x:row>
    <x:row r="16" ht="20" customHeight="1">
      <x:c r="A16" s="3"/>
      <x:c r="B16" s="3"/>
      <x:c r="C16" s="3"/>
      <x:c r="D16" s="3"/>
      <x:c r="E16" s="3"/>
      <x:c r="F16" s="3"/>
      <x:c r="G16" s="3"/>
      <x:c r="H16" s="3"/>
    </x:row>
    <x:row r="17" ht="20" customHeight="1">
      <x:c r="A17" s="58" t="str">
        <x:v>MODEL DEPTH</x:v>
      </x:c>
      <x:c r="B17" s="58"/>
      <x:c r="C17" s="58"/>
      <x:c r="D17" s="58"/>
      <x:c r="E17" s="58"/>
      <x:c r="F17" s="58"/>
      <x:c r="G17" s="58"/>
      <x:c r="H17" s="58"/>
    </x:row>
    <x:row r="18" ht="20" customHeight="1">
      <x:c r="A18" s="61" t="str">
        <x:v>Forecast</x:v>
      </x:c>
      <x:c r="B18" s="61"/>
      <x:c r="C18" s="162" t="str">
        <x:v>Current plus four-step improvement path</x:v>
      </x:c>
      <x:c r="D18" s="162"/>
      <x:c r="E18" s="162"/>
      <x:c r="F18" s="162"/>
      <x:c r="G18" s="162"/>
      <x:c r="H18" s="162"/>
    </x:row>
    <x:row r="19" ht="20" customHeight="1">
      <x:c r="A19" s="61" t="str">
        <x:v>Editable inputs</x:v>
      </x:c>
      <x:c r="B19" s="61"/>
      <x:c r="C19" s="162" t="str">
        <x:v>8</x:v>
      </x:c>
      <x:c r="D19" s="162"/>
      <x:c r="E19" s="162"/>
      <x:c r="F19" s="162"/>
      <x:c r="G19" s="162"/>
      <x:c r="H19" s="162"/>
    </x:row>
    <x:row r="20" ht="20" customHeight="1">
      <x:c r="A20" s="61" t="str">
        <x:v>Calculation detail</x:v>
      </x:c>
      <x:c r="B20" s="61"/>
      <x:c r="C20" s="162" t="str">
        <x:v>Visible formulas, schedules, roll-forwards, and bridges</x:v>
      </x:c>
      <x:c r="D20" s="162"/>
      <x:c r="E20" s="162"/>
      <x:c r="F20" s="162"/>
      <x:c r="G20" s="162"/>
      <x:c r="H20" s="162"/>
    </x:row>
    <x:row r="21" ht="20" customHeight="1">
      <x:c r="A21" s="61" t="str">
        <x:v>Workbook flow</x:v>
      </x:c>
      <x:c r="B21" s="61"/>
      <x:c r="C21" s="162" t="str">
        <x:v>Start → Inputs → Model → Results → Checks</x:v>
      </x:c>
      <x:c r="D21" s="162"/>
      <x:c r="E21" s="162"/>
      <x:c r="F21" s="162"/>
      <x:c r="G21" s="162"/>
      <x:c r="H21" s="162"/>
    </x:row>
    <x:row r="22" ht="20" customHeight="1">
      <x:c r="A22" s="3"/>
      <x:c r="B22" s="3"/>
      <x:c r="C22" s="3"/>
      <x:c r="D22" s="3"/>
      <x:c r="E22" s="3"/>
      <x:c r="F22" s="3"/>
      <x:c r="G22" s="3"/>
      <x:c r="H22" s="3"/>
    </x:row>
    <x:row r="23" ht="20" customHeight="1">
      <x:c r="A23" s="58" t="str">
        <x:v>SCOPE</x:v>
      </x:c>
      <x:c r="B23" s="58"/>
      <x:c r="C23" s="58"/>
      <x:c r="D23" s="58"/>
      <x:c r="E23" s="58"/>
      <x:c r="F23" s="58"/>
      <x:c r="G23" s="58"/>
      <x:c r="H23" s="58"/>
    </x:row>
    <x:row r="24" ht="20" customHeight="1">
      <x:c r="A24" s="183" t="str">
        <x:v>Included: Current-to-target five-column phase-in · DSO, DIO, and DPO balance schedules · Incremental and cumulative cash release</x:v>
      </x:c>
      <x:c r="B24" s="184"/>
      <x:c r="C24" s="184"/>
      <x:c r="D24" s="184"/>
      <x:c r="E24" s="184"/>
      <x:c r="F24" s="184"/>
      <x:c r="G24" s="184"/>
      <x:c r="H24" s="185"/>
    </x:row>
    <x:row r="25" ht="20" customHeight="1">
      <x:c r="A25" s="186"/>
      <x:c r="B25" s="187"/>
      <x:c r="C25" s="187"/>
      <x:c r="D25" s="187"/>
      <x:c r="E25" s="187"/>
      <x:c r="F25" s="187"/>
      <x:c r="G25" s="187"/>
      <x:c r="H25" s="188"/>
    </x:row>
    <x:row r="26" ht="20" customHeight="1">
      <x:c r="A26" s="189"/>
      <x:c r="B26" s="190"/>
      <x:c r="C26" s="190"/>
      <x:c r="D26" s="190"/>
      <x:c r="E26" s="190"/>
      <x:c r="F26" s="190"/>
      <x:c r="G26" s="190"/>
      <x:c r="H26" s="191"/>
    </x:row>
    <x:row r="27" ht="20" customHeight="1">
      <x:c r="A27" s="51" t="str">
        <x:v>Outside this model: Invoice detail, SKU detail, seasonality, collection probability, supplier constraints, and multiple scenarios.</x:v>
      </x:c>
      <x:c r="B27" s="52"/>
      <x:c r="C27" s="52"/>
      <x:c r="D27" s="52"/>
      <x:c r="E27" s="52"/>
      <x:c r="F27" s="52"/>
      <x:c r="G27" s="52"/>
      <x:c r="H27" s="53"/>
    </x:row>
    <x:row r="28" ht="20" customHeight="1">
      <x:c r="A28" s="54"/>
      <x:c r="B28" s="55"/>
      <x:c r="C28" s="55"/>
      <x:c r="D28" s="55"/>
      <x:c r="E28" s="55"/>
      <x:c r="F28" s="55"/>
      <x:c r="G28" s="55"/>
      <x:c r="H28" s="56"/>
    </x:row>
    <x:row r="29" ht="20" customHeight="1">
      <x:c r="A29" s="195" t="str">
        <x:v>Five visible tabs · No hidden calculations · Calculation status and business outcome are reported separately.</x:v>
      </x:c>
      <x:c r="B29" s="196"/>
      <x:c r="C29" s="196"/>
      <x:c r="D29" s="196"/>
      <x:c r="E29" s="196"/>
      <x:c r="F29" s="196"/>
      <x:c r="G29" s="196"/>
      <x:c r="H29" s="197"/>
    </x:row>
    <x:row r="30" ht="20" customHeight="1">
      <x:c r="A30" s="3"/>
      <x:c r="B30" s="3"/>
      <x:c r="C30" s="3"/>
      <x:c r="D30" s="3"/>
      <x:c r="E30" s="3"/>
      <x:c r="F30" s="3"/>
      <x:c r="G30" s="3"/>
      <x:c r="H30" s="3"/>
    </x:row>
    <x:row r="31" ht="20" customHeight="1">
      <x:c r="A31" s="57" t="str">
        <x:v>Working Capital Planner · v1.4.0 · Linked summary only · Trace all formulas on Model</x:v>
      </x:c>
      <x:c r="B31" s="57"/>
      <x:c r="C31" s="57"/>
      <x:c r="D31" s="57"/>
      <x:c r="E31" s="57"/>
      <x:c r="F31" s="57"/>
      <x:c r="G31" s="57"/>
      <x:c r="H31" s="57"/>
    </x:row>
  </x:sheetData>
  <x:mergeCells>
    <x:mergeCell ref="A1:H2"/>
    <x:mergeCell ref="A3:H3"/>
    <x:mergeCell ref="A5:B5"/>
    <x:mergeCell ref="A6:B8"/>
    <x:mergeCell ref="C5:D5"/>
    <x:mergeCell ref="C6:D8"/>
    <x:mergeCell ref="E5:F5"/>
    <x:mergeCell ref="E6:F8"/>
    <x:mergeCell ref="G5:H5"/>
    <x:mergeCell ref="G6:H8"/>
    <x:mergeCell ref="A10:H10"/>
    <x:mergeCell ref="A11:B11"/>
    <x:mergeCell ref="C11:D11"/>
    <x:mergeCell ref="E11:F11"/>
    <x:mergeCell ref="G11:H11"/>
    <x:mergeCell ref="A13:H13"/>
    <x:mergeCell ref="A14:H15"/>
    <x:mergeCell ref="A17:H17"/>
    <x:mergeCell ref="A18:B18"/>
    <x:mergeCell ref="C18:H18"/>
    <x:mergeCell ref="A19:B19"/>
    <x:mergeCell ref="C19:H19"/>
    <x:mergeCell ref="A20:B20"/>
    <x:mergeCell ref="C20:H20"/>
    <x:mergeCell ref="A21:B21"/>
    <x:mergeCell ref="C21:H21"/>
    <x:mergeCell ref="A23:H23"/>
    <x:mergeCell ref="A24:H26"/>
    <x:mergeCell ref="A27:H28"/>
    <x:mergeCell ref="A29:H29"/>
    <x:mergeCell ref="A31:H31"/>
  </x:mergeCells>
  <x:conditionalFormatting sqref="C11:D11">
    <x:cfRule type="containsText" dxfId="0" priority="1" operator="containsText" text="FAIL"/>
    <x:cfRule type="containsText" dxfId="1" priority="2" operator="containsText" text="PASS"/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23" hidden="0" customWidth="1"/>
    <x:col min="8" max="8" width="16" hidden="0" customWidth="1"/>
  </x:cols>
  <x:sheetData>
    <x:row r="1" ht="27" customHeight="1">
      <x:c r="A1" s="6" t="str">
        <x:v>CHECKS</x:v>
      </x:c>
      <x:c r="B1" s="6"/>
      <x:c r="C1" s="6"/>
      <x:c r="D1" s="6"/>
      <x:c r="E1" s="6"/>
      <x:c r="F1" s="6"/>
      <x:c r="G1" s="6"/>
      <x:c r="H1" s="6"/>
    </x:row>
    <x:row r="2" ht="27" customHeight="1">
      <x:c r="A2" s="6"/>
      <x:c r="B2" s="6"/>
      <x:c r="C2" s="6"/>
      <x:c r="D2" s="6"/>
      <x:c r="E2" s="6"/>
      <x:c r="F2" s="6"/>
      <x:c r="G2" s="6"/>
      <x:c r="H2" s="6"/>
    </x:row>
    <x:row r="3" ht="20" customHeight="1">
      <x:c r="A3" s="9" t="str">
        <x:v>Working Capital Planner · Calculation controls only; business outcomes are shown separately</x:v>
      </x:c>
      <x:c r="B3" s="9"/>
      <x:c r="C3" s="9"/>
      <x:c r="D3" s="9"/>
      <x:c r="E3" s="9"/>
      <x:c r="F3" s="9"/>
      <x:c r="G3" s="9"/>
      <x:c r="H3" s="9"/>
    </x:row>
    <x:row r="4" ht="12" customHeight="1">
      <x:c r="A4" s="3"/>
      <x:c r="B4" s="198" t="str">
        <x:f>IF(COUNTIF(F9:F18,"PASS")=10,"PASS","FAIL")</x:f>
        <x:v>PASS</x:v>
      </x:c>
      <x:c r="C4" s="198"/>
      <x:c r="D4" s="198"/>
      <x:c r="E4" s="198"/>
      <x:c r="F4" s="198"/>
      <x:c r="G4" s="198"/>
      <x:c r="H4" s="198"/>
    </x:row>
    <x:row r="5" ht="20" customHeight="1">
      <x:c r="A5" s="57" t="str">
        <x:v>MODEL STATUS</x:v>
      </x:c>
      <x:c r="B5" s="57"/>
      <x:c r="C5" s="154" t="str">
        <x:f>B4</x:f>
        <x:v>PASS</x:v>
      </x:c>
      <x:c r="D5" s="200"/>
      <x:c r="E5" s="200"/>
      <x:c r="F5" s="200"/>
      <x:c r="G5" s="200"/>
      <x:c r="H5" s="155"/>
    </x:row>
    <x:row r="6" ht="20" customHeight="1">
      <x:c r="A6" s="3"/>
      <x:c r="B6" s="3"/>
      <x:c r="C6" s="3"/>
      <x:c r="D6" s="3"/>
      <x:c r="E6" s="3"/>
      <x:c r="F6" s="3"/>
      <x:c r="G6" s="3"/>
      <x:c r="H6" s="3"/>
    </x:row>
    <x:row r="7" ht="20" customHeight="1">
      <x:c r="A7" s="58" t="str">
        <x:v>10 CALCULATION CONTROLS</x:v>
      </x:c>
      <x:c r="B7" s="58"/>
      <x:c r="C7" s="58"/>
      <x:c r="D7" s="58"/>
      <x:c r="E7" s="58"/>
      <x:c r="F7" s="58"/>
      <x:c r="G7" s="58"/>
      <x:c r="H7" s="58"/>
    </x:row>
    <x:row r="8" ht="20" customHeight="1">
      <x:c r="A8" s="28" t="str">
        <x:v>Control</x:v>
      </x:c>
      <x:c r="B8" s="28" t="str">
        <x:v>Actual</x:v>
      </x:c>
      <x:c r="C8" s="28" t="str">
        <x:v>Expected</x:v>
      </x:c>
      <x:c r="D8" s="28" t="str">
        <x:v>Difference</x:v>
      </x:c>
      <x:c r="E8" s="28" t="str">
        <x:v>Tolerance</x:v>
      </x:c>
      <x:c r="F8" s="28" t="str">
        <x:v>Status</x:v>
      </x:c>
      <x:c r="G8" s="28" t="str">
        <x:v>Where to fix</x:v>
      </x:c>
      <x:c r="H8" s="28"/>
    </x:row>
    <x:row r="9" ht="26" customHeight="1">
      <x:c r="A9" s="187" t="str">
        <x:v>All editable inputs are numeric</x:v>
      </x:c>
      <x:c r="B9" s="203" t="n">
        <x:f>ROUND(COUNT('Inputs'!B10,'Inputs'!B11,'Inputs'!B14,'Inputs'!B15,'Inputs'!B16,'Inputs'!B19,'Inputs'!B20,'Inputs'!B21),6)</x:f>
        <x:v>8</x:v>
      </x:c>
      <x:c r="C9" s="203" t="n">
        <x:f>8</x:f>
        <x:v>8</x:v>
      </x:c>
      <x:c r="D9" s="203" t="n">
        <x:f>ROUND(B9-C9,6)</x:f>
        <x:v>0</x:v>
      </x:c>
      <x:c r="E9" s="203" t="n">
        <x:f>0</x:f>
        <x:v>0</x:v>
      </x:c>
      <x:c r="F9" s="204" t="str">
        <x:f>IF(ABS(ROUND(D9,6))&lt;=E9,"PASS","FAIL")</x:f>
        <x:v>PASS</x:v>
      </x:c>
      <x:c r="G9" s="187" t="str">
        <x:v>Complete the blue cells on Inputs</x:v>
      </x:c>
      <x:c r="H9" s="187"/>
    </x:row>
    <x:row r="10" ht="26" customHeight="1">
      <x:c r="A10" s="187" t="str">
        <x:v>Results headline KPIs reconcile to Model</x:v>
      </x:c>
      <x:c r="B10" s="207" t="n">
        <x:f>ROUND(IFERROR(SUM(ABS('Results'!A6-'Model'!A6),ABS('Results'!C6-'Model'!C6),ABS('Results'!E6-'Model'!E6),ABS('Results'!G6-'Model'!G6)),1E+99),6)</x:f>
        <x:v>0</x:v>
      </x:c>
      <x:c r="C10" s="207" t="n">
        <x:f>0</x:f>
        <x:v>0</x:v>
      </x:c>
      <x:c r="D10" s="207" t="n">
        <x:f>ROUND(B10-C10,6)</x:f>
        <x:v>0</x:v>
      </x:c>
      <x:c r="E10" s="207" t="n">
        <x:f>0.0001</x:f>
        <x:v>0.0001</x:v>
      </x:c>
      <x:c r="F10" s="204" t="str">
        <x:f>IF(ABS(ROUND(D10,6))&lt;=E10,"PASS","FAIL")</x:f>
        <x:v>PASS</x:v>
      </x:c>
      <x:c r="G10" s="187" t="str">
        <x:v>Review Results-to-Model links</x:v>
      </x:c>
      <x:c r="H10" s="187"/>
    </x:row>
    <x:row r="11" ht="26" customHeight="1">
      <x:c r="A11" s="187" t="str">
        <x:v>Inputs are valid</x:v>
      </x:c>
      <x:c r="B11" s="207" t="n">
        <x:f>ROUND(IF(AND('Inputs'!$B$10&gt;=0,'Inputs'!$B$11&gt;=0,'Inputs'!$B$14&gt;=0,'Inputs'!$B$15&gt;=0,'Inputs'!$B$16&gt;=0,'Inputs'!$B$19&gt;=0,'Inputs'!$B$20&gt;=0,'Inputs'!$B$21&gt;=0),1,0),6)</x:f>
        <x:v>1</x:v>
      </x:c>
      <x:c r="C11" s="207" t="n">
        <x:f>1</x:f>
        <x:v>1</x:v>
      </x:c>
      <x:c r="D11" s="207" t="n">
        <x:f>ROUND(B11-C11,6)</x:f>
        <x:v>0</x:v>
      </x:c>
      <x:c r="E11" s="207" t="n">
        <x:f>0.0001</x:f>
        <x:v>0.0001</x:v>
      </x:c>
      <x:c r="F11" s="204" t="str">
        <x:f>IF(ABS(ROUND(D11,6))&lt;=E11,"PASS","FAIL")</x:f>
        <x:v>PASS</x:v>
      </x:c>
      <x:c r="G11" s="187" t="str">
        <x:v>Inputs: revenue, COGS, and day assumptions</x:v>
      </x:c>
      <x:c r="H11" s="187"/>
    </x:row>
    <x:row r="12" ht="26" customHeight="1">
      <x:c r="A12" s="187" t="str">
        <x:v>Driver ramp reaches its endpoints</x:v>
      </x:c>
      <x:c r="B12" s="207" t="n">
        <x:f>ROUND(ABS('Model'!B12-'Inputs'!$B$14)+ABS('Model'!F12-'Inputs'!$B$19)+ABS('Model'!B13-'Inputs'!$B$15)+ABS('Model'!F13-'Inputs'!$B$20)+ABS('Model'!B14-'Inputs'!$B$16)+ABS('Model'!F14-'Inputs'!$B$21),6)</x:f>
        <x:v>0</x:v>
      </x:c>
      <x:c r="C12" s="207" t="n">
        <x:f>0</x:f>
        <x:v>0</x:v>
      </x:c>
      <x:c r="D12" s="207" t="n">
        <x:f>ROUND(B12-C12,6)</x:f>
        <x:v>0</x:v>
      </x:c>
      <x:c r="E12" s="207" t="n">
        <x:f>0.0001</x:f>
        <x:v>0.0001</x:v>
      </x:c>
      <x:c r="F12" s="204" t="str">
        <x:f>IF(ABS(ROUND(D12,6))&lt;=E12,"PASS","FAIL")</x:f>
        <x:v>PASS</x:v>
      </x:c>
      <x:c r="G12" s="187" t="str">
        <x:v>Model: driver path</x:v>
      </x:c>
      <x:c r="H12" s="187"/>
    </x:row>
    <x:row r="13" ht="26" customHeight="1">
      <x:c r="A13" s="187" t="str">
        <x:v>Accounts receivable schedule ties</x:v>
      </x:c>
      <x:c r="B13" s="210" t="n">
        <x:f>ROUND(MAX(ABS('Model'!B15-'Inputs'!$B$10/365*'Model'!B12),ABS('Model'!C15-'Inputs'!$B$10/365*'Model'!C12),ABS('Model'!D15-'Inputs'!$B$10/365*'Model'!D12),ABS('Model'!E15-'Inputs'!$B$10/365*'Model'!E12),ABS('Model'!F15-'Inputs'!$B$10/365*'Model'!F12)),6)</x:f>
        <x:v>0</x:v>
      </x:c>
      <x:c r="C13" s="210" t="n">
        <x:f>0</x:f>
        <x:v>0</x:v>
      </x:c>
      <x:c r="D13" s="210" t="n">
        <x:f>ROUND(B13-C13,6)</x:f>
        <x:v>0</x:v>
      </x:c>
      <x:c r="E13" s="210" t="n">
        <x:f>0.0001</x:f>
        <x:v>0.0001</x:v>
      </x:c>
      <x:c r="F13" s="204" t="str">
        <x:f>IF(ABS(ROUND(D13,6))&lt;=E13,"PASS","FAIL")</x:f>
        <x:v>PASS</x:v>
      </x:c>
      <x:c r="G13" s="187" t="str">
        <x:v>Model: receivables</x:v>
      </x:c>
      <x:c r="H13" s="187"/>
    </x:row>
    <x:row r="14" ht="26" customHeight="1">
      <x:c r="A14" s="187" t="str">
        <x:v>Inventory schedule ties</x:v>
      </x:c>
      <x:c r="B14" s="210" t="n">
        <x:f>ROUND(MAX(ABS('Model'!B16-'Inputs'!$B$11/365*'Model'!B13),ABS('Model'!C16-'Inputs'!$B$11/365*'Model'!C13),ABS('Model'!D16-'Inputs'!$B$11/365*'Model'!D13),ABS('Model'!E16-'Inputs'!$B$11/365*'Model'!E13),ABS('Model'!F16-'Inputs'!$B$11/365*'Model'!F13)),6)</x:f>
        <x:v>0</x:v>
      </x:c>
      <x:c r="C14" s="210" t="n">
        <x:f>0</x:f>
        <x:v>0</x:v>
      </x:c>
      <x:c r="D14" s="210" t="n">
        <x:f>ROUND(B14-C14,6)</x:f>
        <x:v>0</x:v>
      </x:c>
      <x:c r="E14" s="210" t="n">
        <x:f>0.0001</x:f>
        <x:v>0.0001</x:v>
      </x:c>
      <x:c r="F14" s="204" t="str">
        <x:f>IF(ABS(ROUND(D14,6))&lt;=E14,"PASS","FAIL")</x:f>
        <x:v>PASS</x:v>
      </x:c>
      <x:c r="G14" s="187" t="str">
        <x:v>Model: inventory</x:v>
      </x:c>
      <x:c r="H14" s="187"/>
    </x:row>
    <x:row r="15" ht="26" customHeight="1">
      <x:c r="A15" s="187" t="str">
        <x:v>Accounts payable schedule ties</x:v>
      </x:c>
      <x:c r="B15" s="210" t="n">
        <x:f>ROUND(MAX(ABS('Model'!B17-'Inputs'!$B$11/365*'Model'!B14),ABS('Model'!C17-'Inputs'!$B$11/365*'Model'!C14),ABS('Model'!D17-'Inputs'!$B$11/365*'Model'!D14),ABS('Model'!E17-'Inputs'!$B$11/365*'Model'!E14),ABS('Model'!F17-'Inputs'!$B$11/365*'Model'!F14)),6)</x:f>
        <x:v>0</x:v>
      </x:c>
      <x:c r="C15" s="210" t="n">
        <x:f>0</x:f>
        <x:v>0</x:v>
      </x:c>
      <x:c r="D15" s="210" t="n">
        <x:f>ROUND(B15-C15,6)</x:f>
        <x:v>0</x:v>
      </x:c>
      <x:c r="E15" s="210" t="n">
        <x:f>0.0001</x:f>
        <x:v>0.0001</x:v>
      </x:c>
      <x:c r="F15" s="204" t="str">
        <x:f>IF(ABS(ROUND(D15,6))&lt;=E15,"PASS","FAIL")</x:f>
        <x:v>PASS</x:v>
      </x:c>
      <x:c r="G15" s="187" t="str">
        <x:v>Model: payables</x:v>
      </x:c>
      <x:c r="H15" s="187"/>
    </x:row>
    <x:row r="16" ht="26" customHeight="1">
      <x:c r="A16" s="187" t="str">
        <x:v>NWC schedule ties</x:v>
      </x:c>
      <x:c r="B16" s="210" t="n">
        <x:f>ROUND(MAX(ABS('Model'!B18-('Model'!B15+'Model'!B16-'Model'!B17)),ABS('Model'!C18-('Model'!C15+'Model'!C16-'Model'!C17)),ABS('Model'!D18-('Model'!D15+'Model'!D16-'Model'!D17)),ABS('Model'!E18-('Model'!E15+'Model'!E16-'Model'!E17)),ABS('Model'!F18-('Model'!F15+'Model'!F16-'Model'!F17))),6)</x:f>
        <x:v>0</x:v>
      </x:c>
      <x:c r="C16" s="210" t="n">
        <x:f>0</x:f>
        <x:v>0</x:v>
      </x:c>
      <x:c r="D16" s="210" t="n">
        <x:f>ROUND(B16-C16,6)</x:f>
        <x:v>0</x:v>
      </x:c>
      <x:c r="E16" s="210" t="n">
        <x:f>0.0001</x:f>
        <x:v>0.0001</x:v>
      </x:c>
      <x:c r="F16" s="204" t="str">
        <x:f>IF(ABS(ROUND(D16,6))&lt;=E16,"PASS","FAIL")</x:f>
        <x:v>PASS</x:v>
      </x:c>
      <x:c r="G16" s="187" t="str">
        <x:v>Model: operating NWC</x:v>
      </x:c>
      <x:c r="H16" s="187"/>
    </x:row>
    <x:row r="17" ht="26" customHeight="1">
      <x:c r="A17" s="187" t="str">
        <x:v>Cash release bridge ties</x:v>
      </x:c>
      <x:c r="B17" s="210" t="n">
        <x:f>ROUND(MAX(ABS('Model'!B20-('Model'!B18-'Model'!B18)),ABS('Model'!C20-('Model'!B18-'Model'!C18)),ABS('Model'!D20-('Model'!B18-'Model'!D18)),ABS('Model'!E20-('Model'!B18-'Model'!E18)),ABS('Model'!F20-('Model'!B18-'Model'!F18))),6)</x:f>
        <x:v>0</x:v>
      </x:c>
      <x:c r="C17" s="210" t="n">
        <x:f>0</x:f>
        <x:v>0</x:v>
      </x:c>
      <x:c r="D17" s="210" t="n">
        <x:f>ROUND(B17-C17,6)</x:f>
        <x:v>0</x:v>
      </x:c>
      <x:c r="E17" s="210" t="n">
        <x:f>0.0001</x:f>
        <x:v>0.0001</x:v>
      </x:c>
      <x:c r="F17" s="204" t="str">
        <x:f>IF(ABS(ROUND(D17,6))&lt;=E17,"PASS","FAIL")</x:f>
        <x:v>PASS</x:v>
      </x:c>
      <x:c r="G17" s="187" t="str">
        <x:v>Model: cumulative cash release</x:v>
      </x:c>
      <x:c r="H17" s="187"/>
    </x:row>
    <x:row r="18" ht="26" customHeight="1">
      <x:c r="A18" s="187" t="str">
        <x:v>CCC schedule ties</x:v>
      </x:c>
      <x:c r="B18" s="203" t="n">
        <x:f>ROUND(MAX(ABS('Model'!B21-('Model'!B12+'Model'!B13-'Model'!B14)),ABS('Model'!C21-('Model'!C12+'Model'!C13-'Model'!C14)),ABS('Model'!D21-('Model'!D12+'Model'!D13-'Model'!D14)),ABS('Model'!E21-('Model'!E12+'Model'!E13-'Model'!E14)),ABS('Model'!F21-('Model'!F12+'Model'!F13-'Model'!F14))),6)</x:f>
        <x:v>0</x:v>
      </x:c>
      <x:c r="C18" s="203" t="n">
        <x:f>0</x:f>
        <x:v>0</x:v>
      </x:c>
      <x:c r="D18" s="203" t="n">
        <x:f>ROUND(B18-C18,6)</x:f>
        <x:v>0</x:v>
      </x:c>
      <x:c r="E18" s="203" t="n">
        <x:f>0.0001</x:f>
        <x:v>0.0001</x:v>
      </x:c>
      <x:c r="F18" s="204" t="str">
        <x:f>IF(ABS(ROUND(D18,6))&lt;=E18,"PASS","FAIL")</x:f>
        <x:v>PASS</x:v>
      </x:c>
      <x:c r="G18" s="187" t="str">
        <x:v>Model: cash conversion cycle</x:v>
      </x:c>
      <x:c r="H18" s="187"/>
    </x:row>
    <x:row r="19" ht="20" customHeight="1">
      <x:c r="A19" s="214" t="str">
        <x:v>A warning business outcome can still pass these controls; review Model and Results before making a decision.</x:v>
      </x:c>
      <x:c r="B19" s="215"/>
      <x:c r="C19" s="215"/>
      <x:c r="D19" s="215"/>
      <x:c r="E19" s="215"/>
      <x:c r="F19" s="215"/>
      <x:c r="G19" s="215"/>
      <x:c r="H19" s="216"/>
    </x:row>
    <x:row r="20" ht="20" customHeight="1">
      <x:c r="A20" s="57" t="str">
        <x:v>Working Capital Planner · 10 / 10 controls should show PASS · v1.4.0</x:v>
      </x:c>
      <x:c r="B20" s="57"/>
      <x:c r="C20" s="57"/>
      <x:c r="D20" s="57"/>
      <x:c r="E20" s="57"/>
      <x:c r="F20" s="57"/>
      <x:c r="G20" s="57"/>
      <x:c r="H20" s="57"/>
    </x:row>
  </x:sheetData>
  <x:mergeCells>
    <x:mergeCell ref="A1:H2"/>
    <x:mergeCell ref="A3:H3"/>
    <x:mergeCell ref="B4:H4"/>
    <x:mergeCell ref="A5:B5"/>
    <x:mergeCell ref="C5:H5"/>
    <x:mergeCell ref="A7:H7"/>
    <x:mergeCell ref="G8:H8"/>
    <x:mergeCell ref="G9:H9"/>
    <x:mergeCell ref="G10:H10"/>
    <x:mergeCell ref="G11:H11"/>
    <x:mergeCell ref="G12:H12"/>
    <x:mergeCell ref="G13:H13"/>
    <x:mergeCell ref="G14:H14"/>
    <x:mergeCell ref="G15:H15"/>
    <x:mergeCell ref="G16:H16"/>
    <x:mergeCell ref="G17:H17"/>
    <x:mergeCell ref="G18:H18"/>
    <x:mergeCell ref="A19:H19"/>
    <x:mergeCell ref="A20:H20"/>
  </x:mergeCells>
  <x:conditionalFormatting sqref="C5:H5">
    <x:cfRule type="containsText" dxfId="2" priority="1" operator="containsText" text="FAIL"/>
    <x:cfRule type="containsText" dxfId="3" priority="2" operator="containsText" text="PASS"/>
  </x:conditionalFormatting>
  <x:conditionalFormatting sqref="F9:F9">
    <x:cfRule type="containsText" dxfId="4" priority="3" operator="containsText" text="FAIL"/>
    <x:cfRule type="containsText" dxfId="5" priority="4" operator="containsText" text="PASS"/>
  </x:conditionalFormatting>
  <x:conditionalFormatting sqref="F10:F10">
    <x:cfRule type="containsText" dxfId="6" priority="5" operator="containsText" text="FAIL"/>
    <x:cfRule type="containsText" dxfId="7" priority="6" operator="containsText" text="PASS"/>
  </x:conditionalFormatting>
  <x:conditionalFormatting sqref="F11:F11">
    <x:cfRule type="containsText" dxfId="8" priority="7" operator="containsText" text="FAIL"/>
    <x:cfRule type="containsText" dxfId="9" priority="8" operator="containsText" text="PASS"/>
  </x:conditionalFormatting>
  <x:conditionalFormatting sqref="F12:F12">
    <x:cfRule type="containsText" dxfId="10" priority="9" operator="containsText" text="FAIL"/>
    <x:cfRule type="containsText" dxfId="11" priority="10" operator="containsText" text="PASS"/>
  </x:conditionalFormatting>
  <x:conditionalFormatting sqref="F13:F13">
    <x:cfRule type="containsText" dxfId="12" priority="11" operator="containsText" text="FAIL"/>
    <x:cfRule type="containsText" dxfId="13" priority="12" operator="containsText" text="PASS"/>
  </x:conditionalFormatting>
  <x:conditionalFormatting sqref="F14:F14">
    <x:cfRule type="containsText" dxfId="14" priority="13" operator="containsText" text="FAIL"/>
    <x:cfRule type="containsText" dxfId="15" priority="14" operator="containsText" text="PASS"/>
  </x:conditionalFormatting>
  <x:conditionalFormatting sqref="F15:F15">
    <x:cfRule type="containsText" dxfId="16" priority="15" operator="containsText" text="FAIL"/>
    <x:cfRule type="containsText" dxfId="17" priority="16" operator="containsText" text="PASS"/>
  </x:conditionalFormatting>
  <x:conditionalFormatting sqref="F16:F16">
    <x:cfRule type="containsText" dxfId="18" priority="17" operator="containsText" text="FAIL"/>
    <x:cfRule type="containsText" dxfId="19" priority="18" operator="containsText" text="PASS"/>
  </x:conditionalFormatting>
  <x:conditionalFormatting sqref="F17:F17">
    <x:cfRule type="containsText" dxfId="20" priority="19" operator="containsText" text="FAIL"/>
    <x:cfRule type="containsText" dxfId="21" priority="20" operator="containsText" text="PASS"/>
  </x:conditionalFormatting>
  <x:conditionalFormatting sqref="F18:F18">
    <x:cfRule type="containsText" dxfId="22" priority="21" operator="containsText" text="FAIL"/>
    <x:cfRule type="containsText" dxfId="23" priority="22" operator="containsText" text="PASS"/>
  </x:conditionalFormatting>
  <x:pageMargins left="0.7" right="0.7" top="0.75" bottom="0.75" header="0.3" footer="0.3"/>
</x:worksheet>
</file>