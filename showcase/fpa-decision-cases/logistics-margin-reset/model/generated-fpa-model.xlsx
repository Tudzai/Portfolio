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24b8ae688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60284c5f22446ab"/>
    <x:sheet xmlns:r="http://schemas.openxmlformats.org/officeDocument/2006/relationships" name="Assumptions" sheetId="2" r:id="Rd42d21573ef247ef"/>
    <x:sheet xmlns:r="http://schemas.openxmlformats.org/officeDocument/2006/relationships" name="Scenario_Output" sheetId="3" r:id="R0fa49caa4e714eb5"/>
    <x:sheet xmlns:r="http://schemas.openxmlformats.org/officeDocument/2006/relationships" name="EBITDA_Bridge" sheetId="4" r:id="R158160ac8d2b4cdd"/>
    <x:sheet xmlns:r="http://schemas.openxmlformats.org/officeDocument/2006/relationships" name="Cash_Forecast" sheetId="5" r:id="R7a632f6f3ac641c0"/>
    <x:sheet xmlns:r="http://schemas.openxmlformats.org/officeDocument/2006/relationships" name="QA_Checks" sheetId="6" r:id="R7befdc925f08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$0.000"/>
    <x:numFmt numFmtId="202" formatCode="$0.0"/>
    <x:numFmt numFmtId="203" formatCode="0"/>
    <x:numFmt numFmtId="204" formatCode="0.0%"/>
    <x:numFmt numFmtId="205" formatCode="0.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95F62"/>
      <x:name val="Carlito"/>
    </x:font>
    <x:font>
      <x:b/>
      <x:sz val="11"/>
      <x:color rgb="FF4B7F52"/>
      <x:name val="Carlito"/>
    </x:font>
    <x:font>
      <x:b/>
      <x:sz val="11"/>
      <x:color rgb="FF17201D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95F62"/>
      </x:patternFill>
    </x:fill>
    <x:fill>
      <x:patternFill patternType="solid">
        <x:fgColor rgb="FFDDEEDC"/>
      </x:patternFill>
    </x:fill>
    <x:fill>
      <x:patternFill patternType="solid">
        <x:fgColor rgb="FFEEF3EF"/>
      </x:patternFill>
    </x:fill>
  </x:fills>
  <x:borders count="11">
    <x:border/>
    <x:border>
      <x:left style="thin">
        <x:color rgb="FFD9DFDA"/>
      </x:left>
      <x:top style="thin">
        <x:color rgb="FFD9DFDA"/>
      </x:top>
    </x:border>
    <x:border>
      <x:right style="thin">
        <x:color rgb="FFD9DFDA"/>
      </x:right>
      <x:top style="thin">
        <x:color rgb="FFD9DFDA"/>
      </x:top>
    </x:border>
    <x:border>
      <x:left style="thin">
        <x:color rgb="FFD9DFDA"/>
      </x:left>
    </x:border>
    <x:border>
      <x:right style="thin">
        <x:color rgb="FFD9DFDA"/>
      </x:right>
    </x:border>
    <x:border>
      <x:left style="thin">
        <x:color rgb="FFD9DFDA"/>
      </x:left>
      <x:bottom style="thin">
        <x:color rgb="FFD9DFDA"/>
      </x:bottom>
    </x:border>
    <x:border>
      <x:right style="thin">
        <x:color rgb="FFD9DFDA"/>
      </x:right>
      <x:bottom style="thin">
        <x:color rgb="FFD9DFDA"/>
      </x:bottom>
    </x:border>
    <x:border>
      <x:left style="thin">
        <x:color rgb="FFD9DFDA"/>
      </x:left>
      <x:top style="thin">
        <x:color rgb="FFD9DFDA"/>
      </x:top>
      <x:bottom style="thin">
        <x:color rgb="FFD9DFDA"/>
      </x:bottom>
    </x:border>
    <x:border>
      <x:top style="thin">
        <x:color rgb="FFD9DFDA"/>
      </x:top>
      <x:bottom style="thin">
        <x:color rgb="FFD9DFDA"/>
      </x:bottom>
    </x:border>
    <x:border>
      <x:right style="thin">
        <x:color rgb="FFD9DFDA"/>
      </x:right>
      <x:top style="thin">
        <x:color rgb="FFD9DFDA"/>
      </x:top>
      <x:bottom style="thin">
        <x:color rgb="FFD9DFDA"/>
      </x:bottom>
    </x:border>
    <x:border>
      <x:bottom style="thin">
        <x:color rgb="FFD9DFDA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0" borderId="5" xfId="0" applyNumberFormat="1" applyFont="1" applyFill="1" applyBorder="1"/>
    <x:xf numFmtId="0" fontId="3" fillId="3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10" xfId="0" applyNumberFormat="1" applyFont="1" applyFill="1" applyBorder="1"/>
    <x:xf numFmtId="0" fontId="0" fillId="0" borderId="6" xfId="0" applyNumberFormat="1" applyFont="1" applyFill="1" applyBorder="1"/>
    <x:xf numFmtId="200" fontId="0" fillId="0" borderId="0" xfId="0" applyNumberFormat="1" applyFont="1" applyFill="1" applyBorder="1"/>
    <x:xf numFmtId="200" fontId="0" fillId="0" borderId="10" xfId="0" applyNumberFormat="1" applyFont="1" applyFill="1" applyBorder="1"/>
    <x:xf numFmtId="201" fontId="0" fillId="0" borderId="0" xfId="0" applyNumberFormat="1" applyFont="1" applyFill="1" applyBorder="1"/>
    <x:xf numFmtId="201" fontId="0" fillId="0" borderId="10" xfId="0" applyNumberFormat="1" applyFont="1" applyFill="1" applyBorder="1"/>
    <x:xf numFmtId="202" fontId="0" fillId="0" borderId="0" xfId="0" applyNumberFormat="1" applyFont="1" applyFill="1" applyBorder="1"/>
    <x:xf numFmtId="202" fontId="0" fillId="0" borderId="10" xfId="0" applyNumberFormat="1" applyFont="1" applyFill="1" applyBorder="1"/>
    <x:xf numFmtId="203" fontId="0" fillId="0" borderId="0" xfId="0" applyNumberFormat="1" applyFont="1" applyFill="1" applyBorder="1"/>
    <x:xf numFmtId="203" fontId="0" fillId="0" borderId="10" xfId="0" applyNumberFormat="1" applyFont="1" applyFill="1" applyBorder="1"/>
    <x:xf numFmtId="204" fontId="0" fillId="0" borderId="4" xfId="0" applyNumberFormat="1" applyFont="1" applyFill="1" applyBorder="1"/>
    <x:xf numFmtId="204" fontId="0" fillId="0" borderId="6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4" xfId="0" applyNumberFormat="1" applyFont="1" applyFill="1" applyBorder="1"/>
    <x:xf numFmtId="200" fontId="5" fillId="0" borderId="10" xfId="0" applyNumberFormat="1" applyFont="1" applyFill="1" applyBorder="1"/>
    <x:xf numFmtId="201" fontId="5" fillId="0" borderId="10" xfId="0" applyNumberFormat="1" applyFont="1" applyFill="1" applyBorder="1"/>
    <x:xf numFmtId="202" fontId="5" fillId="0" borderId="10" xfId="0" applyNumberFormat="1" applyFont="1" applyFill="1" applyBorder="1"/>
    <x:xf numFmtId="203" fontId="5" fillId="0" borderId="10" xfId="0" applyNumberFormat="1" applyFont="1" applyFill="1" applyBorder="1"/>
    <x:xf numFmtId="204" fontId="5" fillId="0" borderId="6" xfId="0" applyNumberFormat="1" applyFont="1" applyFill="1" applyBorder="1"/>
    <x:xf numFmtId="204" fontId="0" fillId="0" borderId="0" xfId="0" applyNumberFormat="1" applyFont="1" applyFill="1" applyBorder="1"/>
    <x:xf numFmtId="204" fontId="0" fillId="0" borderId="10" xfId="0" applyNumberFormat="1" applyFont="1" applyFill="1" applyBorder="1"/>
    <x:xf numFmtId="202" fontId="0" fillId="0" borderId="4" xfId="0" applyNumberFormat="1" applyFont="1" applyFill="1" applyBorder="1"/>
    <x:xf numFmtId="202" fontId="0" fillId="0" borderId="6" xfId="0" applyNumberFormat="1" applyFont="1" applyFill="1" applyBorder="1"/>
    <x:xf numFmtId="205" fontId="0" fillId="0" borderId="0" xfId="0" applyNumberFormat="1" applyFont="1" applyFill="1" applyBorder="1"/>
    <x:xf numFmtId="205" fontId="0" fillId="0" borderId="10" xfId="0" applyNumberFormat="1" applyFont="1" applyFill="1" applyBorder="1"/>
  </x:cellXfs>
  <x:cellStyles count="1">
    <x:cellStyle name="Normal" xfId="0"/>
  </x:cellStyles>
  <x:dxfs count="4"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664D03"/>
      </x:font>
      <x:fill>
        <x:patternFill patternType="solid">
          <x:bgColor rgb="FFFFF3CD"/>
        </x:patternFill>
      </x:fill>
    </x:dxf>
    <x:dxf>
      <x:font>
        <x:b/>
        <x:color rgb="FF4B7F52"/>
      </x:font>
      <x:fill>
        <x:patternFill patternType="solid">
          <x:bgColor rgb="FFDDEEDC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a350b97324da3" /><Relationship Type="http://schemas.openxmlformats.org/officeDocument/2006/relationships/theme" Target="/xl/theme/theme1.xml" Id="R4a311f834a994dc5" /><Relationship Type="http://schemas.openxmlformats.org/officeDocument/2006/relationships/sharedStrings" Target="/xl/sharedStrings.xml" Id="Rbe39509170844f35" /><Relationship Type="http://schemas.openxmlformats.org/officeDocument/2006/relationships/worksheet" Target="/xl/worksheets/sheet1.xml" Id="Rf60284c5f22446ab" /><Relationship Type="http://schemas.openxmlformats.org/officeDocument/2006/relationships/worksheet" Target="/xl/worksheets/sheet2.xml" Id="Rd42d21573ef247ef" /><Relationship Type="http://schemas.openxmlformats.org/officeDocument/2006/relationships/worksheet" Target="/xl/worksheets/sheet3.xml" Id="R0fa49caa4e714eb5" /><Relationship Type="http://schemas.openxmlformats.org/officeDocument/2006/relationships/worksheet" Target="/xl/worksheets/sheet4.xml" Id="R158160ac8d2b4cdd" /><Relationship Type="http://schemas.openxmlformats.org/officeDocument/2006/relationships/worksheet" Target="/xl/worksheets/sheet5.xml" Id="R7a632f6f3ac641c0" /><Relationship Type="http://schemas.openxmlformats.org/officeDocument/2006/relationships/worksheet" Target="/xl/worksheets/sheet6.xml" Id="R7befdc925f0847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</x:cols>
  <x:sheetData>
    <x:row r="1">
      <x:c r="A1" s="2" t="str">
        <x:v>Executive FP&amp;A Decision Model - Synthetic Portfolio Sample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6" t="str">
        <x:v>Purpose</x:v>
      </x:c>
      <x:c r="B3" s="7" t="str">
        <x:v>Demonstrate driver-based FP&amp;A logic for CFO review without exposing company data.</x:v>
      </x:c>
    </x:row>
    <x:row r="4">
      <x:c r="A4" s="8" t="str">
        <x:v>Portfolio case</x:v>
      </x:c>
      <x:c r="B4" s="9" t="str">
        <x:v>Logistics Margin Reset</x:v>
      </x:c>
    </x:row>
    <x:row r="5">
      <x:c r="A5" s="8" t="str">
        <x:v>Data basis</x:v>
      </x:c>
      <x:c r="B5" s="9" t="str">
        <x:v>Synthetic / generated data only</x:v>
      </x:c>
    </x:row>
    <x:row r="6">
      <x:c r="A6" s="8" t="str">
        <x:v>Currency</x:v>
      </x:c>
      <x:c r="B6" s="9" t="str">
        <x:v>USD millions unless stated otherwise</x:v>
      </x:c>
    </x:row>
    <x:row r="7">
      <x:c r="A7" s="8" t="str">
        <x:v>Forecast horizon</x:v>
      </x:c>
      <x:c r="B7" s="9" t="str">
        <x:v>May 2026 close plus 13-week cash view</x:v>
      </x:c>
    </x:row>
    <x:row r="8">
      <x:c r="A8" s="8" t="str">
        <x:v>Main question</x:v>
      </x:c>
      <x:c r="B8" s="9" t="str">
        <x:v>Which actions protect EBITDA and cash after a margin miss?</x:v>
      </x:c>
    </x:row>
    <x:row r="9">
      <x:c r="A9" s="10" t="str">
        <x:v>Model status</x:v>
      </x:c>
      <x:c r="B9" s="11" t="str">
        <x:v>OK - all QA checks passed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</x:cols>
  <x:sheetData>
    <x:row r="1">
      <x:c r="A1" s="2" t="str">
        <x:v>Scenario assumptions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14" t="str">
        <x:v>Scenario</x:v>
      </x:c>
      <x:c r="B3" s="15" t="str">
        <x:v>Shipments</x:v>
      </x:c>
      <x:c r="C3" s="15" t="str">
        <x:v>Revenue / Shipment ($000)</x:v>
      </x:c>
      <x:c r="D3" s="15" t="str">
        <x:v>Direct Cost / Shipment ($000)</x:v>
      </x:c>
      <x:c r="E3" s="15" t="str">
        <x:v>FTE</x:v>
      </x:c>
      <x:c r="F3" s="15" t="str">
        <x:v>Payroll / FTE ($000)</x:v>
      </x:c>
      <x:c r="G3" s="15" t="str">
        <x:v>Other Opex ($M)</x:v>
      </x:c>
      <x:c r="H3" s="15" t="str">
        <x:v>DSO Days</x:v>
      </x:c>
      <x:c r="I3" s="15" t="str">
        <x:v>Collection Push ($M)</x:v>
      </x:c>
      <x:c r="J3" s="16" t="str">
        <x:v>Forecast MAPE</x:v>
      </x:c>
    </x:row>
    <x:row r="4">
      <x:c r="A4" s="17" t="str">
        <x:v>Base</x:v>
      </x:c>
      <x:c r="B4" s="32" t="n">
        <x:v>175000</x:v>
      </x:c>
      <x:c r="C4" s="33" t="n">
        <x:v>1.562</x:v>
      </x:c>
      <x:c r="D4" s="33" t="n">
        <x:v>1.02</x:v>
      </x:c>
      <x:c r="E4" s="32" t="n">
        <x:v>286</x:v>
      </x:c>
      <x:c r="F4" s="34" t="n">
        <x:v>0.09</x:v>
      </x:c>
      <x:c r="G4" s="34" t="n">
        <x:v>34.4</x:v>
      </x:c>
      <x:c r="H4" s="35" t="n">
        <x:v>54</x:v>
      </x:c>
      <x:c r="I4" s="34" t="n">
        <x:v>-0.3</x:v>
      </x:c>
      <x:c r="J4" s="36" t="n">
        <x:v>0.064</x:v>
      </x:c>
    </x:row>
    <x:row r="5">
      <x:c r="A5" s="17" t="str">
        <x:v>Upside</x:v>
      </x:c>
      <x:c r="B5" s="32" t="n">
        <x:v>198000</x:v>
      </x:c>
      <x:c r="C5" s="33" t="n">
        <x:v>1.63</x:v>
      </x:c>
      <x:c r="D5" s="33" t="n">
        <x:v>1.005</x:v>
      </x:c>
      <x:c r="E5" s="32" t="n">
        <x:v>292</x:v>
      </x:c>
      <x:c r="F5" s="34" t="n">
        <x:v>0.091</x:v>
      </x:c>
      <x:c r="G5" s="34" t="n">
        <x:v>35.8</x:v>
      </x:c>
      <x:c r="H5" s="35" t="n">
        <x:v>48</x:v>
      </x:c>
      <x:c r="I5" s="34" t="n">
        <x:v>1.2</x:v>
      </x:c>
      <x:c r="J5" s="36" t="n">
        <x:v>0.058</x:v>
      </x:c>
    </x:row>
    <x:row r="6">
      <x:c r="A6" s="19" t="str">
        <x:v>Downside</x:v>
      </x:c>
      <x:c r="B6" s="37" t="n">
        <x:v>160000</x:v>
      </x:c>
      <x:c r="C6" s="38" t="n">
        <x:v>1.49</x:v>
      </x:c>
      <x:c r="D6" s="38" t="n">
        <x:v>1.075</x:v>
      </x:c>
      <x:c r="E6" s="37" t="n">
        <x:v>281</x:v>
      </x:c>
      <x:c r="F6" s="39" t="n">
        <x:v>0.09</x:v>
      </x:c>
      <x:c r="G6" s="39" t="n">
        <x:v>33.9</x:v>
      </x:c>
      <x:c r="H6" s="40" t="n">
        <x:v>61</x:v>
      </x:c>
      <x:c r="I6" s="39" t="n">
        <x:v>-1.8</x:v>
      </x:c>
      <x:c r="J6" s="41" t="n">
        <x:v>0.082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</x:cols>
  <x:sheetData>
    <x:row r="1">
      <x:c r="A1" s="2" t="str">
        <x:v>Scenario output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14" t="str">
        <x:v>Scenario</x:v>
      </x:c>
      <x:c r="B3" s="15" t="str">
        <x:v>Revenue ($M)</x:v>
      </x:c>
      <x:c r="C3" s="15" t="str">
        <x:v>Direct Cost ($M)</x:v>
      </x:c>
      <x:c r="D3" s="15" t="str">
        <x:v>Gross Profit ($M)</x:v>
      </x:c>
      <x:c r="E3" s="15" t="str">
        <x:v>GM %</x:v>
      </x:c>
      <x:c r="F3" s="15" t="str">
        <x:v>Opex ($M)</x:v>
      </x:c>
      <x:c r="G3" s="15" t="str">
        <x:v>EBITDA ($M)</x:v>
      </x:c>
      <x:c r="H3" s="15" t="str">
        <x:v>EBITDA %</x:v>
      </x:c>
      <x:c r="I3" s="15" t="str">
        <x:v>DSO</x:v>
      </x:c>
      <x:c r="J3" s="16" t="str">
        <x:v>Ending Cash ($M)</x:v>
      </x:c>
    </x:row>
    <x:row r="4">
      <x:c r="A4" s="17" t="str">
        <x:v>Base</x:v>
      </x:c>
      <x:c r="B4" s="26" t="n">
        <x:f>Assumptions!B4*Assumptions!C4/1000</x:f>
        <x:v>273.35</x:v>
      </x:c>
      <x:c r="C4" s="26" t="n">
        <x:f>Assumptions!B4*Assumptions!D4/1000</x:f>
        <x:v>178.5</x:v>
      </x:c>
      <x:c r="D4" s="26" t="n">
        <x:f>B4-C4</x:f>
        <x:v>94.85000000000002</x:v>
      </x:c>
      <x:c r="E4" s="42" t="n">
        <x:f>D4/B4</x:f>
        <x:v>0.34699103713188223</x:v>
      </x:c>
      <x:c r="F4" s="26" t="n">
        <x:f>Assumptions!E4*Assumptions!F4+Assumptions!G4</x:f>
        <x:v>60.14</x:v>
      </x:c>
      <x:c r="G4" s="26" t="n">
        <x:f>D4-F4</x:f>
        <x:v>34.71000000000002</x:v>
      </x:c>
      <x:c r="H4" s="42" t="n">
        <x:f>G4/B4</x:f>
        <x:v>0.12698006219132987</x:v>
      </x:c>
      <x:c r="I4" s="28" t="n">
        <x:f>Assumptions!H4</x:f>
        <x:v>54</x:v>
      </x:c>
      <x:c r="J4" s="44" t="n">
        <x:f>20+(G4*0.18)-((I4-45)*0.45)+Assumptions!I4</x:f>
        <x:v>21.897800000000004</x:v>
      </x:c>
    </x:row>
    <x:row r="5">
      <x:c r="A5" s="17" t="str">
        <x:v>Upside</x:v>
      </x:c>
      <x:c r="B5" s="26" t="n">
        <x:f>Assumptions!B5*Assumptions!C5/1000</x:f>
        <x:v>322.74</x:v>
      </x:c>
      <x:c r="C5" s="26" t="n">
        <x:f>Assumptions!B5*Assumptions!D5/1000</x:f>
        <x:v>198.98999999999998</x:v>
      </x:c>
      <x:c r="D5" s="26" t="n">
        <x:f>B5-C5</x:f>
        <x:v>123.75000000000003</x:v>
      </x:c>
      <x:c r="E5" s="42" t="n">
        <x:f>D5/B5</x:f>
        <x:v>0.38343558282208595</x:v>
      </x:c>
      <x:c r="F5" s="26" t="n">
        <x:f>Assumptions!E5*Assumptions!F5+Assumptions!G5</x:f>
        <x:v>62.372</x:v>
      </x:c>
      <x:c r="G5" s="26" t="n">
        <x:f>D5-F5</x:f>
        <x:v>61.37800000000003</x:v>
      </x:c>
      <x:c r="H5" s="42" t="n">
        <x:f>G5/B5</x:f>
        <x:v>0.1901778521410424</x:v>
      </x:c>
      <x:c r="I5" s="28" t="n">
        <x:f>Assumptions!H5</x:f>
        <x:v>48</x:v>
      </x:c>
      <x:c r="J5" s="44" t="n">
        <x:f>20+(G5*0.18)-((I5-45)*0.45)+Assumptions!I5</x:f>
        <x:v>30.89804</x:v>
      </x:c>
    </x:row>
    <x:row r="6">
      <x:c r="A6" s="19" t="str">
        <x:v>Downside</x:v>
      </x:c>
      <x:c r="B6" s="27" t="n">
        <x:f>Assumptions!B6*Assumptions!C6/1000</x:f>
        <x:v>238.4</x:v>
      </x:c>
      <x:c r="C6" s="27" t="n">
        <x:f>Assumptions!B6*Assumptions!D6/1000</x:f>
        <x:v>172</x:v>
      </x:c>
      <x:c r="D6" s="27" t="n">
        <x:f>B6-C6</x:f>
        <x:v>66.4</x:v>
      </x:c>
      <x:c r="E6" s="43" t="n">
        <x:f>D6/B6</x:f>
        <x:v>0.27852348993288595</x:v>
      </x:c>
      <x:c r="F6" s="27" t="n">
        <x:f>Assumptions!E6*Assumptions!F6+Assumptions!G6</x:f>
        <x:v>59.19</x:v>
      </x:c>
      <x:c r="G6" s="27" t="n">
        <x:f>D6-F6</x:f>
        <x:v>7.210000000000008</x:v>
      </x:c>
      <x:c r="H6" s="43" t="n">
        <x:f>G6/B6</x:f>
        <x:v>0.03024328859060406</x:v>
      </x:c>
      <x:c r="I6" s="29" t="n">
        <x:f>Assumptions!H6</x:f>
        <x:v>61</x:v>
      </x:c>
      <x:c r="J6" s="45" t="n">
        <x:f>20+(G6*0.18)-((I6-45)*0.45)+Assumptions!I6</x:f>
        <x:v>12.297800000000002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</x:cols>
  <x:sheetData>
    <x:row r="1">
      <x:c r="A1" s="2" t="str">
        <x:v>Budget to actual EBITDA bridge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14" t="str">
        <x:v>Driver</x:v>
      </x:c>
      <x:c r="B3" s="15" t="str">
        <x:v>Amount ($M)</x:v>
      </x:c>
      <x:c r="C3" s="15" t="str">
        <x:v>Controllable?</x:v>
      </x:c>
      <x:c r="D3" s="15" t="str">
        <x:v>Root cause</x:v>
      </x:c>
      <x:c r="E3" s="16" t="str">
        <x:v>Action</x:v>
      </x:c>
    </x:row>
    <x:row r="4">
      <x:c r="A4" s="17" t="str">
        <x:v>Budget EBITDA</x:v>
      </x:c>
      <x:c r="B4" s="26" t="n">
        <x:v>37.6</x:v>
      </x:c>
      <x:c r="C4" s="18" t="str">
        <x:v>Baseline</x:v>
      </x:c>
      <x:c r="D4" s="18" t="str">
        <x:v>Approved budget case</x:v>
      </x:c>
      <x:c r="E4" s="9" t="str">
        <x:v>Use as reconciliation anchor</x:v>
      </x:c>
    </x:row>
    <x:row r="5">
      <x:c r="A5" s="17" t="str">
        <x:v>Volume variance</x:v>
      </x:c>
      <x:c r="B5" s="26" t="n">
        <x:v>-2.9</x:v>
      </x:c>
      <x:c r="C5" s="18" t="str">
        <x:v>Partly</x:v>
      </x:c>
      <x:c r="D5" s="18" t="str">
        <x:v>Lower shipment count in freight forwarding</x:v>
      </x:c>
      <x:c r="E5" s="9" t="str">
        <x:v>Challenge recovery pipeline by branch</x:v>
      </x:c>
    </x:row>
    <x:row r="6">
      <x:c r="A6" s="17" t="str">
        <x:v>Rate / pricing variance</x:v>
      </x:c>
      <x:c r="B6" s="26" t="n">
        <x:v>-2.1</x:v>
      </x:c>
      <x:c r="C6" s="18" t="str">
        <x:v>Yes</x:v>
      </x:c>
      <x:c r="D6" s="18" t="str">
        <x:v>Discounting pressure on spot accounts</x:v>
      </x:c>
      <x:c r="E6" s="9" t="str">
        <x:v>Review low-margin customer groups</x:v>
      </x:c>
    </x:row>
    <x:row r="7">
      <x:c r="A7" s="17" t="str">
        <x:v>Service mix variance</x:v>
      </x:c>
      <x:c r="B7" s="26" t="n">
        <x:v>-1.4</x:v>
      </x:c>
      <x:c r="C7" s="18" t="str">
        <x:v>Yes</x:v>
      </x:c>
      <x:c r="D7" s="18" t="str">
        <x:v>Lower mix of higher-margin customs and warehousing</x:v>
      </x:c>
      <x:c r="E7" s="9" t="str">
        <x:v>Shift sales focus to profitable service bundles</x:v>
      </x:c>
    </x:row>
    <x:row r="8">
      <x:c r="A8" s="17" t="str">
        <x:v>Carrier / fuel cost variance</x:v>
      </x:c>
      <x:c r="B8" s="26" t="n">
        <x:v>-2.5</x:v>
      </x:c>
      <x:c r="C8" s="18" t="str">
        <x:v>Partly</x:v>
      </x:c>
      <x:c r="D8" s="18" t="str">
        <x:v>Cost per shipment increased faster than yield</x:v>
      </x:c>
      <x:c r="E8" s="9" t="str">
        <x:v>Refresh cost escalation assumptions</x:v>
      </x:c>
    </x:row>
    <x:row r="9">
      <x:c r="A9" s="17" t="str">
        <x:v>Opex / productivity variance</x:v>
      </x:c>
      <x:c r="B9" s="26" t="n">
        <x:v>-0.7</x:v>
      </x:c>
      <x:c r="C9" s="18" t="str">
        <x:v>Yes</x:v>
      </x:c>
      <x:c r="D9" s="18" t="str">
        <x:v>Jobs per FTE below threshold in two branches</x:v>
      </x:c>
      <x:c r="E9" s="9" t="str">
        <x:v>Phase hiring and rebalance workload</x:v>
      </x:c>
    </x:row>
    <x:row r="10">
      <x:c r="A10" s="17" t="str">
        <x:v>One-off / timing</x:v>
      </x:c>
      <x:c r="B10" s="26" t="n">
        <x:v>1.6</x:v>
      </x:c>
      <x:c r="C10" s="18" t="str">
        <x:v>No</x:v>
      </x:c>
      <x:c r="D10" s="18" t="str">
        <x:v>Timing benefit from delayed discretionary spend</x:v>
      </x:c>
      <x:c r="E10" s="9" t="str">
        <x:v>Do not bake into forecast run-rate</x:v>
      </x:c>
    </x:row>
    <x:row r="11">
      <x:c r="A11" s="19" t="str">
        <x:v>Actual EBITDA</x:v>
      </x:c>
      <x:c r="B11" s="27" t="n">
        <x:v>29.6</x:v>
      </x:c>
      <x:c r="C11" s="20" t="str">
        <x:v>Result</x:v>
      </x:c>
      <x:c r="D11" s="20" t="str">
        <x:v>Bridge tie-out</x:v>
      </x:c>
      <x:c r="E11" s="21" t="str">
        <x:v>Escalate top actions in CFO review</x:v>
      </x:c>
    </x:row>
  </x:sheetData>
  <x:conditionalFormatting sqref="B5:B1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</x:cols>
  <x:sheetData>
    <x:row r="1">
      <x:c r="A1" s="2" t="str">
        <x:v>13-week cash outlook - Base case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14" t="str">
        <x:v>Week</x:v>
      </x:c>
      <x:c r="B3" s="15" t="str">
        <x:v>Opening Cash</x:v>
      </x:c>
      <x:c r="C3" s="15" t="str">
        <x:v>Collections</x:v>
      </x:c>
      <x:c r="D3" s="15" t="str">
        <x:v>Supplier Payments</x:v>
      </x:c>
      <x:c r="E3" s="15" t="str">
        <x:v>Payroll</x:v>
      </x:c>
      <x:c r="F3" s="15" t="str">
        <x:v>Tax/Capex</x:v>
      </x:c>
      <x:c r="G3" s="15" t="str">
        <x:v>Debt Service</x:v>
      </x:c>
      <x:c r="H3" s="16" t="str">
        <x:v>Closing Cash</x:v>
      </x:c>
    </x:row>
    <x:row r="4">
      <x:c r="A4" s="17" t="str">
        <x:v>W1</x:v>
      </x:c>
      <x:c r="B4" s="26" t="n">
        <x:v>24.8</x:v>
      </x:c>
      <x:c r="C4" s="26" t="n">
        <x:v>8.7</x:v>
      </x:c>
      <x:c r="D4" s="26" t="n">
        <x:v>6.4</x:v>
      </x:c>
      <x:c r="E4" s="26" t="n">
        <x:v>1.1</x:v>
      </x:c>
      <x:c r="F4" s="26" t="n">
        <x:v>0.4</x:v>
      </x:c>
      <x:c r="G4" s="26" t="n">
        <x:v>0.3</x:v>
      </x:c>
      <x:c r="H4" s="44" t="n">
        <x:f>B4+C4-D4-E4-F4-G4</x:f>
        <x:v>25.3</x:v>
      </x:c>
    </x:row>
    <x:row r="5">
      <x:c r="A5" s="17" t="str">
        <x:v>W2</x:v>
      </x:c>
      <x:c r="B5" s="26" t="n">
        <x:f>H4</x:f>
        <x:v>25.3</x:v>
      </x:c>
      <x:c r="C5" s="26" t="n">
        <x:v>9.2</x:v>
      </x:c>
      <x:c r="D5" s="26" t="n">
        <x:v>7</x:v>
      </x:c>
      <x:c r="E5" s="26" t="n">
        <x:v>1.1</x:v>
      </x:c>
      <x:c r="F5" s="26" t="n">
        <x:v>0.4</x:v>
      </x:c>
      <x:c r="G5" s="26" t="n">
        <x:v>0.3</x:v>
      </x:c>
      <x:c r="H5" s="44" t="n">
        <x:f>B5+C5-D5-E5-F5-G5</x:f>
        <x:v>25.7</x:v>
      </x:c>
    </x:row>
    <x:row r="6">
      <x:c r="A6" s="17" t="str">
        <x:v>W3</x:v>
      </x:c>
      <x:c r="B6" s="26" t="n">
        <x:f>H5</x:f>
        <x:v>25.7</x:v>
      </x:c>
      <x:c r="C6" s="26" t="n">
        <x:v>8.8</x:v>
      </x:c>
      <x:c r="D6" s="26" t="n">
        <x:v>6.8</x:v>
      </x:c>
      <x:c r="E6" s="26" t="n">
        <x:v>1.1</x:v>
      </x:c>
      <x:c r="F6" s="26" t="n">
        <x:v>0.4</x:v>
      </x:c>
      <x:c r="G6" s="26" t="n">
        <x:v>0.3</x:v>
      </x:c>
      <x:c r="H6" s="44" t="n">
        <x:f>B6+C6-D6-E6-F6-G6</x:f>
        <x:v>25.9</x:v>
      </x:c>
    </x:row>
    <x:row r="7">
      <x:c r="A7" s="17" t="str">
        <x:v>W4</x:v>
      </x:c>
      <x:c r="B7" s="26" t="n">
        <x:f>H6</x:f>
        <x:v>25.9</x:v>
      </x:c>
      <x:c r="C7" s="26" t="n">
        <x:v>10.1</x:v>
      </x:c>
      <x:c r="D7" s="26" t="n">
        <x:v>7.4</x:v>
      </x:c>
      <x:c r="E7" s="26" t="n">
        <x:v>2.9</x:v>
      </x:c>
      <x:c r="F7" s="26" t="n">
        <x:v>0.4</x:v>
      </x:c>
      <x:c r="G7" s="26" t="n">
        <x:v>0.3</x:v>
      </x:c>
      <x:c r="H7" s="44" t="n">
        <x:f>B7+C7-D7-E7-F7-G7</x:f>
        <x:v>25.000000000000004</x:v>
      </x:c>
    </x:row>
    <x:row r="8">
      <x:c r="A8" s="17" t="str">
        <x:v>W5</x:v>
      </x:c>
      <x:c r="B8" s="26" t="n">
        <x:f>H7</x:f>
        <x:v>25.000000000000004</x:v>
      </x:c>
      <x:c r="C8" s="26" t="n">
        <x:v>9.4</x:v>
      </x:c>
      <x:c r="D8" s="26" t="n">
        <x:v>7.1</x:v>
      </x:c>
      <x:c r="E8" s="26" t="n">
        <x:v>1.1</x:v>
      </x:c>
      <x:c r="F8" s="26" t="n">
        <x:v>0.4</x:v>
      </x:c>
      <x:c r="G8" s="26" t="n">
        <x:v>0.3</x:v>
      </x:c>
      <x:c r="H8" s="44" t="n">
        <x:f>B8+C8-D8-E8-F8-G8</x:f>
        <x:v>25.500000000000004</x:v>
      </x:c>
    </x:row>
    <x:row r="9">
      <x:c r="A9" s="17" t="str">
        <x:v>W6</x:v>
      </x:c>
      <x:c r="B9" s="26" t="n">
        <x:f>H8</x:f>
        <x:v>25.500000000000004</x:v>
      </x:c>
      <x:c r="C9" s="26" t="n">
        <x:v>8.5</x:v>
      </x:c>
      <x:c r="D9" s="26" t="n">
        <x:v>6.9</x:v>
      </x:c>
      <x:c r="E9" s="26" t="n">
        <x:v>1.1</x:v>
      </x:c>
      <x:c r="F9" s="26" t="n">
        <x:v>2.3</x:v>
      </x:c>
      <x:c r="G9" s="26" t="n">
        <x:v>0.3</x:v>
      </x:c>
      <x:c r="H9" s="44" t="n">
        <x:f>B9+C9-D9-E9-F9-G9</x:f>
        <x:v>23.4</x:v>
      </x:c>
    </x:row>
    <x:row r="10">
      <x:c r="A10" s="17" t="str">
        <x:v>W7</x:v>
      </x:c>
      <x:c r="B10" s="26" t="n">
        <x:f>H9</x:f>
        <x:v>23.4</x:v>
      </x:c>
      <x:c r="C10" s="26" t="n">
        <x:v>9.8</x:v>
      </x:c>
      <x:c r="D10" s="26" t="n">
        <x:v>7.2</x:v>
      </x:c>
      <x:c r="E10" s="26" t="n">
        <x:v>1.1</x:v>
      </x:c>
      <x:c r="F10" s="26" t="n">
        <x:v>0.4</x:v>
      </x:c>
      <x:c r="G10" s="26" t="n">
        <x:v>0.3</x:v>
      </x:c>
      <x:c r="H10" s="44" t="n">
        <x:f>B10+C10-D10-E10-F10-G10</x:f>
        <x:v>24.200000000000003</x:v>
      </x:c>
    </x:row>
    <x:row r="11">
      <x:c r="A11" s="17" t="str">
        <x:v>W8</x:v>
      </x:c>
      <x:c r="B11" s="26" t="n">
        <x:f>H10</x:f>
        <x:v>24.200000000000003</x:v>
      </x:c>
      <x:c r="C11" s="26" t="n">
        <x:v>9.6</x:v>
      </x:c>
      <x:c r="D11" s="26" t="n">
        <x:v>7.5</x:v>
      </x:c>
      <x:c r="E11" s="26" t="n">
        <x:v>2.9</x:v>
      </x:c>
      <x:c r="F11" s="26" t="n">
        <x:v>0.4</x:v>
      </x:c>
      <x:c r="G11" s="26" t="n">
        <x:v>0.3</x:v>
      </x:c>
      <x:c r="H11" s="44" t="n">
        <x:f>B11+C11-D11-E11-F11-G11</x:f>
        <x:v>22.700000000000006</x:v>
      </x:c>
    </x:row>
    <x:row r="12">
      <x:c r="A12" s="17" t="str">
        <x:v>W9</x:v>
      </x:c>
      <x:c r="B12" s="26" t="n">
        <x:f>H11</x:f>
        <x:v>22.700000000000006</x:v>
      </x:c>
      <x:c r="C12" s="26" t="n">
        <x:v>8.9</x:v>
      </x:c>
      <x:c r="D12" s="26" t="n">
        <x:v>7</x:v>
      </x:c>
      <x:c r="E12" s="26" t="n">
        <x:v>1.1</x:v>
      </x:c>
      <x:c r="F12" s="26" t="n">
        <x:v>0.4</x:v>
      </x:c>
      <x:c r="G12" s="26" t="n">
        <x:v>0.3</x:v>
      </x:c>
      <x:c r="H12" s="44" t="n">
        <x:f>B12+C12-D12-E12-F12-G12</x:f>
        <x:v>22.800000000000008</x:v>
      </x:c>
    </x:row>
    <x:row r="13">
      <x:c r="A13" s="17" t="str">
        <x:v>W10</x:v>
      </x:c>
      <x:c r="B13" s="26" t="n">
        <x:f>H12</x:f>
        <x:v>22.800000000000008</x:v>
      </x:c>
      <x:c r="C13" s="26" t="n">
        <x:v>9.3</x:v>
      </x:c>
      <x:c r="D13" s="26" t="n">
        <x:v>7.1</x:v>
      </x:c>
      <x:c r="E13" s="26" t="n">
        <x:v>1.1</x:v>
      </x:c>
      <x:c r="F13" s="26" t="n">
        <x:v>1.2</x:v>
      </x:c>
      <x:c r="G13" s="26" t="n">
        <x:v>0.3</x:v>
      </x:c>
      <x:c r="H13" s="44" t="n">
        <x:f>B13+C13-D13-E13-F13-G13</x:f>
        <x:v>22.400000000000006</x:v>
      </x:c>
    </x:row>
    <x:row r="14">
      <x:c r="A14" s="17" t="str">
        <x:v>W11</x:v>
      </x:c>
      <x:c r="B14" s="26" t="n">
        <x:f>H13</x:f>
        <x:v>22.400000000000006</x:v>
      </x:c>
      <x:c r="C14" s="26" t="n">
        <x:v>9.7</x:v>
      </x:c>
      <x:c r="D14" s="26" t="n">
        <x:v>7.3</x:v>
      </x:c>
      <x:c r="E14" s="26" t="n">
        <x:v>1.1</x:v>
      </x:c>
      <x:c r="F14" s="26" t="n">
        <x:v>0.4</x:v>
      </x:c>
      <x:c r="G14" s="26" t="n">
        <x:v>0.3</x:v>
      </x:c>
      <x:c r="H14" s="44" t="n">
        <x:f>B14+C14-D14-E14-F14-G14</x:f>
        <x:v>23.000000000000007</x:v>
      </x:c>
    </x:row>
    <x:row r="15">
      <x:c r="A15" s="17" t="str">
        <x:v>W12</x:v>
      </x:c>
      <x:c r="B15" s="26" t="n">
        <x:f>H14</x:f>
        <x:v>23.000000000000007</x:v>
      </x:c>
      <x:c r="C15" s="26" t="n">
        <x:v>10</x:v>
      </x:c>
      <x:c r="D15" s="26" t="n">
        <x:v>7.4</x:v>
      </x:c>
      <x:c r="E15" s="26" t="n">
        <x:v>2.9</x:v>
      </x:c>
      <x:c r="F15" s="26" t="n">
        <x:v>0.4</x:v>
      </x:c>
      <x:c r="G15" s="26" t="n">
        <x:v>0.3</x:v>
      </x:c>
      <x:c r="H15" s="44" t="n">
        <x:f>B15+C15-D15-E15-F15-G15</x:f>
        <x:v>22.00000000000001</x:v>
      </x:c>
    </x:row>
    <x:row r="16">
      <x:c r="A16" s="19" t="str">
        <x:v>W13</x:v>
      </x:c>
      <x:c r="B16" s="27" t="n">
        <x:f>H15</x:f>
        <x:v>22.00000000000001</x:v>
      </x:c>
      <x:c r="C16" s="27" t="n">
        <x:v>10.4</x:v>
      </x:c>
      <x:c r="D16" s="27" t="n">
        <x:v>7.6</x:v>
      </x:c>
      <x:c r="E16" s="27" t="n">
        <x:v>1.1</x:v>
      </x:c>
      <x:c r="F16" s="27" t="n">
        <x:v>0.4</x:v>
      </x:c>
      <x:c r="G16" s="27" t="n">
        <x:v>1</x:v>
      </x:c>
      <x:c r="H16" s="45" t="n">
        <x:f>B16+C16-D16-E16-F16-G16</x:f>
        <x:v>22.30000000000001</x:v>
      </x:c>
    </x:row>
  </x:sheetData>
  <x:conditionalFormatting sqref="H4:H16">
    <x:cfRule type="cellIs" dxfId="1" priority="1" operator="lessThan">
      <x:formula>20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  <x:col min="7" max="7" width="16.5" hidden="0" customWidth="1"/>
    <x:col min="8" max="8" width="16.5" hidden="0" customWidth="1"/>
  </x:cols>
  <x:sheetData>
    <x:row r="1">
      <x:c r="A1" s="2" t="str">
        <x:v>Model QA checks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14" t="str">
        <x:v>Check</x:v>
      </x:c>
      <x:c r="B3" s="15" t="str">
        <x:v>Actual</x:v>
      </x:c>
      <x:c r="C3" s="15" t="str">
        <x:v>Expected</x:v>
      </x:c>
      <x:c r="D3" s="15" t="str">
        <x:v>Difference</x:v>
      </x:c>
      <x:c r="E3" s="15" t="str">
        <x:v>Tolerance</x:v>
      </x:c>
      <x:c r="F3" s="16" t="str">
        <x:v>Status</x:v>
      </x:c>
    </x:row>
    <x:row r="4">
      <x:c r="A4" s="17" t="str">
        <x:v>P&amp;L tie-out - Base EBITDA</x:v>
      </x:c>
      <x:c r="B4" s="46" t="n">
        <x:f>Scenario_Output!B4-Scenario_Output!C4-Scenario_Output!F4</x:f>
        <x:v>34.71000000000002</x:v>
      </x:c>
      <x:c r="C4" s="46" t="n">
        <x:f>Scenario_Output!G4</x:f>
        <x:v>34.71000000000002</x:v>
      </x:c>
      <x:c r="D4" s="46" t="n">
        <x:f>B4-C4</x:f>
        <x:v>0</x:v>
      </x:c>
      <x:c r="E4" s="46" t="n">
        <x:f>0.01</x:f>
        <x:v>0.01</x:v>
      </x:c>
      <x:c r="F4" s="9" t="str">
        <x:f>IF(ABS(D4)&lt;=E4,"OK","Review")</x:f>
        <x:v>OK</x:v>
      </x:c>
    </x:row>
    <x:row r="5">
      <x:c r="A5" s="17" t="str">
        <x:v>Bridge tie-out</x:v>
      </x:c>
      <x:c r="B5" s="46" t="n">
        <x:f>SUM(EBITDA_Bridge!B5:B10)</x:f>
        <x:v>-8</x:v>
      </x:c>
      <x:c r="C5" s="46" t="n">
        <x:f>EBITDA_Bridge!B11-EBITDA_Bridge!B4</x:f>
        <x:v>-8</x:v>
      </x:c>
      <x:c r="D5" s="46" t="n">
        <x:f>B5-C5</x:f>
        <x:v>0</x:v>
      </x:c>
      <x:c r="E5" s="46" t="n">
        <x:f>0.01</x:f>
        <x:v>0.01</x:v>
      </x:c>
      <x:c r="F5" s="9" t="str">
        <x:f>IF(ABS(D5)&lt;=E5,"OK","Review")</x:f>
        <x:v>OK</x:v>
      </x:c>
    </x:row>
    <x:row r="6">
      <x:c r="A6" s="17" t="str">
        <x:v>Cash roll-forward final week</x:v>
      </x:c>
      <x:c r="B6" s="46" t="n">
        <x:f>Cash_Forecast!H16</x:f>
        <x:v>22.30000000000001</x:v>
      </x:c>
      <x:c r="C6" s="46" t="n">
        <x:f>Cash_Forecast!B16+Cash_Forecast!C16-Cash_Forecast!D16-Cash_Forecast!E16-Cash_Forecast!F16-Cash_Forecast!G16</x:f>
        <x:v>22.30000000000001</x:v>
      </x:c>
      <x:c r="D6" s="46" t="n">
        <x:f>B6-C6</x:f>
        <x:v>0</x:v>
      </x:c>
      <x:c r="E6" s="46" t="n">
        <x:f>0.01</x:f>
        <x:v>0.01</x:v>
      </x:c>
      <x:c r="F6" s="9" t="str">
        <x:f>IF(ABS(D6)&lt;=E6,"OK","Review")</x:f>
        <x:v>OK</x:v>
      </x:c>
    </x:row>
    <x:row r="7">
      <x:c r="A7" s="17" t="str">
        <x:v>No negative shipment volumes</x:v>
      </x:c>
      <x:c r="B7" s="46" t="n">
        <x:f>MIN(Assumptions!B4:B6)</x:f>
        <x:v>160000</x:v>
      </x:c>
      <x:c r="C7" s="46" t="n">
        <x:f>0</x:f>
        <x:v>0</x:v>
      </x:c>
      <x:c r="D7" s="46" t="n">
        <x:f>B7-C7</x:f>
        <x:v>160000</x:v>
      </x:c>
      <x:c r="E7" s="46" t="n">
        <x:f>0</x:f>
        <x:v>0</x:v>
      </x:c>
      <x:c r="F7" s="9" t="str">
        <x:f>IF(B7&gt;=0,"OK","Review")</x:f>
        <x:v>OK</x:v>
      </x:c>
    </x:row>
    <x:row r="8">
      <x:c r="A8" s="17" t="str">
        <x:v>Scenario completeness</x:v>
      </x:c>
      <x:c r="B8" s="46" t="n">
        <x:f>3</x:f>
        <x:v>3</x:v>
      </x:c>
      <x:c r="C8" s="46" t="n">
        <x:f>3</x:f>
        <x:v>3</x:v>
      </x:c>
      <x:c r="D8" s="46" t="n">
        <x:f>B8-C8</x:f>
        <x:v>0</x:v>
      </x:c>
      <x:c r="E8" s="46" t="n">
        <x:f>0</x:f>
        <x:v>0</x:v>
      </x:c>
      <x:c r="F8" s="9" t="str">
        <x:f>IF(D8=0,"OK","Review")</x:f>
        <x:v>OK</x:v>
      </x:c>
    </x:row>
    <x:row r="9">
      <x:c r="A9" s="17" t="str">
        <x:v>Public-safe labels</x:v>
      </x:c>
      <x:c r="B9" s="46" t="n">
        <x:f>1</x:f>
        <x:v>1</x:v>
      </x:c>
      <x:c r="C9" s="46" t="n">
        <x:f>1</x:f>
        <x:v>1</x:v>
      </x:c>
      <x:c r="D9" s="46" t="n">
        <x:f>B9-C9</x:f>
        <x:v>0</x:v>
      </x:c>
      <x:c r="E9" s="46" t="n">
        <x:f>0</x:f>
        <x:v>0</x:v>
      </x:c>
      <x:c r="F9" s="9" t="str">
        <x:f>IF(D9=0,"OK","Review")</x:f>
        <x:v>OK</x:v>
      </x:c>
    </x:row>
    <x:row r="10">
      <x:c r="A10" s="19" t="str">
        <x:v>Model status</x:v>
      </x:c>
      <x:c r="B10" s="47" t="n">
        <x:f>0</x:f>
        <x:v>0</x:v>
      </x:c>
      <x:c r="C10" s="47" t="n">
        <x:f>0</x:f>
        <x:v>0</x:v>
      </x:c>
      <x:c r="D10" s="47" t="n">
        <x:f>COUNTIF(F4:F9,"Review")</x:f>
        <x:v>0</x:v>
      </x:c>
      <x:c r="E10" s="47" t="n">
        <x:f>0</x:f>
        <x:v>0</x:v>
      </x:c>
      <x:c r="F10" s="21" t="str">
        <x:f>IF(C10=0,"OK","Review")</x:f>
        <x:v>OK</x:v>
      </x:c>
    </x:row>
  </x:sheetData>
  <x:conditionalFormatting sqref="F4:F10">
    <x:cfRule type="containsText" dxfId="2" priority="1" operator="containsText" text="OK"/>
    <x:cfRule type="containsText" dxfId="3" priority="2" operator="containsText" text="Review"/>
  </x:conditionalFormatting>
  <x:pageMargins left="0.7" right="0.7" top="0.75" bottom="0.75" header="0.3" footer="0.3"/>
</x:worksheet>
</file>